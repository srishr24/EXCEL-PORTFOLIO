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a800e62217272080/Desktop/Excel Project/"/>
    </mc:Choice>
  </mc:AlternateContent>
  <xr:revisionPtr revIDLastSave="212" documentId="13_ncr:1_{6C182CDC-3642-415D-BB86-8CF53D953BED}" xr6:coauthVersionLast="47" xr6:coauthVersionMax="47" xr10:uidLastSave="{345A11DF-E0CF-4985-B0F3-9C8186BE9047}"/>
  <bookViews>
    <workbookView xWindow="-108" yWindow="-108" windowWidth="23256" windowHeight="12456" activeTab="4" xr2:uid="{5B124688-9D41-4E01-B926-9F2B2938D389}"/>
  </bookViews>
  <sheets>
    <sheet name="Hiring-Attrition" sheetId="1" r:id="rId1"/>
    <sheet name="Hiring " sheetId="2" r:id="rId2"/>
    <sheet name="Attrition" sheetId="3" r:id="rId3"/>
    <sheet name="INTRO" sheetId="6" r:id="rId4"/>
    <sheet name="P&amp;O" sheetId="7" r:id="rId5"/>
    <sheet name="DASH1" sheetId="4" r:id="rId6"/>
    <sheet name="DASH2" sheetId="5" r:id="rId7"/>
    <sheet name="INSIGHT" sheetId="8" r:id="rId8"/>
  </sheets>
  <externalReferences>
    <externalReference r:id="rId9"/>
  </externalReferences>
  <definedNames>
    <definedName name="_xlnm._FilterDatabase" localSheetId="0" hidden="1">'Hiring-Attrition'!$A$1:$X$1</definedName>
    <definedName name="employee1" localSheetId="0">'Hiring-Attrition'!$A$1:$AE$1471</definedName>
    <definedName name="employee1">'[1]Hiring &amp; Attrition '!$A$1:$AD$1471</definedName>
    <definedName name="Level1_Total">'[1]Hiring '!$H$19</definedName>
    <definedName name="Life_Sciences_Count">'[1]Hiring '!$K$9</definedName>
    <definedName name="RnD_Headcount">'[1]Hiring '!$C$8</definedName>
    <definedName name="Slicer_Department">#N/A</definedName>
    <definedName name="Slicer_Department1">#N/A</definedName>
    <definedName name="Slicer_Gender">#N/A</definedName>
    <definedName name="Slicer_Income_Group">#N/A</definedName>
    <definedName name="Slicer_JobRole">#N/A</definedName>
    <definedName name="Slicer_Salary_Hike_Group">#N/A</definedName>
    <definedName name="Top_Job_Role">'[1]Hiring '!$C$17</definedName>
    <definedName name="Total_Attrition">[1]Attrition!$H$13</definedName>
    <definedName name="Total_Employee">'[1]Hiring '!$C$9</definedName>
    <definedName name="Young_Attrition">[1]Attrition!$M$12</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D1471" i="1" l="1"/>
  <c r="AC1471" i="1"/>
  <c r="AB1471" i="1"/>
  <c r="AA1471" i="1"/>
  <c r="Z1471" i="1"/>
  <c r="AD1470" i="1"/>
  <c r="AC1470" i="1"/>
  <c r="AB1470" i="1"/>
  <c r="AA1470" i="1"/>
  <c r="Z1470" i="1"/>
  <c r="AD1469" i="1"/>
  <c r="AC1469" i="1"/>
  <c r="AB1469" i="1"/>
  <c r="AA1469" i="1"/>
  <c r="Z1469" i="1"/>
  <c r="AD1468" i="1"/>
  <c r="AC1468" i="1"/>
  <c r="AB1468" i="1"/>
  <c r="AA1468" i="1"/>
  <c r="Z1468" i="1"/>
  <c r="AD1467" i="1"/>
  <c r="AC1467" i="1"/>
  <c r="AB1467" i="1"/>
  <c r="AA1467" i="1"/>
  <c r="Z1467" i="1"/>
  <c r="AD1466" i="1"/>
  <c r="AC1466" i="1"/>
  <c r="AB1466" i="1"/>
  <c r="AA1466" i="1"/>
  <c r="Z1466" i="1"/>
  <c r="AD1465" i="1"/>
  <c r="AC1465" i="1"/>
  <c r="AB1465" i="1"/>
  <c r="AA1465" i="1"/>
  <c r="Z1465" i="1"/>
  <c r="AD1464" i="1"/>
  <c r="AC1464" i="1"/>
  <c r="AB1464" i="1"/>
  <c r="AA1464" i="1"/>
  <c r="Z1464" i="1"/>
  <c r="AD1463" i="1"/>
  <c r="AC1463" i="1"/>
  <c r="AB1463" i="1"/>
  <c r="AA1463" i="1"/>
  <c r="Z1463" i="1"/>
  <c r="AD1462" i="1"/>
  <c r="AC1462" i="1"/>
  <c r="AB1462" i="1"/>
  <c r="AA1462" i="1"/>
  <c r="Z1462" i="1"/>
  <c r="AD1461" i="1"/>
  <c r="AC1461" i="1"/>
  <c r="AB1461" i="1"/>
  <c r="AA1461" i="1"/>
  <c r="Z1461" i="1"/>
  <c r="AD1460" i="1"/>
  <c r="AC1460" i="1"/>
  <c r="AB1460" i="1"/>
  <c r="AA1460" i="1"/>
  <c r="Z1460" i="1"/>
  <c r="AD1459" i="1"/>
  <c r="AC1459" i="1"/>
  <c r="AB1459" i="1"/>
  <c r="AA1459" i="1"/>
  <c r="Z1459" i="1"/>
  <c r="AD1458" i="1"/>
  <c r="AC1458" i="1"/>
  <c r="AB1458" i="1"/>
  <c r="AA1458" i="1"/>
  <c r="Z1458" i="1"/>
  <c r="AD1457" i="1"/>
  <c r="AC1457" i="1"/>
  <c r="AB1457" i="1"/>
  <c r="AA1457" i="1"/>
  <c r="Z1457" i="1"/>
  <c r="AD1456" i="1"/>
  <c r="AC1456" i="1"/>
  <c r="AB1456" i="1"/>
  <c r="AA1456" i="1"/>
  <c r="Z1456" i="1"/>
  <c r="AD1455" i="1"/>
  <c r="AC1455" i="1"/>
  <c r="AB1455" i="1"/>
  <c r="AA1455" i="1"/>
  <c r="Z1455" i="1"/>
  <c r="AD1454" i="1"/>
  <c r="AC1454" i="1"/>
  <c r="AB1454" i="1"/>
  <c r="AA1454" i="1"/>
  <c r="Z1454" i="1"/>
  <c r="AD1453" i="1"/>
  <c r="AC1453" i="1"/>
  <c r="AB1453" i="1"/>
  <c r="AA1453" i="1"/>
  <c r="Z1453" i="1"/>
  <c r="AD1452" i="1"/>
  <c r="AC1452" i="1"/>
  <c r="AB1452" i="1"/>
  <c r="AA1452" i="1"/>
  <c r="Z1452" i="1"/>
  <c r="AD1451" i="1"/>
  <c r="AC1451" i="1"/>
  <c r="AB1451" i="1"/>
  <c r="AA1451" i="1"/>
  <c r="Z1451" i="1"/>
  <c r="AD1450" i="1"/>
  <c r="AC1450" i="1"/>
  <c r="AB1450" i="1"/>
  <c r="AA1450" i="1"/>
  <c r="Z1450" i="1"/>
  <c r="AD1449" i="1"/>
  <c r="AC1449" i="1"/>
  <c r="AB1449" i="1"/>
  <c r="AA1449" i="1"/>
  <c r="Z1449" i="1"/>
  <c r="AD1448" i="1"/>
  <c r="AC1448" i="1"/>
  <c r="AB1448" i="1"/>
  <c r="AA1448" i="1"/>
  <c r="Z1448" i="1"/>
  <c r="AD1447" i="1"/>
  <c r="AC1447" i="1"/>
  <c r="AB1447" i="1"/>
  <c r="AA1447" i="1"/>
  <c r="Z1447" i="1"/>
  <c r="AD1446" i="1"/>
  <c r="AC1446" i="1"/>
  <c r="AB1446" i="1"/>
  <c r="AA1446" i="1"/>
  <c r="Z1446" i="1"/>
  <c r="AD1445" i="1"/>
  <c r="AC1445" i="1"/>
  <c r="AB1445" i="1"/>
  <c r="AA1445" i="1"/>
  <c r="Z1445" i="1"/>
  <c r="AD1444" i="1"/>
  <c r="AC1444" i="1"/>
  <c r="AB1444" i="1"/>
  <c r="AA1444" i="1"/>
  <c r="Z1444" i="1"/>
  <c r="AD1443" i="1"/>
  <c r="AC1443" i="1"/>
  <c r="AB1443" i="1"/>
  <c r="AA1443" i="1"/>
  <c r="Z1443" i="1"/>
  <c r="AD1442" i="1"/>
  <c r="AC1442" i="1"/>
  <c r="AB1442" i="1"/>
  <c r="AA1442" i="1"/>
  <c r="Z1442" i="1"/>
  <c r="AD1441" i="1"/>
  <c r="AC1441" i="1"/>
  <c r="AB1441" i="1"/>
  <c r="AA1441" i="1"/>
  <c r="Z1441" i="1"/>
  <c r="AD1440" i="1"/>
  <c r="AC1440" i="1"/>
  <c r="AB1440" i="1"/>
  <c r="AA1440" i="1"/>
  <c r="Z1440" i="1"/>
  <c r="AD1439" i="1"/>
  <c r="AC1439" i="1"/>
  <c r="AB1439" i="1"/>
  <c r="AA1439" i="1"/>
  <c r="Z1439" i="1"/>
  <c r="AD1438" i="1"/>
  <c r="AC1438" i="1"/>
  <c r="AB1438" i="1"/>
  <c r="AA1438" i="1"/>
  <c r="Z1438" i="1"/>
  <c r="AD1437" i="1"/>
  <c r="AC1437" i="1"/>
  <c r="AB1437" i="1"/>
  <c r="AA1437" i="1"/>
  <c r="Z1437" i="1"/>
  <c r="AD1436" i="1"/>
  <c r="AC1436" i="1"/>
  <c r="AB1436" i="1"/>
  <c r="AA1436" i="1"/>
  <c r="Z1436" i="1"/>
  <c r="AD1435" i="1"/>
  <c r="AC1435" i="1"/>
  <c r="AB1435" i="1"/>
  <c r="AA1435" i="1"/>
  <c r="Z1435" i="1"/>
  <c r="AD1434" i="1"/>
  <c r="AC1434" i="1"/>
  <c r="AB1434" i="1"/>
  <c r="AA1434" i="1"/>
  <c r="Z1434" i="1"/>
  <c r="AD1433" i="1"/>
  <c r="AC1433" i="1"/>
  <c r="AB1433" i="1"/>
  <c r="AA1433" i="1"/>
  <c r="Z1433" i="1"/>
  <c r="AD1432" i="1"/>
  <c r="AC1432" i="1"/>
  <c r="AB1432" i="1"/>
  <c r="AA1432" i="1"/>
  <c r="Z1432" i="1"/>
  <c r="AD1431" i="1"/>
  <c r="AC1431" i="1"/>
  <c r="AB1431" i="1"/>
  <c r="AA1431" i="1"/>
  <c r="Z1431" i="1"/>
  <c r="AD1430" i="1"/>
  <c r="AC1430" i="1"/>
  <c r="AB1430" i="1"/>
  <c r="AA1430" i="1"/>
  <c r="Z1430" i="1"/>
  <c r="AD1429" i="1"/>
  <c r="AC1429" i="1"/>
  <c r="AB1429" i="1"/>
  <c r="AA1429" i="1"/>
  <c r="Z1429" i="1"/>
  <c r="AD1428" i="1"/>
  <c r="AC1428" i="1"/>
  <c r="AB1428" i="1"/>
  <c r="AA1428" i="1"/>
  <c r="Z1428" i="1"/>
  <c r="AD1427" i="1"/>
  <c r="AC1427" i="1"/>
  <c r="AB1427" i="1"/>
  <c r="AA1427" i="1"/>
  <c r="Z1427" i="1"/>
  <c r="AD1426" i="1"/>
  <c r="AC1426" i="1"/>
  <c r="AB1426" i="1"/>
  <c r="AA1426" i="1"/>
  <c r="Z1426" i="1"/>
  <c r="AD1425" i="1"/>
  <c r="AC1425" i="1"/>
  <c r="AB1425" i="1"/>
  <c r="AA1425" i="1"/>
  <c r="Z1425" i="1"/>
  <c r="AD1424" i="1"/>
  <c r="AC1424" i="1"/>
  <c r="AB1424" i="1"/>
  <c r="AA1424" i="1"/>
  <c r="Z1424" i="1"/>
  <c r="AD1423" i="1"/>
  <c r="AC1423" i="1"/>
  <c r="AB1423" i="1"/>
  <c r="AA1423" i="1"/>
  <c r="Z1423" i="1"/>
  <c r="AD1422" i="1"/>
  <c r="AC1422" i="1"/>
  <c r="AB1422" i="1"/>
  <c r="AA1422" i="1"/>
  <c r="Z1422" i="1"/>
  <c r="AD1421" i="1"/>
  <c r="AC1421" i="1"/>
  <c r="AB1421" i="1"/>
  <c r="AA1421" i="1"/>
  <c r="Z1421" i="1"/>
  <c r="AD1420" i="1"/>
  <c r="AC1420" i="1"/>
  <c r="AB1420" i="1"/>
  <c r="AA1420" i="1"/>
  <c r="Z1420" i="1"/>
  <c r="AD1419" i="1"/>
  <c r="AC1419" i="1"/>
  <c r="AB1419" i="1"/>
  <c r="AA1419" i="1"/>
  <c r="Z1419" i="1"/>
  <c r="AD1418" i="1"/>
  <c r="AC1418" i="1"/>
  <c r="AB1418" i="1"/>
  <c r="AA1418" i="1"/>
  <c r="Z1418" i="1"/>
  <c r="AD1417" i="1"/>
  <c r="AC1417" i="1"/>
  <c r="AB1417" i="1"/>
  <c r="AA1417" i="1"/>
  <c r="Z1417" i="1"/>
  <c r="AD1416" i="1"/>
  <c r="AC1416" i="1"/>
  <c r="AB1416" i="1"/>
  <c r="AA1416" i="1"/>
  <c r="Z1416" i="1"/>
  <c r="AD1415" i="1"/>
  <c r="AC1415" i="1"/>
  <c r="AB1415" i="1"/>
  <c r="AA1415" i="1"/>
  <c r="Z1415" i="1"/>
  <c r="AD1414" i="1"/>
  <c r="AC1414" i="1"/>
  <c r="AB1414" i="1"/>
  <c r="AA1414" i="1"/>
  <c r="Z1414" i="1"/>
  <c r="AD1413" i="1"/>
  <c r="AC1413" i="1"/>
  <c r="AB1413" i="1"/>
  <c r="AA1413" i="1"/>
  <c r="Z1413" i="1"/>
  <c r="AD1412" i="1"/>
  <c r="AC1412" i="1"/>
  <c r="AB1412" i="1"/>
  <c r="AA1412" i="1"/>
  <c r="Z1412" i="1"/>
  <c r="AD1411" i="1"/>
  <c r="AC1411" i="1"/>
  <c r="AB1411" i="1"/>
  <c r="AA1411" i="1"/>
  <c r="Z1411" i="1"/>
  <c r="AD1410" i="1"/>
  <c r="AC1410" i="1"/>
  <c r="AB1410" i="1"/>
  <c r="AA1410" i="1"/>
  <c r="Z1410" i="1"/>
  <c r="AD1409" i="1"/>
  <c r="AC1409" i="1"/>
  <c r="AB1409" i="1"/>
  <c r="AA1409" i="1"/>
  <c r="Z1409" i="1"/>
  <c r="AD1408" i="1"/>
  <c r="AC1408" i="1"/>
  <c r="AB1408" i="1"/>
  <c r="AA1408" i="1"/>
  <c r="Z1408" i="1"/>
  <c r="AD1407" i="1"/>
  <c r="AC1407" i="1"/>
  <c r="AB1407" i="1"/>
  <c r="AA1407" i="1"/>
  <c r="Z1407" i="1"/>
  <c r="AD1406" i="1"/>
  <c r="AC1406" i="1"/>
  <c r="AB1406" i="1"/>
  <c r="AA1406" i="1"/>
  <c r="Z1406" i="1"/>
  <c r="AD1405" i="1"/>
  <c r="AC1405" i="1"/>
  <c r="AB1405" i="1"/>
  <c r="AA1405" i="1"/>
  <c r="Z1405" i="1"/>
  <c r="AD1404" i="1"/>
  <c r="AC1404" i="1"/>
  <c r="AB1404" i="1"/>
  <c r="AA1404" i="1"/>
  <c r="Z1404" i="1"/>
  <c r="AD1403" i="1"/>
  <c r="AC1403" i="1"/>
  <c r="AB1403" i="1"/>
  <c r="AA1403" i="1"/>
  <c r="Z1403" i="1"/>
  <c r="AD1402" i="1"/>
  <c r="AC1402" i="1"/>
  <c r="AB1402" i="1"/>
  <c r="AA1402" i="1"/>
  <c r="Z1402" i="1"/>
  <c r="AD1401" i="1"/>
  <c r="AC1401" i="1"/>
  <c r="AB1401" i="1"/>
  <c r="AA1401" i="1"/>
  <c r="Z1401" i="1"/>
  <c r="AD1400" i="1"/>
  <c r="AC1400" i="1"/>
  <c r="AB1400" i="1"/>
  <c r="AA1400" i="1"/>
  <c r="Z1400" i="1"/>
  <c r="AD1399" i="1"/>
  <c r="AC1399" i="1"/>
  <c r="AB1399" i="1"/>
  <c r="AA1399" i="1"/>
  <c r="Z1399" i="1"/>
  <c r="AD1398" i="1"/>
  <c r="AC1398" i="1"/>
  <c r="AB1398" i="1"/>
  <c r="AA1398" i="1"/>
  <c r="Z1398" i="1"/>
  <c r="AD1397" i="1"/>
  <c r="AC1397" i="1"/>
  <c r="AB1397" i="1"/>
  <c r="AA1397" i="1"/>
  <c r="Z1397" i="1"/>
  <c r="AD1396" i="1"/>
  <c r="AC1396" i="1"/>
  <c r="AB1396" i="1"/>
  <c r="AA1396" i="1"/>
  <c r="Z1396" i="1"/>
  <c r="AD1395" i="1"/>
  <c r="AC1395" i="1"/>
  <c r="AB1395" i="1"/>
  <c r="AA1395" i="1"/>
  <c r="Z1395" i="1"/>
  <c r="AD1394" i="1"/>
  <c r="AC1394" i="1"/>
  <c r="AB1394" i="1"/>
  <c r="AA1394" i="1"/>
  <c r="Z1394" i="1"/>
  <c r="AD1393" i="1"/>
  <c r="AC1393" i="1"/>
  <c r="AB1393" i="1"/>
  <c r="AA1393" i="1"/>
  <c r="Z1393" i="1"/>
  <c r="AD1392" i="1"/>
  <c r="AC1392" i="1"/>
  <c r="AB1392" i="1"/>
  <c r="AA1392" i="1"/>
  <c r="Z1392" i="1"/>
  <c r="AD1391" i="1"/>
  <c r="AC1391" i="1"/>
  <c r="AB1391" i="1"/>
  <c r="AA1391" i="1"/>
  <c r="Z1391" i="1"/>
  <c r="AD1390" i="1"/>
  <c r="AC1390" i="1"/>
  <c r="AB1390" i="1"/>
  <c r="AA1390" i="1"/>
  <c r="Z1390" i="1"/>
  <c r="AD1389" i="1"/>
  <c r="AC1389" i="1"/>
  <c r="AB1389" i="1"/>
  <c r="AA1389" i="1"/>
  <c r="Z1389" i="1"/>
  <c r="AD1388" i="1"/>
  <c r="AC1388" i="1"/>
  <c r="AB1388" i="1"/>
  <c r="AA1388" i="1"/>
  <c r="Z1388" i="1"/>
  <c r="AD1387" i="1"/>
  <c r="AC1387" i="1"/>
  <c r="AB1387" i="1"/>
  <c r="AA1387" i="1"/>
  <c r="Z1387" i="1"/>
  <c r="AD1386" i="1"/>
  <c r="AC1386" i="1"/>
  <c r="AB1386" i="1"/>
  <c r="AA1386" i="1"/>
  <c r="Z1386" i="1"/>
  <c r="AD1385" i="1"/>
  <c r="AC1385" i="1"/>
  <c r="AB1385" i="1"/>
  <c r="AA1385" i="1"/>
  <c r="Z1385" i="1"/>
  <c r="AD1384" i="1"/>
  <c r="AC1384" i="1"/>
  <c r="AB1384" i="1"/>
  <c r="AA1384" i="1"/>
  <c r="Z1384" i="1"/>
  <c r="AD1383" i="1"/>
  <c r="AC1383" i="1"/>
  <c r="AB1383" i="1"/>
  <c r="AA1383" i="1"/>
  <c r="Z1383" i="1"/>
  <c r="AD1382" i="1"/>
  <c r="AC1382" i="1"/>
  <c r="AB1382" i="1"/>
  <c r="AA1382" i="1"/>
  <c r="Z1382" i="1"/>
  <c r="AD1381" i="1"/>
  <c r="AC1381" i="1"/>
  <c r="AB1381" i="1"/>
  <c r="AA1381" i="1"/>
  <c r="Z1381" i="1"/>
  <c r="AD1380" i="1"/>
  <c r="AC1380" i="1"/>
  <c r="AB1380" i="1"/>
  <c r="AA1380" i="1"/>
  <c r="Z1380" i="1"/>
  <c r="AD1379" i="1"/>
  <c r="AC1379" i="1"/>
  <c r="AB1379" i="1"/>
  <c r="AA1379" i="1"/>
  <c r="Z1379" i="1"/>
  <c r="AD1378" i="1"/>
  <c r="AC1378" i="1"/>
  <c r="AB1378" i="1"/>
  <c r="AA1378" i="1"/>
  <c r="Z1378" i="1"/>
  <c r="AD1377" i="1"/>
  <c r="AC1377" i="1"/>
  <c r="AB1377" i="1"/>
  <c r="AA1377" i="1"/>
  <c r="Z1377" i="1"/>
  <c r="AD1376" i="1"/>
  <c r="AC1376" i="1"/>
  <c r="AB1376" i="1"/>
  <c r="AA1376" i="1"/>
  <c r="Z1376" i="1"/>
  <c r="AD1375" i="1"/>
  <c r="AC1375" i="1"/>
  <c r="AB1375" i="1"/>
  <c r="AA1375" i="1"/>
  <c r="Z1375" i="1"/>
  <c r="AD1374" i="1"/>
  <c r="AC1374" i="1"/>
  <c r="AB1374" i="1"/>
  <c r="AA1374" i="1"/>
  <c r="Z1374" i="1"/>
  <c r="AD1373" i="1"/>
  <c r="AC1373" i="1"/>
  <c r="AB1373" i="1"/>
  <c r="AA1373" i="1"/>
  <c r="Z1373" i="1"/>
  <c r="AD1372" i="1"/>
  <c r="AC1372" i="1"/>
  <c r="AB1372" i="1"/>
  <c r="AA1372" i="1"/>
  <c r="Z1372" i="1"/>
  <c r="AD1371" i="1"/>
  <c r="AC1371" i="1"/>
  <c r="AB1371" i="1"/>
  <c r="AA1371" i="1"/>
  <c r="Z1371" i="1"/>
  <c r="AD1370" i="1"/>
  <c r="AC1370" i="1"/>
  <c r="AB1370" i="1"/>
  <c r="AA1370" i="1"/>
  <c r="Z1370" i="1"/>
  <c r="AD1369" i="1"/>
  <c r="AC1369" i="1"/>
  <c r="AB1369" i="1"/>
  <c r="AA1369" i="1"/>
  <c r="Z1369" i="1"/>
  <c r="AD1368" i="1"/>
  <c r="AC1368" i="1"/>
  <c r="AB1368" i="1"/>
  <c r="AA1368" i="1"/>
  <c r="Z1368" i="1"/>
  <c r="AD1367" i="1"/>
  <c r="AC1367" i="1"/>
  <c r="AB1367" i="1"/>
  <c r="AA1367" i="1"/>
  <c r="Z1367" i="1"/>
  <c r="AD1366" i="1"/>
  <c r="AC1366" i="1"/>
  <c r="AB1366" i="1"/>
  <c r="AA1366" i="1"/>
  <c r="Z1366" i="1"/>
  <c r="AD1365" i="1"/>
  <c r="AC1365" i="1"/>
  <c r="AB1365" i="1"/>
  <c r="AA1365" i="1"/>
  <c r="Z1365" i="1"/>
  <c r="AD1364" i="1"/>
  <c r="AC1364" i="1"/>
  <c r="AB1364" i="1"/>
  <c r="AA1364" i="1"/>
  <c r="Z1364" i="1"/>
  <c r="AD1363" i="1"/>
  <c r="AC1363" i="1"/>
  <c r="AB1363" i="1"/>
  <c r="AA1363" i="1"/>
  <c r="Z1363" i="1"/>
  <c r="AD1362" i="1"/>
  <c r="AC1362" i="1"/>
  <c r="AB1362" i="1"/>
  <c r="AA1362" i="1"/>
  <c r="Z1362" i="1"/>
  <c r="AD1361" i="1"/>
  <c r="AC1361" i="1"/>
  <c r="AB1361" i="1"/>
  <c r="AA1361" i="1"/>
  <c r="Z1361" i="1"/>
  <c r="AD1360" i="1"/>
  <c r="AC1360" i="1"/>
  <c r="AB1360" i="1"/>
  <c r="AA1360" i="1"/>
  <c r="Z1360" i="1"/>
  <c r="AD1359" i="1"/>
  <c r="AC1359" i="1"/>
  <c r="AB1359" i="1"/>
  <c r="AA1359" i="1"/>
  <c r="Z1359" i="1"/>
  <c r="AD1358" i="1"/>
  <c r="AC1358" i="1"/>
  <c r="AB1358" i="1"/>
  <c r="AA1358" i="1"/>
  <c r="Z1358" i="1"/>
  <c r="AD1357" i="1"/>
  <c r="AC1357" i="1"/>
  <c r="AB1357" i="1"/>
  <c r="AA1357" i="1"/>
  <c r="Z1357" i="1"/>
  <c r="AD1356" i="1"/>
  <c r="AC1356" i="1"/>
  <c r="AB1356" i="1"/>
  <c r="AA1356" i="1"/>
  <c r="Z1356" i="1"/>
  <c r="AD1355" i="1"/>
  <c r="AC1355" i="1"/>
  <c r="AB1355" i="1"/>
  <c r="AA1355" i="1"/>
  <c r="Z1355" i="1"/>
  <c r="AD1354" i="1"/>
  <c r="AC1354" i="1"/>
  <c r="AB1354" i="1"/>
  <c r="AA1354" i="1"/>
  <c r="Z1354" i="1"/>
  <c r="AD1353" i="1"/>
  <c r="AC1353" i="1"/>
  <c r="AB1353" i="1"/>
  <c r="AA1353" i="1"/>
  <c r="Z1353" i="1"/>
  <c r="AD1352" i="1"/>
  <c r="AC1352" i="1"/>
  <c r="AB1352" i="1"/>
  <c r="AA1352" i="1"/>
  <c r="Z1352" i="1"/>
  <c r="AD1351" i="1"/>
  <c r="AC1351" i="1"/>
  <c r="AB1351" i="1"/>
  <c r="AA1351" i="1"/>
  <c r="Z1351" i="1"/>
  <c r="AD1350" i="1"/>
  <c r="AC1350" i="1"/>
  <c r="AB1350" i="1"/>
  <c r="AA1350" i="1"/>
  <c r="Z1350" i="1"/>
  <c r="AD1349" i="1"/>
  <c r="AC1349" i="1"/>
  <c r="AB1349" i="1"/>
  <c r="AA1349" i="1"/>
  <c r="Z1349" i="1"/>
  <c r="AD1348" i="1"/>
  <c r="AC1348" i="1"/>
  <c r="AB1348" i="1"/>
  <c r="AA1348" i="1"/>
  <c r="Z1348" i="1"/>
  <c r="AD1347" i="1"/>
  <c r="AC1347" i="1"/>
  <c r="AB1347" i="1"/>
  <c r="AA1347" i="1"/>
  <c r="Z1347" i="1"/>
  <c r="AD1346" i="1"/>
  <c r="AC1346" i="1"/>
  <c r="AB1346" i="1"/>
  <c r="AA1346" i="1"/>
  <c r="Z1346" i="1"/>
  <c r="AD1345" i="1"/>
  <c r="AC1345" i="1"/>
  <c r="AB1345" i="1"/>
  <c r="AA1345" i="1"/>
  <c r="Z1345" i="1"/>
  <c r="AD1344" i="1"/>
  <c r="AC1344" i="1"/>
  <c r="AB1344" i="1"/>
  <c r="AA1344" i="1"/>
  <c r="Z1344" i="1"/>
  <c r="AD1343" i="1"/>
  <c r="AC1343" i="1"/>
  <c r="AB1343" i="1"/>
  <c r="AA1343" i="1"/>
  <c r="Z1343" i="1"/>
  <c r="AD1342" i="1"/>
  <c r="AC1342" i="1"/>
  <c r="AB1342" i="1"/>
  <c r="AA1342" i="1"/>
  <c r="Z1342" i="1"/>
  <c r="AD1341" i="1"/>
  <c r="AC1341" i="1"/>
  <c r="AB1341" i="1"/>
  <c r="AA1341" i="1"/>
  <c r="Z1341" i="1"/>
  <c r="AD1340" i="1"/>
  <c r="AC1340" i="1"/>
  <c r="AB1340" i="1"/>
  <c r="AA1340" i="1"/>
  <c r="Z1340" i="1"/>
  <c r="AD1339" i="1"/>
  <c r="AC1339" i="1"/>
  <c r="AB1339" i="1"/>
  <c r="AA1339" i="1"/>
  <c r="Z1339" i="1"/>
  <c r="AD1338" i="1"/>
  <c r="AC1338" i="1"/>
  <c r="AB1338" i="1"/>
  <c r="AA1338" i="1"/>
  <c r="Z1338" i="1"/>
  <c r="AD1337" i="1"/>
  <c r="AC1337" i="1"/>
  <c r="AB1337" i="1"/>
  <c r="AA1337" i="1"/>
  <c r="Z1337" i="1"/>
  <c r="AD1336" i="1"/>
  <c r="AC1336" i="1"/>
  <c r="AB1336" i="1"/>
  <c r="AA1336" i="1"/>
  <c r="Z1336" i="1"/>
  <c r="AD1335" i="1"/>
  <c r="AC1335" i="1"/>
  <c r="AB1335" i="1"/>
  <c r="AA1335" i="1"/>
  <c r="Z1335" i="1"/>
  <c r="AD1334" i="1"/>
  <c r="AC1334" i="1"/>
  <c r="AB1334" i="1"/>
  <c r="AA1334" i="1"/>
  <c r="Z1334" i="1"/>
  <c r="AD1333" i="1"/>
  <c r="AC1333" i="1"/>
  <c r="AB1333" i="1"/>
  <c r="AA1333" i="1"/>
  <c r="Z1333" i="1"/>
  <c r="AD1332" i="1"/>
  <c r="AC1332" i="1"/>
  <c r="AB1332" i="1"/>
  <c r="AA1332" i="1"/>
  <c r="Z1332" i="1"/>
  <c r="AD1331" i="1"/>
  <c r="AC1331" i="1"/>
  <c r="AB1331" i="1"/>
  <c r="AA1331" i="1"/>
  <c r="Z1331" i="1"/>
  <c r="AD1330" i="1"/>
  <c r="AC1330" i="1"/>
  <c r="AB1330" i="1"/>
  <c r="AA1330" i="1"/>
  <c r="Z1330" i="1"/>
  <c r="AD1329" i="1"/>
  <c r="AC1329" i="1"/>
  <c r="AB1329" i="1"/>
  <c r="AA1329" i="1"/>
  <c r="Z1329" i="1"/>
  <c r="AD1328" i="1"/>
  <c r="AC1328" i="1"/>
  <c r="AB1328" i="1"/>
  <c r="AA1328" i="1"/>
  <c r="Z1328" i="1"/>
  <c r="AD1327" i="1"/>
  <c r="AC1327" i="1"/>
  <c r="AB1327" i="1"/>
  <c r="AA1327" i="1"/>
  <c r="Z1327" i="1"/>
  <c r="AD1326" i="1"/>
  <c r="AC1326" i="1"/>
  <c r="AB1326" i="1"/>
  <c r="AA1326" i="1"/>
  <c r="Z1326" i="1"/>
  <c r="AD1325" i="1"/>
  <c r="AC1325" i="1"/>
  <c r="AB1325" i="1"/>
  <c r="AA1325" i="1"/>
  <c r="Z1325" i="1"/>
  <c r="AD1324" i="1"/>
  <c r="AC1324" i="1"/>
  <c r="AB1324" i="1"/>
  <c r="AA1324" i="1"/>
  <c r="Z1324" i="1"/>
  <c r="AD1323" i="1"/>
  <c r="AC1323" i="1"/>
  <c r="AB1323" i="1"/>
  <c r="AA1323" i="1"/>
  <c r="Z1323" i="1"/>
  <c r="AD1322" i="1"/>
  <c r="AC1322" i="1"/>
  <c r="AB1322" i="1"/>
  <c r="AA1322" i="1"/>
  <c r="Z1322" i="1"/>
  <c r="AD1321" i="1"/>
  <c r="AC1321" i="1"/>
  <c r="AB1321" i="1"/>
  <c r="AA1321" i="1"/>
  <c r="Z1321" i="1"/>
  <c r="AD1320" i="1"/>
  <c r="AC1320" i="1"/>
  <c r="AB1320" i="1"/>
  <c r="AA1320" i="1"/>
  <c r="Z1320" i="1"/>
  <c r="AD1319" i="1"/>
  <c r="AC1319" i="1"/>
  <c r="AB1319" i="1"/>
  <c r="AA1319" i="1"/>
  <c r="Z1319" i="1"/>
  <c r="AD1318" i="1"/>
  <c r="AC1318" i="1"/>
  <c r="AB1318" i="1"/>
  <c r="AA1318" i="1"/>
  <c r="Z1318" i="1"/>
  <c r="AD1317" i="1"/>
  <c r="AC1317" i="1"/>
  <c r="AB1317" i="1"/>
  <c r="AA1317" i="1"/>
  <c r="Z1317" i="1"/>
  <c r="AD1316" i="1"/>
  <c r="AC1316" i="1"/>
  <c r="AB1316" i="1"/>
  <c r="AA1316" i="1"/>
  <c r="Z1316" i="1"/>
  <c r="AD1315" i="1"/>
  <c r="AC1315" i="1"/>
  <c r="AB1315" i="1"/>
  <c r="AA1315" i="1"/>
  <c r="Z1315" i="1"/>
  <c r="AD1314" i="1"/>
  <c r="AC1314" i="1"/>
  <c r="AB1314" i="1"/>
  <c r="AA1314" i="1"/>
  <c r="Z1314" i="1"/>
  <c r="AD1313" i="1"/>
  <c r="AC1313" i="1"/>
  <c r="AB1313" i="1"/>
  <c r="AA1313" i="1"/>
  <c r="Z1313" i="1"/>
  <c r="AD1312" i="1"/>
  <c r="AC1312" i="1"/>
  <c r="AB1312" i="1"/>
  <c r="AA1312" i="1"/>
  <c r="Z1312" i="1"/>
  <c r="AD1311" i="1"/>
  <c r="AC1311" i="1"/>
  <c r="AB1311" i="1"/>
  <c r="AA1311" i="1"/>
  <c r="Z1311" i="1"/>
  <c r="AD1310" i="1"/>
  <c r="AC1310" i="1"/>
  <c r="AB1310" i="1"/>
  <c r="AA1310" i="1"/>
  <c r="Z1310" i="1"/>
  <c r="AD1309" i="1"/>
  <c r="AC1309" i="1"/>
  <c r="AB1309" i="1"/>
  <c r="AA1309" i="1"/>
  <c r="Z1309" i="1"/>
  <c r="AD1308" i="1"/>
  <c r="AC1308" i="1"/>
  <c r="AB1308" i="1"/>
  <c r="AA1308" i="1"/>
  <c r="Z1308" i="1"/>
  <c r="AD1307" i="1"/>
  <c r="AC1307" i="1"/>
  <c r="AB1307" i="1"/>
  <c r="AA1307" i="1"/>
  <c r="Z1307" i="1"/>
  <c r="AD1306" i="1"/>
  <c r="AC1306" i="1"/>
  <c r="AB1306" i="1"/>
  <c r="AA1306" i="1"/>
  <c r="Z1306" i="1"/>
  <c r="AD1305" i="1"/>
  <c r="AC1305" i="1"/>
  <c r="AB1305" i="1"/>
  <c r="AA1305" i="1"/>
  <c r="Z1305" i="1"/>
  <c r="AD1304" i="1"/>
  <c r="AC1304" i="1"/>
  <c r="AB1304" i="1"/>
  <c r="AA1304" i="1"/>
  <c r="Z1304" i="1"/>
  <c r="AD1303" i="1"/>
  <c r="AC1303" i="1"/>
  <c r="AB1303" i="1"/>
  <c r="AA1303" i="1"/>
  <c r="Z1303" i="1"/>
  <c r="AD1302" i="1"/>
  <c r="AC1302" i="1"/>
  <c r="AB1302" i="1"/>
  <c r="AA1302" i="1"/>
  <c r="Z1302" i="1"/>
  <c r="AD1301" i="1"/>
  <c r="AC1301" i="1"/>
  <c r="AB1301" i="1"/>
  <c r="AA1301" i="1"/>
  <c r="Z1301" i="1"/>
  <c r="AD1300" i="1"/>
  <c r="AC1300" i="1"/>
  <c r="AB1300" i="1"/>
  <c r="AA1300" i="1"/>
  <c r="Z1300" i="1"/>
  <c r="AD1299" i="1"/>
  <c r="AC1299" i="1"/>
  <c r="AB1299" i="1"/>
  <c r="AA1299" i="1"/>
  <c r="Z1299" i="1"/>
  <c r="AD1298" i="1"/>
  <c r="AC1298" i="1"/>
  <c r="AB1298" i="1"/>
  <c r="AA1298" i="1"/>
  <c r="Z1298" i="1"/>
  <c r="AD1297" i="1"/>
  <c r="AC1297" i="1"/>
  <c r="AB1297" i="1"/>
  <c r="AA1297" i="1"/>
  <c r="Z1297" i="1"/>
  <c r="AD1296" i="1"/>
  <c r="AC1296" i="1"/>
  <c r="AB1296" i="1"/>
  <c r="AA1296" i="1"/>
  <c r="Z1296" i="1"/>
  <c r="AD1295" i="1"/>
  <c r="AC1295" i="1"/>
  <c r="AB1295" i="1"/>
  <c r="AA1295" i="1"/>
  <c r="Z1295" i="1"/>
  <c r="AD1294" i="1"/>
  <c r="AC1294" i="1"/>
  <c r="AB1294" i="1"/>
  <c r="AA1294" i="1"/>
  <c r="Z1294" i="1"/>
  <c r="AD1293" i="1"/>
  <c r="AC1293" i="1"/>
  <c r="AB1293" i="1"/>
  <c r="AA1293" i="1"/>
  <c r="Z1293" i="1"/>
  <c r="AD1292" i="1"/>
  <c r="AC1292" i="1"/>
  <c r="AB1292" i="1"/>
  <c r="AA1292" i="1"/>
  <c r="Z1292" i="1"/>
  <c r="AD1291" i="1"/>
  <c r="AC1291" i="1"/>
  <c r="AB1291" i="1"/>
  <c r="AA1291" i="1"/>
  <c r="Z1291" i="1"/>
  <c r="AD1290" i="1"/>
  <c r="AC1290" i="1"/>
  <c r="AB1290" i="1"/>
  <c r="AA1290" i="1"/>
  <c r="Z1290" i="1"/>
  <c r="AD1289" i="1"/>
  <c r="AC1289" i="1"/>
  <c r="AB1289" i="1"/>
  <c r="AA1289" i="1"/>
  <c r="Z1289" i="1"/>
  <c r="AD1288" i="1"/>
  <c r="AC1288" i="1"/>
  <c r="AB1288" i="1"/>
  <c r="AA1288" i="1"/>
  <c r="Z1288" i="1"/>
  <c r="AD1287" i="1"/>
  <c r="AC1287" i="1"/>
  <c r="AB1287" i="1"/>
  <c r="AA1287" i="1"/>
  <c r="Z1287" i="1"/>
  <c r="AD1286" i="1"/>
  <c r="AC1286" i="1"/>
  <c r="AB1286" i="1"/>
  <c r="AA1286" i="1"/>
  <c r="Z1286" i="1"/>
  <c r="AD1285" i="1"/>
  <c r="AC1285" i="1"/>
  <c r="AB1285" i="1"/>
  <c r="AA1285" i="1"/>
  <c r="Z1285" i="1"/>
  <c r="AD1284" i="1"/>
  <c r="AC1284" i="1"/>
  <c r="AB1284" i="1"/>
  <c r="AA1284" i="1"/>
  <c r="Z1284" i="1"/>
  <c r="AD1283" i="1"/>
  <c r="AC1283" i="1"/>
  <c r="AB1283" i="1"/>
  <c r="AA1283" i="1"/>
  <c r="Z1283" i="1"/>
  <c r="AD1282" i="1"/>
  <c r="AC1282" i="1"/>
  <c r="AB1282" i="1"/>
  <c r="AA1282" i="1"/>
  <c r="Z1282" i="1"/>
  <c r="AD1281" i="1"/>
  <c r="AC1281" i="1"/>
  <c r="AB1281" i="1"/>
  <c r="AA1281" i="1"/>
  <c r="Z1281" i="1"/>
  <c r="AD1280" i="1"/>
  <c r="AC1280" i="1"/>
  <c r="AB1280" i="1"/>
  <c r="AA1280" i="1"/>
  <c r="Z1280" i="1"/>
  <c r="AD1279" i="1"/>
  <c r="AC1279" i="1"/>
  <c r="AB1279" i="1"/>
  <c r="AA1279" i="1"/>
  <c r="Z1279" i="1"/>
  <c r="AD1278" i="1"/>
  <c r="AC1278" i="1"/>
  <c r="AB1278" i="1"/>
  <c r="AA1278" i="1"/>
  <c r="Z1278" i="1"/>
  <c r="AD1277" i="1"/>
  <c r="AC1277" i="1"/>
  <c r="AB1277" i="1"/>
  <c r="AA1277" i="1"/>
  <c r="Z1277" i="1"/>
  <c r="AD1276" i="1"/>
  <c r="AC1276" i="1"/>
  <c r="AB1276" i="1"/>
  <c r="AA1276" i="1"/>
  <c r="Z1276" i="1"/>
  <c r="AD1275" i="1"/>
  <c r="AC1275" i="1"/>
  <c r="AB1275" i="1"/>
  <c r="AA1275" i="1"/>
  <c r="Z1275" i="1"/>
  <c r="AD1274" i="1"/>
  <c r="AC1274" i="1"/>
  <c r="AB1274" i="1"/>
  <c r="AA1274" i="1"/>
  <c r="Z1274" i="1"/>
  <c r="AD1273" i="1"/>
  <c r="AC1273" i="1"/>
  <c r="AB1273" i="1"/>
  <c r="AA1273" i="1"/>
  <c r="Z1273" i="1"/>
  <c r="AD1272" i="1"/>
  <c r="AC1272" i="1"/>
  <c r="AB1272" i="1"/>
  <c r="AA1272" i="1"/>
  <c r="Z1272" i="1"/>
  <c r="AD1271" i="1"/>
  <c r="AC1271" i="1"/>
  <c r="AB1271" i="1"/>
  <c r="AA1271" i="1"/>
  <c r="Z1271" i="1"/>
  <c r="AD1270" i="1"/>
  <c r="AC1270" i="1"/>
  <c r="AB1270" i="1"/>
  <c r="AA1270" i="1"/>
  <c r="Z1270" i="1"/>
  <c r="AD1269" i="1"/>
  <c r="AC1269" i="1"/>
  <c r="AB1269" i="1"/>
  <c r="AA1269" i="1"/>
  <c r="Z1269" i="1"/>
  <c r="AD1268" i="1"/>
  <c r="AC1268" i="1"/>
  <c r="AB1268" i="1"/>
  <c r="AA1268" i="1"/>
  <c r="Z1268" i="1"/>
  <c r="AD1267" i="1"/>
  <c r="AC1267" i="1"/>
  <c r="AB1267" i="1"/>
  <c r="AA1267" i="1"/>
  <c r="Z1267" i="1"/>
  <c r="AD1266" i="1"/>
  <c r="AC1266" i="1"/>
  <c r="AB1266" i="1"/>
  <c r="AA1266" i="1"/>
  <c r="Z1266" i="1"/>
  <c r="AD1265" i="1"/>
  <c r="AC1265" i="1"/>
  <c r="AB1265" i="1"/>
  <c r="AA1265" i="1"/>
  <c r="Z1265" i="1"/>
  <c r="AD1264" i="1"/>
  <c r="AC1264" i="1"/>
  <c r="AB1264" i="1"/>
  <c r="AA1264" i="1"/>
  <c r="Z1264" i="1"/>
  <c r="AD1263" i="1"/>
  <c r="AC1263" i="1"/>
  <c r="AB1263" i="1"/>
  <c r="AA1263" i="1"/>
  <c r="Z1263" i="1"/>
  <c r="AD1262" i="1"/>
  <c r="AC1262" i="1"/>
  <c r="AB1262" i="1"/>
  <c r="AA1262" i="1"/>
  <c r="Z1262" i="1"/>
  <c r="AD1261" i="1"/>
  <c r="AC1261" i="1"/>
  <c r="AB1261" i="1"/>
  <c r="AA1261" i="1"/>
  <c r="Z1261" i="1"/>
  <c r="AD1260" i="1"/>
  <c r="AC1260" i="1"/>
  <c r="AB1260" i="1"/>
  <c r="AA1260" i="1"/>
  <c r="Z1260" i="1"/>
  <c r="AD1259" i="1"/>
  <c r="AC1259" i="1"/>
  <c r="AB1259" i="1"/>
  <c r="AA1259" i="1"/>
  <c r="Z1259" i="1"/>
  <c r="AD1258" i="1"/>
  <c r="AC1258" i="1"/>
  <c r="AB1258" i="1"/>
  <c r="AA1258" i="1"/>
  <c r="Z1258" i="1"/>
  <c r="AD1257" i="1"/>
  <c r="AC1257" i="1"/>
  <c r="AB1257" i="1"/>
  <c r="AA1257" i="1"/>
  <c r="Z1257" i="1"/>
  <c r="AD1256" i="1"/>
  <c r="AC1256" i="1"/>
  <c r="AB1256" i="1"/>
  <c r="AA1256" i="1"/>
  <c r="Z1256" i="1"/>
  <c r="AD1255" i="1"/>
  <c r="AC1255" i="1"/>
  <c r="AB1255" i="1"/>
  <c r="AA1255" i="1"/>
  <c r="Z1255" i="1"/>
  <c r="AD1254" i="1"/>
  <c r="AC1254" i="1"/>
  <c r="AB1254" i="1"/>
  <c r="AA1254" i="1"/>
  <c r="Z1254" i="1"/>
  <c r="AD1253" i="1"/>
  <c r="AC1253" i="1"/>
  <c r="AB1253" i="1"/>
  <c r="AA1253" i="1"/>
  <c r="Z1253" i="1"/>
  <c r="AD1252" i="1"/>
  <c r="AC1252" i="1"/>
  <c r="AB1252" i="1"/>
  <c r="AA1252" i="1"/>
  <c r="Z1252" i="1"/>
  <c r="AD1251" i="1"/>
  <c r="AC1251" i="1"/>
  <c r="AB1251" i="1"/>
  <c r="AA1251" i="1"/>
  <c r="Z1251" i="1"/>
  <c r="AD1250" i="1"/>
  <c r="AC1250" i="1"/>
  <c r="AB1250" i="1"/>
  <c r="AA1250" i="1"/>
  <c r="Z1250" i="1"/>
  <c r="AD1249" i="1"/>
  <c r="AC1249" i="1"/>
  <c r="AB1249" i="1"/>
  <c r="AA1249" i="1"/>
  <c r="Z1249" i="1"/>
  <c r="AD1248" i="1"/>
  <c r="AC1248" i="1"/>
  <c r="AB1248" i="1"/>
  <c r="AA1248" i="1"/>
  <c r="Z1248" i="1"/>
  <c r="AD1247" i="1"/>
  <c r="AC1247" i="1"/>
  <c r="AB1247" i="1"/>
  <c r="AA1247" i="1"/>
  <c r="Z1247" i="1"/>
  <c r="AD1246" i="1"/>
  <c r="AC1246" i="1"/>
  <c r="AB1246" i="1"/>
  <c r="AA1246" i="1"/>
  <c r="Z1246" i="1"/>
  <c r="AD1245" i="1"/>
  <c r="AC1245" i="1"/>
  <c r="AB1245" i="1"/>
  <c r="AA1245" i="1"/>
  <c r="Z1245" i="1"/>
  <c r="AD1244" i="1"/>
  <c r="AC1244" i="1"/>
  <c r="AB1244" i="1"/>
  <c r="AA1244" i="1"/>
  <c r="Z1244" i="1"/>
  <c r="AD1243" i="1"/>
  <c r="AC1243" i="1"/>
  <c r="AB1243" i="1"/>
  <c r="AA1243" i="1"/>
  <c r="Z1243" i="1"/>
  <c r="AD1242" i="1"/>
  <c r="AC1242" i="1"/>
  <c r="AB1242" i="1"/>
  <c r="AA1242" i="1"/>
  <c r="Z1242" i="1"/>
  <c r="AD1241" i="1"/>
  <c r="AC1241" i="1"/>
  <c r="AB1241" i="1"/>
  <c r="AA1241" i="1"/>
  <c r="Z1241" i="1"/>
  <c r="AD1240" i="1"/>
  <c r="AC1240" i="1"/>
  <c r="AB1240" i="1"/>
  <c r="AA1240" i="1"/>
  <c r="Z1240" i="1"/>
  <c r="AD1239" i="1"/>
  <c r="AC1239" i="1"/>
  <c r="AB1239" i="1"/>
  <c r="AA1239" i="1"/>
  <c r="Z1239" i="1"/>
  <c r="AD1238" i="1"/>
  <c r="AC1238" i="1"/>
  <c r="AB1238" i="1"/>
  <c r="AA1238" i="1"/>
  <c r="Z1238" i="1"/>
  <c r="AD1237" i="1"/>
  <c r="AC1237" i="1"/>
  <c r="AB1237" i="1"/>
  <c r="AA1237" i="1"/>
  <c r="Z1237" i="1"/>
  <c r="AD1236" i="1"/>
  <c r="AC1236" i="1"/>
  <c r="AB1236" i="1"/>
  <c r="AA1236" i="1"/>
  <c r="Z1236" i="1"/>
  <c r="AD1235" i="1"/>
  <c r="AC1235" i="1"/>
  <c r="AB1235" i="1"/>
  <c r="AA1235" i="1"/>
  <c r="Z1235" i="1"/>
  <c r="AD1234" i="1"/>
  <c r="AC1234" i="1"/>
  <c r="AB1234" i="1"/>
  <c r="AA1234" i="1"/>
  <c r="Z1234" i="1"/>
  <c r="AD1233" i="1"/>
  <c r="AC1233" i="1"/>
  <c r="AB1233" i="1"/>
  <c r="AA1233" i="1"/>
  <c r="Z1233" i="1"/>
  <c r="AD1232" i="1"/>
  <c r="AC1232" i="1"/>
  <c r="AB1232" i="1"/>
  <c r="AA1232" i="1"/>
  <c r="Z1232" i="1"/>
  <c r="AD1231" i="1"/>
  <c r="AC1231" i="1"/>
  <c r="AB1231" i="1"/>
  <c r="AA1231" i="1"/>
  <c r="Z1231" i="1"/>
  <c r="AD1230" i="1"/>
  <c r="AC1230" i="1"/>
  <c r="AB1230" i="1"/>
  <c r="AA1230" i="1"/>
  <c r="Z1230" i="1"/>
  <c r="AD1229" i="1"/>
  <c r="AC1229" i="1"/>
  <c r="AB1229" i="1"/>
  <c r="AA1229" i="1"/>
  <c r="Z1229" i="1"/>
  <c r="AD1228" i="1"/>
  <c r="AC1228" i="1"/>
  <c r="AB1228" i="1"/>
  <c r="AA1228" i="1"/>
  <c r="Z1228" i="1"/>
  <c r="AD1227" i="1"/>
  <c r="AC1227" i="1"/>
  <c r="AB1227" i="1"/>
  <c r="AA1227" i="1"/>
  <c r="Z1227" i="1"/>
  <c r="AD1226" i="1"/>
  <c r="AC1226" i="1"/>
  <c r="AB1226" i="1"/>
  <c r="AA1226" i="1"/>
  <c r="Z1226" i="1"/>
  <c r="AD1225" i="1"/>
  <c r="AC1225" i="1"/>
  <c r="AB1225" i="1"/>
  <c r="AA1225" i="1"/>
  <c r="Z1225" i="1"/>
  <c r="AD1224" i="1"/>
  <c r="AC1224" i="1"/>
  <c r="AB1224" i="1"/>
  <c r="AA1224" i="1"/>
  <c r="Z1224" i="1"/>
  <c r="AD1223" i="1"/>
  <c r="AC1223" i="1"/>
  <c r="AB1223" i="1"/>
  <c r="AA1223" i="1"/>
  <c r="Z1223" i="1"/>
  <c r="AD1222" i="1"/>
  <c r="AC1222" i="1"/>
  <c r="AB1222" i="1"/>
  <c r="AA1222" i="1"/>
  <c r="Z1222" i="1"/>
  <c r="AD1221" i="1"/>
  <c r="AC1221" i="1"/>
  <c r="AB1221" i="1"/>
  <c r="AA1221" i="1"/>
  <c r="Z1221" i="1"/>
  <c r="AD1220" i="1"/>
  <c r="AC1220" i="1"/>
  <c r="AB1220" i="1"/>
  <c r="AA1220" i="1"/>
  <c r="Z1220" i="1"/>
  <c r="AD1219" i="1"/>
  <c r="AC1219" i="1"/>
  <c r="AB1219" i="1"/>
  <c r="AA1219" i="1"/>
  <c r="Z1219" i="1"/>
  <c r="AD1218" i="1"/>
  <c r="AC1218" i="1"/>
  <c r="AB1218" i="1"/>
  <c r="AA1218" i="1"/>
  <c r="Z1218" i="1"/>
  <c r="AD1217" i="1"/>
  <c r="AC1217" i="1"/>
  <c r="AB1217" i="1"/>
  <c r="AA1217" i="1"/>
  <c r="Z1217" i="1"/>
  <c r="AD1216" i="1"/>
  <c r="AC1216" i="1"/>
  <c r="AB1216" i="1"/>
  <c r="AA1216" i="1"/>
  <c r="Z1216" i="1"/>
  <c r="AD1215" i="1"/>
  <c r="AC1215" i="1"/>
  <c r="AB1215" i="1"/>
  <c r="AA1215" i="1"/>
  <c r="Z1215" i="1"/>
  <c r="AD1214" i="1"/>
  <c r="AC1214" i="1"/>
  <c r="AB1214" i="1"/>
  <c r="AA1214" i="1"/>
  <c r="Z1214" i="1"/>
  <c r="AD1213" i="1"/>
  <c r="AC1213" i="1"/>
  <c r="AB1213" i="1"/>
  <c r="AA1213" i="1"/>
  <c r="Z1213" i="1"/>
  <c r="AD1212" i="1"/>
  <c r="AC1212" i="1"/>
  <c r="AB1212" i="1"/>
  <c r="AA1212" i="1"/>
  <c r="Z1212" i="1"/>
  <c r="AD1211" i="1"/>
  <c r="AC1211" i="1"/>
  <c r="AB1211" i="1"/>
  <c r="AA1211" i="1"/>
  <c r="Z1211" i="1"/>
  <c r="AD1210" i="1"/>
  <c r="AC1210" i="1"/>
  <c r="AB1210" i="1"/>
  <c r="AA1210" i="1"/>
  <c r="Z1210" i="1"/>
  <c r="AD1209" i="1"/>
  <c r="AC1209" i="1"/>
  <c r="AB1209" i="1"/>
  <c r="AA1209" i="1"/>
  <c r="Z1209" i="1"/>
  <c r="AD1208" i="1"/>
  <c r="AC1208" i="1"/>
  <c r="AB1208" i="1"/>
  <c r="AA1208" i="1"/>
  <c r="Z1208" i="1"/>
  <c r="AD1207" i="1"/>
  <c r="AC1207" i="1"/>
  <c r="AB1207" i="1"/>
  <c r="AA1207" i="1"/>
  <c r="Z1207" i="1"/>
  <c r="AD1206" i="1"/>
  <c r="AC1206" i="1"/>
  <c r="AB1206" i="1"/>
  <c r="AA1206" i="1"/>
  <c r="Z1206" i="1"/>
  <c r="AD1205" i="1"/>
  <c r="AC1205" i="1"/>
  <c r="AB1205" i="1"/>
  <c r="AA1205" i="1"/>
  <c r="Z1205" i="1"/>
  <c r="AD1204" i="1"/>
  <c r="AC1204" i="1"/>
  <c r="AB1204" i="1"/>
  <c r="AA1204" i="1"/>
  <c r="Z1204" i="1"/>
  <c r="AD1203" i="1"/>
  <c r="AC1203" i="1"/>
  <c r="AB1203" i="1"/>
  <c r="AA1203" i="1"/>
  <c r="Z1203" i="1"/>
  <c r="AD1202" i="1"/>
  <c r="AC1202" i="1"/>
  <c r="AB1202" i="1"/>
  <c r="AA1202" i="1"/>
  <c r="Z1202" i="1"/>
  <c r="AD1201" i="1"/>
  <c r="AC1201" i="1"/>
  <c r="AB1201" i="1"/>
  <c r="AA1201" i="1"/>
  <c r="Z1201" i="1"/>
  <c r="AD1200" i="1"/>
  <c r="AC1200" i="1"/>
  <c r="AB1200" i="1"/>
  <c r="AA1200" i="1"/>
  <c r="Z1200" i="1"/>
  <c r="AD1199" i="1"/>
  <c r="AC1199" i="1"/>
  <c r="AB1199" i="1"/>
  <c r="AA1199" i="1"/>
  <c r="Z1199" i="1"/>
  <c r="AD1198" i="1"/>
  <c r="AC1198" i="1"/>
  <c r="AB1198" i="1"/>
  <c r="AA1198" i="1"/>
  <c r="Z1198" i="1"/>
  <c r="AD1197" i="1"/>
  <c r="AC1197" i="1"/>
  <c r="AB1197" i="1"/>
  <c r="AA1197" i="1"/>
  <c r="Z1197" i="1"/>
  <c r="AD1196" i="1"/>
  <c r="AC1196" i="1"/>
  <c r="AB1196" i="1"/>
  <c r="AA1196" i="1"/>
  <c r="Z1196" i="1"/>
  <c r="AD1195" i="1"/>
  <c r="AC1195" i="1"/>
  <c r="AB1195" i="1"/>
  <c r="AA1195" i="1"/>
  <c r="Z1195" i="1"/>
  <c r="AD1194" i="1"/>
  <c r="AC1194" i="1"/>
  <c r="AB1194" i="1"/>
  <c r="AA1194" i="1"/>
  <c r="Z1194" i="1"/>
  <c r="AD1193" i="1"/>
  <c r="AC1193" i="1"/>
  <c r="AB1193" i="1"/>
  <c r="AA1193" i="1"/>
  <c r="Z1193" i="1"/>
  <c r="AD1192" i="1"/>
  <c r="AC1192" i="1"/>
  <c r="AB1192" i="1"/>
  <c r="AA1192" i="1"/>
  <c r="Z1192" i="1"/>
  <c r="AD1191" i="1"/>
  <c r="AC1191" i="1"/>
  <c r="AB1191" i="1"/>
  <c r="AA1191" i="1"/>
  <c r="Z1191" i="1"/>
  <c r="AD1190" i="1"/>
  <c r="AC1190" i="1"/>
  <c r="AB1190" i="1"/>
  <c r="AA1190" i="1"/>
  <c r="Z1190" i="1"/>
  <c r="AD1189" i="1"/>
  <c r="AC1189" i="1"/>
  <c r="AB1189" i="1"/>
  <c r="AA1189" i="1"/>
  <c r="Z1189" i="1"/>
  <c r="AD1188" i="1"/>
  <c r="AC1188" i="1"/>
  <c r="AB1188" i="1"/>
  <c r="AA1188" i="1"/>
  <c r="Z1188" i="1"/>
  <c r="AD1187" i="1"/>
  <c r="AC1187" i="1"/>
  <c r="AB1187" i="1"/>
  <c r="AA1187" i="1"/>
  <c r="Z1187" i="1"/>
  <c r="AD1186" i="1"/>
  <c r="AC1186" i="1"/>
  <c r="AB1186" i="1"/>
  <c r="AA1186" i="1"/>
  <c r="Z1186" i="1"/>
  <c r="AD1185" i="1"/>
  <c r="AC1185" i="1"/>
  <c r="AB1185" i="1"/>
  <c r="AA1185" i="1"/>
  <c r="Z1185" i="1"/>
  <c r="AD1184" i="1"/>
  <c r="AC1184" i="1"/>
  <c r="AB1184" i="1"/>
  <c r="AA1184" i="1"/>
  <c r="Z1184" i="1"/>
  <c r="AD1183" i="1"/>
  <c r="AC1183" i="1"/>
  <c r="AB1183" i="1"/>
  <c r="AA1183" i="1"/>
  <c r="Z1183" i="1"/>
  <c r="AD1182" i="1"/>
  <c r="AC1182" i="1"/>
  <c r="AB1182" i="1"/>
  <c r="AA1182" i="1"/>
  <c r="Z1182" i="1"/>
  <c r="AD1181" i="1"/>
  <c r="AC1181" i="1"/>
  <c r="AB1181" i="1"/>
  <c r="AA1181" i="1"/>
  <c r="Z1181" i="1"/>
  <c r="AD1180" i="1"/>
  <c r="AC1180" i="1"/>
  <c r="AB1180" i="1"/>
  <c r="AA1180" i="1"/>
  <c r="Z1180" i="1"/>
  <c r="AD1179" i="1"/>
  <c r="AC1179" i="1"/>
  <c r="AB1179" i="1"/>
  <c r="AA1179" i="1"/>
  <c r="Z1179" i="1"/>
  <c r="AD1178" i="1"/>
  <c r="AC1178" i="1"/>
  <c r="AB1178" i="1"/>
  <c r="AA1178" i="1"/>
  <c r="Z1178" i="1"/>
  <c r="AD1177" i="1"/>
  <c r="AC1177" i="1"/>
  <c r="AB1177" i="1"/>
  <c r="AA1177" i="1"/>
  <c r="Z1177" i="1"/>
  <c r="AD1176" i="1"/>
  <c r="AC1176" i="1"/>
  <c r="AB1176" i="1"/>
  <c r="AA1176" i="1"/>
  <c r="Z1176" i="1"/>
  <c r="AD1175" i="1"/>
  <c r="AC1175" i="1"/>
  <c r="AB1175" i="1"/>
  <c r="AA1175" i="1"/>
  <c r="Z1175" i="1"/>
  <c r="AD1174" i="1"/>
  <c r="AC1174" i="1"/>
  <c r="AB1174" i="1"/>
  <c r="AA1174" i="1"/>
  <c r="Z1174" i="1"/>
  <c r="AD1173" i="1"/>
  <c r="AC1173" i="1"/>
  <c r="AB1173" i="1"/>
  <c r="AA1173" i="1"/>
  <c r="Z1173" i="1"/>
  <c r="AD1172" i="1"/>
  <c r="AC1172" i="1"/>
  <c r="AB1172" i="1"/>
  <c r="AA1172" i="1"/>
  <c r="Z1172" i="1"/>
  <c r="AD1171" i="1"/>
  <c r="AC1171" i="1"/>
  <c r="AB1171" i="1"/>
  <c r="AA1171" i="1"/>
  <c r="Z1171" i="1"/>
  <c r="AD1170" i="1"/>
  <c r="AC1170" i="1"/>
  <c r="AB1170" i="1"/>
  <c r="AA1170" i="1"/>
  <c r="Z1170" i="1"/>
  <c r="AD1169" i="1"/>
  <c r="AC1169" i="1"/>
  <c r="AB1169" i="1"/>
  <c r="AA1169" i="1"/>
  <c r="Z1169" i="1"/>
  <c r="AD1168" i="1"/>
  <c r="AC1168" i="1"/>
  <c r="AB1168" i="1"/>
  <c r="AA1168" i="1"/>
  <c r="Z1168" i="1"/>
  <c r="AD1167" i="1"/>
  <c r="AC1167" i="1"/>
  <c r="AB1167" i="1"/>
  <c r="AA1167" i="1"/>
  <c r="Z1167" i="1"/>
  <c r="AD1166" i="1"/>
  <c r="AC1166" i="1"/>
  <c r="AB1166" i="1"/>
  <c r="AA1166" i="1"/>
  <c r="Z1166" i="1"/>
  <c r="AD1165" i="1"/>
  <c r="AC1165" i="1"/>
  <c r="AB1165" i="1"/>
  <c r="AA1165" i="1"/>
  <c r="Z1165" i="1"/>
  <c r="AD1164" i="1"/>
  <c r="AC1164" i="1"/>
  <c r="AB1164" i="1"/>
  <c r="AA1164" i="1"/>
  <c r="Z1164" i="1"/>
  <c r="AD1163" i="1"/>
  <c r="AC1163" i="1"/>
  <c r="AB1163" i="1"/>
  <c r="AA1163" i="1"/>
  <c r="Z1163" i="1"/>
  <c r="AD1162" i="1"/>
  <c r="AC1162" i="1"/>
  <c r="AB1162" i="1"/>
  <c r="AA1162" i="1"/>
  <c r="Z1162" i="1"/>
  <c r="AD1161" i="1"/>
  <c r="AC1161" i="1"/>
  <c r="AB1161" i="1"/>
  <c r="AA1161" i="1"/>
  <c r="Z1161" i="1"/>
  <c r="AD1160" i="1"/>
  <c r="AC1160" i="1"/>
  <c r="AB1160" i="1"/>
  <c r="AA1160" i="1"/>
  <c r="Z1160" i="1"/>
  <c r="AD1159" i="1"/>
  <c r="AC1159" i="1"/>
  <c r="AB1159" i="1"/>
  <c r="AA1159" i="1"/>
  <c r="Z1159" i="1"/>
  <c r="AD1158" i="1"/>
  <c r="AC1158" i="1"/>
  <c r="AB1158" i="1"/>
  <c r="AA1158" i="1"/>
  <c r="Z1158" i="1"/>
  <c r="AD1157" i="1"/>
  <c r="AC1157" i="1"/>
  <c r="AB1157" i="1"/>
  <c r="AA1157" i="1"/>
  <c r="Z1157" i="1"/>
  <c r="AD1156" i="1"/>
  <c r="AC1156" i="1"/>
  <c r="AB1156" i="1"/>
  <c r="AA1156" i="1"/>
  <c r="Z1156" i="1"/>
  <c r="AD1155" i="1"/>
  <c r="AC1155" i="1"/>
  <c r="AB1155" i="1"/>
  <c r="AA1155" i="1"/>
  <c r="Z1155" i="1"/>
  <c r="AD1154" i="1"/>
  <c r="AC1154" i="1"/>
  <c r="AB1154" i="1"/>
  <c r="AA1154" i="1"/>
  <c r="Z1154" i="1"/>
  <c r="AD1153" i="1"/>
  <c r="AC1153" i="1"/>
  <c r="AB1153" i="1"/>
  <c r="AA1153" i="1"/>
  <c r="Z1153" i="1"/>
  <c r="AD1152" i="1"/>
  <c r="AC1152" i="1"/>
  <c r="AB1152" i="1"/>
  <c r="AA1152" i="1"/>
  <c r="Z1152" i="1"/>
  <c r="AD1151" i="1"/>
  <c r="AC1151" i="1"/>
  <c r="AB1151" i="1"/>
  <c r="AA1151" i="1"/>
  <c r="Z1151" i="1"/>
  <c r="AD1150" i="1"/>
  <c r="AC1150" i="1"/>
  <c r="AB1150" i="1"/>
  <c r="AA1150" i="1"/>
  <c r="Z1150" i="1"/>
  <c r="AD1149" i="1"/>
  <c r="AC1149" i="1"/>
  <c r="AB1149" i="1"/>
  <c r="AA1149" i="1"/>
  <c r="Z1149" i="1"/>
  <c r="AD1148" i="1"/>
  <c r="AC1148" i="1"/>
  <c r="AB1148" i="1"/>
  <c r="AA1148" i="1"/>
  <c r="Z1148" i="1"/>
  <c r="AD1147" i="1"/>
  <c r="AC1147" i="1"/>
  <c r="AB1147" i="1"/>
  <c r="AA1147" i="1"/>
  <c r="Z1147" i="1"/>
  <c r="AD1146" i="1"/>
  <c r="AC1146" i="1"/>
  <c r="AB1146" i="1"/>
  <c r="AA1146" i="1"/>
  <c r="Z1146" i="1"/>
  <c r="AD1145" i="1"/>
  <c r="AC1145" i="1"/>
  <c r="AB1145" i="1"/>
  <c r="AA1145" i="1"/>
  <c r="Z1145" i="1"/>
  <c r="AD1144" i="1"/>
  <c r="AC1144" i="1"/>
  <c r="AB1144" i="1"/>
  <c r="AA1144" i="1"/>
  <c r="Z1144" i="1"/>
  <c r="AD1143" i="1"/>
  <c r="AC1143" i="1"/>
  <c r="AB1143" i="1"/>
  <c r="AA1143" i="1"/>
  <c r="Z1143" i="1"/>
  <c r="AD1142" i="1"/>
  <c r="AC1142" i="1"/>
  <c r="AB1142" i="1"/>
  <c r="AA1142" i="1"/>
  <c r="Z1142" i="1"/>
  <c r="AD1141" i="1"/>
  <c r="AC1141" i="1"/>
  <c r="AB1141" i="1"/>
  <c r="AA1141" i="1"/>
  <c r="Z1141" i="1"/>
  <c r="AD1140" i="1"/>
  <c r="AC1140" i="1"/>
  <c r="AB1140" i="1"/>
  <c r="AA1140" i="1"/>
  <c r="Z1140" i="1"/>
  <c r="AD1139" i="1"/>
  <c r="AC1139" i="1"/>
  <c r="AB1139" i="1"/>
  <c r="AA1139" i="1"/>
  <c r="Z1139" i="1"/>
  <c r="AD1138" i="1"/>
  <c r="AC1138" i="1"/>
  <c r="AB1138" i="1"/>
  <c r="AA1138" i="1"/>
  <c r="Z1138" i="1"/>
  <c r="AD1137" i="1"/>
  <c r="AC1137" i="1"/>
  <c r="AB1137" i="1"/>
  <c r="AA1137" i="1"/>
  <c r="Z1137" i="1"/>
  <c r="AD1136" i="1"/>
  <c r="AC1136" i="1"/>
  <c r="AB1136" i="1"/>
  <c r="AA1136" i="1"/>
  <c r="Z1136" i="1"/>
  <c r="AD1135" i="1"/>
  <c r="AC1135" i="1"/>
  <c r="AB1135" i="1"/>
  <c r="AA1135" i="1"/>
  <c r="Z1135" i="1"/>
  <c r="AD1134" i="1"/>
  <c r="AC1134" i="1"/>
  <c r="AB1134" i="1"/>
  <c r="AA1134" i="1"/>
  <c r="Z1134" i="1"/>
  <c r="AD1133" i="1"/>
  <c r="AC1133" i="1"/>
  <c r="AB1133" i="1"/>
  <c r="AA1133" i="1"/>
  <c r="Z1133" i="1"/>
  <c r="AD1132" i="1"/>
  <c r="AC1132" i="1"/>
  <c r="AB1132" i="1"/>
  <c r="AA1132" i="1"/>
  <c r="Z1132" i="1"/>
  <c r="AD1131" i="1"/>
  <c r="AC1131" i="1"/>
  <c r="AB1131" i="1"/>
  <c r="AA1131" i="1"/>
  <c r="Z1131" i="1"/>
  <c r="AD1130" i="1"/>
  <c r="AC1130" i="1"/>
  <c r="AB1130" i="1"/>
  <c r="AA1130" i="1"/>
  <c r="Z1130" i="1"/>
  <c r="AD1129" i="1"/>
  <c r="AC1129" i="1"/>
  <c r="AB1129" i="1"/>
  <c r="AA1129" i="1"/>
  <c r="Z1129" i="1"/>
  <c r="AD1128" i="1"/>
  <c r="AC1128" i="1"/>
  <c r="AB1128" i="1"/>
  <c r="AA1128" i="1"/>
  <c r="Z1128" i="1"/>
  <c r="AD1127" i="1"/>
  <c r="AC1127" i="1"/>
  <c r="AB1127" i="1"/>
  <c r="AA1127" i="1"/>
  <c r="Z1127" i="1"/>
  <c r="AD1126" i="1"/>
  <c r="AC1126" i="1"/>
  <c r="AB1126" i="1"/>
  <c r="AA1126" i="1"/>
  <c r="Z1126" i="1"/>
  <c r="AD1125" i="1"/>
  <c r="AC1125" i="1"/>
  <c r="AB1125" i="1"/>
  <c r="AA1125" i="1"/>
  <c r="Z1125" i="1"/>
  <c r="AD1124" i="1"/>
  <c r="AC1124" i="1"/>
  <c r="AB1124" i="1"/>
  <c r="AA1124" i="1"/>
  <c r="Z1124" i="1"/>
  <c r="AD1123" i="1"/>
  <c r="AC1123" i="1"/>
  <c r="AB1123" i="1"/>
  <c r="AA1123" i="1"/>
  <c r="Z1123" i="1"/>
  <c r="AD1122" i="1"/>
  <c r="AC1122" i="1"/>
  <c r="AB1122" i="1"/>
  <c r="AA1122" i="1"/>
  <c r="Z1122" i="1"/>
  <c r="AD1121" i="1"/>
  <c r="AC1121" i="1"/>
  <c r="AB1121" i="1"/>
  <c r="AA1121" i="1"/>
  <c r="Z1121" i="1"/>
  <c r="AD1120" i="1"/>
  <c r="AC1120" i="1"/>
  <c r="AB1120" i="1"/>
  <c r="AA1120" i="1"/>
  <c r="Z1120" i="1"/>
  <c r="AD1119" i="1"/>
  <c r="AC1119" i="1"/>
  <c r="AB1119" i="1"/>
  <c r="AA1119" i="1"/>
  <c r="Z1119" i="1"/>
  <c r="AD1118" i="1"/>
  <c r="AC1118" i="1"/>
  <c r="AB1118" i="1"/>
  <c r="AA1118" i="1"/>
  <c r="Z1118" i="1"/>
  <c r="AD1117" i="1"/>
  <c r="AC1117" i="1"/>
  <c r="AB1117" i="1"/>
  <c r="AA1117" i="1"/>
  <c r="Z1117" i="1"/>
  <c r="AD1116" i="1"/>
  <c r="AC1116" i="1"/>
  <c r="AB1116" i="1"/>
  <c r="AA1116" i="1"/>
  <c r="Z1116" i="1"/>
  <c r="AD1115" i="1"/>
  <c r="AC1115" i="1"/>
  <c r="AB1115" i="1"/>
  <c r="AA1115" i="1"/>
  <c r="Z1115" i="1"/>
  <c r="AD1114" i="1"/>
  <c r="AC1114" i="1"/>
  <c r="AB1114" i="1"/>
  <c r="AA1114" i="1"/>
  <c r="Z1114" i="1"/>
  <c r="AD1113" i="1"/>
  <c r="AC1113" i="1"/>
  <c r="AB1113" i="1"/>
  <c r="AA1113" i="1"/>
  <c r="Z1113" i="1"/>
  <c r="AD1112" i="1"/>
  <c r="AC1112" i="1"/>
  <c r="AB1112" i="1"/>
  <c r="AA1112" i="1"/>
  <c r="Z1112" i="1"/>
  <c r="AD1111" i="1"/>
  <c r="AC1111" i="1"/>
  <c r="AB1111" i="1"/>
  <c r="AA1111" i="1"/>
  <c r="Z1111" i="1"/>
  <c r="AD1110" i="1"/>
  <c r="AC1110" i="1"/>
  <c r="AB1110" i="1"/>
  <c r="AA1110" i="1"/>
  <c r="Z1110" i="1"/>
  <c r="AD1109" i="1"/>
  <c r="AC1109" i="1"/>
  <c r="AB1109" i="1"/>
  <c r="AA1109" i="1"/>
  <c r="Z1109" i="1"/>
  <c r="AD1108" i="1"/>
  <c r="AC1108" i="1"/>
  <c r="AB1108" i="1"/>
  <c r="AA1108" i="1"/>
  <c r="Z1108" i="1"/>
  <c r="AD1107" i="1"/>
  <c r="AC1107" i="1"/>
  <c r="AB1107" i="1"/>
  <c r="AA1107" i="1"/>
  <c r="Z1107" i="1"/>
  <c r="AD1106" i="1"/>
  <c r="AC1106" i="1"/>
  <c r="AB1106" i="1"/>
  <c r="AA1106" i="1"/>
  <c r="Z1106" i="1"/>
  <c r="AD1105" i="1"/>
  <c r="AC1105" i="1"/>
  <c r="AB1105" i="1"/>
  <c r="AA1105" i="1"/>
  <c r="Z1105" i="1"/>
  <c r="AD1104" i="1"/>
  <c r="AC1104" i="1"/>
  <c r="AB1104" i="1"/>
  <c r="AA1104" i="1"/>
  <c r="Z1104" i="1"/>
  <c r="AD1103" i="1"/>
  <c r="AC1103" i="1"/>
  <c r="AB1103" i="1"/>
  <c r="AA1103" i="1"/>
  <c r="Z1103" i="1"/>
  <c r="AD1102" i="1"/>
  <c r="AC1102" i="1"/>
  <c r="AB1102" i="1"/>
  <c r="AA1102" i="1"/>
  <c r="Z1102" i="1"/>
  <c r="AD1101" i="1"/>
  <c r="AC1101" i="1"/>
  <c r="AB1101" i="1"/>
  <c r="AA1101" i="1"/>
  <c r="Z1101" i="1"/>
  <c r="AD1100" i="1"/>
  <c r="AC1100" i="1"/>
  <c r="AB1100" i="1"/>
  <c r="AA1100" i="1"/>
  <c r="Z1100" i="1"/>
  <c r="AD1099" i="1"/>
  <c r="AC1099" i="1"/>
  <c r="AB1099" i="1"/>
  <c r="AA1099" i="1"/>
  <c r="Z1099" i="1"/>
  <c r="AD1098" i="1"/>
  <c r="AC1098" i="1"/>
  <c r="AB1098" i="1"/>
  <c r="AA1098" i="1"/>
  <c r="Z1098" i="1"/>
  <c r="AD1097" i="1"/>
  <c r="AC1097" i="1"/>
  <c r="AB1097" i="1"/>
  <c r="AA1097" i="1"/>
  <c r="Z1097" i="1"/>
  <c r="AD1096" i="1"/>
  <c r="AC1096" i="1"/>
  <c r="AB1096" i="1"/>
  <c r="AA1096" i="1"/>
  <c r="Z1096" i="1"/>
  <c r="AD1095" i="1"/>
  <c r="AC1095" i="1"/>
  <c r="AB1095" i="1"/>
  <c r="AA1095" i="1"/>
  <c r="Z1095" i="1"/>
  <c r="AD1094" i="1"/>
  <c r="AC1094" i="1"/>
  <c r="AB1094" i="1"/>
  <c r="AA1094" i="1"/>
  <c r="Z1094" i="1"/>
  <c r="AD1093" i="1"/>
  <c r="AC1093" i="1"/>
  <c r="AB1093" i="1"/>
  <c r="AA1093" i="1"/>
  <c r="Z1093" i="1"/>
  <c r="AD1092" i="1"/>
  <c r="AC1092" i="1"/>
  <c r="AB1092" i="1"/>
  <c r="AA1092" i="1"/>
  <c r="Z1092" i="1"/>
  <c r="AD1091" i="1"/>
  <c r="AC1091" i="1"/>
  <c r="AB1091" i="1"/>
  <c r="AA1091" i="1"/>
  <c r="Z1091" i="1"/>
  <c r="AD1090" i="1"/>
  <c r="AC1090" i="1"/>
  <c r="AB1090" i="1"/>
  <c r="AA1090" i="1"/>
  <c r="Z1090" i="1"/>
  <c r="AD1089" i="1"/>
  <c r="AC1089" i="1"/>
  <c r="AB1089" i="1"/>
  <c r="AA1089" i="1"/>
  <c r="Z1089" i="1"/>
  <c r="AD1088" i="1"/>
  <c r="AC1088" i="1"/>
  <c r="AB1088" i="1"/>
  <c r="AA1088" i="1"/>
  <c r="Z1088" i="1"/>
  <c r="AD1087" i="1"/>
  <c r="AC1087" i="1"/>
  <c r="AB1087" i="1"/>
  <c r="AA1087" i="1"/>
  <c r="Z1087" i="1"/>
  <c r="AD1086" i="1"/>
  <c r="AC1086" i="1"/>
  <c r="AB1086" i="1"/>
  <c r="AA1086" i="1"/>
  <c r="Z1086" i="1"/>
  <c r="AD1085" i="1"/>
  <c r="AC1085" i="1"/>
  <c r="AB1085" i="1"/>
  <c r="AA1085" i="1"/>
  <c r="Z1085" i="1"/>
  <c r="AD1084" i="1"/>
  <c r="AC1084" i="1"/>
  <c r="AB1084" i="1"/>
  <c r="AA1084" i="1"/>
  <c r="Z1084" i="1"/>
  <c r="AD1083" i="1"/>
  <c r="AC1083" i="1"/>
  <c r="AB1083" i="1"/>
  <c r="AA1083" i="1"/>
  <c r="Z1083" i="1"/>
  <c r="AD1082" i="1"/>
  <c r="AC1082" i="1"/>
  <c r="AB1082" i="1"/>
  <c r="AA1082" i="1"/>
  <c r="Z1082" i="1"/>
  <c r="AD1081" i="1"/>
  <c r="AC1081" i="1"/>
  <c r="AB1081" i="1"/>
  <c r="AA1081" i="1"/>
  <c r="Z1081" i="1"/>
  <c r="AD1080" i="1"/>
  <c r="AC1080" i="1"/>
  <c r="AB1080" i="1"/>
  <c r="AA1080" i="1"/>
  <c r="Z1080" i="1"/>
  <c r="AD1079" i="1"/>
  <c r="AC1079" i="1"/>
  <c r="AB1079" i="1"/>
  <c r="AA1079" i="1"/>
  <c r="Z1079" i="1"/>
  <c r="AD1078" i="1"/>
  <c r="AC1078" i="1"/>
  <c r="AB1078" i="1"/>
  <c r="AA1078" i="1"/>
  <c r="Z1078" i="1"/>
  <c r="AD1077" i="1"/>
  <c r="AC1077" i="1"/>
  <c r="AB1077" i="1"/>
  <c r="AA1077" i="1"/>
  <c r="Z1077" i="1"/>
  <c r="AD1076" i="1"/>
  <c r="AC1076" i="1"/>
  <c r="AB1076" i="1"/>
  <c r="AA1076" i="1"/>
  <c r="Z1076" i="1"/>
  <c r="AD1075" i="1"/>
  <c r="AC1075" i="1"/>
  <c r="AB1075" i="1"/>
  <c r="AA1075" i="1"/>
  <c r="Z1075" i="1"/>
  <c r="AD1074" i="1"/>
  <c r="AC1074" i="1"/>
  <c r="AB1074" i="1"/>
  <c r="AA1074" i="1"/>
  <c r="Z1074" i="1"/>
  <c r="AD1073" i="1"/>
  <c r="AC1073" i="1"/>
  <c r="AB1073" i="1"/>
  <c r="AA1073" i="1"/>
  <c r="Z1073" i="1"/>
  <c r="AD1072" i="1"/>
  <c r="AC1072" i="1"/>
  <c r="AB1072" i="1"/>
  <c r="AA1072" i="1"/>
  <c r="Z1072" i="1"/>
  <c r="AD1071" i="1"/>
  <c r="AC1071" i="1"/>
  <c r="AB1071" i="1"/>
  <c r="AA1071" i="1"/>
  <c r="Z1071" i="1"/>
  <c r="AD1070" i="1"/>
  <c r="AC1070" i="1"/>
  <c r="AB1070" i="1"/>
  <c r="AA1070" i="1"/>
  <c r="Z1070" i="1"/>
  <c r="AD1069" i="1"/>
  <c r="AC1069" i="1"/>
  <c r="AB1069" i="1"/>
  <c r="AA1069" i="1"/>
  <c r="Z1069" i="1"/>
  <c r="AD1068" i="1"/>
  <c r="AC1068" i="1"/>
  <c r="AB1068" i="1"/>
  <c r="AA1068" i="1"/>
  <c r="Z1068" i="1"/>
  <c r="AD1067" i="1"/>
  <c r="AC1067" i="1"/>
  <c r="AB1067" i="1"/>
  <c r="AA1067" i="1"/>
  <c r="Z1067" i="1"/>
  <c r="AD1066" i="1"/>
  <c r="AC1066" i="1"/>
  <c r="AB1066" i="1"/>
  <c r="AA1066" i="1"/>
  <c r="Z1066" i="1"/>
  <c r="AD1065" i="1"/>
  <c r="AC1065" i="1"/>
  <c r="AB1065" i="1"/>
  <c r="AA1065" i="1"/>
  <c r="Z1065" i="1"/>
  <c r="AD1064" i="1"/>
  <c r="AC1064" i="1"/>
  <c r="AB1064" i="1"/>
  <c r="AA1064" i="1"/>
  <c r="Z1064" i="1"/>
  <c r="AD1063" i="1"/>
  <c r="AC1063" i="1"/>
  <c r="AB1063" i="1"/>
  <c r="AA1063" i="1"/>
  <c r="Z1063" i="1"/>
  <c r="AD1062" i="1"/>
  <c r="AC1062" i="1"/>
  <c r="AB1062" i="1"/>
  <c r="AA1062" i="1"/>
  <c r="Z1062" i="1"/>
  <c r="AD1061" i="1"/>
  <c r="AC1061" i="1"/>
  <c r="AB1061" i="1"/>
  <c r="AA1061" i="1"/>
  <c r="Z1061" i="1"/>
  <c r="AD1060" i="1"/>
  <c r="AC1060" i="1"/>
  <c r="AB1060" i="1"/>
  <c r="AA1060" i="1"/>
  <c r="Z1060" i="1"/>
  <c r="AD1059" i="1"/>
  <c r="AC1059" i="1"/>
  <c r="AB1059" i="1"/>
  <c r="AA1059" i="1"/>
  <c r="Z1059" i="1"/>
  <c r="AD1058" i="1"/>
  <c r="AC1058" i="1"/>
  <c r="AB1058" i="1"/>
  <c r="AA1058" i="1"/>
  <c r="Z1058" i="1"/>
  <c r="AD1057" i="1"/>
  <c r="AC1057" i="1"/>
  <c r="AB1057" i="1"/>
  <c r="AA1057" i="1"/>
  <c r="Z1057" i="1"/>
  <c r="AD1056" i="1"/>
  <c r="AC1056" i="1"/>
  <c r="AB1056" i="1"/>
  <c r="AA1056" i="1"/>
  <c r="Z1056" i="1"/>
  <c r="AD1055" i="1"/>
  <c r="AC1055" i="1"/>
  <c r="AB1055" i="1"/>
  <c r="AA1055" i="1"/>
  <c r="Z1055" i="1"/>
  <c r="AD1054" i="1"/>
  <c r="AC1054" i="1"/>
  <c r="AB1054" i="1"/>
  <c r="AA1054" i="1"/>
  <c r="Z1054" i="1"/>
  <c r="AD1053" i="1"/>
  <c r="AC1053" i="1"/>
  <c r="AB1053" i="1"/>
  <c r="AA1053" i="1"/>
  <c r="Z1053" i="1"/>
  <c r="AD1052" i="1"/>
  <c r="AC1052" i="1"/>
  <c r="AB1052" i="1"/>
  <c r="AA1052" i="1"/>
  <c r="Z1052" i="1"/>
  <c r="AD1051" i="1"/>
  <c r="AC1051" i="1"/>
  <c r="AB1051" i="1"/>
  <c r="AA1051" i="1"/>
  <c r="Z1051" i="1"/>
  <c r="AD1050" i="1"/>
  <c r="AC1050" i="1"/>
  <c r="AB1050" i="1"/>
  <c r="AA1050" i="1"/>
  <c r="Z1050" i="1"/>
  <c r="AD1049" i="1"/>
  <c r="AC1049" i="1"/>
  <c r="AB1049" i="1"/>
  <c r="AA1049" i="1"/>
  <c r="Z1049" i="1"/>
  <c r="AD1048" i="1"/>
  <c r="AC1048" i="1"/>
  <c r="AB1048" i="1"/>
  <c r="AA1048" i="1"/>
  <c r="Z1048" i="1"/>
  <c r="AD1047" i="1"/>
  <c r="AC1047" i="1"/>
  <c r="AB1047" i="1"/>
  <c r="AA1047" i="1"/>
  <c r="Z1047" i="1"/>
  <c r="AD1046" i="1"/>
  <c r="AC1046" i="1"/>
  <c r="AB1046" i="1"/>
  <c r="AA1046" i="1"/>
  <c r="Z1046" i="1"/>
  <c r="AD1045" i="1"/>
  <c r="AC1045" i="1"/>
  <c r="AB1045" i="1"/>
  <c r="AA1045" i="1"/>
  <c r="Z1045" i="1"/>
  <c r="AD1044" i="1"/>
  <c r="AC1044" i="1"/>
  <c r="AB1044" i="1"/>
  <c r="AA1044" i="1"/>
  <c r="Z1044" i="1"/>
  <c r="AD1043" i="1"/>
  <c r="AC1043" i="1"/>
  <c r="AB1043" i="1"/>
  <c r="AA1043" i="1"/>
  <c r="Z1043" i="1"/>
  <c r="AD1042" i="1"/>
  <c r="AC1042" i="1"/>
  <c r="AB1042" i="1"/>
  <c r="AA1042" i="1"/>
  <c r="Z1042" i="1"/>
  <c r="AD1041" i="1"/>
  <c r="AC1041" i="1"/>
  <c r="AB1041" i="1"/>
  <c r="AA1041" i="1"/>
  <c r="Z1041" i="1"/>
  <c r="AD1040" i="1"/>
  <c r="AC1040" i="1"/>
  <c r="AB1040" i="1"/>
  <c r="AA1040" i="1"/>
  <c r="Z1040" i="1"/>
  <c r="AD1039" i="1"/>
  <c r="AC1039" i="1"/>
  <c r="AB1039" i="1"/>
  <c r="AA1039" i="1"/>
  <c r="Z1039" i="1"/>
  <c r="AD1038" i="1"/>
  <c r="AC1038" i="1"/>
  <c r="AB1038" i="1"/>
  <c r="AA1038" i="1"/>
  <c r="Z1038" i="1"/>
  <c r="AD1037" i="1"/>
  <c r="AC1037" i="1"/>
  <c r="AB1037" i="1"/>
  <c r="AA1037" i="1"/>
  <c r="Z1037" i="1"/>
  <c r="AD1036" i="1"/>
  <c r="AC1036" i="1"/>
  <c r="AB1036" i="1"/>
  <c r="AA1036" i="1"/>
  <c r="Z1036" i="1"/>
  <c r="AD1035" i="1"/>
  <c r="AC1035" i="1"/>
  <c r="AB1035" i="1"/>
  <c r="AA1035" i="1"/>
  <c r="Z1035" i="1"/>
  <c r="AD1034" i="1"/>
  <c r="AC1034" i="1"/>
  <c r="AB1034" i="1"/>
  <c r="AA1034" i="1"/>
  <c r="Z1034" i="1"/>
  <c r="AD1033" i="1"/>
  <c r="AC1033" i="1"/>
  <c r="AB1033" i="1"/>
  <c r="AA1033" i="1"/>
  <c r="Z1033" i="1"/>
  <c r="AD1032" i="1"/>
  <c r="AC1032" i="1"/>
  <c r="AB1032" i="1"/>
  <c r="AA1032" i="1"/>
  <c r="Z1032" i="1"/>
  <c r="AD1031" i="1"/>
  <c r="AC1031" i="1"/>
  <c r="AB1031" i="1"/>
  <c r="AA1031" i="1"/>
  <c r="Z1031" i="1"/>
  <c r="AD1030" i="1"/>
  <c r="AC1030" i="1"/>
  <c r="AB1030" i="1"/>
  <c r="AA1030" i="1"/>
  <c r="Z1030" i="1"/>
  <c r="AD1029" i="1"/>
  <c r="AC1029" i="1"/>
  <c r="AB1029" i="1"/>
  <c r="AA1029" i="1"/>
  <c r="Z1029" i="1"/>
  <c r="AD1028" i="1"/>
  <c r="AC1028" i="1"/>
  <c r="AB1028" i="1"/>
  <c r="AA1028" i="1"/>
  <c r="Z1028" i="1"/>
  <c r="AD1027" i="1"/>
  <c r="AC1027" i="1"/>
  <c r="AB1027" i="1"/>
  <c r="AA1027" i="1"/>
  <c r="Z1027" i="1"/>
  <c r="AD1026" i="1"/>
  <c r="AC1026" i="1"/>
  <c r="AB1026" i="1"/>
  <c r="AA1026" i="1"/>
  <c r="Z1026" i="1"/>
  <c r="AD1025" i="1"/>
  <c r="AC1025" i="1"/>
  <c r="AB1025" i="1"/>
  <c r="AA1025" i="1"/>
  <c r="Z1025" i="1"/>
  <c r="AD1024" i="1"/>
  <c r="AC1024" i="1"/>
  <c r="AB1024" i="1"/>
  <c r="AA1024" i="1"/>
  <c r="Z1024" i="1"/>
  <c r="AD1023" i="1"/>
  <c r="AC1023" i="1"/>
  <c r="AB1023" i="1"/>
  <c r="AA1023" i="1"/>
  <c r="Z1023" i="1"/>
  <c r="AD1022" i="1"/>
  <c r="AC1022" i="1"/>
  <c r="AB1022" i="1"/>
  <c r="AA1022" i="1"/>
  <c r="Z1022" i="1"/>
  <c r="AD1021" i="1"/>
  <c r="AC1021" i="1"/>
  <c r="AB1021" i="1"/>
  <c r="AA1021" i="1"/>
  <c r="Z1021" i="1"/>
  <c r="AD1020" i="1"/>
  <c r="AC1020" i="1"/>
  <c r="AB1020" i="1"/>
  <c r="AA1020" i="1"/>
  <c r="Z1020" i="1"/>
  <c r="AD1019" i="1"/>
  <c r="AC1019" i="1"/>
  <c r="AB1019" i="1"/>
  <c r="AA1019" i="1"/>
  <c r="Z1019" i="1"/>
  <c r="AD1018" i="1"/>
  <c r="AC1018" i="1"/>
  <c r="AB1018" i="1"/>
  <c r="AA1018" i="1"/>
  <c r="Z1018" i="1"/>
  <c r="AD1017" i="1"/>
  <c r="AC1017" i="1"/>
  <c r="AB1017" i="1"/>
  <c r="AA1017" i="1"/>
  <c r="Z1017" i="1"/>
  <c r="AD1016" i="1"/>
  <c r="AC1016" i="1"/>
  <c r="AB1016" i="1"/>
  <c r="AA1016" i="1"/>
  <c r="Z1016" i="1"/>
  <c r="AD1015" i="1"/>
  <c r="AC1015" i="1"/>
  <c r="AB1015" i="1"/>
  <c r="AA1015" i="1"/>
  <c r="Z1015" i="1"/>
  <c r="AD1014" i="1"/>
  <c r="AC1014" i="1"/>
  <c r="AB1014" i="1"/>
  <c r="AA1014" i="1"/>
  <c r="Z1014" i="1"/>
  <c r="AD1013" i="1"/>
  <c r="AC1013" i="1"/>
  <c r="AB1013" i="1"/>
  <c r="AA1013" i="1"/>
  <c r="Z1013" i="1"/>
  <c r="AD1012" i="1"/>
  <c r="AC1012" i="1"/>
  <c r="AB1012" i="1"/>
  <c r="AA1012" i="1"/>
  <c r="Z1012" i="1"/>
  <c r="AD1011" i="1"/>
  <c r="AC1011" i="1"/>
  <c r="AB1011" i="1"/>
  <c r="AA1011" i="1"/>
  <c r="Z1011" i="1"/>
  <c r="AD1010" i="1"/>
  <c r="AC1010" i="1"/>
  <c r="AB1010" i="1"/>
  <c r="AA1010" i="1"/>
  <c r="Z1010" i="1"/>
  <c r="AD1009" i="1"/>
  <c r="AC1009" i="1"/>
  <c r="AB1009" i="1"/>
  <c r="AA1009" i="1"/>
  <c r="Z1009" i="1"/>
  <c r="AD1008" i="1"/>
  <c r="AC1008" i="1"/>
  <c r="AB1008" i="1"/>
  <c r="AA1008" i="1"/>
  <c r="Z1008" i="1"/>
  <c r="AD1007" i="1"/>
  <c r="AC1007" i="1"/>
  <c r="AB1007" i="1"/>
  <c r="AA1007" i="1"/>
  <c r="Z1007" i="1"/>
  <c r="AD1006" i="1"/>
  <c r="AC1006" i="1"/>
  <c r="AB1006" i="1"/>
  <c r="AA1006" i="1"/>
  <c r="Z1006" i="1"/>
  <c r="AD1005" i="1"/>
  <c r="AC1005" i="1"/>
  <c r="AB1005" i="1"/>
  <c r="AA1005" i="1"/>
  <c r="Z1005" i="1"/>
  <c r="AD1004" i="1"/>
  <c r="AC1004" i="1"/>
  <c r="AB1004" i="1"/>
  <c r="AA1004" i="1"/>
  <c r="Z1004" i="1"/>
  <c r="AD1003" i="1"/>
  <c r="AC1003" i="1"/>
  <c r="AB1003" i="1"/>
  <c r="AA1003" i="1"/>
  <c r="Z1003" i="1"/>
  <c r="AD1002" i="1"/>
  <c r="AC1002" i="1"/>
  <c r="AB1002" i="1"/>
  <c r="AA1002" i="1"/>
  <c r="Z1002" i="1"/>
  <c r="AD1001" i="1"/>
  <c r="AC1001" i="1"/>
  <c r="AB1001" i="1"/>
  <c r="AA1001" i="1"/>
  <c r="Z1001" i="1"/>
  <c r="AD1000" i="1"/>
  <c r="AC1000" i="1"/>
  <c r="AB1000" i="1"/>
  <c r="AA1000" i="1"/>
  <c r="Z1000" i="1"/>
  <c r="AD999" i="1"/>
  <c r="AC999" i="1"/>
  <c r="AB999" i="1"/>
  <c r="AA999" i="1"/>
  <c r="Z999" i="1"/>
  <c r="AD998" i="1"/>
  <c r="AC998" i="1"/>
  <c r="AB998" i="1"/>
  <c r="AA998" i="1"/>
  <c r="Z998" i="1"/>
  <c r="AD997" i="1"/>
  <c r="AC997" i="1"/>
  <c r="AB997" i="1"/>
  <c r="AA997" i="1"/>
  <c r="Z997" i="1"/>
  <c r="AD996" i="1"/>
  <c r="AC996" i="1"/>
  <c r="AB996" i="1"/>
  <c r="AA996" i="1"/>
  <c r="Z996" i="1"/>
  <c r="AD995" i="1"/>
  <c r="AC995" i="1"/>
  <c r="AB995" i="1"/>
  <c r="AA995" i="1"/>
  <c r="Z995" i="1"/>
  <c r="AD994" i="1"/>
  <c r="AC994" i="1"/>
  <c r="AB994" i="1"/>
  <c r="AA994" i="1"/>
  <c r="Z994" i="1"/>
  <c r="AD993" i="1"/>
  <c r="AC993" i="1"/>
  <c r="AB993" i="1"/>
  <c r="AA993" i="1"/>
  <c r="Z993" i="1"/>
  <c r="AD992" i="1"/>
  <c r="AC992" i="1"/>
  <c r="AB992" i="1"/>
  <c r="AA992" i="1"/>
  <c r="Z992" i="1"/>
  <c r="AD991" i="1"/>
  <c r="AC991" i="1"/>
  <c r="AB991" i="1"/>
  <c r="AA991" i="1"/>
  <c r="Z991" i="1"/>
  <c r="AD990" i="1"/>
  <c r="AC990" i="1"/>
  <c r="AB990" i="1"/>
  <c r="AA990" i="1"/>
  <c r="Z990" i="1"/>
  <c r="AD989" i="1"/>
  <c r="AC989" i="1"/>
  <c r="AB989" i="1"/>
  <c r="AA989" i="1"/>
  <c r="Z989" i="1"/>
  <c r="AD988" i="1"/>
  <c r="AC988" i="1"/>
  <c r="AB988" i="1"/>
  <c r="AA988" i="1"/>
  <c r="Z988" i="1"/>
  <c r="AD987" i="1"/>
  <c r="AC987" i="1"/>
  <c r="AB987" i="1"/>
  <c r="AA987" i="1"/>
  <c r="Z987" i="1"/>
  <c r="AD986" i="1"/>
  <c r="AC986" i="1"/>
  <c r="AB986" i="1"/>
  <c r="AA986" i="1"/>
  <c r="Z986" i="1"/>
  <c r="AD985" i="1"/>
  <c r="AC985" i="1"/>
  <c r="AB985" i="1"/>
  <c r="AA985" i="1"/>
  <c r="Z985" i="1"/>
  <c r="AD984" i="1"/>
  <c r="AC984" i="1"/>
  <c r="AB984" i="1"/>
  <c r="AA984" i="1"/>
  <c r="Z984" i="1"/>
  <c r="AD983" i="1"/>
  <c r="AC983" i="1"/>
  <c r="AB983" i="1"/>
  <c r="AA983" i="1"/>
  <c r="Z983" i="1"/>
  <c r="AD982" i="1"/>
  <c r="AC982" i="1"/>
  <c r="AB982" i="1"/>
  <c r="AA982" i="1"/>
  <c r="Z982" i="1"/>
  <c r="AD981" i="1"/>
  <c r="AC981" i="1"/>
  <c r="AB981" i="1"/>
  <c r="AA981" i="1"/>
  <c r="Z981" i="1"/>
  <c r="AD980" i="1"/>
  <c r="AC980" i="1"/>
  <c r="AB980" i="1"/>
  <c r="AA980" i="1"/>
  <c r="Z980" i="1"/>
  <c r="AD979" i="1"/>
  <c r="AC979" i="1"/>
  <c r="AB979" i="1"/>
  <c r="AA979" i="1"/>
  <c r="Z979" i="1"/>
  <c r="AD978" i="1"/>
  <c r="AC978" i="1"/>
  <c r="AB978" i="1"/>
  <c r="AA978" i="1"/>
  <c r="Z978" i="1"/>
  <c r="AD977" i="1"/>
  <c r="AC977" i="1"/>
  <c r="AB977" i="1"/>
  <c r="AA977" i="1"/>
  <c r="Z977" i="1"/>
  <c r="AD976" i="1"/>
  <c r="AC976" i="1"/>
  <c r="AB976" i="1"/>
  <c r="AA976" i="1"/>
  <c r="Z976" i="1"/>
  <c r="AD975" i="1"/>
  <c r="AC975" i="1"/>
  <c r="AB975" i="1"/>
  <c r="AA975" i="1"/>
  <c r="Z975" i="1"/>
  <c r="AD974" i="1"/>
  <c r="AC974" i="1"/>
  <c r="AB974" i="1"/>
  <c r="AA974" i="1"/>
  <c r="Z974" i="1"/>
  <c r="AD973" i="1"/>
  <c r="AC973" i="1"/>
  <c r="AB973" i="1"/>
  <c r="AA973" i="1"/>
  <c r="Z973" i="1"/>
  <c r="AD972" i="1"/>
  <c r="AC972" i="1"/>
  <c r="AB972" i="1"/>
  <c r="AA972" i="1"/>
  <c r="Z972" i="1"/>
  <c r="AD971" i="1"/>
  <c r="AC971" i="1"/>
  <c r="AB971" i="1"/>
  <c r="AA971" i="1"/>
  <c r="Z971" i="1"/>
  <c r="AD970" i="1"/>
  <c r="AC970" i="1"/>
  <c r="AB970" i="1"/>
  <c r="AA970" i="1"/>
  <c r="Z970" i="1"/>
  <c r="AD969" i="1"/>
  <c r="AC969" i="1"/>
  <c r="AB969" i="1"/>
  <c r="AA969" i="1"/>
  <c r="Z969" i="1"/>
  <c r="AD968" i="1"/>
  <c r="AC968" i="1"/>
  <c r="AB968" i="1"/>
  <c r="AA968" i="1"/>
  <c r="Z968" i="1"/>
  <c r="AD967" i="1"/>
  <c r="AC967" i="1"/>
  <c r="AB967" i="1"/>
  <c r="AA967" i="1"/>
  <c r="Z967" i="1"/>
  <c r="AD966" i="1"/>
  <c r="AC966" i="1"/>
  <c r="AB966" i="1"/>
  <c r="AA966" i="1"/>
  <c r="Z966" i="1"/>
  <c r="AD965" i="1"/>
  <c r="AC965" i="1"/>
  <c r="AB965" i="1"/>
  <c r="AA965" i="1"/>
  <c r="Z965" i="1"/>
  <c r="AD964" i="1"/>
  <c r="AC964" i="1"/>
  <c r="AB964" i="1"/>
  <c r="AA964" i="1"/>
  <c r="Z964" i="1"/>
  <c r="AD963" i="1"/>
  <c r="AC963" i="1"/>
  <c r="AB963" i="1"/>
  <c r="AA963" i="1"/>
  <c r="Z963" i="1"/>
  <c r="AD962" i="1"/>
  <c r="AC962" i="1"/>
  <c r="AB962" i="1"/>
  <c r="AA962" i="1"/>
  <c r="Z962" i="1"/>
  <c r="AD961" i="1"/>
  <c r="AC961" i="1"/>
  <c r="AB961" i="1"/>
  <c r="AA961" i="1"/>
  <c r="Z961" i="1"/>
  <c r="AD960" i="1"/>
  <c r="AC960" i="1"/>
  <c r="AB960" i="1"/>
  <c r="AA960" i="1"/>
  <c r="Z960" i="1"/>
  <c r="AD959" i="1"/>
  <c r="AC959" i="1"/>
  <c r="AB959" i="1"/>
  <c r="AA959" i="1"/>
  <c r="Z959" i="1"/>
  <c r="AD958" i="1"/>
  <c r="AC958" i="1"/>
  <c r="AB958" i="1"/>
  <c r="AA958" i="1"/>
  <c r="Z958" i="1"/>
  <c r="AD957" i="1"/>
  <c r="AC957" i="1"/>
  <c r="AB957" i="1"/>
  <c r="AA957" i="1"/>
  <c r="Z957" i="1"/>
  <c r="AD956" i="1"/>
  <c r="AC956" i="1"/>
  <c r="AB956" i="1"/>
  <c r="AA956" i="1"/>
  <c r="Z956" i="1"/>
  <c r="AD955" i="1"/>
  <c r="AC955" i="1"/>
  <c r="AB955" i="1"/>
  <c r="AA955" i="1"/>
  <c r="Z955" i="1"/>
  <c r="AD954" i="1"/>
  <c r="AC954" i="1"/>
  <c r="AB954" i="1"/>
  <c r="AA954" i="1"/>
  <c r="Z954" i="1"/>
  <c r="AD953" i="1"/>
  <c r="AC953" i="1"/>
  <c r="AB953" i="1"/>
  <c r="AA953" i="1"/>
  <c r="Z953" i="1"/>
  <c r="AD952" i="1"/>
  <c r="AC952" i="1"/>
  <c r="AB952" i="1"/>
  <c r="AA952" i="1"/>
  <c r="Z952" i="1"/>
  <c r="AD951" i="1"/>
  <c r="AC951" i="1"/>
  <c r="AB951" i="1"/>
  <c r="AA951" i="1"/>
  <c r="Z951" i="1"/>
  <c r="AD950" i="1"/>
  <c r="AC950" i="1"/>
  <c r="AB950" i="1"/>
  <c r="AA950" i="1"/>
  <c r="Z950" i="1"/>
  <c r="AD949" i="1"/>
  <c r="AC949" i="1"/>
  <c r="AB949" i="1"/>
  <c r="AA949" i="1"/>
  <c r="Z949" i="1"/>
  <c r="AD948" i="1"/>
  <c r="AC948" i="1"/>
  <c r="AB948" i="1"/>
  <c r="AA948" i="1"/>
  <c r="Z948" i="1"/>
  <c r="AD947" i="1"/>
  <c r="AC947" i="1"/>
  <c r="AB947" i="1"/>
  <c r="AA947" i="1"/>
  <c r="Z947" i="1"/>
  <c r="AD946" i="1"/>
  <c r="AC946" i="1"/>
  <c r="AB946" i="1"/>
  <c r="AA946" i="1"/>
  <c r="Z946" i="1"/>
  <c r="AD945" i="1"/>
  <c r="AC945" i="1"/>
  <c r="AB945" i="1"/>
  <c r="AA945" i="1"/>
  <c r="Z945" i="1"/>
  <c r="AD944" i="1"/>
  <c r="AC944" i="1"/>
  <c r="AB944" i="1"/>
  <c r="AA944" i="1"/>
  <c r="Z944" i="1"/>
  <c r="AD943" i="1"/>
  <c r="AC943" i="1"/>
  <c r="AB943" i="1"/>
  <c r="AA943" i="1"/>
  <c r="Z943" i="1"/>
  <c r="AD942" i="1"/>
  <c r="AC942" i="1"/>
  <c r="AB942" i="1"/>
  <c r="AA942" i="1"/>
  <c r="Z942" i="1"/>
  <c r="AD941" i="1"/>
  <c r="AC941" i="1"/>
  <c r="AB941" i="1"/>
  <c r="AA941" i="1"/>
  <c r="Z941" i="1"/>
  <c r="AD940" i="1"/>
  <c r="AC940" i="1"/>
  <c r="AB940" i="1"/>
  <c r="AA940" i="1"/>
  <c r="Z940" i="1"/>
  <c r="AD939" i="1"/>
  <c r="AC939" i="1"/>
  <c r="AB939" i="1"/>
  <c r="AA939" i="1"/>
  <c r="Z939" i="1"/>
  <c r="AD938" i="1"/>
  <c r="AC938" i="1"/>
  <c r="AB938" i="1"/>
  <c r="AA938" i="1"/>
  <c r="Z938" i="1"/>
  <c r="AD937" i="1"/>
  <c r="AC937" i="1"/>
  <c r="AB937" i="1"/>
  <c r="AA937" i="1"/>
  <c r="Z937" i="1"/>
  <c r="AD936" i="1"/>
  <c r="AC936" i="1"/>
  <c r="AB936" i="1"/>
  <c r="AA936" i="1"/>
  <c r="Z936" i="1"/>
  <c r="AD935" i="1"/>
  <c r="AC935" i="1"/>
  <c r="AB935" i="1"/>
  <c r="AA935" i="1"/>
  <c r="Z935" i="1"/>
  <c r="AD934" i="1"/>
  <c r="AC934" i="1"/>
  <c r="AB934" i="1"/>
  <c r="AA934" i="1"/>
  <c r="Z934" i="1"/>
  <c r="AD933" i="1"/>
  <c r="AC933" i="1"/>
  <c r="AB933" i="1"/>
  <c r="AA933" i="1"/>
  <c r="Z933" i="1"/>
  <c r="AD932" i="1"/>
  <c r="AC932" i="1"/>
  <c r="AB932" i="1"/>
  <c r="AA932" i="1"/>
  <c r="Z932" i="1"/>
  <c r="AD931" i="1"/>
  <c r="AC931" i="1"/>
  <c r="AB931" i="1"/>
  <c r="AA931" i="1"/>
  <c r="Z931" i="1"/>
  <c r="AD930" i="1"/>
  <c r="AC930" i="1"/>
  <c r="AB930" i="1"/>
  <c r="AA930" i="1"/>
  <c r="Z930" i="1"/>
  <c r="AD929" i="1"/>
  <c r="AC929" i="1"/>
  <c r="AB929" i="1"/>
  <c r="AA929" i="1"/>
  <c r="Z929" i="1"/>
  <c r="AD928" i="1"/>
  <c r="AC928" i="1"/>
  <c r="AB928" i="1"/>
  <c r="AA928" i="1"/>
  <c r="Z928" i="1"/>
  <c r="AD927" i="1"/>
  <c r="AC927" i="1"/>
  <c r="AB927" i="1"/>
  <c r="AA927" i="1"/>
  <c r="Z927" i="1"/>
  <c r="AD926" i="1"/>
  <c r="AC926" i="1"/>
  <c r="AB926" i="1"/>
  <c r="AA926" i="1"/>
  <c r="Z926" i="1"/>
  <c r="AD925" i="1"/>
  <c r="AC925" i="1"/>
  <c r="AB925" i="1"/>
  <c r="AA925" i="1"/>
  <c r="Z925" i="1"/>
  <c r="AD924" i="1"/>
  <c r="AC924" i="1"/>
  <c r="AB924" i="1"/>
  <c r="AA924" i="1"/>
  <c r="Z924" i="1"/>
  <c r="AD923" i="1"/>
  <c r="AC923" i="1"/>
  <c r="AB923" i="1"/>
  <c r="AA923" i="1"/>
  <c r="Z923" i="1"/>
  <c r="AD922" i="1"/>
  <c r="AC922" i="1"/>
  <c r="AB922" i="1"/>
  <c r="AA922" i="1"/>
  <c r="Z922" i="1"/>
  <c r="AD921" i="1"/>
  <c r="AC921" i="1"/>
  <c r="AB921" i="1"/>
  <c r="AA921" i="1"/>
  <c r="Z921" i="1"/>
  <c r="AD920" i="1"/>
  <c r="AC920" i="1"/>
  <c r="AB920" i="1"/>
  <c r="AA920" i="1"/>
  <c r="Z920" i="1"/>
  <c r="AD919" i="1"/>
  <c r="AC919" i="1"/>
  <c r="AB919" i="1"/>
  <c r="AA919" i="1"/>
  <c r="Z919" i="1"/>
  <c r="AD918" i="1"/>
  <c r="AC918" i="1"/>
  <c r="AB918" i="1"/>
  <c r="AA918" i="1"/>
  <c r="Z918" i="1"/>
  <c r="AD917" i="1"/>
  <c r="AC917" i="1"/>
  <c r="AB917" i="1"/>
  <c r="AA917" i="1"/>
  <c r="Z917" i="1"/>
  <c r="AD916" i="1"/>
  <c r="AC916" i="1"/>
  <c r="AB916" i="1"/>
  <c r="AA916" i="1"/>
  <c r="Z916" i="1"/>
  <c r="AD915" i="1"/>
  <c r="AC915" i="1"/>
  <c r="AB915" i="1"/>
  <c r="AA915" i="1"/>
  <c r="Z915" i="1"/>
  <c r="AD914" i="1"/>
  <c r="AC914" i="1"/>
  <c r="AB914" i="1"/>
  <c r="AA914" i="1"/>
  <c r="Z914" i="1"/>
  <c r="AD913" i="1"/>
  <c r="AC913" i="1"/>
  <c r="AB913" i="1"/>
  <c r="AA913" i="1"/>
  <c r="Z913" i="1"/>
  <c r="AD912" i="1"/>
  <c r="AC912" i="1"/>
  <c r="AB912" i="1"/>
  <c r="AA912" i="1"/>
  <c r="Z912" i="1"/>
  <c r="AD911" i="1"/>
  <c r="AC911" i="1"/>
  <c r="AB911" i="1"/>
  <c r="AA911" i="1"/>
  <c r="Z911" i="1"/>
  <c r="AD910" i="1"/>
  <c r="AC910" i="1"/>
  <c r="AB910" i="1"/>
  <c r="AA910" i="1"/>
  <c r="Z910" i="1"/>
  <c r="AD909" i="1"/>
  <c r="AC909" i="1"/>
  <c r="AB909" i="1"/>
  <c r="AA909" i="1"/>
  <c r="Z909" i="1"/>
  <c r="AD908" i="1"/>
  <c r="AC908" i="1"/>
  <c r="AB908" i="1"/>
  <c r="AA908" i="1"/>
  <c r="Z908" i="1"/>
  <c r="AD907" i="1"/>
  <c r="AC907" i="1"/>
  <c r="AB907" i="1"/>
  <c r="AA907" i="1"/>
  <c r="Z907" i="1"/>
  <c r="AD906" i="1"/>
  <c r="AC906" i="1"/>
  <c r="AB906" i="1"/>
  <c r="AA906" i="1"/>
  <c r="Z906" i="1"/>
  <c r="AD905" i="1"/>
  <c r="AC905" i="1"/>
  <c r="AB905" i="1"/>
  <c r="AA905" i="1"/>
  <c r="Z905" i="1"/>
  <c r="AD904" i="1"/>
  <c r="AC904" i="1"/>
  <c r="AB904" i="1"/>
  <c r="AA904" i="1"/>
  <c r="Z904" i="1"/>
  <c r="AD903" i="1"/>
  <c r="AC903" i="1"/>
  <c r="AB903" i="1"/>
  <c r="AA903" i="1"/>
  <c r="Z903" i="1"/>
  <c r="AD902" i="1"/>
  <c r="AC902" i="1"/>
  <c r="AB902" i="1"/>
  <c r="AA902" i="1"/>
  <c r="Z902" i="1"/>
  <c r="AD901" i="1"/>
  <c r="AC901" i="1"/>
  <c r="AB901" i="1"/>
  <c r="AA901" i="1"/>
  <c r="Z901" i="1"/>
  <c r="AD900" i="1"/>
  <c r="AC900" i="1"/>
  <c r="AB900" i="1"/>
  <c r="AA900" i="1"/>
  <c r="Z900" i="1"/>
  <c r="AD899" i="1"/>
  <c r="AC899" i="1"/>
  <c r="AB899" i="1"/>
  <c r="AA899" i="1"/>
  <c r="Z899" i="1"/>
  <c r="AD898" i="1"/>
  <c r="AC898" i="1"/>
  <c r="AB898" i="1"/>
  <c r="AA898" i="1"/>
  <c r="Z898" i="1"/>
  <c r="AD897" i="1"/>
  <c r="AC897" i="1"/>
  <c r="AB897" i="1"/>
  <c r="AA897" i="1"/>
  <c r="Z897" i="1"/>
  <c r="AD896" i="1"/>
  <c r="AC896" i="1"/>
  <c r="AB896" i="1"/>
  <c r="AA896" i="1"/>
  <c r="Z896" i="1"/>
  <c r="AD895" i="1"/>
  <c r="AC895" i="1"/>
  <c r="AB895" i="1"/>
  <c r="AA895" i="1"/>
  <c r="Z895" i="1"/>
  <c r="AD894" i="1"/>
  <c r="AC894" i="1"/>
  <c r="AB894" i="1"/>
  <c r="AA894" i="1"/>
  <c r="Z894" i="1"/>
  <c r="AD893" i="1"/>
  <c r="AC893" i="1"/>
  <c r="AB893" i="1"/>
  <c r="AA893" i="1"/>
  <c r="Z893" i="1"/>
  <c r="AD892" i="1"/>
  <c r="AC892" i="1"/>
  <c r="AB892" i="1"/>
  <c r="AA892" i="1"/>
  <c r="Z892" i="1"/>
  <c r="AD891" i="1"/>
  <c r="AC891" i="1"/>
  <c r="AB891" i="1"/>
  <c r="AA891" i="1"/>
  <c r="Z891" i="1"/>
  <c r="AD890" i="1"/>
  <c r="AC890" i="1"/>
  <c r="AB890" i="1"/>
  <c r="AA890" i="1"/>
  <c r="Z890" i="1"/>
  <c r="AD889" i="1"/>
  <c r="AC889" i="1"/>
  <c r="AB889" i="1"/>
  <c r="AA889" i="1"/>
  <c r="Z889" i="1"/>
  <c r="AD888" i="1"/>
  <c r="AC888" i="1"/>
  <c r="AB888" i="1"/>
  <c r="AA888" i="1"/>
  <c r="Z888" i="1"/>
  <c r="AD887" i="1"/>
  <c r="AC887" i="1"/>
  <c r="AB887" i="1"/>
  <c r="AA887" i="1"/>
  <c r="Z887" i="1"/>
  <c r="AD886" i="1"/>
  <c r="AC886" i="1"/>
  <c r="AB886" i="1"/>
  <c r="AA886" i="1"/>
  <c r="Z886" i="1"/>
  <c r="AD885" i="1"/>
  <c r="AC885" i="1"/>
  <c r="AB885" i="1"/>
  <c r="AA885" i="1"/>
  <c r="Z885" i="1"/>
  <c r="AD884" i="1"/>
  <c r="AC884" i="1"/>
  <c r="AB884" i="1"/>
  <c r="AA884" i="1"/>
  <c r="Z884" i="1"/>
  <c r="AD883" i="1"/>
  <c r="AC883" i="1"/>
  <c r="AB883" i="1"/>
  <c r="AA883" i="1"/>
  <c r="Z883" i="1"/>
  <c r="AD882" i="1"/>
  <c r="AC882" i="1"/>
  <c r="AB882" i="1"/>
  <c r="AA882" i="1"/>
  <c r="Z882" i="1"/>
  <c r="AD881" i="1"/>
  <c r="AC881" i="1"/>
  <c r="AB881" i="1"/>
  <c r="AA881" i="1"/>
  <c r="Z881" i="1"/>
  <c r="AD880" i="1"/>
  <c r="AC880" i="1"/>
  <c r="AB880" i="1"/>
  <c r="AA880" i="1"/>
  <c r="Z880" i="1"/>
  <c r="AD879" i="1"/>
  <c r="AC879" i="1"/>
  <c r="AB879" i="1"/>
  <c r="AA879" i="1"/>
  <c r="Z879" i="1"/>
  <c r="AD878" i="1"/>
  <c r="AC878" i="1"/>
  <c r="AB878" i="1"/>
  <c r="AA878" i="1"/>
  <c r="Z878" i="1"/>
  <c r="AD877" i="1"/>
  <c r="AC877" i="1"/>
  <c r="AB877" i="1"/>
  <c r="AA877" i="1"/>
  <c r="Z877" i="1"/>
  <c r="AD876" i="1"/>
  <c r="AC876" i="1"/>
  <c r="AB876" i="1"/>
  <c r="AA876" i="1"/>
  <c r="Z876" i="1"/>
  <c r="AD875" i="1"/>
  <c r="AC875" i="1"/>
  <c r="AB875" i="1"/>
  <c r="AA875" i="1"/>
  <c r="Z875" i="1"/>
  <c r="AD874" i="1"/>
  <c r="AC874" i="1"/>
  <c r="AB874" i="1"/>
  <c r="AA874" i="1"/>
  <c r="Z874" i="1"/>
  <c r="AD873" i="1"/>
  <c r="AC873" i="1"/>
  <c r="AB873" i="1"/>
  <c r="AA873" i="1"/>
  <c r="Z873" i="1"/>
  <c r="AD872" i="1"/>
  <c r="AC872" i="1"/>
  <c r="AB872" i="1"/>
  <c r="AA872" i="1"/>
  <c r="Z872" i="1"/>
  <c r="AD871" i="1"/>
  <c r="AC871" i="1"/>
  <c r="AB871" i="1"/>
  <c r="AA871" i="1"/>
  <c r="Z871" i="1"/>
  <c r="AD870" i="1"/>
  <c r="AC870" i="1"/>
  <c r="AB870" i="1"/>
  <c r="AA870" i="1"/>
  <c r="Z870" i="1"/>
  <c r="AD869" i="1"/>
  <c r="AC869" i="1"/>
  <c r="AB869" i="1"/>
  <c r="AA869" i="1"/>
  <c r="Z869" i="1"/>
  <c r="AD868" i="1"/>
  <c r="AC868" i="1"/>
  <c r="AB868" i="1"/>
  <c r="AA868" i="1"/>
  <c r="Z868" i="1"/>
  <c r="AD867" i="1"/>
  <c r="AC867" i="1"/>
  <c r="AB867" i="1"/>
  <c r="AA867" i="1"/>
  <c r="Z867" i="1"/>
  <c r="AD866" i="1"/>
  <c r="AC866" i="1"/>
  <c r="AB866" i="1"/>
  <c r="AA866" i="1"/>
  <c r="Z866" i="1"/>
  <c r="AD865" i="1"/>
  <c r="AC865" i="1"/>
  <c r="AB865" i="1"/>
  <c r="AA865" i="1"/>
  <c r="Z865" i="1"/>
  <c r="AD864" i="1"/>
  <c r="AC864" i="1"/>
  <c r="AB864" i="1"/>
  <c r="AA864" i="1"/>
  <c r="Z864" i="1"/>
  <c r="AD863" i="1"/>
  <c r="AC863" i="1"/>
  <c r="AB863" i="1"/>
  <c r="AA863" i="1"/>
  <c r="Z863" i="1"/>
  <c r="AD862" i="1"/>
  <c r="AC862" i="1"/>
  <c r="AB862" i="1"/>
  <c r="AA862" i="1"/>
  <c r="Z862" i="1"/>
  <c r="AD861" i="1"/>
  <c r="AC861" i="1"/>
  <c r="AB861" i="1"/>
  <c r="AA861" i="1"/>
  <c r="Z861" i="1"/>
  <c r="AD860" i="1"/>
  <c r="AC860" i="1"/>
  <c r="AB860" i="1"/>
  <c r="AA860" i="1"/>
  <c r="Z860" i="1"/>
  <c r="AD859" i="1"/>
  <c r="AC859" i="1"/>
  <c r="AB859" i="1"/>
  <c r="AA859" i="1"/>
  <c r="Z859" i="1"/>
  <c r="AD858" i="1"/>
  <c r="AC858" i="1"/>
  <c r="AB858" i="1"/>
  <c r="AA858" i="1"/>
  <c r="Z858" i="1"/>
  <c r="AD857" i="1"/>
  <c r="AC857" i="1"/>
  <c r="AB857" i="1"/>
  <c r="AA857" i="1"/>
  <c r="Z857" i="1"/>
  <c r="AD856" i="1"/>
  <c r="AC856" i="1"/>
  <c r="AB856" i="1"/>
  <c r="AA856" i="1"/>
  <c r="Z856" i="1"/>
  <c r="AD855" i="1"/>
  <c r="AC855" i="1"/>
  <c r="AB855" i="1"/>
  <c r="AA855" i="1"/>
  <c r="Z855" i="1"/>
  <c r="AD854" i="1"/>
  <c r="AC854" i="1"/>
  <c r="AB854" i="1"/>
  <c r="AA854" i="1"/>
  <c r="Z854" i="1"/>
  <c r="AD853" i="1"/>
  <c r="AC853" i="1"/>
  <c r="AB853" i="1"/>
  <c r="AA853" i="1"/>
  <c r="Z853" i="1"/>
  <c r="AD852" i="1"/>
  <c r="AC852" i="1"/>
  <c r="AB852" i="1"/>
  <c r="AA852" i="1"/>
  <c r="Z852" i="1"/>
  <c r="AD851" i="1"/>
  <c r="AC851" i="1"/>
  <c r="AB851" i="1"/>
  <c r="AA851" i="1"/>
  <c r="Z851" i="1"/>
  <c r="AD850" i="1"/>
  <c r="AC850" i="1"/>
  <c r="AB850" i="1"/>
  <c r="AA850" i="1"/>
  <c r="Z850" i="1"/>
  <c r="AD849" i="1"/>
  <c r="AC849" i="1"/>
  <c r="AB849" i="1"/>
  <c r="AA849" i="1"/>
  <c r="Z849" i="1"/>
  <c r="AD848" i="1"/>
  <c r="AC848" i="1"/>
  <c r="AB848" i="1"/>
  <c r="AA848" i="1"/>
  <c r="Z848" i="1"/>
  <c r="AD847" i="1"/>
  <c r="AC847" i="1"/>
  <c r="AB847" i="1"/>
  <c r="AA847" i="1"/>
  <c r="Z847" i="1"/>
  <c r="AD846" i="1"/>
  <c r="AC846" i="1"/>
  <c r="AB846" i="1"/>
  <c r="AA846" i="1"/>
  <c r="Z846" i="1"/>
  <c r="AD845" i="1"/>
  <c r="AC845" i="1"/>
  <c r="AB845" i="1"/>
  <c r="AA845" i="1"/>
  <c r="Z845" i="1"/>
  <c r="AD844" i="1"/>
  <c r="AC844" i="1"/>
  <c r="AB844" i="1"/>
  <c r="AA844" i="1"/>
  <c r="Z844" i="1"/>
  <c r="AD843" i="1"/>
  <c r="AC843" i="1"/>
  <c r="AB843" i="1"/>
  <c r="AA843" i="1"/>
  <c r="Z843" i="1"/>
  <c r="AD842" i="1"/>
  <c r="AC842" i="1"/>
  <c r="AB842" i="1"/>
  <c r="AA842" i="1"/>
  <c r="Z842" i="1"/>
  <c r="AD841" i="1"/>
  <c r="AC841" i="1"/>
  <c r="AB841" i="1"/>
  <c r="AA841" i="1"/>
  <c r="Z841" i="1"/>
  <c r="AD840" i="1"/>
  <c r="AC840" i="1"/>
  <c r="AB840" i="1"/>
  <c r="AA840" i="1"/>
  <c r="Z840" i="1"/>
  <c r="AD839" i="1"/>
  <c r="AC839" i="1"/>
  <c r="AB839" i="1"/>
  <c r="AA839" i="1"/>
  <c r="Z839" i="1"/>
  <c r="AD838" i="1"/>
  <c r="AC838" i="1"/>
  <c r="AB838" i="1"/>
  <c r="AA838" i="1"/>
  <c r="Z838" i="1"/>
  <c r="AD837" i="1"/>
  <c r="AC837" i="1"/>
  <c r="AB837" i="1"/>
  <c r="AA837" i="1"/>
  <c r="Z837" i="1"/>
  <c r="AD836" i="1"/>
  <c r="AC836" i="1"/>
  <c r="AB836" i="1"/>
  <c r="AA836" i="1"/>
  <c r="Z836" i="1"/>
  <c r="AD835" i="1"/>
  <c r="AC835" i="1"/>
  <c r="AB835" i="1"/>
  <c r="AA835" i="1"/>
  <c r="Z835" i="1"/>
  <c r="AD834" i="1"/>
  <c r="AC834" i="1"/>
  <c r="AB834" i="1"/>
  <c r="AA834" i="1"/>
  <c r="Z834" i="1"/>
  <c r="AD833" i="1"/>
  <c r="AC833" i="1"/>
  <c r="AB833" i="1"/>
  <c r="AA833" i="1"/>
  <c r="Z833" i="1"/>
  <c r="AD832" i="1"/>
  <c r="AC832" i="1"/>
  <c r="AB832" i="1"/>
  <c r="AA832" i="1"/>
  <c r="Z832" i="1"/>
  <c r="AD831" i="1"/>
  <c r="AC831" i="1"/>
  <c r="AB831" i="1"/>
  <c r="AA831" i="1"/>
  <c r="Z831" i="1"/>
  <c r="AD830" i="1"/>
  <c r="AC830" i="1"/>
  <c r="AB830" i="1"/>
  <c r="AA830" i="1"/>
  <c r="Z830" i="1"/>
  <c r="AD829" i="1"/>
  <c r="AC829" i="1"/>
  <c r="AB829" i="1"/>
  <c r="AA829" i="1"/>
  <c r="Z829" i="1"/>
  <c r="AD828" i="1"/>
  <c r="AC828" i="1"/>
  <c r="AB828" i="1"/>
  <c r="AA828" i="1"/>
  <c r="Z828" i="1"/>
  <c r="AD827" i="1"/>
  <c r="AC827" i="1"/>
  <c r="AB827" i="1"/>
  <c r="AA827" i="1"/>
  <c r="Z827" i="1"/>
  <c r="AD826" i="1"/>
  <c r="AC826" i="1"/>
  <c r="AB826" i="1"/>
  <c r="AA826" i="1"/>
  <c r="Z826" i="1"/>
  <c r="AD825" i="1"/>
  <c r="AC825" i="1"/>
  <c r="AB825" i="1"/>
  <c r="AA825" i="1"/>
  <c r="Z825" i="1"/>
  <c r="AD824" i="1"/>
  <c r="AC824" i="1"/>
  <c r="AB824" i="1"/>
  <c r="AA824" i="1"/>
  <c r="Z824" i="1"/>
  <c r="AD823" i="1"/>
  <c r="AC823" i="1"/>
  <c r="AB823" i="1"/>
  <c r="AA823" i="1"/>
  <c r="Z823" i="1"/>
  <c r="AD822" i="1"/>
  <c r="AC822" i="1"/>
  <c r="AB822" i="1"/>
  <c r="AA822" i="1"/>
  <c r="Z822" i="1"/>
  <c r="AD821" i="1"/>
  <c r="AC821" i="1"/>
  <c r="AB821" i="1"/>
  <c r="AA821" i="1"/>
  <c r="Z821" i="1"/>
  <c r="AD820" i="1"/>
  <c r="AC820" i="1"/>
  <c r="AB820" i="1"/>
  <c r="AA820" i="1"/>
  <c r="Z820" i="1"/>
  <c r="AD819" i="1"/>
  <c r="AC819" i="1"/>
  <c r="AB819" i="1"/>
  <c r="AA819" i="1"/>
  <c r="Z819" i="1"/>
  <c r="AD818" i="1"/>
  <c r="AC818" i="1"/>
  <c r="AB818" i="1"/>
  <c r="AA818" i="1"/>
  <c r="Z818" i="1"/>
  <c r="AD817" i="1"/>
  <c r="AC817" i="1"/>
  <c r="AB817" i="1"/>
  <c r="AA817" i="1"/>
  <c r="Z817" i="1"/>
  <c r="AD816" i="1"/>
  <c r="AC816" i="1"/>
  <c r="AB816" i="1"/>
  <c r="AA816" i="1"/>
  <c r="Z816" i="1"/>
  <c r="AD815" i="1"/>
  <c r="AC815" i="1"/>
  <c r="AB815" i="1"/>
  <c r="AA815" i="1"/>
  <c r="Z815" i="1"/>
  <c r="AD814" i="1"/>
  <c r="AC814" i="1"/>
  <c r="AB814" i="1"/>
  <c r="AA814" i="1"/>
  <c r="Z814" i="1"/>
  <c r="AD813" i="1"/>
  <c r="AC813" i="1"/>
  <c r="AB813" i="1"/>
  <c r="AA813" i="1"/>
  <c r="Z813" i="1"/>
  <c r="AD812" i="1"/>
  <c r="AC812" i="1"/>
  <c r="AB812" i="1"/>
  <c r="AA812" i="1"/>
  <c r="Z812" i="1"/>
  <c r="AD811" i="1"/>
  <c r="AC811" i="1"/>
  <c r="AB811" i="1"/>
  <c r="AA811" i="1"/>
  <c r="Z811" i="1"/>
  <c r="AD810" i="1"/>
  <c r="AC810" i="1"/>
  <c r="AB810" i="1"/>
  <c r="AA810" i="1"/>
  <c r="Z810" i="1"/>
  <c r="AD809" i="1"/>
  <c r="AC809" i="1"/>
  <c r="AB809" i="1"/>
  <c r="AA809" i="1"/>
  <c r="Z809" i="1"/>
  <c r="AD808" i="1"/>
  <c r="AC808" i="1"/>
  <c r="AB808" i="1"/>
  <c r="AA808" i="1"/>
  <c r="Z808" i="1"/>
  <c r="AD807" i="1"/>
  <c r="AC807" i="1"/>
  <c r="AB807" i="1"/>
  <c r="AA807" i="1"/>
  <c r="Z807" i="1"/>
  <c r="AD806" i="1"/>
  <c r="AC806" i="1"/>
  <c r="AB806" i="1"/>
  <c r="AA806" i="1"/>
  <c r="Z806" i="1"/>
  <c r="AD805" i="1"/>
  <c r="AC805" i="1"/>
  <c r="AB805" i="1"/>
  <c r="AA805" i="1"/>
  <c r="Z805" i="1"/>
  <c r="AD804" i="1"/>
  <c r="AC804" i="1"/>
  <c r="AB804" i="1"/>
  <c r="AA804" i="1"/>
  <c r="Z804" i="1"/>
  <c r="AD803" i="1"/>
  <c r="AC803" i="1"/>
  <c r="AB803" i="1"/>
  <c r="AA803" i="1"/>
  <c r="Z803" i="1"/>
  <c r="AD802" i="1"/>
  <c r="AC802" i="1"/>
  <c r="AB802" i="1"/>
  <c r="AA802" i="1"/>
  <c r="Z802" i="1"/>
  <c r="AD801" i="1"/>
  <c r="AC801" i="1"/>
  <c r="AB801" i="1"/>
  <c r="AA801" i="1"/>
  <c r="Z801" i="1"/>
  <c r="AD800" i="1"/>
  <c r="AC800" i="1"/>
  <c r="AB800" i="1"/>
  <c r="AA800" i="1"/>
  <c r="Z800" i="1"/>
  <c r="AD799" i="1"/>
  <c r="AC799" i="1"/>
  <c r="AB799" i="1"/>
  <c r="AA799" i="1"/>
  <c r="Z799" i="1"/>
  <c r="AD798" i="1"/>
  <c r="AC798" i="1"/>
  <c r="AB798" i="1"/>
  <c r="AA798" i="1"/>
  <c r="Z798" i="1"/>
  <c r="AD797" i="1"/>
  <c r="AC797" i="1"/>
  <c r="AB797" i="1"/>
  <c r="AA797" i="1"/>
  <c r="Z797" i="1"/>
  <c r="AD796" i="1"/>
  <c r="AC796" i="1"/>
  <c r="AB796" i="1"/>
  <c r="AA796" i="1"/>
  <c r="Z796" i="1"/>
  <c r="AD795" i="1"/>
  <c r="AC795" i="1"/>
  <c r="AB795" i="1"/>
  <c r="AA795" i="1"/>
  <c r="Z795" i="1"/>
  <c r="AD794" i="1"/>
  <c r="AC794" i="1"/>
  <c r="AB794" i="1"/>
  <c r="AA794" i="1"/>
  <c r="Z794" i="1"/>
  <c r="AD793" i="1"/>
  <c r="AC793" i="1"/>
  <c r="AB793" i="1"/>
  <c r="AA793" i="1"/>
  <c r="Z793" i="1"/>
  <c r="AD792" i="1"/>
  <c r="AC792" i="1"/>
  <c r="AB792" i="1"/>
  <c r="AA792" i="1"/>
  <c r="Z792" i="1"/>
  <c r="AD791" i="1"/>
  <c r="AC791" i="1"/>
  <c r="AB791" i="1"/>
  <c r="AA791" i="1"/>
  <c r="Z791" i="1"/>
  <c r="AD790" i="1"/>
  <c r="AC790" i="1"/>
  <c r="AB790" i="1"/>
  <c r="AA790" i="1"/>
  <c r="Z790" i="1"/>
  <c r="AD789" i="1"/>
  <c r="AC789" i="1"/>
  <c r="AB789" i="1"/>
  <c r="AA789" i="1"/>
  <c r="Z789" i="1"/>
  <c r="AD788" i="1"/>
  <c r="AC788" i="1"/>
  <c r="AB788" i="1"/>
  <c r="AA788" i="1"/>
  <c r="Z788" i="1"/>
  <c r="AD787" i="1"/>
  <c r="AC787" i="1"/>
  <c r="AB787" i="1"/>
  <c r="AA787" i="1"/>
  <c r="Z787" i="1"/>
  <c r="AD786" i="1"/>
  <c r="AC786" i="1"/>
  <c r="AB786" i="1"/>
  <c r="AA786" i="1"/>
  <c r="Z786" i="1"/>
  <c r="AD785" i="1"/>
  <c r="AC785" i="1"/>
  <c r="AB785" i="1"/>
  <c r="AA785" i="1"/>
  <c r="Z785" i="1"/>
  <c r="AD784" i="1"/>
  <c r="AC784" i="1"/>
  <c r="AB784" i="1"/>
  <c r="AA784" i="1"/>
  <c r="Z784" i="1"/>
  <c r="AD783" i="1"/>
  <c r="AC783" i="1"/>
  <c r="AB783" i="1"/>
  <c r="AA783" i="1"/>
  <c r="Z783" i="1"/>
  <c r="AD782" i="1"/>
  <c r="AC782" i="1"/>
  <c r="AB782" i="1"/>
  <c r="AA782" i="1"/>
  <c r="Z782" i="1"/>
  <c r="AD781" i="1"/>
  <c r="AC781" i="1"/>
  <c r="AB781" i="1"/>
  <c r="AA781" i="1"/>
  <c r="Z781" i="1"/>
  <c r="AD780" i="1"/>
  <c r="AC780" i="1"/>
  <c r="AB780" i="1"/>
  <c r="AA780" i="1"/>
  <c r="Z780" i="1"/>
  <c r="AD779" i="1"/>
  <c r="AC779" i="1"/>
  <c r="AB779" i="1"/>
  <c r="AA779" i="1"/>
  <c r="Z779" i="1"/>
  <c r="AD778" i="1"/>
  <c r="AC778" i="1"/>
  <c r="AB778" i="1"/>
  <c r="AA778" i="1"/>
  <c r="Z778" i="1"/>
  <c r="AD777" i="1"/>
  <c r="AC777" i="1"/>
  <c r="AB777" i="1"/>
  <c r="AA777" i="1"/>
  <c r="Z777" i="1"/>
  <c r="AD776" i="1"/>
  <c r="AC776" i="1"/>
  <c r="AB776" i="1"/>
  <c r="AA776" i="1"/>
  <c r="Z776" i="1"/>
  <c r="AD775" i="1"/>
  <c r="AC775" i="1"/>
  <c r="AB775" i="1"/>
  <c r="AA775" i="1"/>
  <c r="Z775" i="1"/>
  <c r="AD774" i="1"/>
  <c r="AC774" i="1"/>
  <c r="AB774" i="1"/>
  <c r="AA774" i="1"/>
  <c r="Z774" i="1"/>
  <c r="AD773" i="1"/>
  <c r="AC773" i="1"/>
  <c r="AB773" i="1"/>
  <c r="AA773" i="1"/>
  <c r="Z773" i="1"/>
  <c r="AD772" i="1"/>
  <c r="AC772" i="1"/>
  <c r="AB772" i="1"/>
  <c r="AA772" i="1"/>
  <c r="Z772" i="1"/>
  <c r="AD771" i="1"/>
  <c r="AC771" i="1"/>
  <c r="AB771" i="1"/>
  <c r="AA771" i="1"/>
  <c r="Z771" i="1"/>
  <c r="AD770" i="1"/>
  <c r="AC770" i="1"/>
  <c r="AB770" i="1"/>
  <c r="AA770" i="1"/>
  <c r="Z770" i="1"/>
  <c r="AD769" i="1"/>
  <c r="AC769" i="1"/>
  <c r="AB769" i="1"/>
  <c r="AA769" i="1"/>
  <c r="Z769" i="1"/>
  <c r="AD768" i="1"/>
  <c r="AC768" i="1"/>
  <c r="AB768" i="1"/>
  <c r="AA768" i="1"/>
  <c r="Z768" i="1"/>
  <c r="AD767" i="1"/>
  <c r="AC767" i="1"/>
  <c r="AB767" i="1"/>
  <c r="AA767" i="1"/>
  <c r="Z767" i="1"/>
  <c r="AD766" i="1"/>
  <c r="AC766" i="1"/>
  <c r="AB766" i="1"/>
  <c r="AA766" i="1"/>
  <c r="Z766" i="1"/>
  <c r="AD765" i="1"/>
  <c r="AC765" i="1"/>
  <c r="AB765" i="1"/>
  <c r="AA765" i="1"/>
  <c r="Z765" i="1"/>
  <c r="AD764" i="1"/>
  <c r="AC764" i="1"/>
  <c r="AB764" i="1"/>
  <c r="AA764" i="1"/>
  <c r="Z764" i="1"/>
  <c r="AD763" i="1"/>
  <c r="AC763" i="1"/>
  <c r="AB763" i="1"/>
  <c r="AA763" i="1"/>
  <c r="Z763" i="1"/>
  <c r="AD762" i="1"/>
  <c r="AC762" i="1"/>
  <c r="AB762" i="1"/>
  <c r="AA762" i="1"/>
  <c r="Z762" i="1"/>
  <c r="AD761" i="1"/>
  <c r="AC761" i="1"/>
  <c r="AB761" i="1"/>
  <c r="AA761" i="1"/>
  <c r="Z761" i="1"/>
  <c r="AD760" i="1"/>
  <c r="AC760" i="1"/>
  <c r="AB760" i="1"/>
  <c r="AA760" i="1"/>
  <c r="Z760" i="1"/>
  <c r="AD759" i="1"/>
  <c r="AC759" i="1"/>
  <c r="AB759" i="1"/>
  <c r="AA759" i="1"/>
  <c r="Z759" i="1"/>
  <c r="AD758" i="1"/>
  <c r="AC758" i="1"/>
  <c r="AB758" i="1"/>
  <c r="AA758" i="1"/>
  <c r="Z758" i="1"/>
  <c r="AD757" i="1"/>
  <c r="AC757" i="1"/>
  <c r="AB757" i="1"/>
  <c r="AA757" i="1"/>
  <c r="Z757" i="1"/>
  <c r="AD756" i="1"/>
  <c r="AC756" i="1"/>
  <c r="AB756" i="1"/>
  <c r="AA756" i="1"/>
  <c r="Z756" i="1"/>
  <c r="AD755" i="1"/>
  <c r="AC755" i="1"/>
  <c r="AB755" i="1"/>
  <c r="AA755" i="1"/>
  <c r="Z755" i="1"/>
  <c r="AD754" i="1"/>
  <c r="AC754" i="1"/>
  <c r="AB754" i="1"/>
  <c r="AA754" i="1"/>
  <c r="Z754" i="1"/>
  <c r="AD753" i="1"/>
  <c r="AC753" i="1"/>
  <c r="AB753" i="1"/>
  <c r="AA753" i="1"/>
  <c r="Z753" i="1"/>
  <c r="AD752" i="1"/>
  <c r="AC752" i="1"/>
  <c r="AB752" i="1"/>
  <c r="AA752" i="1"/>
  <c r="Z752" i="1"/>
  <c r="AD751" i="1"/>
  <c r="AC751" i="1"/>
  <c r="AB751" i="1"/>
  <c r="AA751" i="1"/>
  <c r="Z751" i="1"/>
  <c r="AD750" i="1"/>
  <c r="AC750" i="1"/>
  <c r="AB750" i="1"/>
  <c r="AA750" i="1"/>
  <c r="Z750" i="1"/>
  <c r="AD749" i="1"/>
  <c r="AC749" i="1"/>
  <c r="AB749" i="1"/>
  <c r="AA749" i="1"/>
  <c r="Z749" i="1"/>
  <c r="AD748" i="1"/>
  <c r="AC748" i="1"/>
  <c r="AB748" i="1"/>
  <c r="AA748" i="1"/>
  <c r="Z748" i="1"/>
  <c r="AD747" i="1"/>
  <c r="AC747" i="1"/>
  <c r="AB747" i="1"/>
  <c r="AA747" i="1"/>
  <c r="Z747" i="1"/>
  <c r="AD746" i="1"/>
  <c r="AC746" i="1"/>
  <c r="AB746" i="1"/>
  <c r="AA746" i="1"/>
  <c r="Z746" i="1"/>
  <c r="AD745" i="1"/>
  <c r="AC745" i="1"/>
  <c r="AB745" i="1"/>
  <c r="AA745" i="1"/>
  <c r="Z745" i="1"/>
  <c r="AD744" i="1"/>
  <c r="AC744" i="1"/>
  <c r="AB744" i="1"/>
  <c r="AA744" i="1"/>
  <c r="Z744" i="1"/>
  <c r="AD743" i="1"/>
  <c r="AC743" i="1"/>
  <c r="AB743" i="1"/>
  <c r="AA743" i="1"/>
  <c r="Z743" i="1"/>
  <c r="AD742" i="1"/>
  <c r="AC742" i="1"/>
  <c r="AB742" i="1"/>
  <c r="AA742" i="1"/>
  <c r="Z742" i="1"/>
  <c r="AD741" i="1"/>
  <c r="AC741" i="1"/>
  <c r="AB741" i="1"/>
  <c r="AA741" i="1"/>
  <c r="Z741" i="1"/>
  <c r="AD740" i="1"/>
  <c r="AC740" i="1"/>
  <c r="AB740" i="1"/>
  <c r="AA740" i="1"/>
  <c r="Z740" i="1"/>
  <c r="AD739" i="1"/>
  <c r="AC739" i="1"/>
  <c r="AB739" i="1"/>
  <c r="AA739" i="1"/>
  <c r="Z739" i="1"/>
  <c r="AD738" i="1"/>
  <c r="AC738" i="1"/>
  <c r="AB738" i="1"/>
  <c r="AA738" i="1"/>
  <c r="Z738" i="1"/>
  <c r="AD737" i="1"/>
  <c r="AC737" i="1"/>
  <c r="AB737" i="1"/>
  <c r="AA737" i="1"/>
  <c r="Z737" i="1"/>
  <c r="AD736" i="1"/>
  <c r="AC736" i="1"/>
  <c r="AB736" i="1"/>
  <c r="AA736" i="1"/>
  <c r="Z736" i="1"/>
  <c r="AD735" i="1"/>
  <c r="AC735" i="1"/>
  <c r="AB735" i="1"/>
  <c r="AA735" i="1"/>
  <c r="Z735" i="1"/>
  <c r="AD734" i="1"/>
  <c r="AC734" i="1"/>
  <c r="AB734" i="1"/>
  <c r="AA734" i="1"/>
  <c r="Z734" i="1"/>
  <c r="AD733" i="1"/>
  <c r="AC733" i="1"/>
  <c r="AB733" i="1"/>
  <c r="AA733" i="1"/>
  <c r="Z733" i="1"/>
  <c r="AD732" i="1"/>
  <c r="AC732" i="1"/>
  <c r="AB732" i="1"/>
  <c r="AA732" i="1"/>
  <c r="Z732" i="1"/>
  <c r="AD731" i="1"/>
  <c r="AC731" i="1"/>
  <c r="AB731" i="1"/>
  <c r="AA731" i="1"/>
  <c r="Z731" i="1"/>
  <c r="AD730" i="1"/>
  <c r="AC730" i="1"/>
  <c r="AB730" i="1"/>
  <c r="AA730" i="1"/>
  <c r="Z730" i="1"/>
  <c r="AD729" i="1"/>
  <c r="AC729" i="1"/>
  <c r="AB729" i="1"/>
  <c r="AA729" i="1"/>
  <c r="Z729" i="1"/>
  <c r="AD728" i="1"/>
  <c r="AC728" i="1"/>
  <c r="AB728" i="1"/>
  <c r="AA728" i="1"/>
  <c r="Z728" i="1"/>
  <c r="AD727" i="1"/>
  <c r="AC727" i="1"/>
  <c r="AB727" i="1"/>
  <c r="AA727" i="1"/>
  <c r="Z727" i="1"/>
  <c r="AD726" i="1"/>
  <c r="AC726" i="1"/>
  <c r="AB726" i="1"/>
  <c r="AA726" i="1"/>
  <c r="Z726" i="1"/>
  <c r="AD725" i="1"/>
  <c r="AC725" i="1"/>
  <c r="AB725" i="1"/>
  <c r="AA725" i="1"/>
  <c r="Z725" i="1"/>
  <c r="AD724" i="1"/>
  <c r="AC724" i="1"/>
  <c r="AB724" i="1"/>
  <c r="AA724" i="1"/>
  <c r="Z724" i="1"/>
  <c r="AD723" i="1"/>
  <c r="AC723" i="1"/>
  <c r="AB723" i="1"/>
  <c r="AA723" i="1"/>
  <c r="Z723" i="1"/>
  <c r="AD722" i="1"/>
  <c r="AC722" i="1"/>
  <c r="AB722" i="1"/>
  <c r="AA722" i="1"/>
  <c r="Z722" i="1"/>
  <c r="AD721" i="1"/>
  <c r="AC721" i="1"/>
  <c r="AB721" i="1"/>
  <c r="AA721" i="1"/>
  <c r="Z721" i="1"/>
  <c r="AD720" i="1"/>
  <c r="AC720" i="1"/>
  <c r="AB720" i="1"/>
  <c r="AA720" i="1"/>
  <c r="Z720" i="1"/>
  <c r="AD719" i="1"/>
  <c r="AC719" i="1"/>
  <c r="AB719" i="1"/>
  <c r="AA719" i="1"/>
  <c r="Z719" i="1"/>
  <c r="AD718" i="1"/>
  <c r="AC718" i="1"/>
  <c r="AB718" i="1"/>
  <c r="AA718" i="1"/>
  <c r="Z718" i="1"/>
  <c r="AD717" i="1"/>
  <c r="AC717" i="1"/>
  <c r="AB717" i="1"/>
  <c r="AA717" i="1"/>
  <c r="Z717" i="1"/>
  <c r="AD716" i="1"/>
  <c r="AC716" i="1"/>
  <c r="AB716" i="1"/>
  <c r="AA716" i="1"/>
  <c r="Z716" i="1"/>
  <c r="AD715" i="1"/>
  <c r="AC715" i="1"/>
  <c r="AB715" i="1"/>
  <c r="AA715" i="1"/>
  <c r="Z715" i="1"/>
  <c r="AD714" i="1"/>
  <c r="AC714" i="1"/>
  <c r="AB714" i="1"/>
  <c r="AA714" i="1"/>
  <c r="Z714" i="1"/>
  <c r="AD713" i="1"/>
  <c r="AC713" i="1"/>
  <c r="AB713" i="1"/>
  <c r="AA713" i="1"/>
  <c r="Z713" i="1"/>
  <c r="AD712" i="1"/>
  <c r="AC712" i="1"/>
  <c r="AB712" i="1"/>
  <c r="AA712" i="1"/>
  <c r="Z712" i="1"/>
  <c r="AD711" i="1"/>
  <c r="AC711" i="1"/>
  <c r="AB711" i="1"/>
  <c r="AA711" i="1"/>
  <c r="Z711" i="1"/>
  <c r="AD710" i="1"/>
  <c r="AC710" i="1"/>
  <c r="AB710" i="1"/>
  <c r="AA710" i="1"/>
  <c r="Z710" i="1"/>
  <c r="AD709" i="1"/>
  <c r="AC709" i="1"/>
  <c r="AB709" i="1"/>
  <c r="AA709" i="1"/>
  <c r="Z709" i="1"/>
  <c r="AD708" i="1"/>
  <c r="AC708" i="1"/>
  <c r="AB708" i="1"/>
  <c r="AA708" i="1"/>
  <c r="Z708" i="1"/>
  <c r="AD707" i="1"/>
  <c r="AC707" i="1"/>
  <c r="AB707" i="1"/>
  <c r="AA707" i="1"/>
  <c r="Z707" i="1"/>
  <c r="AD706" i="1"/>
  <c r="AC706" i="1"/>
  <c r="AB706" i="1"/>
  <c r="AA706" i="1"/>
  <c r="Z706" i="1"/>
  <c r="AD705" i="1"/>
  <c r="AC705" i="1"/>
  <c r="AB705" i="1"/>
  <c r="AA705" i="1"/>
  <c r="Z705" i="1"/>
  <c r="AD704" i="1"/>
  <c r="AC704" i="1"/>
  <c r="AB704" i="1"/>
  <c r="AA704" i="1"/>
  <c r="Z704" i="1"/>
  <c r="AD703" i="1"/>
  <c r="AC703" i="1"/>
  <c r="AB703" i="1"/>
  <c r="AA703" i="1"/>
  <c r="Z703" i="1"/>
  <c r="AD702" i="1"/>
  <c r="AC702" i="1"/>
  <c r="AB702" i="1"/>
  <c r="AA702" i="1"/>
  <c r="Z702" i="1"/>
  <c r="AD701" i="1"/>
  <c r="AC701" i="1"/>
  <c r="AB701" i="1"/>
  <c r="AA701" i="1"/>
  <c r="Z701" i="1"/>
  <c r="AD700" i="1"/>
  <c r="AC700" i="1"/>
  <c r="AB700" i="1"/>
  <c r="AA700" i="1"/>
  <c r="Z700" i="1"/>
  <c r="AD699" i="1"/>
  <c r="AC699" i="1"/>
  <c r="AB699" i="1"/>
  <c r="AA699" i="1"/>
  <c r="Z699" i="1"/>
  <c r="AD698" i="1"/>
  <c r="AC698" i="1"/>
  <c r="AB698" i="1"/>
  <c r="AA698" i="1"/>
  <c r="Z698" i="1"/>
  <c r="AD697" i="1"/>
  <c r="AC697" i="1"/>
  <c r="AB697" i="1"/>
  <c r="AA697" i="1"/>
  <c r="Z697" i="1"/>
  <c r="AD696" i="1"/>
  <c r="AC696" i="1"/>
  <c r="AB696" i="1"/>
  <c r="AA696" i="1"/>
  <c r="Z696" i="1"/>
  <c r="AD695" i="1"/>
  <c r="AC695" i="1"/>
  <c r="AB695" i="1"/>
  <c r="AA695" i="1"/>
  <c r="Z695" i="1"/>
  <c r="AD694" i="1"/>
  <c r="AC694" i="1"/>
  <c r="AB694" i="1"/>
  <c r="AA694" i="1"/>
  <c r="Z694" i="1"/>
  <c r="AD693" i="1"/>
  <c r="AC693" i="1"/>
  <c r="AB693" i="1"/>
  <c r="AA693" i="1"/>
  <c r="Z693" i="1"/>
  <c r="AD692" i="1"/>
  <c r="AC692" i="1"/>
  <c r="AB692" i="1"/>
  <c r="AA692" i="1"/>
  <c r="Z692" i="1"/>
  <c r="AD691" i="1"/>
  <c r="AC691" i="1"/>
  <c r="AB691" i="1"/>
  <c r="AA691" i="1"/>
  <c r="Z691" i="1"/>
  <c r="AD690" i="1"/>
  <c r="AC690" i="1"/>
  <c r="AB690" i="1"/>
  <c r="AA690" i="1"/>
  <c r="Z690" i="1"/>
  <c r="AD689" i="1"/>
  <c r="AC689" i="1"/>
  <c r="AB689" i="1"/>
  <c r="AA689" i="1"/>
  <c r="Z689" i="1"/>
  <c r="AD688" i="1"/>
  <c r="AC688" i="1"/>
  <c r="AB688" i="1"/>
  <c r="AA688" i="1"/>
  <c r="Z688" i="1"/>
  <c r="AD687" i="1"/>
  <c r="AC687" i="1"/>
  <c r="AB687" i="1"/>
  <c r="AA687" i="1"/>
  <c r="Z687" i="1"/>
  <c r="AD686" i="1"/>
  <c r="AC686" i="1"/>
  <c r="AB686" i="1"/>
  <c r="AA686" i="1"/>
  <c r="Z686" i="1"/>
  <c r="AD685" i="1"/>
  <c r="AC685" i="1"/>
  <c r="AB685" i="1"/>
  <c r="AA685" i="1"/>
  <c r="Z685" i="1"/>
  <c r="AD684" i="1"/>
  <c r="AC684" i="1"/>
  <c r="AB684" i="1"/>
  <c r="AA684" i="1"/>
  <c r="Z684" i="1"/>
  <c r="AD683" i="1"/>
  <c r="AC683" i="1"/>
  <c r="AB683" i="1"/>
  <c r="AA683" i="1"/>
  <c r="Z683" i="1"/>
  <c r="AD682" i="1"/>
  <c r="AC682" i="1"/>
  <c r="AB682" i="1"/>
  <c r="AA682" i="1"/>
  <c r="Z682" i="1"/>
  <c r="AD681" i="1"/>
  <c r="AC681" i="1"/>
  <c r="AB681" i="1"/>
  <c r="AA681" i="1"/>
  <c r="Z681" i="1"/>
  <c r="AD680" i="1"/>
  <c r="AC680" i="1"/>
  <c r="AB680" i="1"/>
  <c r="AA680" i="1"/>
  <c r="Z680" i="1"/>
  <c r="AD679" i="1"/>
  <c r="AC679" i="1"/>
  <c r="AB679" i="1"/>
  <c r="AA679" i="1"/>
  <c r="Z679" i="1"/>
  <c r="AD678" i="1"/>
  <c r="AC678" i="1"/>
  <c r="AB678" i="1"/>
  <c r="AA678" i="1"/>
  <c r="Z678" i="1"/>
  <c r="AD677" i="1"/>
  <c r="AC677" i="1"/>
  <c r="AB677" i="1"/>
  <c r="AA677" i="1"/>
  <c r="Z677" i="1"/>
  <c r="AD676" i="1"/>
  <c r="AC676" i="1"/>
  <c r="AB676" i="1"/>
  <c r="AA676" i="1"/>
  <c r="Z676" i="1"/>
  <c r="AD675" i="1"/>
  <c r="AC675" i="1"/>
  <c r="AB675" i="1"/>
  <c r="AA675" i="1"/>
  <c r="Z675" i="1"/>
  <c r="AD674" i="1"/>
  <c r="AC674" i="1"/>
  <c r="AB674" i="1"/>
  <c r="AA674" i="1"/>
  <c r="Z674" i="1"/>
  <c r="AD673" i="1"/>
  <c r="AC673" i="1"/>
  <c r="AB673" i="1"/>
  <c r="AA673" i="1"/>
  <c r="Z673" i="1"/>
  <c r="AD672" i="1"/>
  <c r="AC672" i="1"/>
  <c r="AB672" i="1"/>
  <c r="AA672" i="1"/>
  <c r="Z672" i="1"/>
  <c r="AD671" i="1"/>
  <c r="AC671" i="1"/>
  <c r="AB671" i="1"/>
  <c r="AA671" i="1"/>
  <c r="Z671" i="1"/>
  <c r="AD670" i="1"/>
  <c r="AC670" i="1"/>
  <c r="AB670" i="1"/>
  <c r="AA670" i="1"/>
  <c r="Z670" i="1"/>
  <c r="AD669" i="1"/>
  <c r="AC669" i="1"/>
  <c r="AB669" i="1"/>
  <c r="AA669" i="1"/>
  <c r="Z669" i="1"/>
  <c r="AD668" i="1"/>
  <c r="AC668" i="1"/>
  <c r="AB668" i="1"/>
  <c r="AA668" i="1"/>
  <c r="Z668" i="1"/>
  <c r="AD667" i="1"/>
  <c r="AC667" i="1"/>
  <c r="AB667" i="1"/>
  <c r="AA667" i="1"/>
  <c r="Z667" i="1"/>
  <c r="AD666" i="1"/>
  <c r="AC666" i="1"/>
  <c r="AB666" i="1"/>
  <c r="AA666" i="1"/>
  <c r="Z666" i="1"/>
  <c r="AD665" i="1"/>
  <c r="AC665" i="1"/>
  <c r="AB665" i="1"/>
  <c r="AA665" i="1"/>
  <c r="Z665" i="1"/>
  <c r="AD664" i="1"/>
  <c r="AC664" i="1"/>
  <c r="AB664" i="1"/>
  <c r="AA664" i="1"/>
  <c r="Z664" i="1"/>
  <c r="AD663" i="1"/>
  <c r="AC663" i="1"/>
  <c r="AB663" i="1"/>
  <c r="AA663" i="1"/>
  <c r="Z663" i="1"/>
  <c r="AD662" i="1"/>
  <c r="AC662" i="1"/>
  <c r="AB662" i="1"/>
  <c r="AA662" i="1"/>
  <c r="Z662" i="1"/>
  <c r="AD661" i="1"/>
  <c r="AC661" i="1"/>
  <c r="AB661" i="1"/>
  <c r="AA661" i="1"/>
  <c r="Z661" i="1"/>
  <c r="AD660" i="1"/>
  <c r="AC660" i="1"/>
  <c r="AB660" i="1"/>
  <c r="AA660" i="1"/>
  <c r="Z660" i="1"/>
  <c r="AD659" i="1"/>
  <c r="AC659" i="1"/>
  <c r="AB659" i="1"/>
  <c r="AA659" i="1"/>
  <c r="Z659" i="1"/>
  <c r="AD658" i="1"/>
  <c r="AC658" i="1"/>
  <c r="AB658" i="1"/>
  <c r="AA658" i="1"/>
  <c r="Z658" i="1"/>
  <c r="AD657" i="1"/>
  <c r="AC657" i="1"/>
  <c r="AB657" i="1"/>
  <c r="AA657" i="1"/>
  <c r="Z657" i="1"/>
  <c r="AD656" i="1"/>
  <c r="AC656" i="1"/>
  <c r="AB656" i="1"/>
  <c r="AA656" i="1"/>
  <c r="Z656" i="1"/>
  <c r="AD655" i="1"/>
  <c r="AC655" i="1"/>
  <c r="AB655" i="1"/>
  <c r="AA655" i="1"/>
  <c r="Z655" i="1"/>
  <c r="AD654" i="1"/>
  <c r="AC654" i="1"/>
  <c r="AB654" i="1"/>
  <c r="AA654" i="1"/>
  <c r="Z654" i="1"/>
  <c r="AD653" i="1"/>
  <c r="AC653" i="1"/>
  <c r="AB653" i="1"/>
  <c r="AA653" i="1"/>
  <c r="Z653" i="1"/>
  <c r="AD652" i="1"/>
  <c r="AC652" i="1"/>
  <c r="AB652" i="1"/>
  <c r="AA652" i="1"/>
  <c r="Z652" i="1"/>
  <c r="AD651" i="1"/>
  <c r="AC651" i="1"/>
  <c r="AB651" i="1"/>
  <c r="AA651" i="1"/>
  <c r="Z651" i="1"/>
  <c r="AD650" i="1"/>
  <c r="AC650" i="1"/>
  <c r="AB650" i="1"/>
  <c r="AA650" i="1"/>
  <c r="Z650" i="1"/>
  <c r="AD649" i="1"/>
  <c r="AC649" i="1"/>
  <c r="AB649" i="1"/>
  <c r="AA649" i="1"/>
  <c r="Z649" i="1"/>
  <c r="AD648" i="1"/>
  <c r="AC648" i="1"/>
  <c r="AB648" i="1"/>
  <c r="AA648" i="1"/>
  <c r="Z648" i="1"/>
  <c r="AD647" i="1"/>
  <c r="AC647" i="1"/>
  <c r="AB647" i="1"/>
  <c r="AA647" i="1"/>
  <c r="Z647" i="1"/>
  <c r="AD646" i="1"/>
  <c r="AC646" i="1"/>
  <c r="AB646" i="1"/>
  <c r="AA646" i="1"/>
  <c r="Z646" i="1"/>
  <c r="AD645" i="1"/>
  <c r="AC645" i="1"/>
  <c r="AB645" i="1"/>
  <c r="AA645" i="1"/>
  <c r="Z645" i="1"/>
  <c r="AD644" i="1"/>
  <c r="AC644" i="1"/>
  <c r="AB644" i="1"/>
  <c r="AA644" i="1"/>
  <c r="Z644" i="1"/>
  <c r="AD643" i="1"/>
  <c r="AC643" i="1"/>
  <c r="AB643" i="1"/>
  <c r="AA643" i="1"/>
  <c r="Z643" i="1"/>
  <c r="AD642" i="1"/>
  <c r="AC642" i="1"/>
  <c r="AB642" i="1"/>
  <c r="AA642" i="1"/>
  <c r="Z642" i="1"/>
  <c r="AD641" i="1"/>
  <c r="AC641" i="1"/>
  <c r="AB641" i="1"/>
  <c r="AA641" i="1"/>
  <c r="Z641" i="1"/>
  <c r="AD640" i="1"/>
  <c r="AC640" i="1"/>
  <c r="AB640" i="1"/>
  <c r="AA640" i="1"/>
  <c r="Z640" i="1"/>
  <c r="AD639" i="1"/>
  <c r="AC639" i="1"/>
  <c r="AB639" i="1"/>
  <c r="AA639" i="1"/>
  <c r="Z639" i="1"/>
  <c r="AD638" i="1"/>
  <c r="AC638" i="1"/>
  <c r="AB638" i="1"/>
  <c r="AA638" i="1"/>
  <c r="Z638" i="1"/>
  <c r="AD637" i="1"/>
  <c r="AC637" i="1"/>
  <c r="AB637" i="1"/>
  <c r="AA637" i="1"/>
  <c r="Z637" i="1"/>
  <c r="AD636" i="1"/>
  <c r="AC636" i="1"/>
  <c r="AB636" i="1"/>
  <c r="AA636" i="1"/>
  <c r="Z636" i="1"/>
  <c r="AD635" i="1"/>
  <c r="AC635" i="1"/>
  <c r="AB635" i="1"/>
  <c r="AA635" i="1"/>
  <c r="Z635" i="1"/>
  <c r="AD634" i="1"/>
  <c r="AC634" i="1"/>
  <c r="AB634" i="1"/>
  <c r="AA634" i="1"/>
  <c r="Z634" i="1"/>
  <c r="AD633" i="1"/>
  <c r="AC633" i="1"/>
  <c r="AB633" i="1"/>
  <c r="AA633" i="1"/>
  <c r="Z633" i="1"/>
  <c r="AD632" i="1"/>
  <c r="AC632" i="1"/>
  <c r="AB632" i="1"/>
  <c r="AA632" i="1"/>
  <c r="Z632" i="1"/>
  <c r="AD631" i="1"/>
  <c r="AC631" i="1"/>
  <c r="AB631" i="1"/>
  <c r="AA631" i="1"/>
  <c r="Z631" i="1"/>
  <c r="AD630" i="1"/>
  <c r="AC630" i="1"/>
  <c r="AB630" i="1"/>
  <c r="AA630" i="1"/>
  <c r="Z630" i="1"/>
  <c r="AD629" i="1"/>
  <c r="AC629" i="1"/>
  <c r="AB629" i="1"/>
  <c r="AA629" i="1"/>
  <c r="Z629" i="1"/>
  <c r="AD628" i="1"/>
  <c r="AC628" i="1"/>
  <c r="AB628" i="1"/>
  <c r="AA628" i="1"/>
  <c r="Z628" i="1"/>
  <c r="AD627" i="1"/>
  <c r="AC627" i="1"/>
  <c r="AB627" i="1"/>
  <c r="AA627" i="1"/>
  <c r="Z627" i="1"/>
  <c r="AD626" i="1"/>
  <c r="AC626" i="1"/>
  <c r="AB626" i="1"/>
  <c r="AA626" i="1"/>
  <c r="Z626" i="1"/>
  <c r="AD625" i="1"/>
  <c r="AC625" i="1"/>
  <c r="AB625" i="1"/>
  <c r="AA625" i="1"/>
  <c r="Z625" i="1"/>
  <c r="AD624" i="1"/>
  <c r="AC624" i="1"/>
  <c r="AB624" i="1"/>
  <c r="AA624" i="1"/>
  <c r="Z624" i="1"/>
  <c r="AD623" i="1"/>
  <c r="AC623" i="1"/>
  <c r="AB623" i="1"/>
  <c r="AA623" i="1"/>
  <c r="Z623" i="1"/>
  <c r="AD622" i="1"/>
  <c r="AC622" i="1"/>
  <c r="AB622" i="1"/>
  <c r="AA622" i="1"/>
  <c r="Z622" i="1"/>
  <c r="AD621" i="1"/>
  <c r="AC621" i="1"/>
  <c r="AB621" i="1"/>
  <c r="AA621" i="1"/>
  <c r="Z621" i="1"/>
  <c r="AD620" i="1"/>
  <c r="AC620" i="1"/>
  <c r="AB620" i="1"/>
  <c r="AA620" i="1"/>
  <c r="Z620" i="1"/>
  <c r="AD619" i="1"/>
  <c r="AC619" i="1"/>
  <c r="AB619" i="1"/>
  <c r="AA619" i="1"/>
  <c r="Z619" i="1"/>
  <c r="AD618" i="1"/>
  <c r="AC618" i="1"/>
  <c r="AB618" i="1"/>
  <c r="AA618" i="1"/>
  <c r="Z618" i="1"/>
  <c r="AD617" i="1"/>
  <c r="AC617" i="1"/>
  <c r="AB617" i="1"/>
  <c r="AA617" i="1"/>
  <c r="Z617" i="1"/>
  <c r="AD616" i="1"/>
  <c r="AC616" i="1"/>
  <c r="AB616" i="1"/>
  <c r="AA616" i="1"/>
  <c r="Z616" i="1"/>
  <c r="AD615" i="1"/>
  <c r="AC615" i="1"/>
  <c r="AB615" i="1"/>
  <c r="AA615" i="1"/>
  <c r="Z615" i="1"/>
  <c r="AD614" i="1"/>
  <c r="AC614" i="1"/>
  <c r="AB614" i="1"/>
  <c r="AA614" i="1"/>
  <c r="Z614" i="1"/>
  <c r="AD613" i="1"/>
  <c r="AC613" i="1"/>
  <c r="AB613" i="1"/>
  <c r="AA613" i="1"/>
  <c r="Z613" i="1"/>
  <c r="AD612" i="1"/>
  <c r="AC612" i="1"/>
  <c r="AB612" i="1"/>
  <c r="AA612" i="1"/>
  <c r="Z612" i="1"/>
  <c r="AD611" i="1"/>
  <c r="AC611" i="1"/>
  <c r="AB611" i="1"/>
  <c r="AA611" i="1"/>
  <c r="Z611" i="1"/>
  <c r="AD610" i="1"/>
  <c r="AC610" i="1"/>
  <c r="AB610" i="1"/>
  <c r="AA610" i="1"/>
  <c r="Z610" i="1"/>
  <c r="AD609" i="1"/>
  <c r="AC609" i="1"/>
  <c r="AB609" i="1"/>
  <c r="AA609" i="1"/>
  <c r="Z609" i="1"/>
  <c r="AD608" i="1"/>
  <c r="AC608" i="1"/>
  <c r="AB608" i="1"/>
  <c r="AA608" i="1"/>
  <c r="Z608" i="1"/>
  <c r="AD607" i="1"/>
  <c r="AC607" i="1"/>
  <c r="AB607" i="1"/>
  <c r="AA607" i="1"/>
  <c r="Z607" i="1"/>
  <c r="AD606" i="1"/>
  <c r="AC606" i="1"/>
  <c r="AB606" i="1"/>
  <c r="AA606" i="1"/>
  <c r="Z606" i="1"/>
  <c r="AD605" i="1"/>
  <c r="AC605" i="1"/>
  <c r="AB605" i="1"/>
  <c r="AA605" i="1"/>
  <c r="Z605" i="1"/>
  <c r="AD604" i="1"/>
  <c r="AC604" i="1"/>
  <c r="AB604" i="1"/>
  <c r="AA604" i="1"/>
  <c r="Z604" i="1"/>
  <c r="AD603" i="1"/>
  <c r="AC603" i="1"/>
  <c r="AB603" i="1"/>
  <c r="AA603" i="1"/>
  <c r="Z603" i="1"/>
  <c r="AD602" i="1"/>
  <c r="AC602" i="1"/>
  <c r="AB602" i="1"/>
  <c r="AA602" i="1"/>
  <c r="Z602" i="1"/>
  <c r="AD601" i="1"/>
  <c r="AC601" i="1"/>
  <c r="AB601" i="1"/>
  <c r="AA601" i="1"/>
  <c r="Z601" i="1"/>
  <c r="AD600" i="1"/>
  <c r="AC600" i="1"/>
  <c r="AB600" i="1"/>
  <c r="AA600" i="1"/>
  <c r="Z600" i="1"/>
  <c r="AD599" i="1"/>
  <c r="AC599" i="1"/>
  <c r="AB599" i="1"/>
  <c r="AA599" i="1"/>
  <c r="Z599" i="1"/>
  <c r="AD598" i="1"/>
  <c r="AC598" i="1"/>
  <c r="AB598" i="1"/>
  <c r="AA598" i="1"/>
  <c r="Z598" i="1"/>
  <c r="AD597" i="1"/>
  <c r="AC597" i="1"/>
  <c r="AB597" i="1"/>
  <c r="AA597" i="1"/>
  <c r="Z597" i="1"/>
  <c r="AD596" i="1"/>
  <c r="AC596" i="1"/>
  <c r="AB596" i="1"/>
  <c r="AA596" i="1"/>
  <c r="Z596" i="1"/>
  <c r="AD595" i="1"/>
  <c r="AC595" i="1"/>
  <c r="AB595" i="1"/>
  <c r="AA595" i="1"/>
  <c r="Z595" i="1"/>
  <c r="AD594" i="1"/>
  <c r="AC594" i="1"/>
  <c r="AB594" i="1"/>
  <c r="AA594" i="1"/>
  <c r="Z594" i="1"/>
  <c r="AD593" i="1"/>
  <c r="AC593" i="1"/>
  <c r="AB593" i="1"/>
  <c r="AA593" i="1"/>
  <c r="Z593" i="1"/>
  <c r="AD592" i="1"/>
  <c r="AC592" i="1"/>
  <c r="AB592" i="1"/>
  <c r="AA592" i="1"/>
  <c r="Z592" i="1"/>
  <c r="AD591" i="1"/>
  <c r="AC591" i="1"/>
  <c r="AB591" i="1"/>
  <c r="AA591" i="1"/>
  <c r="Z591" i="1"/>
  <c r="AD590" i="1"/>
  <c r="AC590" i="1"/>
  <c r="AB590" i="1"/>
  <c r="AA590" i="1"/>
  <c r="Z590" i="1"/>
  <c r="AD589" i="1"/>
  <c r="AC589" i="1"/>
  <c r="AB589" i="1"/>
  <c r="AA589" i="1"/>
  <c r="Z589" i="1"/>
  <c r="AD588" i="1"/>
  <c r="AC588" i="1"/>
  <c r="AB588" i="1"/>
  <c r="AA588" i="1"/>
  <c r="Z588" i="1"/>
  <c r="AD587" i="1"/>
  <c r="AC587" i="1"/>
  <c r="AB587" i="1"/>
  <c r="AA587" i="1"/>
  <c r="Z587" i="1"/>
  <c r="AD586" i="1"/>
  <c r="AC586" i="1"/>
  <c r="AB586" i="1"/>
  <c r="AA586" i="1"/>
  <c r="Z586" i="1"/>
  <c r="AD585" i="1"/>
  <c r="AC585" i="1"/>
  <c r="AB585" i="1"/>
  <c r="AA585" i="1"/>
  <c r="Z585" i="1"/>
  <c r="AD584" i="1"/>
  <c r="AC584" i="1"/>
  <c r="AB584" i="1"/>
  <c r="AA584" i="1"/>
  <c r="Z584" i="1"/>
  <c r="AD583" i="1"/>
  <c r="AC583" i="1"/>
  <c r="AB583" i="1"/>
  <c r="AA583" i="1"/>
  <c r="Z583" i="1"/>
  <c r="AD582" i="1"/>
  <c r="AC582" i="1"/>
  <c r="AB582" i="1"/>
  <c r="AA582" i="1"/>
  <c r="Z582" i="1"/>
  <c r="AD581" i="1"/>
  <c r="AC581" i="1"/>
  <c r="AB581" i="1"/>
  <c r="AA581" i="1"/>
  <c r="Z581" i="1"/>
  <c r="AD580" i="1"/>
  <c r="AC580" i="1"/>
  <c r="AB580" i="1"/>
  <c r="AA580" i="1"/>
  <c r="Z580" i="1"/>
  <c r="AD579" i="1"/>
  <c r="AC579" i="1"/>
  <c r="AB579" i="1"/>
  <c r="AA579" i="1"/>
  <c r="Z579" i="1"/>
  <c r="AD578" i="1"/>
  <c r="AC578" i="1"/>
  <c r="AB578" i="1"/>
  <c r="AA578" i="1"/>
  <c r="Z578" i="1"/>
  <c r="AD577" i="1"/>
  <c r="AC577" i="1"/>
  <c r="AB577" i="1"/>
  <c r="AA577" i="1"/>
  <c r="Z577" i="1"/>
  <c r="AD576" i="1"/>
  <c r="AC576" i="1"/>
  <c r="AB576" i="1"/>
  <c r="AA576" i="1"/>
  <c r="Z576" i="1"/>
  <c r="AD575" i="1"/>
  <c r="AC575" i="1"/>
  <c r="AB575" i="1"/>
  <c r="AA575" i="1"/>
  <c r="Z575" i="1"/>
  <c r="AD574" i="1"/>
  <c r="AC574" i="1"/>
  <c r="AB574" i="1"/>
  <c r="AA574" i="1"/>
  <c r="Z574" i="1"/>
  <c r="AD573" i="1"/>
  <c r="AC573" i="1"/>
  <c r="AB573" i="1"/>
  <c r="AA573" i="1"/>
  <c r="Z573" i="1"/>
  <c r="AD572" i="1"/>
  <c r="AC572" i="1"/>
  <c r="AB572" i="1"/>
  <c r="AA572" i="1"/>
  <c r="Z572" i="1"/>
  <c r="AD571" i="1"/>
  <c r="AC571" i="1"/>
  <c r="AB571" i="1"/>
  <c r="AA571" i="1"/>
  <c r="Z571" i="1"/>
  <c r="AD570" i="1"/>
  <c r="AC570" i="1"/>
  <c r="AB570" i="1"/>
  <c r="AA570" i="1"/>
  <c r="Z570" i="1"/>
  <c r="AD569" i="1"/>
  <c r="AC569" i="1"/>
  <c r="AB569" i="1"/>
  <c r="AA569" i="1"/>
  <c r="Z569" i="1"/>
  <c r="AD568" i="1"/>
  <c r="AC568" i="1"/>
  <c r="AB568" i="1"/>
  <c r="AA568" i="1"/>
  <c r="Z568" i="1"/>
  <c r="AD567" i="1"/>
  <c r="AC567" i="1"/>
  <c r="AB567" i="1"/>
  <c r="AA567" i="1"/>
  <c r="Z567" i="1"/>
  <c r="AD566" i="1"/>
  <c r="AC566" i="1"/>
  <c r="AB566" i="1"/>
  <c r="AA566" i="1"/>
  <c r="Z566" i="1"/>
  <c r="AD565" i="1"/>
  <c r="AC565" i="1"/>
  <c r="AB565" i="1"/>
  <c r="AA565" i="1"/>
  <c r="Z565" i="1"/>
  <c r="AD564" i="1"/>
  <c r="AC564" i="1"/>
  <c r="AB564" i="1"/>
  <c r="AA564" i="1"/>
  <c r="Z564" i="1"/>
  <c r="AD563" i="1"/>
  <c r="AC563" i="1"/>
  <c r="AB563" i="1"/>
  <c r="AA563" i="1"/>
  <c r="Z563" i="1"/>
  <c r="AD562" i="1"/>
  <c r="AC562" i="1"/>
  <c r="AB562" i="1"/>
  <c r="AA562" i="1"/>
  <c r="Z562" i="1"/>
  <c r="AD561" i="1"/>
  <c r="AC561" i="1"/>
  <c r="AB561" i="1"/>
  <c r="AA561" i="1"/>
  <c r="Z561" i="1"/>
  <c r="AD560" i="1"/>
  <c r="AC560" i="1"/>
  <c r="AB560" i="1"/>
  <c r="AA560" i="1"/>
  <c r="Z560" i="1"/>
  <c r="AD559" i="1"/>
  <c r="AC559" i="1"/>
  <c r="AB559" i="1"/>
  <c r="AA559" i="1"/>
  <c r="Z559" i="1"/>
  <c r="AD558" i="1"/>
  <c r="AC558" i="1"/>
  <c r="AB558" i="1"/>
  <c r="AA558" i="1"/>
  <c r="Z558" i="1"/>
  <c r="AD557" i="1"/>
  <c r="AC557" i="1"/>
  <c r="AB557" i="1"/>
  <c r="AA557" i="1"/>
  <c r="Z557" i="1"/>
  <c r="AD556" i="1"/>
  <c r="AC556" i="1"/>
  <c r="AB556" i="1"/>
  <c r="AA556" i="1"/>
  <c r="Z556" i="1"/>
  <c r="AD555" i="1"/>
  <c r="AC555" i="1"/>
  <c r="AB555" i="1"/>
  <c r="AA555" i="1"/>
  <c r="Z555" i="1"/>
  <c r="AD554" i="1"/>
  <c r="AC554" i="1"/>
  <c r="AB554" i="1"/>
  <c r="AA554" i="1"/>
  <c r="Z554" i="1"/>
  <c r="AD553" i="1"/>
  <c r="AC553" i="1"/>
  <c r="AB553" i="1"/>
  <c r="AA553" i="1"/>
  <c r="Z553" i="1"/>
  <c r="AD552" i="1"/>
  <c r="AC552" i="1"/>
  <c r="AB552" i="1"/>
  <c r="AA552" i="1"/>
  <c r="Z552" i="1"/>
  <c r="AD551" i="1"/>
  <c r="AC551" i="1"/>
  <c r="AB551" i="1"/>
  <c r="AA551" i="1"/>
  <c r="Z551" i="1"/>
  <c r="AD550" i="1"/>
  <c r="AC550" i="1"/>
  <c r="AB550" i="1"/>
  <c r="AA550" i="1"/>
  <c r="Z550" i="1"/>
  <c r="AD549" i="1"/>
  <c r="AC549" i="1"/>
  <c r="AB549" i="1"/>
  <c r="AA549" i="1"/>
  <c r="Z549" i="1"/>
  <c r="AD548" i="1"/>
  <c r="AC548" i="1"/>
  <c r="AB548" i="1"/>
  <c r="AA548" i="1"/>
  <c r="Z548" i="1"/>
  <c r="AD547" i="1"/>
  <c r="AC547" i="1"/>
  <c r="AB547" i="1"/>
  <c r="AA547" i="1"/>
  <c r="Z547" i="1"/>
  <c r="AD546" i="1"/>
  <c r="AC546" i="1"/>
  <c r="AB546" i="1"/>
  <c r="AA546" i="1"/>
  <c r="Z546" i="1"/>
  <c r="AD545" i="1"/>
  <c r="AC545" i="1"/>
  <c r="AB545" i="1"/>
  <c r="AA545" i="1"/>
  <c r="Z545" i="1"/>
  <c r="AD544" i="1"/>
  <c r="AC544" i="1"/>
  <c r="AB544" i="1"/>
  <c r="AA544" i="1"/>
  <c r="Z544" i="1"/>
  <c r="AD543" i="1"/>
  <c r="AC543" i="1"/>
  <c r="AB543" i="1"/>
  <c r="AA543" i="1"/>
  <c r="Z543" i="1"/>
  <c r="AD542" i="1"/>
  <c r="AC542" i="1"/>
  <c r="AB542" i="1"/>
  <c r="AA542" i="1"/>
  <c r="Z542" i="1"/>
  <c r="AD541" i="1"/>
  <c r="AC541" i="1"/>
  <c r="AB541" i="1"/>
  <c r="AA541" i="1"/>
  <c r="Z541" i="1"/>
  <c r="AD540" i="1"/>
  <c r="AC540" i="1"/>
  <c r="AB540" i="1"/>
  <c r="AA540" i="1"/>
  <c r="Z540" i="1"/>
  <c r="AD539" i="1"/>
  <c r="AC539" i="1"/>
  <c r="AB539" i="1"/>
  <c r="AA539" i="1"/>
  <c r="Z539" i="1"/>
  <c r="AD538" i="1"/>
  <c r="AC538" i="1"/>
  <c r="AB538" i="1"/>
  <c r="AA538" i="1"/>
  <c r="Z538" i="1"/>
  <c r="AD537" i="1"/>
  <c r="AC537" i="1"/>
  <c r="AB537" i="1"/>
  <c r="AA537" i="1"/>
  <c r="Z537" i="1"/>
  <c r="AD536" i="1"/>
  <c r="AC536" i="1"/>
  <c r="AB536" i="1"/>
  <c r="AA536" i="1"/>
  <c r="Z536" i="1"/>
  <c r="AD535" i="1"/>
  <c r="AC535" i="1"/>
  <c r="AB535" i="1"/>
  <c r="AA535" i="1"/>
  <c r="Z535" i="1"/>
  <c r="AD534" i="1"/>
  <c r="AC534" i="1"/>
  <c r="AB534" i="1"/>
  <c r="AA534" i="1"/>
  <c r="Z534" i="1"/>
  <c r="AD533" i="1"/>
  <c r="AC533" i="1"/>
  <c r="AB533" i="1"/>
  <c r="AA533" i="1"/>
  <c r="Z533" i="1"/>
  <c r="AD532" i="1"/>
  <c r="AC532" i="1"/>
  <c r="AB532" i="1"/>
  <c r="AA532" i="1"/>
  <c r="Z532" i="1"/>
  <c r="AD531" i="1"/>
  <c r="AC531" i="1"/>
  <c r="AB531" i="1"/>
  <c r="AA531" i="1"/>
  <c r="Z531" i="1"/>
  <c r="AD530" i="1"/>
  <c r="AC530" i="1"/>
  <c r="AB530" i="1"/>
  <c r="AA530" i="1"/>
  <c r="Z530" i="1"/>
  <c r="AD529" i="1"/>
  <c r="AC529" i="1"/>
  <c r="AB529" i="1"/>
  <c r="AA529" i="1"/>
  <c r="Z529" i="1"/>
  <c r="AD528" i="1"/>
  <c r="AC528" i="1"/>
  <c r="AB528" i="1"/>
  <c r="AA528" i="1"/>
  <c r="Z528" i="1"/>
  <c r="AD527" i="1"/>
  <c r="AC527" i="1"/>
  <c r="AB527" i="1"/>
  <c r="AA527" i="1"/>
  <c r="Z527" i="1"/>
  <c r="AD526" i="1"/>
  <c r="AC526" i="1"/>
  <c r="AB526" i="1"/>
  <c r="AA526" i="1"/>
  <c r="Z526" i="1"/>
  <c r="AD525" i="1"/>
  <c r="AC525" i="1"/>
  <c r="AB525" i="1"/>
  <c r="AA525" i="1"/>
  <c r="Z525" i="1"/>
  <c r="AD524" i="1"/>
  <c r="AC524" i="1"/>
  <c r="AB524" i="1"/>
  <c r="AA524" i="1"/>
  <c r="Z524" i="1"/>
  <c r="AD523" i="1"/>
  <c r="AC523" i="1"/>
  <c r="AB523" i="1"/>
  <c r="AA523" i="1"/>
  <c r="Z523" i="1"/>
  <c r="AD522" i="1"/>
  <c r="AC522" i="1"/>
  <c r="AB522" i="1"/>
  <c r="AA522" i="1"/>
  <c r="Z522" i="1"/>
  <c r="AD521" i="1"/>
  <c r="AC521" i="1"/>
  <c r="AB521" i="1"/>
  <c r="AA521" i="1"/>
  <c r="Z521" i="1"/>
  <c r="AD520" i="1"/>
  <c r="AC520" i="1"/>
  <c r="AB520" i="1"/>
  <c r="AA520" i="1"/>
  <c r="Z520" i="1"/>
  <c r="AD519" i="1"/>
  <c r="AC519" i="1"/>
  <c r="AB519" i="1"/>
  <c r="AA519" i="1"/>
  <c r="Z519" i="1"/>
  <c r="AD518" i="1"/>
  <c r="AC518" i="1"/>
  <c r="AB518" i="1"/>
  <c r="AA518" i="1"/>
  <c r="Z518" i="1"/>
  <c r="AD517" i="1"/>
  <c r="AC517" i="1"/>
  <c r="AB517" i="1"/>
  <c r="AA517" i="1"/>
  <c r="Z517" i="1"/>
  <c r="AD516" i="1"/>
  <c r="AC516" i="1"/>
  <c r="AB516" i="1"/>
  <c r="AA516" i="1"/>
  <c r="Z516" i="1"/>
  <c r="AD515" i="1"/>
  <c r="AC515" i="1"/>
  <c r="AB515" i="1"/>
  <c r="AA515" i="1"/>
  <c r="Z515" i="1"/>
  <c r="AD514" i="1"/>
  <c r="AC514" i="1"/>
  <c r="AB514" i="1"/>
  <c r="AA514" i="1"/>
  <c r="Z514" i="1"/>
  <c r="AD513" i="1"/>
  <c r="AC513" i="1"/>
  <c r="AB513" i="1"/>
  <c r="AA513" i="1"/>
  <c r="Z513" i="1"/>
  <c r="AD512" i="1"/>
  <c r="AC512" i="1"/>
  <c r="AB512" i="1"/>
  <c r="AA512" i="1"/>
  <c r="Z512" i="1"/>
  <c r="AD511" i="1"/>
  <c r="AC511" i="1"/>
  <c r="AB511" i="1"/>
  <c r="AA511" i="1"/>
  <c r="Z511" i="1"/>
  <c r="AD510" i="1"/>
  <c r="AC510" i="1"/>
  <c r="AB510" i="1"/>
  <c r="AA510" i="1"/>
  <c r="Z510" i="1"/>
  <c r="AD509" i="1"/>
  <c r="AC509" i="1"/>
  <c r="AB509" i="1"/>
  <c r="AA509" i="1"/>
  <c r="Z509" i="1"/>
  <c r="AD508" i="1"/>
  <c r="AC508" i="1"/>
  <c r="AB508" i="1"/>
  <c r="AA508" i="1"/>
  <c r="Z508" i="1"/>
  <c r="AD507" i="1"/>
  <c r="AC507" i="1"/>
  <c r="AB507" i="1"/>
  <c r="AA507" i="1"/>
  <c r="Z507" i="1"/>
  <c r="AD506" i="1"/>
  <c r="AC506" i="1"/>
  <c r="AB506" i="1"/>
  <c r="AA506" i="1"/>
  <c r="Z506" i="1"/>
  <c r="AD505" i="1"/>
  <c r="AC505" i="1"/>
  <c r="AB505" i="1"/>
  <c r="AA505" i="1"/>
  <c r="Z505" i="1"/>
  <c r="AD504" i="1"/>
  <c r="AC504" i="1"/>
  <c r="AB504" i="1"/>
  <c r="AA504" i="1"/>
  <c r="Z504" i="1"/>
  <c r="AD503" i="1"/>
  <c r="AC503" i="1"/>
  <c r="AB503" i="1"/>
  <c r="AA503" i="1"/>
  <c r="Z503" i="1"/>
  <c r="AD502" i="1"/>
  <c r="AC502" i="1"/>
  <c r="AB502" i="1"/>
  <c r="AA502" i="1"/>
  <c r="Z502" i="1"/>
  <c r="AD501" i="1"/>
  <c r="AC501" i="1"/>
  <c r="AB501" i="1"/>
  <c r="AA501" i="1"/>
  <c r="Z501" i="1"/>
  <c r="AD500" i="1"/>
  <c r="AC500" i="1"/>
  <c r="AB500" i="1"/>
  <c r="AA500" i="1"/>
  <c r="Z500" i="1"/>
  <c r="AD499" i="1"/>
  <c r="AC499" i="1"/>
  <c r="AB499" i="1"/>
  <c r="AA499" i="1"/>
  <c r="Z499" i="1"/>
  <c r="AD498" i="1"/>
  <c r="AC498" i="1"/>
  <c r="AB498" i="1"/>
  <c r="AA498" i="1"/>
  <c r="Z498" i="1"/>
  <c r="AD497" i="1"/>
  <c r="AC497" i="1"/>
  <c r="AB497" i="1"/>
  <c r="AA497" i="1"/>
  <c r="Z497" i="1"/>
  <c r="AD496" i="1"/>
  <c r="AC496" i="1"/>
  <c r="AB496" i="1"/>
  <c r="AA496" i="1"/>
  <c r="Z496" i="1"/>
  <c r="AD495" i="1"/>
  <c r="AC495" i="1"/>
  <c r="AB495" i="1"/>
  <c r="AA495" i="1"/>
  <c r="Z495" i="1"/>
  <c r="AD494" i="1"/>
  <c r="AC494" i="1"/>
  <c r="AB494" i="1"/>
  <c r="AA494" i="1"/>
  <c r="Z494" i="1"/>
  <c r="AD493" i="1"/>
  <c r="AC493" i="1"/>
  <c r="AB493" i="1"/>
  <c r="AA493" i="1"/>
  <c r="Z493" i="1"/>
  <c r="AD492" i="1"/>
  <c r="AC492" i="1"/>
  <c r="AB492" i="1"/>
  <c r="AA492" i="1"/>
  <c r="Z492" i="1"/>
  <c r="AD491" i="1"/>
  <c r="AC491" i="1"/>
  <c r="AB491" i="1"/>
  <c r="AA491" i="1"/>
  <c r="Z491" i="1"/>
  <c r="AD490" i="1"/>
  <c r="AC490" i="1"/>
  <c r="AB490" i="1"/>
  <c r="AA490" i="1"/>
  <c r="Z490" i="1"/>
  <c r="AD489" i="1"/>
  <c r="AC489" i="1"/>
  <c r="AB489" i="1"/>
  <c r="AA489" i="1"/>
  <c r="Z489" i="1"/>
  <c r="AD488" i="1"/>
  <c r="AC488" i="1"/>
  <c r="AB488" i="1"/>
  <c r="AA488" i="1"/>
  <c r="Z488" i="1"/>
  <c r="AD487" i="1"/>
  <c r="AC487" i="1"/>
  <c r="AB487" i="1"/>
  <c r="AA487" i="1"/>
  <c r="Z487" i="1"/>
  <c r="AD486" i="1"/>
  <c r="AC486" i="1"/>
  <c r="AB486" i="1"/>
  <c r="AA486" i="1"/>
  <c r="Z486" i="1"/>
  <c r="AD485" i="1"/>
  <c r="AC485" i="1"/>
  <c r="AB485" i="1"/>
  <c r="AA485" i="1"/>
  <c r="Z485" i="1"/>
  <c r="AD484" i="1"/>
  <c r="AC484" i="1"/>
  <c r="AB484" i="1"/>
  <c r="AA484" i="1"/>
  <c r="Z484" i="1"/>
  <c r="AD483" i="1"/>
  <c r="AC483" i="1"/>
  <c r="AB483" i="1"/>
  <c r="AA483" i="1"/>
  <c r="Z483" i="1"/>
  <c r="AD482" i="1"/>
  <c r="AC482" i="1"/>
  <c r="AB482" i="1"/>
  <c r="AA482" i="1"/>
  <c r="Z482" i="1"/>
  <c r="AD481" i="1"/>
  <c r="AC481" i="1"/>
  <c r="AB481" i="1"/>
  <c r="AA481" i="1"/>
  <c r="Z481" i="1"/>
  <c r="AD480" i="1"/>
  <c r="AC480" i="1"/>
  <c r="AB480" i="1"/>
  <c r="AA480" i="1"/>
  <c r="Z480" i="1"/>
  <c r="AD479" i="1"/>
  <c r="AC479" i="1"/>
  <c r="AB479" i="1"/>
  <c r="AA479" i="1"/>
  <c r="Z479" i="1"/>
  <c r="AD478" i="1"/>
  <c r="AC478" i="1"/>
  <c r="AB478" i="1"/>
  <c r="AA478" i="1"/>
  <c r="Z478" i="1"/>
  <c r="AD477" i="1"/>
  <c r="AC477" i="1"/>
  <c r="AB477" i="1"/>
  <c r="AA477" i="1"/>
  <c r="Z477" i="1"/>
  <c r="AD476" i="1"/>
  <c r="AC476" i="1"/>
  <c r="AB476" i="1"/>
  <c r="AA476" i="1"/>
  <c r="Z476" i="1"/>
  <c r="AD475" i="1"/>
  <c r="AC475" i="1"/>
  <c r="AB475" i="1"/>
  <c r="AA475" i="1"/>
  <c r="Z475" i="1"/>
  <c r="AD474" i="1"/>
  <c r="AC474" i="1"/>
  <c r="AB474" i="1"/>
  <c r="AA474" i="1"/>
  <c r="Z474" i="1"/>
  <c r="AD473" i="1"/>
  <c r="AC473" i="1"/>
  <c r="AB473" i="1"/>
  <c r="AA473" i="1"/>
  <c r="Z473" i="1"/>
  <c r="AD472" i="1"/>
  <c r="AC472" i="1"/>
  <c r="AB472" i="1"/>
  <c r="AA472" i="1"/>
  <c r="Z472" i="1"/>
  <c r="AD471" i="1"/>
  <c r="AC471" i="1"/>
  <c r="AB471" i="1"/>
  <c r="AA471" i="1"/>
  <c r="Z471" i="1"/>
  <c r="AD470" i="1"/>
  <c r="AC470" i="1"/>
  <c r="AB470" i="1"/>
  <c r="AA470" i="1"/>
  <c r="Z470" i="1"/>
  <c r="AD469" i="1"/>
  <c r="AC469" i="1"/>
  <c r="AB469" i="1"/>
  <c r="AA469" i="1"/>
  <c r="Z469" i="1"/>
  <c r="AD468" i="1"/>
  <c r="AC468" i="1"/>
  <c r="AB468" i="1"/>
  <c r="AA468" i="1"/>
  <c r="Z468" i="1"/>
  <c r="AD467" i="1"/>
  <c r="AC467" i="1"/>
  <c r="AB467" i="1"/>
  <c r="AA467" i="1"/>
  <c r="Z467" i="1"/>
  <c r="AD466" i="1"/>
  <c r="AC466" i="1"/>
  <c r="AB466" i="1"/>
  <c r="AA466" i="1"/>
  <c r="Z466" i="1"/>
  <c r="AD465" i="1"/>
  <c r="AC465" i="1"/>
  <c r="AB465" i="1"/>
  <c r="AA465" i="1"/>
  <c r="Z465" i="1"/>
  <c r="AD464" i="1"/>
  <c r="AC464" i="1"/>
  <c r="AB464" i="1"/>
  <c r="AA464" i="1"/>
  <c r="Z464" i="1"/>
  <c r="AD463" i="1"/>
  <c r="AC463" i="1"/>
  <c r="AB463" i="1"/>
  <c r="AA463" i="1"/>
  <c r="Z463" i="1"/>
  <c r="AD462" i="1"/>
  <c r="AC462" i="1"/>
  <c r="AB462" i="1"/>
  <c r="AA462" i="1"/>
  <c r="Z462" i="1"/>
  <c r="AD461" i="1"/>
  <c r="AC461" i="1"/>
  <c r="AB461" i="1"/>
  <c r="AA461" i="1"/>
  <c r="Z461" i="1"/>
  <c r="AD460" i="1"/>
  <c r="AC460" i="1"/>
  <c r="AB460" i="1"/>
  <c r="AA460" i="1"/>
  <c r="Z460" i="1"/>
  <c r="AD459" i="1"/>
  <c r="AC459" i="1"/>
  <c r="AB459" i="1"/>
  <c r="AA459" i="1"/>
  <c r="Z459" i="1"/>
  <c r="AD458" i="1"/>
  <c r="AC458" i="1"/>
  <c r="AB458" i="1"/>
  <c r="AA458" i="1"/>
  <c r="Z458" i="1"/>
  <c r="AD457" i="1"/>
  <c r="AC457" i="1"/>
  <c r="AB457" i="1"/>
  <c r="AA457" i="1"/>
  <c r="Z457" i="1"/>
  <c r="AD456" i="1"/>
  <c r="AC456" i="1"/>
  <c r="AB456" i="1"/>
  <c r="AA456" i="1"/>
  <c r="Z456" i="1"/>
  <c r="AD455" i="1"/>
  <c r="AC455" i="1"/>
  <c r="AB455" i="1"/>
  <c r="AA455" i="1"/>
  <c r="Z455" i="1"/>
  <c r="AD454" i="1"/>
  <c r="AC454" i="1"/>
  <c r="AB454" i="1"/>
  <c r="AA454" i="1"/>
  <c r="Z454" i="1"/>
  <c r="AD453" i="1"/>
  <c r="AC453" i="1"/>
  <c r="AB453" i="1"/>
  <c r="AA453" i="1"/>
  <c r="Z453" i="1"/>
  <c r="AD452" i="1"/>
  <c r="AC452" i="1"/>
  <c r="AB452" i="1"/>
  <c r="AA452" i="1"/>
  <c r="Z452" i="1"/>
  <c r="AD451" i="1"/>
  <c r="AC451" i="1"/>
  <c r="AB451" i="1"/>
  <c r="AA451" i="1"/>
  <c r="Z451" i="1"/>
  <c r="AD450" i="1"/>
  <c r="AC450" i="1"/>
  <c r="AB450" i="1"/>
  <c r="AA450" i="1"/>
  <c r="Z450" i="1"/>
  <c r="AD449" i="1"/>
  <c r="AC449" i="1"/>
  <c r="AB449" i="1"/>
  <c r="AA449" i="1"/>
  <c r="Z449" i="1"/>
  <c r="AD448" i="1"/>
  <c r="AC448" i="1"/>
  <c r="AB448" i="1"/>
  <c r="AA448" i="1"/>
  <c r="Z448" i="1"/>
  <c r="AD447" i="1"/>
  <c r="AC447" i="1"/>
  <c r="AB447" i="1"/>
  <c r="AA447" i="1"/>
  <c r="Z447" i="1"/>
  <c r="AD446" i="1"/>
  <c r="AC446" i="1"/>
  <c r="AB446" i="1"/>
  <c r="AA446" i="1"/>
  <c r="Z446" i="1"/>
  <c r="AD445" i="1"/>
  <c r="AC445" i="1"/>
  <c r="AB445" i="1"/>
  <c r="AA445" i="1"/>
  <c r="Z445" i="1"/>
  <c r="AD444" i="1"/>
  <c r="AC444" i="1"/>
  <c r="AB444" i="1"/>
  <c r="AA444" i="1"/>
  <c r="Z444" i="1"/>
  <c r="AD443" i="1"/>
  <c r="AC443" i="1"/>
  <c r="AB443" i="1"/>
  <c r="AA443" i="1"/>
  <c r="Z443" i="1"/>
  <c r="AD442" i="1"/>
  <c r="AC442" i="1"/>
  <c r="AB442" i="1"/>
  <c r="AA442" i="1"/>
  <c r="Z442" i="1"/>
  <c r="AD441" i="1"/>
  <c r="AC441" i="1"/>
  <c r="AB441" i="1"/>
  <c r="AA441" i="1"/>
  <c r="Z441" i="1"/>
  <c r="AD440" i="1"/>
  <c r="AC440" i="1"/>
  <c r="AB440" i="1"/>
  <c r="AA440" i="1"/>
  <c r="Z440" i="1"/>
  <c r="AD439" i="1"/>
  <c r="AC439" i="1"/>
  <c r="AB439" i="1"/>
  <c r="AA439" i="1"/>
  <c r="Z439" i="1"/>
  <c r="AD438" i="1"/>
  <c r="AC438" i="1"/>
  <c r="AB438" i="1"/>
  <c r="AA438" i="1"/>
  <c r="Z438" i="1"/>
  <c r="AD437" i="1"/>
  <c r="AC437" i="1"/>
  <c r="AB437" i="1"/>
  <c r="AA437" i="1"/>
  <c r="Z437" i="1"/>
  <c r="AD436" i="1"/>
  <c r="AC436" i="1"/>
  <c r="AB436" i="1"/>
  <c r="AA436" i="1"/>
  <c r="Z436" i="1"/>
  <c r="AD435" i="1"/>
  <c r="AC435" i="1"/>
  <c r="AB435" i="1"/>
  <c r="AA435" i="1"/>
  <c r="Z435" i="1"/>
  <c r="AD434" i="1"/>
  <c r="AC434" i="1"/>
  <c r="AB434" i="1"/>
  <c r="AA434" i="1"/>
  <c r="Z434" i="1"/>
  <c r="AD433" i="1"/>
  <c r="AC433" i="1"/>
  <c r="AB433" i="1"/>
  <c r="AA433" i="1"/>
  <c r="Z433" i="1"/>
  <c r="AD432" i="1"/>
  <c r="AC432" i="1"/>
  <c r="AB432" i="1"/>
  <c r="AA432" i="1"/>
  <c r="Z432" i="1"/>
  <c r="AD431" i="1"/>
  <c r="AC431" i="1"/>
  <c r="AB431" i="1"/>
  <c r="AA431" i="1"/>
  <c r="Z431" i="1"/>
  <c r="AD430" i="1"/>
  <c r="AC430" i="1"/>
  <c r="AB430" i="1"/>
  <c r="AA430" i="1"/>
  <c r="Z430" i="1"/>
  <c r="AD429" i="1"/>
  <c r="AC429" i="1"/>
  <c r="AB429" i="1"/>
  <c r="AA429" i="1"/>
  <c r="Z429" i="1"/>
  <c r="AD428" i="1"/>
  <c r="AC428" i="1"/>
  <c r="AB428" i="1"/>
  <c r="AA428" i="1"/>
  <c r="Z428" i="1"/>
  <c r="AD427" i="1"/>
  <c r="AC427" i="1"/>
  <c r="AB427" i="1"/>
  <c r="AA427" i="1"/>
  <c r="Z427" i="1"/>
  <c r="AD426" i="1"/>
  <c r="AC426" i="1"/>
  <c r="AB426" i="1"/>
  <c r="AA426" i="1"/>
  <c r="Z426" i="1"/>
  <c r="AD425" i="1"/>
  <c r="AC425" i="1"/>
  <c r="AB425" i="1"/>
  <c r="AA425" i="1"/>
  <c r="Z425" i="1"/>
  <c r="AD424" i="1"/>
  <c r="AC424" i="1"/>
  <c r="AB424" i="1"/>
  <c r="AA424" i="1"/>
  <c r="Z424" i="1"/>
  <c r="AD423" i="1"/>
  <c r="AC423" i="1"/>
  <c r="AB423" i="1"/>
  <c r="AA423" i="1"/>
  <c r="Z423" i="1"/>
  <c r="AD422" i="1"/>
  <c r="AC422" i="1"/>
  <c r="AB422" i="1"/>
  <c r="AA422" i="1"/>
  <c r="Z422" i="1"/>
  <c r="AD421" i="1"/>
  <c r="AC421" i="1"/>
  <c r="AB421" i="1"/>
  <c r="AA421" i="1"/>
  <c r="Z421" i="1"/>
  <c r="AD420" i="1"/>
  <c r="AC420" i="1"/>
  <c r="AB420" i="1"/>
  <c r="AA420" i="1"/>
  <c r="Z420" i="1"/>
  <c r="AD419" i="1"/>
  <c r="AC419" i="1"/>
  <c r="AB419" i="1"/>
  <c r="AA419" i="1"/>
  <c r="Z419" i="1"/>
  <c r="AD418" i="1"/>
  <c r="AC418" i="1"/>
  <c r="AB418" i="1"/>
  <c r="AA418" i="1"/>
  <c r="Z418" i="1"/>
  <c r="AD417" i="1"/>
  <c r="AC417" i="1"/>
  <c r="AB417" i="1"/>
  <c r="AA417" i="1"/>
  <c r="Z417" i="1"/>
  <c r="AD416" i="1"/>
  <c r="AC416" i="1"/>
  <c r="AB416" i="1"/>
  <c r="AA416" i="1"/>
  <c r="Z416" i="1"/>
  <c r="AD415" i="1"/>
  <c r="AC415" i="1"/>
  <c r="AB415" i="1"/>
  <c r="AA415" i="1"/>
  <c r="Z415" i="1"/>
  <c r="AD414" i="1"/>
  <c r="AC414" i="1"/>
  <c r="AB414" i="1"/>
  <c r="AA414" i="1"/>
  <c r="Z414" i="1"/>
  <c r="AD413" i="1"/>
  <c r="AC413" i="1"/>
  <c r="AB413" i="1"/>
  <c r="AA413" i="1"/>
  <c r="Z413" i="1"/>
  <c r="AD412" i="1"/>
  <c r="AC412" i="1"/>
  <c r="AB412" i="1"/>
  <c r="AA412" i="1"/>
  <c r="Z412" i="1"/>
  <c r="AD411" i="1"/>
  <c r="AC411" i="1"/>
  <c r="AB411" i="1"/>
  <c r="AA411" i="1"/>
  <c r="Z411" i="1"/>
  <c r="AD410" i="1"/>
  <c r="AC410" i="1"/>
  <c r="AB410" i="1"/>
  <c r="AA410" i="1"/>
  <c r="Z410" i="1"/>
  <c r="AD409" i="1"/>
  <c r="AC409" i="1"/>
  <c r="AB409" i="1"/>
  <c r="AA409" i="1"/>
  <c r="Z409" i="1"/>
  <c r="AD408" i="1"/>
  <c r="AC408" i="1"/>
  <c r="AB408" i="1"/>
  <c r="AA408" i="1"/>
  <c r="Z408" i="1"/>
  <c r="AD407" i="1"/>
  <c r="AC407" i="1"/>
  <c r="AB407" i="1"/>
  <c r="AA407" i="1"/>
  <c r="Z407" i="1"/>
  <c r="AD406" i="1"/>
  <c r="AC406" i="1"/>
  <c r="AB406" i="1"/>
  <c r="AA406" i="1"/>
  <c r="Z406" i="1"/>
  <c r="AD405" i="1"/>
  <c r="AC405" i="1"/>
  <c r="AB405" i="1"/>
  <c r="AA405" i="1"/>
  <c r="Z405" i="1"/>
  <c r="AD404" i="1"/>
  <c r="AC404" i="1"/>
  <c r="AB404" i="1"/>
  <c r="AA404" i="1"/>
  <c r="Z404" i="1"/>
  <c r="AD403" i="1"/>
  <c r="AC403" i="1"/>
  <c r="AB403" i="1"/>
  <c r="AA403" i="1"/>
  <c r="Z403" i="1"/>
  <c r="AD402" i="1"/>
  <c r="AC402" i="1"/>
  <c r="AB402" i="1"/>
  <c r="AA402" i="1"/>
  <c r="Z402" i="1"/>
  <c r="AD401" i="1"/>
  <c r="AC401" i="1"/>
  <c r="AB401" i="1"/>
  <c r="AA401" i="1"/>
  <c r="Z401" i="1"/>
  <c r="AD400" i="1"/>
  <c r="AC400" i="1"/>
  <c r="AB400" i="1"/>
  <c r="AA400" i="1"/>
  <c r="Z400" i="1"/>
  <c r="AD399" i="1"/>
  <c r="AC399" i="1"/>
  <c r="AB399" i="1"/>
  <c r="AA399" i="1"/>
  <c r="Z399" i="1"/>
  <c r="AD398" i="1"/>
  <c r="AC398" i="1"/>
  <c r="AB398" i="1"/>
  <c r="AA398" i="1"/>
  <c r="Z398" i="1"/>
  <c r="AD397" i="1"/>
  <c r="AC397" i="1"/>
  <c r="AB397" i="1"/>
  <c r="AA397" i="1"/>
  <c r="Z397" i="1"/>
  <c r="AD396" i="1"/>
  <c r="AC396" i="1"/>
  <c r="AB396" i="1"/>
  <c r="AA396" i="1"/>
  <c r="Z396" i="1"/>
  <c r="AD395" i="1"/>
  <c r="AC395" i="1"/>
  <c r="AB395" i="1"/>
  <c r="AA395" i="1"/>
  <c r="Z395" i="1"/>
  <c r="AD394" i="1"/>
  <c r="AC394" i="1"/>
  <c r="AB394" i="1"/>
  <c r="AA394" i="1"/>
  <c r="Z394" i="1"/>
  <c r="AD393" i="1"/>
  <c r="AC393" i="1"/>
  <c r="AB393" i="1"/>
  <c r="AA393" i="1"/>
  <c r="Z393" i="1"/>
  <c r="AD392" i="1"/>
  <c r="AC392" i="1"/>
  <c r="AB392" i="1"/>
  <c r="AA392" i="1"/>
  <c r="Z392" i="1"/>
  <c r="AD391" i="1"/>
  <c r="AC391" i="1"/>
  <c r="AB391" i="1"/>
  <c r="AA391" i="1"/>
  <c r="Z391" i="1"/>
  <c r="AD390" i="1"/>
  <c r="AC390" i="1"/>
  <c r="AB390" i="1"/>
  <c r="AA390" i="1"/>
  <c r="Z390" i="1"/>
  <c r="AD389" i="1"/>
  <c r="AC389" i="1"/>
  <c r="AB389" i="1"/>
  <c r="AA389" i="1"/>
  <c r="Z389" i="1"/>
  <c r="AD388" i="1"/>
  <c r="AC388" i="1"/>
  <c r="AB388" i="1"/>
  <c r="AA388" i="1"/>
  <c r="Z388" i="1"/>
  <c r="AD387" i="1"/>
  <c r="AC387" i="1"/>
  <c r="AB387" i="1"/>
  <c r="AA387" i="1"/>
  <c r="Z387" i="1"/>
  <c r="AD386" i="1"/>
  <c r="AC386" i="1"/>
  <c r="AB386" i="1"/>
  <c r="AA386" i="1"/>
  <c r="Z386" i="1"/>
  <c r="AD385" i="1"/>
  <c r="AC385" i="1"/>
  <c r="AB385" i="1"/>
  <c r="AA385" i="1"/>
  <c r="Z385" i="1"/>
  <c r="AD384" i="1"/>
  <c r="AC384" i="1"/>
  <c r="AB384" i="1"/>
  <c r="AA384" i="1"/>
  <c r="Z384" i="1"/>
  <c r="AD383" i="1"/>
  <c r="AC383" i="1"/>
  <c r="AB383" i="1"/>
  <c r="AA383" i="1"/>
  <c r="Z383" i="1"/>
  <c r="AD382" i="1"/>
  <c r="AC382" i="1"/>
  <c r="AB382" i="1"/>
  <c r="AA382" i="1"/>
  <c r="Z382" i="1"/>
  <c r="AD381" i="1"/>
  <c r="AC381" i="1"/>
  <c r="AB381" i="1"/>
  <c r="AA381" i="1"/>
  <c r="Z381" i="1"/>
  <c r="AD380" i="1"/>
  <c r="AC380" i="1"/>
  <c r="AB380" i="1"/>
  <c r="AA380" i="1"/>
  <c r="Z380" i="1"/>
  <c r="AD379" i="1"/>
  <c r="AC379" i="1"/>
  <c r="AB379" i="1"/>
  <c r="AA379" i="1"/>
  <c r="Z379" i="1"/>
  <c r="AD378" i="1"/>
  <c r="AC378" i="1"/>
  <c r="AB378" i="1"/>
  <c r="AA378" i="1"/>
  <c r="Z378" i="1"/>
  <c r="AD377" i="1"/>
  <c r="AC377" i="1"/>
  <c r="AB377" i="1"/>
  <c r="AA377" i="1"/>
  <c r="Z377" i="1"/>
  <c r="AD376" i="1"/>
  <c r="AC376" i="1"/>
  <c r="AB376" i="1"/>
  <c r="AA376" i="1"/>
  <c r="Z376" i="1"/>
  <c r="AD375" i="1"/>
  <c r="AC375" i="1"/>
  <c r="AB375" i="1"/>
  <c r="AA375" i="1"/>
  <c r="Z375" i="1"/>
  <c r="AD374" i="1"/>
  <c r="AC374" i="1"/>
  <c r="AB374" i="1"/>
  <c r="AA374" i="1"/>
  <c r="Z374" i="1"/>
  <c r="AD373" i="1"/>
  <c r="AC373" i="1"/>
  <c r="AB373" i="1"/>
  <c r="AA373" i="1"/>
  <c r="Z373" i="1"/>
  <c r="AD372" i="1"/>
  <c r="AC372" i="1"/>
  <c r="AB372" i="1"/>
  <c r="AA372" i="1"/>
  <c r="Z372" i="1"/>
  <c r="AD371" i="1"/>
  <c r="AC371" i="1"/>
  <c r="AB371" i="1"/>
  <c r="AA371" i="1"/>
  <c r="Z371" i="1"/>
  <c r="AD370" i="1"/>
  <c r="AC370" i="1"/>
  <c r="AB370" i="1"/>
  <c r="AA370" i="1"/>
  <c r="Z370" i="1"/>
  <c r="AD369" i="1"/>
  <c r="AC369" i="1"/>
  <c r="AB369" i="1"/>
  <c r="AA369" i="1"/>
  <c r="Z369" i="1"/>
  <c r="AD368" i="1"/>
  <c r="AC368" i="1"/>
  <c r="AB368" i="1"/>
  <c r="AA368" i="1"/>
  <c r="Z368" i="1"/>
  <c r="AD367" i="1"/>
  <c r="AC367" i="1"/>
  <c r="AB367" i="1"/>
  <c r="AA367" i="1"/>
  <c r="Z367" i="1"/>
  <c r="AD366" i="1"/>
  <c r="AC366" i="1"/>
  <c r="AB366" i="1"/>
  <c r="AA366" i="1"/>
  <c r="Z366" i="1"/>
  <c r="AD365" i="1"/>
  <c r="AC365" i="1"/>
  <c r="AB365" i="1"/>
  <c r="AA365" i="1"/>
  <c r="Z365" i="1"/>
  <c r="AD364" i="1"/>
  <c r="AC364" i="1"/>
  <c r="AB364" i="1"/>
  <c r="AA364" i="1"/>
  <c r="Z364" i="1"/>
  <c r="AD363" i="1"/>
  <c r="AC363" i="1"/>
  <c r="AB363" i="1"/>
  <c r="AA363" i="1"/>
  <c r="Z363" i="1"/>
  <c r="AD362" i="1"/>
  <c r="AC362" i="1"/>
  <c r="AB362" i="1"/>
  <c r="AA362" i="1"/>
  <c r="Z362" i="1"/>
  <c r="AD361" i="1"/>
  <c r="AC361" i="1"/>
  <c r="AB361" i="1"/>
  <c r="AA361" i="1"/>
  <c r="Z361" i="1"/>
  <c r="AD360" i="1"/>
  <c r="AC360" i="1"/>
  <c r="AB360" i="1"/>
  <c r="AA360" i="1"/>
  <c r="Z360" i="1"/>
  <c r="AD359" i="1"/>
  <c r="AC359" i="1"/>
  <c r="AB359" i="1"/>
  <c r="AA359" i="1"/>
  <c r="Z359" i="1"/>
  <c r="AD358" i="1"/>
  <c r="AC358" i="1"/>
  <c r="AB358" i="1"/>
  <c r="AA358" i="1"/>
  <c r="Z358" i="1"/>
  <c r="AD357" i="1"/>
  <c r="AC357" i="1"/>
  <c r="AB357" i="1"/>
  <c r="AA357" i="1"/>
  <c r="Z357" i="1"/>
  <c r="AD356" i="1"/>
  <c r="AC356" i="1"/>
  <c r="AB356" i="1"/>
  <c r="AA356" i="1"/>
  <c r="Z356" i="1"/>
  <c r="AD355" i="1"/>
  <c r="AC355" i="1"/>
  <c r="AB355" i="1"/>
  <c r="AA355" i="1"/>
  <c r="Z355" i="1"/>
  <c r="AD354" i="1"/>
  <c r="AC354" i="1"/>
  <c r="AB354" i="1"/>
  <c r="AA354" i="1"/>
  <c r="Z354" i="1"/>
  <c r="AD353" i="1"/>
  <c r="AC353" i="1"/>
  <c r="AB353" i="1"/>
  <c r="AA353" i="1"/>
  <c r="Z353" i="1"/>
  <c r="AD352" i="1"/>
  <c r="AC352" i="1"/>
  <c r="AB352" i="1"/>
  <c r="AA352" i="1"/>
  <c r="Z352" i="1"/>
  <c r="AD351" i="1"/>
  <c r="AC351" i="1"/>
  <c r="AB351" i="1"/>
  <c r="AA351" i="1"/>
  <c r="Z351" i="1"/>
  <c r="AD350" i="1"/>
  <c r="AC350" i="1"/>
  <c r="AB350" i="1"/>
  <c r="AA350" i="1"/>
  <c r="Z350" i="1"/>
  <c r="AD349" i="1"/>
  <c r="AC349" i="1"/>
  <c r="AB349" i="1"/>
  <c r="AA349" i="1"/>
  <c r="Z349" i="1"/>
  <c r="AD348" i="1"/>
  <c r="AC348" i="1"/>
  <c r="AB348" i="1"/>
  <c r="AA348" i="1"/>
  <c r="Z348" i="1"/>
  <c r="AD347" i="1"/>
  <c r="AC347" i="1"/>
  <c r="AB347" i="1"/>
  <c r="AA347" i="1"/>
  <c r="Z347" i="1"/>
  <c r="AD346" i="1"/>
  <c r="AC346" i="1"/>
  <c r="AB346" i="1"/>
  <c r="AA346" i="1"/>
  <c r="Z346" i="1"/>
  <c r="AD345" i="1"/>
  <c r="AC345" i="1"/>
  <c r="AB345" i="1"/>
  <c r="AA345" i="1"/>
  <c r="Z345" i="1"/>
  <c r="AD344" i="1"/>
  <c r="AC344" i="1"/>
  <c r="AB344" i="1"/>
  <c r="AA344" i="1"/>
  <c r="Z344" i="1"/>
  <c r="AD343" i="1"/>
  <c r="AC343" i="1"/>
  <c r="AB343" i="1"/>
  <c r="AA343" i="1"/>
  <c r="Z343" i="1"/>
  <c r="AD342" i="1"/>
  <c r="AC342" i="1"/>
  <c r="AB342" i="1"/>
  <c r="AA342" i="1"/>
  <c r="Z342" i="1"/>
  <c r="AD341" i="1"/>
  <c r="AC341" i="1"/>
  <c r="AB341" i="1"/>
  <c r="AA341" i="1"/>
  <c r="Z341" i="1"/>
  <c r="AD340" i="1"/>
  <c r="AC340" i="1"/>
  <c r="AB340" i="1"/>
  <c r="AA340" i="1"/>
  <c r="Z340" i="1"/>
  <c r="AD339" i="1"/>
  <c r="AC339" i="1"/>
  <c r="AB339" i="1"/>
  <c r="AA339" i="1"/>
  <c r="Z339" i="1"/>
  <c r="AD338" i="1"/>
  <c r="AC338" i="1"/>
  <c r="AB338" i="1"/>
  <c r="AA338" i="1"/>
  <c r="Z338" i="1"/>
  <c r="AD337" i="1"/>
  <c r="AC337" i="1"/>
  <c r="AB337" i="1"/>
  <c r="AA337" i="1"/>
  <c r="Z337" i="1"/>
  <c r="AD336" i="1"/>
  <c r="AC336" i="1"/>
  <c r="AB336" i="1"/>
  <c r="AA336" i="1"/>
  <c r="Z336" i="1"/>
  <c r="AD335" i="1"/>
  <c r="AC335" i="1"/>
  <c r="AB335" i="1"/>
  <c r="AA335" i="1"/>
  <c r="Z335" i="1"/>
  <c r="AD334" i="1"/>
  <c r="AC334" i="1"/>
  <c r="AB334" i="1"/>
  <c r="AA334" i="1"/>
  <c r="Z334" i="1"/>
  <c r="AD333" i="1"/>
  <c r="AC333" i="1"/>
  <c r="AB333" i="1"/>
  <c r="AA333" i="1"/>
  <c r="Z333" i="1"/>
  <c r="AD332" i="1"/>
  <c r="AC332" i="1"/>
  <c r="AB332" i="1"/>
  <c r="AA332" i="1"/>
  <c r="Z332" i="1"/>
  <c r="AD331" i="1"/>
  <c r="AC331" i="1"/>
  <c r="AB331" i="1"/>
  <c r="AA331" i="1"/>
  <c r="Z331" i="1"/>
  <c r="AD330" i="1"/>
  <c r="AC330" i="1"/>
  <c r="AB330" i="1"/>
  <c r="AA330" i="1"/>
  <c r="Z330" i="1"/>
  <c r="AD329" i="1"/>
  <c r="AC329" i="1"/>
  <c r="AB329" i="1"/>
  <c r="AA329" i="1"/>
  <c r="Z329" i="1"/>
  <c r="AD328" i="1"/>
  <c r="AC328" i="1"/>
  <c r="AB328" i="1"/>
  <c r="AA328" i="1"/>
  <c r="Z328" i="1"/>
  <c r="AD327" i="1"/>
  <c r="AC327" i="1"/>
  <c r="AB327" i="1"/>
  <c r="AA327" i="1"/>
  <c r="Z327" i="1"/>
  <c r="AD326" i="1"/>
  <c r="AC326" i="1"/>
  <c r="AB326" i="1"/>
  <c r="AA326" i="1"/>
  <c r="Z326" i="1"/>
  <c r="AD325" i="1"/>
  <c r="AC325" i="1"/>
  <c r="AB325" i="1"/>
  <c r="AA325" i="1"/>
  <c r="Z325" i="1"/>
  <c r="AD324" i="1"/>
  <c r="AC324" i="1"/>
  <c r="AB324" i="1"/>
  <c r="AA324" i="1"/>
  <c r="Z324" i="1"/>
  <c r="AD323" i="1"/>
  <c r="AC323" i="1"/>
  <c r="AB323" i="1"/>
  <c r="AA323" i="1"/>
  <c r="Z323" i="1"/>
  <c r="AD322" i="1"/>
  <c r="AC322" i="1"/>
  <c r="AB322" i="1"/>
  <c r="AA322" i="1"/>
  <c r="Z322" i="1"/>
  <c r="AD321" i="1"/>
  <c r="AC321" i="1"/>
  <c r="AB321" i="1"/>
  <c r="AA321" i="1"/>
  <c r="Z321" i="1"/>
  <c r="AD320" i="1"/>
  <c r="AC320" i="1"/>
  <c r="AB320" i="1"/>
  <c r="AA320" i="1"/>
  <c r="Z320" i="1"/>
  <c r="AD319" i="1"/>
  <c r="AC319" i="1"/>
  <c r="AB319" i="1"/>
  <c r="AA319" i="1"/>
  <c r="Z319" i="1"/>
  <c r="AD318" i="1"/>
  <c r="AC318" i="1"/>
  <c r="AB318" i="1"/>
  <c r="AA318" i="1"/>
  <c r="Z318" i="1"/>
  <c r="AD317" i="1"/>
  <c r="AC317" i="1"/>
  <c r="AB317" i="1"/>
  <c r="AA317" i="1"/>
  <c r="Z317" i="1"/>
  <c r="AD316" i="1"/>
  <c r="AC316" i="1"/>
  <c r="AB316" i="1"/>
  <c r="AA316" i="1"/>
  <c r="Z316" i="1"/>
  <c r="AD315" i="1"/>
  <c r="AC315" i="1"/>
  <c r="AB315" i="1"/>
  <c r="AA315" i="1"/>
  <c r="Z315" i="1"/>
  <c r="AD314" i="1"/>
  <c r="AC314" i="1"/>
  <c r="AB314" i="1"/>
  <c r="AA314" i="1"/>
  <c r="Z314" i="1"/>
  <c r="AD313" i="1"/>
  <c r="AC313" i="1"/>
  <c r="AB313" i="1"/>
  <c r="AA313" i="1"/>
  <c r="Z313" i="1"/>
  <c r="AD312" i="1"/>
  <c r="AC312" i="1"/>
  <c r="AB312" i="1"/>
  <c r="AA312" i="1"/>
  <c r="Z312" i="1"/>
  <c r="AD311" i="1"/>
  <c r="AC311" i="1"/>
  <c r="AB311" i="1"/>
  <c r="AA311" i="1"/>
  <c r="Z311" i="1"/>
  <c r="AD310" i="1"/>
  <c r="AC310" i="1"/>
  <c r="AB310" i="1"/>
  <c r="AA310" i="1"/>
  <c r="Z310" i="1"/>
  <c r="AD309" i="1"/>
  <c r="AC309" i="1"/>
  <c r="AB309" i="1"/>
  <c r="AA309" i="1"/>
  <c r="Z309" i="1"/>
  <c r="AD308" i="1"/>
  <c r="AC308" i="1"/>
  <c r="AB308" i="1"/>
  <c r="AA308" i="1"/>
  <c r="Z308" i="1"/>
  <c r="AD307" i="1"/>
  <c r="AC307" i="1"/>
  <c r="AB307" i="1"/>
  <c r="AA307" i="1"/>
  <c r="Z307" i="1"/>
  <c r="AD306" i="1"/>
  <c r="AC306" i="1"/>
  <c r="AB306" i="1"/>
  <c r="AA306" i="1"/>
  <c r="Z306" i="1"/>
  <c r="AD305" i="1"/>
  <c r="AC305" i="1"/>
  <c r="AB305" i="1"/>
  <c r="AA305" i="1"/>
  <c r="Z305" i="1"/>
  <c r="AD304" i="1"/>
  <c r="AC304" i="1"/>
  <c r="AB304" i="1"/>
  <c r="AA304" i="1"/>
  <c r="Z304" i="1"/>
  <c r="AD303" i="1"/>
  <c r="AC303" i="1"/>
  <c r="AB303" i="1"/>
  <c r="AA303" i="1"/>
  <c r="Z303" i="1"/>
  <c r="AD302" i="1"/>
  <c r="AC302" i="1"/>
  <c r="AB302" i="1"/>
  <c r="AA302" i="1"/>
  <c r="Z302" i="1"/>
  <c r="AD301" i="1"/>
  <c r="AC301" i="1"/>
  <c r="AB301" i="1"/>
  <c r="AA301" i="1"/>
  <c r="Z301" i="1"/>
  <c r="AD300" i="1"/>
  <c r="AC300" i="1"/>
  <c r="AB300" i="1"/>
  <c r="AA300" i="1"/>
  <c r="Z300" i="1"/>
  <c r="AD299" i="1"/>
  <c r="AC299" i="1"/>
  <c r="AB299" i="1"/>
  <c r="AA299" i="1"/>
  <c r="Z299" i="1"/>
  <c r="AD298" i="1"/>
  <c r="AC298" i="1"/>
  <c r="AB298" i="1"/>
  <c r="AA298" i="1"/>
  <c r="Z298" i="1"/>
  <c r="AD297" i="1"/>
  <c r="AC297" i="1"/>
  <c r="AB297" i="1"/>
  <c r="AA297" i="1"/>
  <c r="Z297" i="1"/>
  <c r="AD296" i="1"/>
  <c r="AC296" i="1"/>
  <c r="AB296" i="1"/>
  <c r="AA296" i="1"/>
  <c r="Z296" i="1"/>
  <c r="AD295" i="1"/>
  <c r="AC295" i="1"/>
  <c r="AB295" i="1"/>
  <c r="AA295" i="1"/>
  <c r="Z295" i="1"/>
  <c r="AD294" i="1"/>
  <c r="AC294" i="1"/>
  <c r="AB294" i="1"/>
  <c r="AA294" i="1"/>
  <c r="Z294" i="1"/>
  <c r="AD293" i="1"/>
  <c r="AC293" i="1"/>
  <c r="AB293" i="1"/>
  <c r="AA293" i="1"/>
  <c r="Z293" i="1"/>
  <c r="AD292" i="1"/>
  <c r="AC292" i="1"/>
  <c r="AB292" i="1"/>
  <c r="AA292" i="1"/>
  <c r="Z292" i="1"/>
  <c r="AD291" i="1"/>
  <c r="AC291" i="1"/>
  <c r="AB291" i="1"/>
  <c r="AA291" i="1"/>
  <c r="Z291" i="1"/>
  <c r="AD290" i="1"/>
  <c r="AC290" i="1"/>
  <c r="AB290" i="1"/>
  <c r="AA290" i="1"/>
  <c r="Z290" i="1"/>
  <c r="AD289" i="1"/>
  <c r="AC289" i="1"/>
  <c r="AB289" i="1"/>
  <c r="AA289" i="1"/>
  <c r="Z289" i="1"/>
  <c r="AD288" i="1"/>
  <c r="AC288" i="1"/>
  <c r="AB288" i="1"/>
  <c r="AA288" i="1"/>
  <c r="Z288" i="1"/>
  <c r="AD287" i="1"/>
  <c r="AC287" i="1"/>
  <c r="AB287" i="1"/>
  <c r="AA287" i="1"/>
  <c r="Z287" i="1"/>
  <c r="AD286" i="1"/>
  <c r="AC286" i="1"/>
  <c r="AB286" i="1"/>
  <c r="AA286" i="1"/>
  <c r="Z286" i="1"/>
  <c r="AD285" i="1"/>
  <c r="AC285" i="1"/>
  <c r="AB285" i="1"/>
  <c r="AA285" i="1"/>
  <c r="Z285" i="1"/>
  <c r="AD284" i="1"/>
  <c r="AC284" i="1"/>
  <c r="AB284" i="1"/>
  <c r="AA284" i="1"/>
  <c r="Z284" i="1"/>
  <c r="AD283" i="1"/>
  <c r="AC283" i="1"/>
  <c r="AB283" i="1"/>
  <c r="AA283" i="1"/>
  <c r="Z283" i="1"/>
  <c r="AD282" i="1"/>
  <c r="AC282" i="1"/>
  <c r="AB282" i="1"/>
  <c r="AA282" i="1"/>
  <c r="Z282" i="1"/>
  <c r="AD281" i="1"/>
  <c r="AC281" i="1"/>
  <c r="AB281" i="1"/>
  <c r="AA281" i="1"/>
  <c r="Z281" i="1"/>
  <c r="AD280" i="1"/>
  <c r="AC280" i="1"/>
  <c r="AB280" i="1"/>
  <c r="AA280" i="1"/>
  <c r="Z280" i="1"/>
  <c r="AD279" i="1"/>
  <c r="AC279" i="1"/>
  <c r="AB279" i="1"/>
  <c r="AA279" i="1"/>
  <c r="Z279" i="1"/>
  <c r="AD278" i="1"/>
  <c r="AC278" i="1"/>
  <c r="AB278" i="1"/>
  <c r="AA278" i="1"/>
  <c r="Z278" i="1"/>
  <c r="AD277" i="1"/>
  <c r="AC277" i="1"/>
  <c r="AB277" i="1"/>
  <c r="AA277" i="1"/>
  <c r="Z277" i="1"/>
  <c r="AD276" i="1"/>
  <c r="AC276" i="1"/>
  <c r="AB276" i="1"/>
  <c r="AA276" i="1"/>
  <c r="Z276" i="1"/>
  <c r="AD275" i="1"/>
  <c r="AC275" i="1"/>
  <c r="AB275" i="1"/>
  <c r="AA275" i="1"/>
  <c r="Z275" i="1"/>
  <c r="AD274" i="1"/>
  <c r="AC274" i="1"/>
  <c r="AB274" i="1"/>
  <c r="AA274" i="1"/>
  <c r="Z274" i="1"/>
  <c r="AD273" i="1"/>
  <c r="AC273" i="1"/>
  <c r="AB273" i="1"/>
  <c r="AA273" i="1"/>
  <c r="Z273" i="1"/>
  <c r="AD272" i="1"/>
  <c r="AC272" i="1"/>
  <c r="AB272" i="1"/>
  <c r="AA272" i="1"/>
  <c r="Z272" i="1"/>
  <c r="AD271" i="1"/>
  <c r="AC271" i="1"/>
  <c r="AB271" i="1"/>
  <c r="AA271" i="1"/>
  <c r="Z271" i="1"/>
  <c r="AD270" i="1"/>
  <c r="AC270" i="1"/>
  <c r="AB270" i="1"/>
  <c r="AA270" i="1"/>
  <c r="Z270" i="1"/>
  <c r="AD269" i="1"/>
  <c r="AC269" i="1"/>
  <c r="AB269" i="1"/>
  <c r="AA269" i="1"/>
  <c r="Z269" i="1"/>
  <c r="AD268" i="1"/>
  <c r="AC268" i="1"/>
  <c r="AB268" i="1"/>
  <c r="AA268" i="1"/>
  <c r="Z268" i="1"/>
  <c r="AD267" i="1"/>
  <c r="AC267" i="1"/>
  <c r="AB267" i="1"/>
  <c r="AA267" i="1"/>
  <c r="Z267" i="1"/>
  <c r="AD266" i="1"/>
  <c r="AC266" i="1"/>
  <c r="AB266" i="1"/>
  <c r="AA266" i="1"/>
  <c r="Z266" i="1"/>
  <c r="AD265" i="1"/>
  <c r="AC265" i="1"/>
  <c r="AB265" i="1"/>
  <c r="AA265" i="1"/>
  <c r="Z265" i="1"/>
  <c r="AD264" i="1"/>
  <c r="AC264" i="1"/>
  <c r="AB264" i="1"/>
  <c r="AA264" i="1"/>
  <c r="Z264" i="1"/>
  <c r="AD263" i="1"/>
  <c r="AC263" i="1"/>
  <c r="AB263" i="1"/>
  <c r="AA263" i="1"/>
  <c r="Z263" i="1"/>
  <c r="AD262" i="1"/>
  <c r="AC262" i="1"/>
  <c r="AB262" i="1"/>
  <c r="AA262" i="1"/>
  <c r="Z262" i="1"/>
  <c r="AD261" i="1"/>
  <c r="AC261" i="1"/>
  <c r="AB261" i="1"/>
  <c r="AA261" i="1"/>
  <c r="Z261" i="1"/>
  <c r="AD260" i="1"/>
  <c r="AC260" i="1"/>
  <c r="AB260" i="1"/>
  <c r="AA260" i="1"/>
  <c r="Z260" i="1"/>
  <c r="AD259" i="1"/>
  <c r="AC259" i="1"/>
  <c r="AB259" i="1"/>
  <c r="AA259" i="1"/>
  <c r="Z259" i="1"/>
  <c r="AD258" i="1"/>
  <c r="AC258" i="1"/>
  <c r="AB258" i="1"/>
  <c r="AA258" i="1"/>
  <c r="Z258" i="1"/>
  <c r="AD257" i="1"/>
  <c r="AC257" i="1"/>
  <c r="AB257" i="1"/>
  <c r="AA257" i="1"/>
  <c r="Z257" i="1"/>
  <c r="AD256" i="1"/>
  <c r="AC256" i="1"/>
  <c r="AB256" i="1"/>
  <c r="AA256" i="1"/>
  <c r="Z256" i="1"/>
  <c r="AD255" i="1"/>
  <c r="AC255" i="1"/>
  <c r="AB255" i="1"/>
  <c r="AA255" i="1"/>
  <c r="Z255" i="1"/>
  <c r="AD254" i="1"/>
  <c r="AC254" i="1"/>
  <c r="AB254" i="1"/>
  <c r="AA254" i="1"/>
  <c r="Z254" i="1"/>
  <c r="AD253" i="1"/>
  <c r="AC253" i="1"/>
  <c r="AB253" i="1"/>
  <c r="AA253" i="1"/>
  <c r="Z253" i="1"/>
  <c r="AD252" i="1"/>
  <c r="AC252" i="1"/>
  <c r="AB252" i="1"/>
  <c r="AA252" i="1"/>
  <c r="Z252" i="1"/>
  <c r="AD251" i="1"/>
  <c r="AC251" i="1"/>
  <c r="AB251" i="1"/>
  <c r="AA251" i="1"/>
  <c r="Z251" i="1"/>
  <c r="AD250" i="1"/>
  <c r="AC250" i="1"/>
  <c r="AB250" i="1"/>
  <c r="AA250" i="1"/>
  <c r="Z250" i="1"/>
  <c r="AD249" i="1"/>
  <c r="AC249" i="1"/>
  <c r="AB249" i="1"/>
  <c r="AA249" i="1"/>
  <c r="Z249" i="1"/>
  <c r="AD248" i="1"/>
  <c r="AC248" i="1"/>
  <c r="AB248" i="1"/>
  <c r="AA248" i="1"/>
  <c r="Z248" i="1"/>
  <c r="AD247" i="1"/>
  <c r="AC247" i="1"/>
  <c r="AB247" i="1"/>
  <c r="AA247" i="1"/>
  <c r="Z247" i="1"/>
  <c r="AD246" i="1"/>
  <c r="AC246" i="1"/>
  <c r="AB246" i="1"/>
  <c r="AA246" i="1"/>
  <c r="Z246" i="1"/>
  <c r="AD245" i="1"/>
  <c r="AC245" i="1"/>
  <c r="AB245" i="1"/>
  <c r="AA245" i="1"/>
  <c r="Z245" i="1"/>
  <c r="AD244" i="1"/>
  <c r="AC244" i="1"/>
  <c r="AB244" i="1"/>
  <c r="AA244" i="1"/>
  <c r="Z244" i="1"/>
  <c r="AD243" i="1"/>
  <c r="AC243" i="1"/>
  <c r="AB243" i="1"/>
  <c r="AA243" i="1"/>
  <c r="Z243" i="1"/>
  <c r="AD242" i="1"/>
  <c r="AC242" i="1"/>
  <c r="AB242" i="1"/>
  <c r="AA242" i="1"/>
  <c r="Z242" i="1"/>
  <c r="AD241" i="1"/>
  <c r="AC241" i="1"/>
  <c r="AB241" i="1"/>
  <c r="AA241" i="1"/>
  <c r="Z241" i="1"/>
  <c r="AD240" i="1"/>
  <c r="AC240" i="1"/>
  <c r="AB240" i="1"/>
  <c r="AA240" i="1"/>
  <c r="Z240" i="1"/>
  <c r="AD239" i="1"/>
  <c r="AC239" i="1"/>
  <c r="AB239" i="1"/>
  <c r="AA239" i="1"/>
  <c r="Z239" i="1"/>
  <c r="AD238" i="1"/>
  <c r="AC238" i="1"/>
  <c r="AB238" i="1"/>
  <c r="AA238" i="1"/>
  <c r="Z238" i="1"/>
  <c r="AD237" i="1"/>
  <c r="AC237" i="1"/>
  <c r="AB237" i="1"/>
  <c r="AA237" i="1"/>
  <c r="Z237" i="1"/>
  <c r="AD236" i="1"/>
  <c r="AC236" i="1"/>
  <c r="AB236" i="1"/>
  <c r="AA236" i="1"/>
  <c r="Z236" i="1"/>
  <c r="AD235" i="1"/>
  <c r="AC235" i="1"/>
  <c r="AB235" i="1"/>
  <c r="AA235" i="1"/>
  <c r="Z235" i="1"/>
  <c r="AD234" i="1"/>
  <c r="AC234" i="1"/>
  <c r="AB234" i="1"/>
  <c r="AA234" i="1"/>
  <c r="Z234" i="1"/>
  <c r="AD233" i="1"/>
  <c r="AC233" i="1"/>
  <c r="AB233" i="1"/>
  <c r="AA233" i="1"/>
  <c r="Z233" i="1"/>
  <c r="AD232" i="1"/>
  <c r="AC232" i="1"/>
  <c r="AB232" i="1"/>
  <c r="AA232" i="1"/>
  <c r="Z232" i="1"/>
  <c r="AD231" i="1"/>
  <c r="AC231" i="1"/>
  <c r="AB231" i="1"/>
  <c r="AA231" i="1"/>
  <c r="Z231" i="1"/>
  <c r="AD230" i="1"/>
  <c r="AC230" i="1"/>
  <c r="AB230" i="1"/>
  <c r="AA230" i="1"/>
  <c r="Z230" i="1"/>
  <c r="AD229" i="1"/>
  <c r="AC229" i="1"/>
  <c r="AB229" i="1"/>
  <c r="AA229" i="1"/>
  <c r="Z229" i="1"/>
  <c r="AD228" i="1"/>
  <c r="AC228" i="1"/>
  <c r="AB228" i="1"/>
  <c r="AA228" i="1"/>
  <c r="Z228" i="1"/>
  <c r="AD227" i="1"/>
  <c r="AC227" i="1"/>
  <c r="AB227" i="1"/>
  <c r="AA227" i="1"/>
  <c r="Z227" i="1"/>
  <c r="AD226" i="1"/>
  <c r="AC226" i="1"/>
  <c r="AB226" i="1"/>
  <c r="AA226" i="1"/>
  <c r="Z226" i="1"/>
  <c r="AD225" i="1"/>
  <c r="AC225" i="1"/>
  <c r="AB225" i="1"/>
  <c r="AA225" i="1"/>
  <c r="Z225" i="1"/>
  <c r="AD224" i="1"/>
  <c r="AC224" i="1"/>
  <c r="AB224" i="1"/>
  <c r="AA224" i="1"/>
  <c r="Z224" i="1"/>
  <c r="AD223" i="1"/>
  <c r="AC223" i="1"/>
  <c r="AB223" i="1"/>
  <c r="AA223" i="1"/>
  <c r="Z223" i="1"/>
  <c r="AD222" i="1"/>
  <c r="AC222" i="1"/>
  <c r="AB222" i="1"/>
  <c r="AA222" i="1"/>
  <c r="Z222" i="1"/>
  <c r="AD221" i="1"/>
  <c r="AC221" i="1"/>
  <c r="AB221" i="1"/>
  <c r="AA221" i="1"/>
  <c r="Z221" i="1"/>
  <c r="AD220" i="1"/>
  <c r="AC220" i="1"/>
  <c r="AB220" i="1"/>
  <c r="AA220" i="1"/>
  <c r="Z220" i="1"/>
  <c r="AD219" i="1"/>
  <c r="AC219" i="1"/>
  <c r="AB219" i="1"/>
  <c r="AA219" i="1"/>
  <c r="Z219" i="1"/>
  <c r="AD218" i="1"/>
  <c r="AC218" i="1"/>
  <c r="AB218" i="1"/>
  <c r="AA218" i="1"/>
  <c r="Z218" i="1"/>
  <c r="AD217" i="1"/>
  <c r="AC217" i="1"/>
  <c r="AB217" i="1"/>
  <c r="AA217" i="1"/>
  <c r="Z217" i="1"/>
  <c r="AD216" i="1"/>
  <c r="AC216" i="1"/>
  <c r="AB216" i="1"/>
  <c r="AA216" i="1"/>
  <c r="Z216" i="1"/>
  <c r="AD215" i="1"/>
  <c r="AC215" i="1"/>
  <c r="AB215" i="1"/>
  <c r="AA215" i="1"/>
  <c r="Z215" i="1"/>
  <c r="AD214" i="1"/>
  <c r="AC214" i="1"/>
  <c r="AB214" i="1"/>
  <c r="AA214" i="1"/>
  <c r="Z214" i="1"/>
  <c r="AD213" i="1"/>
  <c r="AC213" i="1"/>
  <c r="AB213" i="1"/>
  <c r="AA213" i="1"/>
  <c r="Z213" i="1"/>
  <c r="AD212" i="1"/>
  <c r="AC212" i="1"/>
  <c r="AB212" i="1"/>
  <c r="AA212" i="1"/>
  <c r="Z212" i="1"/>
  <c r="AD211" i="1"/>
  <c r="AC211" i="1"/>
  <c r="AB211" i="1"/>
  <c r="AA211" i="1"/>
  <c r="Z211" i="1"/>
  <c r="AD210" i="1"/>
  <c r="AC210" i="1"/>
  <c r="AB210" i="1"/>
  <c r="AA210" i="1"/>
  <c r="Z210" i="1"/>
  <c r="AD209" i="1"/>
  <c r="AC209" i="1"/>
  <c r="AB209" i="1"/>
  <c r="AA209" i="1"/>
  <c r="Z209" i="1"/>
  <c r="AD208" i="1"/>
  <c r="AC208" i="1"/>
  <c r="AB208" i="1"/>
  <c r="AA208" i="1"/>
  <c r="Z208" i="1"/>
  <c r="AD207" i="1"/>
  <c r="AC207" i="1"/>
  <c r="AB207" i="1"/>
  <c r="AA207" i="1"/>
  <c r="Z207" i="1"/>
  <c r="AD206" i="1"/>
  <c r="AC206" i="1"/>
  <c r="AB206" i="1"/>
  <c r="AA206" i="1"/>
  <c r="Z206" i="1"/>
  <c r="AD205" i="1"/>
  <c r="AC205" i="1"/>
  <c r="AB205" i="1"/>
  <c r="AA205" i="1"/>
  <c r="Z205" i="1"/>
  <c r="AD204" i="1"/>
  <c r="AC204" i="1"/>
  <c r="AB204" i="1"/>
  <c r="AA204" i="1"/>
  <c r="Z204" i="1"/>
  <c r="AD203" i="1"/>
  <c r="AC203" i="1"/>
  <c r="AB203" i="1"/>
  <c r="AA203" i="1"/>
  <c r="Z203" i="1"/>
  <c r="AD202" i="1"/>
  <c r="AC202" i="1"/>
  <c r="AB202" i="1"/>
  <c r="AA202" i="1"/>
  <c r="Z202" i="1"/>
  <c r="AD201" i="1"/>
  <c r="AC201" i="1"/>
  <c r="AB201" i="1"/>
  <c r="AA201" i="1"/>
  <c r="Z201" i="1"/>
  <c r="AD200" i="1"/>
  <c r="AC200" i="1"/>
  <c r="AB200" i="1"/>
  <c r="AA200" i="1"/>
  <c r="Z200" i="1"/>
  <c r="AD199" i="1"/>
  <c r="AC199" i="1"/>
  <c r="AB199" i="1"/>
  <c r="AA199" i="1"/>
  <c r="Z199" i="1"/>
  <c r="AD198" i="1"/>
  <c r="AC198" i="1"/>
  <c r="AB198" i="1"/>
  <c r="AA198" i="1"/>
  <c r="Z198" i="1"/>
  <c r="AD197" i="1"/>
  <c r="AC197" i="1"/>
  <c r="AB197" i="1"/>
  <c r="AA197" i="1"/>
  <c r="Z197" i="1"/>
  <c r="AD196" i="1"/>
  <c r="AC196" i="1"/>
  <c r="AB196" i="1"/>
  <c r="AA196" i="1"/>
  <c r="Z196" i="1"/>
  <c r="AD195" i="1"/>
  <c r="AC195" i="1"/>
  <c r="AB195" i="1"/>
  <c r="AA195" i="1"/>
  <c r="Z195" i="1"/>
  <c r="AD194" i="1"/>
  <c r="AC194" i="1"/>
  <c r="AB194" i="1"/>
  <c r="AA194" i="1"/>
  <c r="Z194" i="1"/>
  <c r="AD193" i="1"/>
  <c r="AC193" i="1"/>
  <c r="AB193" i="1"/>
  <c r="AA193" i="1"/>
  <c r="Z193" i="1"/>
  <c r="AD192" i="1"/>
  <c r="AC192" i="1"/>
  <c r="AB192" i="1"/>
  <c r="AA192" i="1"/>
  <c r="Z192" i="1"/>
  <c r="AD191" i="1"/>
  <c r="AC191" i="1"/>
  <c r="AB191" i="1"/>
  <c r="AA191" i="1"/>
  <c r="Z191" i="1"/>
  <c r="AD190" i="1"/>
  <c r="AC190" i="1"/>
  <c r="AB190" i="1"/>
  <c r="AA190" i="1"/>
  <c r="Z190" i="1"/>
  <c r="AD189" i="1"/>
  <c r="AC189" i="1"/>
  <c r="AB189" i="1"/>
  <c r="AA189" i="1"/>
  <c r="Z189" i="1"/>
  <c r="AD188" i="1"/>
  <c r="AC188" i="1"/>
  <c r="AB188" i="1"/>
  <c r="AA188" i="1"/>
  <c r="Z188" i="1"/>
  <c r="AD187" i="1"/>
  <c r="AC187" i="1"/>
  <c r="AB187" i="1"/>
  <c r="AA187" i="1"/>
  <c r="Z187" i="1"/>
  <c r="AD186" i="1"/>
  <c r="AC186" i="1"/>
  <c r="AB186" i="1"/>
  <c r="AA186" i="1"/>
  <c r="Z186" i="1"/>
  <c r="AD185" i="1"/>
  <c r="AC185" i="1"/>
  <c r="AB185" i="1"/>
  <c r="AA185" i="1"/>
  <c r="Z185" i="1"/>
  <c r="AD184" i="1"/>
  <c r="AC184" i="1"/>
  <c r="AB184" i="1"/>
  <c r="AA184" i="1"/>
  <c r="Z184" i="1"/>
  <c r="AD183" i="1"/>
  <c r="AC183" i="1"/>
  <c r="AB183" i="1"/>
  <c r="AA183" i="1"/>
  <c r="Z183" i="1"/>
  <c r="AD182" i="1"/>
  <c r="AC182" i="1"/>
  <c r="AB182" i="1"/>
  <c r="AA182" i="1"/>
  <c r="Z182" i="1"/>
  <c r="AD181" i="1"/>
  <c r="AC181" i="1"/>
  <c r="AB181" i="1"/>
  <c r="AA181" i="1"/>
  <c r="Z181" i="1"/>
  <c r="AD180" i="1"/>
  <c r="AC180" i="1"/>
  <c r="AB180" i="1"/>
  <c r="AA180" i="1"/>
  <c r="Z180" i="1"/>
  <c r="AD179" i="1"/>
  <c r="AC179" i="1"/>
  <c r="AB179" i="1"/>
  <c r="AA179" i="1"/>
  <c r="Z179" i="1"/>
  <c r="AD178" i="1"/>
  <c r="AC178" i="1"/>
  <c r="AB178" i="1"/>
  <c r="AA178" i="1"/>
  <c r="Z178" i="1"/>
  <c r="AD177" i="1"/>
  <c r="AC177" i="1"/>
  <c r="AB177" i="1"/>
  <c r="AA177" i="1"/>
  <c r="Z177" i="1"/>
  <c r="AD176" i="1"/>
  <c r="AC176" i="1"/>
  <c r="AB176" i="1"/>
  <c r="AA176" i="1"/>
  <c r="Z176" i="1"/>
  <c r="AD175" i="1"/>
  <c r="AC175" i="1"/>
  <c r="AB175" i="1"/>
  <c r="AA175" i="1"/>
  <c r="Z175" i="1"/>
  <c r="AD174" i="1"/>
  <c r="AC174" i="1"/>
  <c r="AB174" i="1"/>
  <c r="AA174" i="1"/>
  <c r="Z174" i="1"/>
  <c r="AD173" i="1"/>
  <c r="AC173" i="1"/>
  <c r="AB173" i="1"/>
  <c r="AA173" i="1"/>
  <c r="Z173" i="1"/>
  <c r="AD172" i="1"/>
  <c r="AC172" i="1"/>
  <c r="AB172" i="1"/>
  <c r="AA172" i="1"/>
  <c r="Z172" i="1"/>
  <c r="AD171" i="1"/>
  <c r="AC171" i="1"/>
  <c r="AB171" i="1"/>
  <c r="AA171" i="1"/>
  <c r="Z171" i="1"/>
  <c r="AD170" i="1"/>
  <c r="AC170" i="1"/>
  <c r="AB170" i="1"/>
  <c r="AA170" i="1"/>
  <c r="Z170" i="1"/>
  <c r="AD169" i="1"/>
  <c r="AC169" i="1"/>
  <c r="AB169" i="1"/>
  <c r="AA169" i="1"/>
  <c r="Z169" i="1"/>
  <c r="AD168" i="1"/>
  <c r="AC168" i="1"/>
  <c r="AB168" i="1"/>
  <c r="AA168" i="1"/>
  <c r="Z168" i="1"/>
  <c r="AD167" i="1"/>
  <c r="AC167" i="1"/>
  <c r="AB167" i="1"/>
  <c r="AA167" i="1"/>
  <c r="Z167" i="1"/>
  <c r="AD166" i="1"/>
  <c r="AC166" i="1"/>
  <c r="AB166" i="1"/>
  <c r="AA166" i="1"/>
  <c r="Z166" i="1"/>
  <c r="AD165" i="1"/>
  <c r="AC165" i="1"/>
  <c r="AB165" i="1"/>
  <c r="AA165" i="1"/>
  <c r="Z165" i="1"/>
  <c r="AD164" i="1"/>
  <c r="AC164" i="1"/>
  <c r="AB164" i="1"/>
  <c r="AA164" i="1"/>
  <c r="Z164" i="1"/>
  <c r="AD163" i="1"/>
  <c r="AC163" i="1"/>
  <c r="AB163" i="1"/>
  <c r="AA163" i="1"/>
  <c r="Z163" i="1"/>
  <c r="AD162" i="1"/>
  <c r="AC162" i="1"/>
  <c r="AB162" i="1"/>
  <c r="AA162" i="1"/>
  <c r="Z162" i="1"/>
  <c r="AD161" i="1"/>
  <c r="AC161" i="1"/>
  <c r="AB161" i="1"/>
  <c r="AA161" i="1"/>
  <c r="Z161" i="1"/>
  <c r="AD160" i="1"/>
  <c r="AC160" i="1"/>
  <c r="AB160" i="1"/>
  <c r="AA160" i="1"/>
  <c r="Z160" i="1"/>
  <c r="AD159" i="1"/>
  <c r="AC159" i="1"/>
  <c r="AB159" i="1"/>
  <c r="AA159" i="1"/>
  <c r="Z159" i="1"/>
  <c r="AD158" i="1"/>
  <c r="AC158" i="1"/>
  <c r="AB158" i="1"/>
  <c r="AA158" i="1"/>
  <c r="Z158" i="1"/>
  <c r="AD157" i="1"/>
  <c r="AC157" i="1"/>
  <c r="AB157" i="1"/>
  <c r="AA157" i="1"/>
  <c r="Z157" i="1"/>
  <c r="AD156" i="1"/>
  <c r="AC156" i="1"/>
  <c r="AB156" i="1"/>
  <c r="AA156" i="1"/>
  <c r="Z156" i="1"/>
  <c r="AD155" i="1"/>
  <c r="AC155" i="1"/>
  <c r="AB155" i="1"/>
  <c r="AA155" i="1"/>
  <c r="Z155" i="1"/>
  <c r="AD154" i="1"/>
  <c r="AC154" i="1"/>
  <c r="AB154" i="1"/>
  <c r="AA154" i="1"/>
  <c r="Z154" i="1"/>
  <c r="AD153" i="1"/>
  <c r="AC153" i="1"/>
  <c r="AB153" i="1"/>
  <c r="AA153" i="1"/>
  <c r="Z153" i="1"/>
  <c r="AD152" i="1"/>
  <c r="AC152" i="1"/>
  <c r="AB152" i="1"/>
  <c r="AA152" i="1"/>
  <c r="Z152" i="1"/>
  <c r="AD151" i="1"/>
  <c r="AC151" i="1"/>
  <c r="AB151" i="1"/>
  <c r="AA151" i="1"/>
  <c r="Z151" i="1"/>
  <c r="AD150" i="1"/>
  <c r="AC150" i="1"/>
  <c r="AB150" i="1"/>
  <c r="AA150" i="1"/>
  <c r="Z150" i="1"/>
  <c r="AD149" i="1"/>
  <c r="AC149" i="1"/>
  <c r="AB149" i="1"/>
  <c r="AA149" i="1"/>
  <c r="Z149" i="1"/>
  <c r="AD148" i="1"/>
  <c r="AC148" i="1"/>
  <c r="AB148" i="1"/>
  <c r="AA148" i="1"/>
  <c r="Z148" i="1"/>
  <c r="AD147" i="1"/>
  <c r="AC147" i="1"/>
  <c r="AB147" i="1"/>
  <c r="AA147" i="1"/>
  <c r="Z147" i="1"/>
  <c r="AD146" i="1"/>
  <c r="AC146" i="1"/>
  <c r="AB146" i="1"/>
  <c r="AA146" i="1"/>
  <c r="Z146" i="1"/>
  <c r="AD145" i="1"/>
  <c r="AC145" i="1"/>
  <c r="AB145" i="1"/>
  <c r="AA145" i="1"/>
  <c r="Z145" i="1"/>
  <c r="AD144" i="1"/>
  <c r="AC144" i="1"/>
  <c r="AB144" i="1"/>
  <c r="AA144" i="1"/>
  <c r="Z144" i="1"/>
  <c r="AD143" i="1"/>
  <c r="AC143" i="1"/>
  <c r="AB143" i="1"/>
  <c r="AA143" i="1"/>
  <c r="Z143" i="1"/>
  <c r="AD142" i="1"/>
  <c r="AC142" i="1"/>
  <c r="AB142" i="1"/>
  <c r="AA142" i="1"/>
  <c r="Z142" i="1"/>
  <c r="AD141" i="1"/>
  <c r="AC141" i="1"/>
  <c r="AB141" i="1"/>
  <c r="AA141" i="1"/>
  <c r="Z141" i="1"/>
  <c r="AD140" i="1"/>
  <c r="AC140" i="1"/>
  <c r="AB140" i="1"/>
  <c r="AA140" i="1"/>
  <c r="Z140" i="1"/>
  <c r="AD139" i="1"/>
  <c r="AC139" i="1"/>
  <c r="AB139" i="1"/>
  <c r="AA139" i="1"/>
  <c r="Z139" i="1"/>
  <c r="AD138" i="1"/>
  <c r="AC138" i="1"/>
  <c r="AB138" i="1"/>
  <c r="AA138" i="1"/>
  <c r="Z138" i="1"/>
  <c r="AD137" i="1"/>
  <c r="AC137" i="1"/>
  <c r="AB137" i="1"/>
  <c r="AA137" i="1"/>
  <c r="Z137" i="1"/>
  <c r="AD136" i="1"/>
  <c r="AC136" i="1"/>
  <c r="AB136" i="1"/>
  <c r="AA136" i="1"/>
  <c r="Z136" i="1"/>
  <c r="AD135" i="1"/>
  <c r="AC135" i="1"/>
  <c r="AB135" i="1"/>
  <c r="AA135" i="1"/>
  <c r="Z135" i="1"/>
  <c r="AD134" i="1"/>
  <c r="AC134" i="1"/>
  <c r="AB134" i="1"/>
  <c r="AA134" i="1"/>
  <c r="Z134" i="1"/>
  <c r="AD133" i="1"/>
  <c r="AC133" i="1"/>
  <c r="AB133" i="1"/>
  <c r="AA133" i="1"/>
  <c r="Z133" i="1"/>
  <c r="AD132" i="1"/>
  <c r="AC132" i="1"/>
  <c r="AB132" i="1"/>
  <c r="AA132" i="1"/>
  <c r="Z132" i="1"/>
  <c r="AD131" i="1"/>
  <c r="AC131" i="1"/>
  <c r="AB131" i="1"/>
  <c r="AA131" i="1"/>
  <c r="Z131" i="1"/>
  <c r="AD130" i="1"/>
  <c r="AC130" i="1"/>
  <c r="AB130" i="1"/>
  <c r="AA130" i="1"/>
  <c r="Z130" i="1"/>
  <c r="AD129" i="1"/>
  <c r="AC129" i="1"/>
  <c r="AB129" i="1"/>
  <c r="AA129" i="1"/>
  <c r="Z129" i="1"/>
  <c r="AD128" i="1"/>
  <c r="AC128" i="1"/>
  <c r="AB128" i="1"/>
  <c r="AA128" i="1"/>
  <c r="Z128" i="1"/>
  <c r="AD127" i="1"/>
  <c r="AC127" i="1"/>
  <c r="AB127" i="1"/>
  <c r="AA127" i="1"/>
  <c r="Z127" i="1"/>
  <c r="AD126" i="1"/>
  <c r="AC126" i="1"/>
  <c r="AB126" i="1"/>
  <c r="AA126" i="1"/>
  <c r="Z126" i="1"/>
  <c r="AD125" i="1"/>
  <c r="AC125" i="1"/>
  <c r="AB125" i="1"/>
  <c r="AA125" i="1"/>
  <c r="Z125" i="1"/>
  <c r="AD124" i="1"/>
  <c r="AC124" i="1"/>
  <c r="AB124" i="1"/>
  <c r="AA124" i="1"/>
  <c r="Z124" i="1"/>
  <c r="AD123" i="1"/>
  <c r="AC123" i="1"/>
  <c r="AB123" i="1"/>
  <c r="AA123" i="1"/>
  <c r="Z123" i="1"/>
  <c r="AD122" i="1"/>
  <c r="AC122" i="1"/>
  <c r="AB122" i="1"/>
  <c r="AA122" i="1"/>
  <c r="Z122" i="1"/>
  <c r="AD121" i="1"/>
  <c r="AC121" i="1"/>
  <c r="AB121" i="1"/>
  <c r="AA121" i="1"/>
  <c r="Z121" i="1"/>
  <c r="AD120" i="1"/>
  <c r="AC120" i="1"/>
  <c r="AB120" i="1"/>
  <c r="AA120" i="1"/>
  <c r="Z120" i="1"/>
  <c r="AD119" i="1"/>
  <c r="AC119" i="1"/>
  <c r="AB119" i="1"/>
  <c r="AA119" i="1"/>
  <c r="Z119" i="1"/>
  <c r="AD118" i="1"/>
  <c r="AC118" i="1"/>
  <c r="AB118" i="1"/>
  <c r="AA118" i="1"/>
  <c r="Z118" i="1"/>
  <c r="AD117" i="1"/>
  <c r="AC117" i="1"/>
  <c r="AB117" i="1"/>
  <c r="AA117" i="1"/>
  <c r="Z117" i="1"/>
  <c r="AD116" i="1"/>
  <c r="AC116" i="1"/>
  <c r="AB116" i="1"/>
  <c r="AA116" i="1"/>
  <c r="Z116" i="1"/>
  <c r="AD115" i="1"/>
  <c r="AC115" i="1"/>
  <c r="AB115" i="1"/>
  <c r="AA115" i="1"/>
  <c r="Z115" i="1"/>
  <c r="AD114" i="1"/>
  <c r="AC114" i="1"/>
  <c r="AB114" i="1"/>
  <c r="AA114" i="1"/>
  <c r="Z114" i="1"/>
  <c r="AD113" i="1"/>
  <c r="AC113" i="1"/>
  <c r="AB113" i="1"/>
  <c r="AA113" i="1"/>
  <c r="Z113" i="1"/>
  <c r="AD112" i="1"/>
  <c r="AC112" i="1"/>
  <c r="AB112" i="1"/>
  <c r="AA112" i="1"/>
  <c r="Z112" i="1"/>
  <c r="AD111" i="1"/>
  <c r="AC111" i="1"/>
  <c r="AB111" i="1"/>
  <c r="AA111" i="1"/>
  <c r="Z111" i="1"/>
  <c r="AD110" i="1"/>
  <c r="AC110" i="1"/>
  <c r="AB110" i="1"/>
  <c r="AA110" i="1"/>
  <c r="Z110" i="1"/>
  <c r="AD109" i="1"/>
  <c r="AC109" i="1"/>
  <c r="AB109" i="1"/>
  <c r="AA109" i="1"/>
  <c r="Z109" i="1"/>
  <c r="AD108" i="1"/>
  <c r="AC108" i="1"/>
  <c r="AB108" i="1"/>
  <c r="AA108" i="1"/>
  <c r="Z108" i="1"/>
  <c r="AD107" i="1"/>
  <c r="AC107" i="1"/>
  <c r="AB107" i="1"/>
  <c r="AA107" i="1"/>
  <c r="Z107" i="1"/>
  <c r="AD106" i="1"/>
  <c r="AC106" i="1"/>
  <c r="AB106" i="1"/>
  <c r="AA106" i="1"/>
  <c r="Z106" i="1"/>
  <c r="AD105" i="1"/>
  <c r="AC105" i="1"/>
  <c r="AB105" i="1"/>
  <c r="AA105" i="1"/>
  <c r="Z105" i="1"/>
  <c r="AD104" i="1"/>
  <c r="AC104" i="1"/>
  <c r="AB104" i="1"/>
  <c r="AA104" i="1"/>
  <c r="Z104" i="1"/>
  <c r="AD103" i="1"/>
  <c r="AC103" i="1"/>
  <c r="AB103" i="1"/>
  <c r="AA103" i="1"/>
  <c r="Z103" i="1"/>
  <c r="AD102" i="1"/>
  <c r="AC102" i="1"/>
  <c r="AB102" i="1"/>
  <c r="AA102" i="1"/>
  <c r="Z102" i="1"/>
  <c r="AD101" i="1"/>
  <c r="AC101" i="1"/>
  <c r="AB101" i="1"/>
  <c r="AA101" i="1"/>
  <c r="Z101" i="1"/>
  <c r="AD100" i="1"/>
  <c r="AC100" i="1"/>
  <c r="AB100" i="1"/>
  <c r="AA100" i="1"/>
  <c r="Z100" i="1"/>
  <c r="AD99" i="1"/>
  <c r="AC99" i="1"/>
  <c r="AB99" i="1"/>
  <c r="AA99" i="1"/>
  <c r="Z99" i="1"/>
  <c r="AD98" i="1"/>
  <c r="AC98" i="1"/>
  <c r="AB98" i="1"/>
  <c r="AA98" i="1"/>
  <c r="Z98" i="1"/>
  <c r="AD97" i="1"/>
  <c r="AC97" i="1"/>
  <c r="AB97" i="1"/>
  <c r="AA97" i="1"/>
  <c r="Z97" i="1"/>
  <c r="AD96" i="1"/>
  <c r="AC96" i="1"/>
  <c r="AB96" i="1"/>
  <c r="AA96" i="1"/>
  <c r="Z96" i="1"/>
  <c r="AD95" i="1"/>
  <c r="AC95" i="1"/>
  <c r="AB95" i="1"/>
  <c r="AA95" i="1"/>
  <c r="Z95" i="1"/>
  <c r="AD94" i="1"/>
  <c r="AC94" i="1"/>
  <c r="AB94" i="1"/>
  <c r="AA94" i="1"/>
  <c r="Z94" i="1"/>
  <c r="AD93" i="1"/>
  <c r="AC93" i="1"/>
  <c r="AB93" i="1"/>
  <c r="AA93" i="1"/>
  <c r="Z93" i="1"/>
  <c r="AD92" i="1"/>
  <c r="AC92" i="1"/>
  <c r="AB92" i="1"/>
  <c r="AA92" i="1"/>
  <c r="Z92" i="1"/>
  <c r="AD91" i="1"/>
  <c r="AC91" i="1"/>
  <c r="AB91" i="1"/>
  <c r="AA91" i="1"/>
  <c r="Z91" i="1"/>
  <c r="AD90" i="1"/>
  <c r="AC90" i="1"/>
  <c r="AB90" i="1"/>
  <c r="AA90" i="1"/>
  <c r="Z90" i="1"/>
  <c r="AD89" i="1"/>
  <c r="AC89" i="1"/>
  <c r="AB89" i="1"/>
  <c r="AA89" i="1"/>
  <c r="Z89" i="1"/>
  <c r="AD88" i="1"/>
  <c r="AC88" i="1"/>
  <c r="AB88" i="1"/>
  <c r="AA88" i="1"/>
  <c r="Z88" i="1"/>
  <c r="AD87" i="1"/>
  <c r="AC87" i="1"/>
  <c r="AB87" i="1"/>
  <c r="AA87" i="1"/>
  <c r="Z87" i="1"/>
  <c r="AD86" i="1"/>
  <c r="AC86" i="1"/>
  <c r="AB86" i="1"/>
  <c r="AA86" i="1"/>
  <c r="Z86" i="1"/>
  <c r="AD85" i="1"/>
  <c r="AC85" i="1"/>
  <c r="AB85" i="1"/>
  <c r="AA85" i="1"/>
  <c r="Z85" i="1"/>
  <c r="AD84" i="1"/>
  <c r="AC84" i="1"/>
  <c r="AB84" i="1"/>
  <c r="AA84" i="1"/>
  <c r="Z84" i="1"/>
  <c r="AD83" i="1"/>
  <c r="AC83" i="1"/>
  <c r="AB83" i="1"/>
  <c r="AA83" i="1"/>
  <c r="Z83" i="1"/>
  <c r="AD82" i="1"/>
  <c r="AC82" i="1"/>
  <c r="AB82" i="1"/>
  <c r="AA82" i="1"/>
  <c r="Z82" i="1"/>
  <c r="AD81" i="1"/>
  <c r="AC81" i="1"/>
  <c r="AB81" i="1"/>
  <c r="AA81" i="1"/>
  <c r="Z81" i="1"/>
  <c r="AD80" i="1"/>
  <c r="AC80" i="1"/>
  <c r="AB80" i="1"/>
  <c r="AA80" i="1"/>
  <c r="Z80" i="1"/>
  <c r="AD79" i="1"/>
  <c r="AC79" i="1"/>
  <c r="AB79" i="1"/>
  <c r="AA79" i="1"/>
  <c r="Z79" i="1"/>
  <c r="AD78" i="1"/>
  <c r="AC78" i="1"/>
  <c r="AB78" i="1"/>
  <c r="AA78" i="1"/>
  <c r="Z78" i="1"/>
  <c r="AD77" i="1"/>
  <c r="AC77" i="1"/>
  <c r="AB77" i="1"/>
  <c r="AA77" i="1"/>
  <c r="Z77" i="1"/>
  <c r="AD76" i="1"/>
  <c r="AC76" i="1"/>
  <c r="AB76" i="1"/>
  <c r="AA76" i="1"/>
  <c r="Z76" i="1"/>
  <c r="AD75" i="1"/>
  <c r="AC75" i="1"/>
  <c r="AB75" i="1"/>
  <c r="AA75" i="1"/>
  <c r="Z75" i="1"/>
  <c r="AD74" i="1"/>
  <c r="AC74" i="1"/>
  <c r="AB74" i="1"/>
  <c r="AA74" i="1"/>
  <c r="Z74" i="1"/>
  <c r="AD73" i="1"/>
  <c r="AC73" i="1"/>
  <c r="AB73" i="1"/>
  <c r="AA73" i="1"/>
  <c r="Z73" i="1"/>
  <c r="AD72" i="1"/>
  <c r="AC72" i="1"/>
  <c r="AB72" i="1"/>
  <c r="AA72" i="1"/>
  <c r="Z72" i="1"/>
  <c r="AD71" i="1"/>
  <c r="AC71" i="1"/>
  <c r="AB71" i="1"/>
  <c r="AA71" i="1"/>
  <c r="Z71" i="1"/>
  <c r="AD70" i="1"/>
  <c r="AC70" i="1"/>
  <c r="AB70" i="1"/>
  <c r="AA70" i="1"/>
  <c r="Z70" i="1"/>
  <c r="AD69" i="1"/>
  <c r="AC69" i="1"/>
  <c r="AB69" i="1"/>
  <c r="AA69" i="1"/>
  <c r="Z69" i="1"/>
  <c r="AD68" i="1"/>
  <c r="AC68" i="1"/>
  <c r="AB68" i="1"/>
  <c r="AA68" i="1"/>
  <c r="Z68" i="1"/>
  <c r="AD67" i="1"/>
  <c r="AC67" i="1"/>
  <c r="AB67" i="1"/>
  <c r="AA67" i="1"/>
  <c r="Z67" i="1"/>
  <c r="AD66" i="1"/>
  <c r="AC66" i="1"/>
  <c r="AB66" i="1"/>
  <c r="AA66" i="1"/>
  <c r="Z66" i="1"/>
  <c r="AD65" i="1"/>
  <c r="AC65" i="1"/>
  <c r="AB65" i="1"/>
  <c r="AA65" i="1"/>
  <c r="Z65" i="1"/>
  <c r="AD64" i="1"/>
  <c r="AC64" i="1"/>
  <c r="AB64" i="1"/>
  <c r="AA64" i="1"/>
  <c r="Z64" i="1"/>
  <c r="AD63" i="1"/>
  <c r="AC63" i="1"/>
  <c r="AB63" i="1"/>
  <c r="AA63" i="1"/>
  <c r="Z63" i="1"/>
  <c r="AD62" i="1"/>
  <c r="AC62" i="1"/>
  <c r="AB62" i="1"/>
  <c r="AA62" i="1"/>
  <c r="Z62" i="1"/>
  <c r="AD61" i="1"/>
  <c r="AC61" i="1"/>
  <c r="AB61" i="1"/>
  <c r="AA61" i="1"/>
  <c r="Z61" i="1"/>
  <c r="AD60" i="1"/>
  <c r="AC60" i="1"/>
  <c r="AB60" i="1"/>
  <c r="AA60" i="1"/>
  <c r="Z60" i="1"/>
  <c r="AD59" i="1"/>
  <c r="AC59" i="1"/>
  <c r="AB59" i="1"/>
  <c r="AA59" i="1"/>
  <c r="Z59" i="1"/>
  <c r="AD58" i="1"/>
  <c r="AC58" i="1"/>
  <c r="AB58" i="1"/>
  <c r="AA58" i="1"/>
  <c r="Z58" i="1"/>
  <c r="AD57" i="1"/>
  <c r="AC57" i="1"/>
  <c r="AB57" i="1"/>
  <c r="AA57" i="1"/>
  <c r="Z57" i="1"/>
  <c r="AD56" i="1"/>
  <c r="AC56" i="1"/>
  <c r="AB56" i="1"/>
  <c r="AA56" i="1"/>
  <c r="Z56" i="1"/>
  <c r="AD55" i="1"/>
  <c r="AC55" i="1"/>
  <c r="AB55" i="1"/>
  <c r="AA55" i="1"/>
  <c r="Z55" i="1"/>
  <c r="AD54" i="1"/>
  <c r="AC54" i="1"/>
  <c r="AB54" i="1"/>
  <c r="AA54" i="1"/>
  <c r="Z54" i="1"/>
  <c r="AD53" i="1"/>
  <c r="AC53" i="1"/>
  <c r="AB53" i="1"/>
  <c r="AA53" i="1"/>
  <c r="Z53" i="1"/>
  <c r="AD52" i="1"/>
  <c r="AC52" i="1"/>
  <c r="AB52" i="1"/>
  <c r="AA52" i="1"/>
  <c r="Z52" i="1"/>
  <c r="AD51" i="1"/>
  <c r="AC51" i="1"/>
  <c r="AB51" i="1"/>
  <c r="AA51" i="1"/>
  <c r="Z51" i="1"/>
  <c r="AD50" i="1"/>
  <c r="AC50" i="1"/>
  <c r="AB50" i="1"/>
  <c r="AA50" i="1"/>
  <c r="Z50" i="1"/>
  <c r="AD49" i="1"/>
  <c r="AC49" i="1"/>
  <c r="AB49" i="1"/>
  <c r="AA49" i="1"/>
  <c r="Z49" i="1"/>
  <c r="AD48" i="1"/>
  <c r="AC48" i="1"/>
  <c r="AB48" i="1"/>
  <c r="AA48" i="1"/>
  <c r="Z48" i="1"/>
  <c r="AD47" i="1"/>
  <c r="AC47" i="1"/>
  <c r="AB47" i="1"/>
  <c r="AA47" i="1"/>
  <c r="Z47" i="1"/>
  <c r="AD46" i="1"/>
  <c r="AC46" i="1"/>
  <c r="AB46" i="1"/>
  <c r="AA46" i="1"/>
  <c r="Z46" i="1"/>
  <c r="AD45" i="1"/>
  <c r="AC45" i="1"/>
  <c r="AB45" i="1"/>
  <c r="AA45" i="1"/>
  <c r="Z45" i="1"/>
  <c r="AD44" i="1"/>
  <c r="AC44" i="1"/>
  <c r="AB44" i="1"/>
  <c r="AA44" i="1"/>
  <c r="Z44" i="1"/>
  <c r="AD43" i="1"/>
  <c r="AC43" i="1"/>
  <c r="AB43" i="1"/>
  <c r="AA43" i="1"/>
  <c r="Z43" i="1"/>
  <c r="AD42" i="1"/>
  <c r="AC42" i="1"/>
  <c r="AB42" i="1"/>
  <c r="AA42" i="1"/>
  <c r="Z42" i="1"/>
  <c r="AD41" i="1"/>
  <c r="AC41" i="1"/>
  <c r="AB41" i="1"/>
  <c r="AA41" i="1"/>
  <c r="Z41" i="1"/>
  <c r="AD40" i="1"/>
  <c r="AC40" i="1"/>
  <c r="AB40" i="1"/>
  <c r="AA40" i="1"/>
  <c r="Z40" i="1"/>
  <c r="AD39" i="1"/>
  <c r="AC39" i="1"/>
  <c r="AB39" i="1"/>
  <c r="AA39" i="1"/>
  <c r="Z39" i="1"/>
  <c r="AD38" i="1"/>
  <c r="AC38" i="1"/>
  <c r="AB38" i="1"/>
  <c r="AA38" i="1"/>
  <c r="Z38" i="1"/>
  <c r="AD37" i="1"/>
  <c r="AC37" i="1"/>
  <c r="AB37" i="1"/>
  <c r="AA37" i="1"/>
  <c r="Z37" i="1"/>
  <c r="AD36" i="1"/>
  <c r="AC36" i="1"/>
  <c r="AB36" i="1"/>
  <c r="AA36" i="1"/>
  <c r="Z36" i="1"/>
  <c r="AD35" i="1"/>
  <c r="AC35" i="1"/>
  <c r="AB35" i="1"/>
  <c r="AA35" i="1"/>
  <c r="Z35" i="1"/>
  <c r="AD34" i="1"/>
  <c r="AC34" i="1"/>
  <c r="AB34" i="1"/>
  <c r="AA34" i="1"/>
  <c r="Z34" i="1"/>
  <c r="AD33" i="1"/>
  <c r="AC33" i="1"/>
  <c r="AB33" i="1"/>
  <c r="AA33" i="1"/>
  <c r="Z33" i="1"/>
  <c r="AD32" i="1"/>
  <c r="AC32" i="1"/>
  <c r="AB32" i="1"/>
  <c r="AA32" i="1"/>
  <c r="Z32" i="1"/>
  <c r="AD31" i="1"/>
  <c r="AC31" i="1"/>
  <c r="AB31" i="1"/>
  <c r="AA31" i="1"/>
  <c r="Z31" i="1"/>
  <c r="AD30" i="1"/>
  <c r="AC30" i="1"/>
  <c r="AB30" i="1"/>
  <c r="AA30" i="1"/>
  <c r="Z30" i="1"/>
  <c r="AD29" i="1"/>
  <c r="AC29" i="1"/>
  <c r="AB29" i="1"/>
  <c r="AA29" i="1"/>
  <c r="Z29" i="1"/>
  <c r="AD28" i="1"/>
  <c r="AC28" i="1"/>
  <c r="AB28" i="1"/>
  <c r="AA28" i="1"/>
  <c r="Z28" i="1"/>
  <c r="AD27" i="1"/>
  <c r="AC27" i="1"/>
  <c r="AB27" i="1"/>
  <c r="AA27" i="1"/>
  <c r="Z27" i="1"/>
  <c r="AD26" i="1"/>
  <c r="AC26" i="1"/>
  <c r="AB26" i="1"/>
  <c r="AA26" i="1"/>
  <c r="Z26" i="1"/>
  <c r="AD25" i="1"/>
  <c r="AC25" i="1"/>
  <c r="AB25" i="1"/>
  <c r="AA25" i="1"/>
  <c r="Z25" i="1"/>
  <c r="AD24" i="1"/>
  <c r="AC24" i="1"/>
  <c r="AB24" i="1"/>
  <c r="AA24" i="1"/>
  <c r="Z24" i="1"/>
  <c r="AD23" i="1"/>
  <c r="AC23" i="1"/>
  <c r="AB23" i="1"/>
  <c r="AA23" i="1"/>
  <c r="Z23" i="1"/>
  <c r="AD22" i="1"/>
  <c r="AC22" i="1"/>
  <c r="AB22" i="1"/>
  <c r="AA22" i="1"/>
  <c r="Z22" i="1"/>
  <c r="AD21" i="1"/>
  <c r="AC21" i="1"/>
  <c r="AB21" i="1"/>
  <c r="AA21" i="1"/>
  <c r="Z21" i="1"/>
  <c r="AD20" i="1"/>
  <c r="AC20" i="1"/>
  <c r="AB20" i="1"/>
  <c r="AA20" i="1"/>
  <c r="Z20" i="1"/>
  <c r="AD19" i="1"/>
  <c r="AC19" i="1"/>
  <c r="AB19" i="1"/>
  <c r="AA19" i="1"/>
  <c r="Z19" i="1"/>
  <c r="AD18" i="1"/>
  <c r="AC18" i="1"/>
  <c r="AB18" i="1"/>
  <c r="AA18" i="1"/>
  <c r="Z18" i="1"/>
  <c r="AD17" i="1"/>
  <c r="AC17" i="1"/>
  <c r="AB17" i="1"/>
  <c r="AA17" i="1"/>
  <c r="Z17" i="1"/>
  <c r="AD16" i="1"/>
  <c r="AC16" i="1"/>
  <c r="AB16" i="1"/>
  <c r="AA16" i="1"/>
  <c r="Z16" i="1"/>
  <c r="AD15" i="1"/>
  <c r="AC15" i="1"/>
  <c r="AB15" i="1"/>
  <c r="AA15" i="1"/>
  <c r="Z15" i="1"/>
  <c r="AD14" i="1"/>
  <c r="AC14" i="1"/>
  <c r="AB14" i="1"/>
  <c r="AA14" i="1"/>
  <c r="Z14" i="1"/>
  <c r="AD13" i="1"/>
  <c r="AC13" i="1"/>
  <c r="AB13" i="1"/>
  <c r="AA13" i="1"/>
  <c r="Z13" i="1"/>
  <c r="AD12" i="1"/>
  <c r="AC12" i="1"/>
  <c r="AB12" i="1"/>
  <c r="AA12" i="1"/>
  <c r="Z12" i="1"/>
  <c r="AD11" i="1"/>
  <c r="AC11" i="1"/>
  <c r="AB11" i="1"/>
  <c r="AA11" i="1"/>
  <c r="Z11" i="1"/>
  <c r="AD10" i="1"/>
  <c r="AC10" i="1"/>
  <c r="AB10" i="1"/>
  <c r="AA10" i="1"/>
  <c r="Z10" i="1"/>
  <c r="AD9" i="1"/>
  <c r="AC9" i="1"/>
  <c r="AB9" i="1"/>
  <c r="AA9" i="1"/>
  <c r="Z9" i="1"/>
  <c r="AD8" i="1"/>
  <c r="AC8" i="1"/>
  <c r="AB8" i="1"/>
  <c r="AA8" i="1"/>
  <c r="Z8" i="1"/>
  <c r="AD7" i="1"/>
  <c r="AC7" i="1"/>
  <c r="AB7" i="1"/>
  <c r="AA7" i="1"/>
  <c r="Z7" i="1"/>
  <c r="AD6" i="1"/>
  <c r="AC6" i="1"/>
  <c r="AB6" i="1"/>
  <c r="AA6" i="1"/>
  <c r="Z6" i="1"/>
  <c r="AD5" i="1"/>
  <c r="AC5" i="1"/>
  <c r="AB5" i="1"/>
  <c r="AA5" i="1"/>
  <c r="Z5" i="1"/>
  <c r="AD4" i="1"/>
  <c r="AC4" i="1"/>
  <c r="AB4" i="1"/>
  <c r="AA4" i="1"/>
  <c r="Z4" i="1"/>
  <c r="AD3" i="1"/>
  <c r="AC3" i="1"/>
  <c r="AB3" i="1"/>
  <c r="AA3" i="1"/>
  <c r="Z3" i="1"/>
  <c r="AD2" i="1"/>
  <c r="AC2" i="1"/>
  <c r="AB2" i="1"/>
  <c r="AA2" i="1"/>
  <c r="Z2" i="1"/>
</calcChain>
</file>

<file path=xl/sharedStrings.xml><?xml version="1.0" encoding="utf-8"?>
<sst xmlns="http://schemas.openxmlformats.org/spreadsheetml/2006/main" count="10425" uniqueCount="82">
  <si>
    <t>Age</t>
  </si>
  <si>
    <t>Attrition</t>
  </si>
  <si>
    <t>Department</t>
  </si>
  <si>
    <t>DistanceFromHome</t>
  </si>
  <si>
    <t>Education</t>
  </si>
  <si>
    <t>EducationField</t>
  </si>
  <si>
    <t>EnvironmentSatisfaction</t>
  </si>
  <si>
    <t>Gender</t>
  </si>
  <si>
    <t>JobInvolvement</t>
  </si>
  <si>
    <t>JobLevel</t>
  </si>
  <si>
    <t>JobRole</t>
  </si>
  <si>
    <t>JobSatisfaction</t>
  </si>
  <si>
    <t>MaritalStatus</t>
  </si>
  <si>
    <t>MonthlyIncome</t>
  </si>
  <si>
    <t>NumCompaniesWorked</t>
  </si>
  <si>
    <t>OverTime</t>
  </si>
  <si>
    <t>RelationshipSatisfaction</t>
  </si>
  <si>
    <t>TotalWorkingYears</t>
  </si>
  <si>
    <t>WorkLifeBalance</t>
  </si>
  <si>
    <t>YearsAtCompany</t>
  </si>
  <si>
    <t>YearsInCurrentRole</t>
  </si>
  <si>
    <t>YearsSinceLastPromotion</t>
  </si>
  <si>
    <t>YearsWithCurrManager</t>
  </si>
  <si>
    <t>PercentSalaryHike</t>
  </si>
  <si>
    <t>Attrition Flag</t>
  </si>
  <si>
    <t>Age Group</t>
  </si>
  <si>
    <t>Income Group</t>
  </si>
  <si>
    <t>Tenure Group</t>
  </si>
  <si>
    <t>Salary Hike Group</t>
  </si>
  <si>
    <t>EmployeeNumber</t>
  </si>
  <si>
    <t>Yes</t>
  </si>
  <si>
    <t>Sales</t>
  </si>
  <si>
    <t>Life Sciences</t>
  </si>
  <si>
    <t>Female</t>
  </si>
  <si>
    <t>Sales Executive</t>
  </si>
  <si>
    <t>Single</t>
  </si>
  <si>
    <t>No</t>
  </si>
  <si>
    <t>Research &amp; Development</t>
  </si>
  <si>
    <t>Male</t>
  </si>
  <si>
    <t>Research Scientist</t>
  </si>
  <si>
    <t>Married</t>
  </si>
  <si>
    <t>Other</t>
  </si>
  <si>
    <t>Laboratory Technician</t>
  </si>
  <si>
    <t>Medical</t>
  </si>
  <si>
    <t>Divorced</t>
  </si>
  <si>
    <t>Manufacturing Director</t>
  </si>
  <si>
    <t>Healthcare Representative</t>
  </si>
  <si>
    <t>Manager</t>
  </si>
  <si>
    <t>Sales Representative</t>
  </si>
  <si>
    <t>Research Director</t>
  </si>
  <si>
    <t>Marketing</t>
  </si>
  <si>
    <t>Technical Degree</t>
  </si>
  <si>
    <t>Human Resources</t>
  </si>
  <si>
    <t>Total Employees</t>
  </si>
  <si>
    <t>Average Age</t>
  </si>
  <si>
    <t>Row Labels</t>
  </si>
  <si>
    <t>Grand Total</t>
  </si>
  <si>
    <t>Active Employees</t>
  </si>
  <si>
    <t>Male Employees</t>
  </si>
  <si>
    <t>Female Employees</t>
  </si>
  <si>
    <t>Total Attrition</t>
  </si>
  <si>
    <t>Overtime Attrition</t>
  </si>
  <si>
    <t>Attrition by Age Group</t>
  </si>
  <si>
    <t>Young</t>
  </si>
  <si>
    <t>Attrition by Low Engagement</t>
  </si>
  <si>
    <t>Department-wise Employees</t>
  </si>
  <si>
    <t>Gender Distribution</t>
  </si>
  <si>
    <t>Job Role-wise Employees</t>
  </si>
  <si>
    <t>Education Field-wise Employees</t>
  </si>
  <si>
    <t>Mid</t>
  </si>
  <si>
    <t>Senior</t>
  </si>
  <si>
    <t>Age Group Distribution</t>
  </si>
  <si>
    <t>Attrition by Department</t>
  </si>
  <si>
    <t>Attrition by Job Role</t>
  </si>
  <si>
    <t>High</t>
  </si>
  <si>
    <t>Low</t>
  </si>
  <si>
    <t>Medium</t>
  </si>
  <si>
    <t>Attrition by Income Group</t>
  </si>
  <si>
    <t>Attrition by Salary Hike</t>
  </si>
  <si>
    <t>cjgj</t>
  </si>
  <si>
    <t>hkg</t>
  </si>
  <si>
    <t>khg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</si>
</sst>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1" xfId="0" applyBorder="1"/>
    <xf numFmtId="0" fontId="0" fillId="0" borderId="2" xfId="0" applyBorder="1"/>
    <xf numFmtId="0" fontId="0" fillId="0" borderId="3" xfId="0" applyBorder="1"/>
    <xf numFmtId="14" fontId="0" fillId="0" borderId="2" xfId="0" applyNumberFormat="1" applyBorder="1"/>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font>
        <b/>
        <i val="0"/>
        <sz val="11"/>
      </font>
      <fill>
        <patternFill>
          <bgColor theme="1"/>
        </patternFill>
      </fill>
    </dxf>
    <dxf>
      <font>
        <b/>
        <i val="0"/>
        <sz val="11"/>
        <color theme="0"/>
      </font>
      <fill>
        <gradientFill degree="270">
          <stop position="0">
            <color theme="1"/>
          </stop>
          <stop position="1">
            <color rgb="FFFF0000"/>
          </stop>
        </gradientFill>
      </fill>
      <border>
        <left style="thick">
          <color rgb="FFC00000"/>
        </left>
        <right style="thick">
          <color rgb="FFC00000"/>
        </right>
        <top style="thick">
          <color rgb="FFC00000"/>
        </top>
        <bottom style="thick">
          <color rgb="FFC00000"/>
        </bottom>
      </border>
    </dxf>
    <dxf>
      <font>
        <b/>
        <i val="0"/>
        <sz val="11"/>
      </font>
      <fill>
        <patternFill>
          <bgColor theme="1"/>
        </patternFill>
      </fill>
    </dxf>
    <dxf>
      <font>
        <b/>
        <i val="0"/>
        <sz val="11"/>
        <color theme="0"/>
      </font>
      <fill>
        <gradientFill degree="270">
          <stop position="0">
            <color theme="1"/>
          </stop>
          <stop position="1">
            <color rgb="FFFF0000"/>
          </stop>
        </gradientFill>
      </fill>
      <border>
        <left style="thin">
          <color auto="1"/>
        </left>
        <right style="thin">
          <color auto="1"/>
        </right>
        <top style="thin">
          <color auto="1"/>
        </top>
        <bottom style="thin">
          <color auto="1"/>
        </bottom>
      </border>
    </dxf>
    <dxf>
      <font>
        <color theme="0"/>
        <name val="Aptos Display"/>
        <family val="2"/>
        <scheme val="major"/>
      </font>
      <fill>
        <patternFill>
          <bgColor theme="9" tint="0.39994506668294322"/>
        </patternFill>
      </fill>
    </dxf>
    <dxf>
      <fill>
        <patternFill>
          <bgColor theme="9" tint="-0.24994659260841701"/>
        </patternFill>
      </fill>
    </dxf>
    <dxf>
      <font>
        <b/>
        <i val="0"/>
        <sz val="11"/>
        <color theme="0"/>
        <name val="Aptos Display"/>
        <family val="2"/>
        <scheme val="major"/>
      </font>
      <fill>
        <patternFill patternType="solid">
          <fgColor theme="0"/>
          <bgColor theme="1"/>
        </patternFill>
      </fill>
      <border>
        <left style="thick">
          <color theme="0"/>
        </left>
        <right style="thick">
          <color theme="0"/>
        </right>
        <top style="thick">
          <color theme="0"/>
        </top>
        <bottom style="thick">
          <color theme="0"/>
        </bottom>
      </border>
    </dxf>
    <dxf>
      <font>
        <b/>
        <i val="0"/>
        <sz val="11"/>
        <color theme="0"/>
        <name val="Aptos Display"/>
        <family val="2"/>
        <scheme val="major"/>
      </font>
      <fill>
        <patternFill patternType="solid">
          <fgColor theme="0"/>
          <bgColor theme="1"/>
        </patternFill>
      </fill>
      <border>
        <left style="thin">
          <color auto="1"/>
        </left>
        <right style="thin">
          <color auto="1"/>
        </right>
        <top style="thin">
          <color auto="1"/>
        </top>
        <bottom style="thin">
          <color auto="1"/>
        </bottom>
      </border>
    </dxf>
  </dxfs>
  <tableStyles count="5" defaultTableStyle="TableStyleMedium2" defaultPivotStyle="PivotStyleLight16">
    <tableStyle name="Slicer Style 1" pivot="0" table="0" count="5" xr9:uid="{64DCBE08-067E-45FD-8B13-CA4B81FBD99E}">
      <tableStyleElement type="wholeTable" dxfId="12"/>
    </tableStyle>
    <tableStyle name="Slicer Style 1 2" pivot="0" table="0" count="5" xr9:uid="{5AD659E6-84EF-4901-A1FC-8AE5C0B22D0A}">
      <tableStyleElement type="wholeTable" dxfId="11"/>
    </tableStyle>
    <tableStyle name="Slicer Style 2" pivot="0" table="0" count="2" xr9:uid="{DB7EABD1-D6FB-4025-A0D1-36CF0E65414F}">
      <tableStyleElement type="wholeTable" dxfId="10"/>
      <tableStyleElement type="headerRow" dxfId="9"/>
    </tableStyle>
    <tableStyle name="Slicer Style 3" pivot="0" table="0" count="2" xr9:uid="{DB0236A2-D8AD-473F-8BF5-CD065B59DCAB}">
      <tableStyleElement type="wholeTable" dxfId="8"/>
      <tableStyleElement type="headerRow" dxfId="7"/>
    </tableStyle>
    <tableStyle name="Slicer Style 3 2" pivot="0" table="0" count="2" xr9:uid="{4F73D3E1-FEFE-4423-A426-BBBF55EC2F41}">
      <tableStyleElement type="wholeTable" dxfId="6"/>
      <tableStyleElement type="headerRow" dxfId="5"/>
    </tableStyle>
  </tableStyles>
  <colors>
    <mruColors>
      <color rgb="FFA50021"/>
      <color rgb="FFFFD44B"/>
      <color rgb="FFFA4848"/>
      <color rgb="FFCC0417"/>
      <color rgb="FFFFFF00"/>
      <color rgb="FFCC3300"/>
    </mruColors>
  </colors>
  <extLst>
    <ext xmlns:x14="http://schemas.microsoft.com/office/spreadsheetml/2009/9/main" uri="{46F421CA-312F-682f-3DD2-61675219B42D}">
      <x14:dxfs count="8">
        <dxf>
          <fill>
            <patternFill>
              <bgColor rgb="FF92D050"/>
            </patternFill>
          </fill>
        </dxf>
        <dxf>
          <fill>
            <patternFill>
              <bgColor theme="6" tint="0.39994506668294322"/>
            </patternFill>
          </fill>
        </dxf>
        <dxf>
          <fill>
            <patternFill>
              <bgColor rgb="FF92D050"/>
            </patternFill>
          </fill>
        </dxf>
        <dxf>
          <fill>
            <patternFill>
              <bgColor theme="6" tint="0.39994506668294322"/>
            </patternFill>
          </fill>
        </dxf>
        <dxf>
          <fill>
            <patternFill>
              <bgColor rgb="FF92D050"/>
            </patternFill>
          </fill>
        </dxf>
        <dxf>
          <fill>
            <patternFill>
              <bgColor theme="6" tint="0.39994506668294322"/>
            </patternFill>
          </fill>
        </dxf>
        <dxf>
          <fill>
            <patternFill>
              <bgColor rgb="FF92D050"/>
            </patternFill>
          </fill>
        </dxf>
        <dxf>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Slicer Style 1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licer Style 2"/>
        <x14:slicerStyle name="Slicer Style 3"/>
        <x14:slicerStyle name="Slicer Style 3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[Hiring-Attrition.xlsx]Hiring !PivotTable11</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Department-wise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'Hiring '!$B$9</c:f>
              <c:strCache>
                <c:ptCount val="1"/>
                <c:pt idx="0">
                  <c:v>Total</c:v>
                </c:pt>
              </c:strCache>
            </c:strRef>
          </c:tx>
          <c:spPr>
            <a:solidFill>
              <a:schemeClr val="accent2"/>
            </a:solidFill>
            <a:ln>
              <a:noFill/>
            </a:ln>
            <a:effectLst/>
          </c:spPr>
          <c:invertIfNegative val="0"/>
          <c:cat>
            <c:strRef>
              <c:f>'Hiring '!$A$10:$A$13</c:f>
              <c:strCache>
                <c:ptCount val="3"/>
                <c:pt idx="0">
                  <c:v>Sales</c:v>
                </c:pt>
                <c:pt idx="1">
                  <c:v>Human Resources</c:v>
                </c:pt>
                <c:pt idx="2">
                  <c:v>Research &amp; Development</c:v>
                </c:pt>
              </c:strCache>
            </c:strRef>
          </c:cat>
          <c:val>
            <c:numRef>
              <c:f>'Hiring '!$B$10:$B$13</c:f>
              <c:numCache>
                <c:formatCode>General</c:formatCode>
                <c:ptCount val="3"/>
                <c:pt idx="0">
                  <c:v>257</c:v>
                </c:pt>
                <c:pt idx="1">
                  <c:v>43</c:v>
                </c:pt>
                <c:pt idx="2">
                  <c:v>582</c:v>
                </c:pt>
              </c:numCache>
            </c:numRef>
          </c:val>
          <c:extLst>
            <c:ext xmlns:c16="http://schemas.microsoft.com/office/drawing/2014/chart" uri="{C3380CC4-5D6E-409C-BE32-E72D297353CC}">
              <c16:uniqueId val="{00000000-79F0-4073-82B1-78709483E79B}"/>
            </c:ext>
          </c:extLst>
        </c:ser>
        <c:dLbls>
          <c:showLegendKey val="0"/>
          <c:showVal val="0"/>
          <c:showCatName val="0"/>
          <c:showSerName val="0"/>
          <c:showPercent val="0"/>
          <c:showBubbleSize val="0"/>
        </c:dLbls>
        <c:gapWidth val="182"/>
        <c:axId val="959768704"/>
        <c:axId val="959767264"/>
      </c:barChart>
      <c:catAx>
        <c:axId val="95976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9767264"/>
        <c:crosses val="autoZero"/>
        <c:auto val="1"/>
        <c:lblAlgn val="ctr"/>
        <c:lblOffset val="100"/>
        <c:noMultiLvlLbl val="0"/>
      </c:catAx>
      <c:valAx>
        <c:axId val="95976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976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9000">
          <a:schemeClr val="tx1"/>
        </a:gs>
        <a:gs pos="0">
          <a:schemeClr val="tx1"/>
        </a:gs>
        <a:gs pos="100000">
          <a:schemeClr val="accent3">
            <a:lumMod val="60000"/>
            <a:lumOff val="40000"/>
          </a:schemeClr>
        </a:gs>
        <a:gs pos="100000">
          <a:schemeClr val="tx1"/>
        </a:gs>
      </a:gsLst>
      <a:lin ang="13500000" scaled="1"/>
      <a:tileRect/>
    </a:gra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[Hiring-Attrition.xlsx]Hiring !PivotTable12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Gender-wise Employee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C33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solidFill>
              <a:schemeClr val="lt1"/>
            </a:solidFill>
          </a:ln>
          <a:effectLst/>
        </c:spPr>
      </c:pivotFmt>
      <c:pivotFmt>
        <c:idx val="6"/>
        <c:spPr>
          <a:solidFill>
            <a:srgbClr val="CC3300"/>
          </a:solidFill>
          <a:ln w="19050">
            <a:solidFill>
              <a:schemeClr val="lt1"/>
            </a:solidFill>
          </a:ln>
          <a:effectLst/>
        </c:spPr>
      </c:pivotFmt>
    </c:pivotFmts>
    <c:plotArea>
      <c:layout/>
      <c:doughnutChart>
        <c:varyColors val="1"/>
        <c:ser>
          <c:idx val="0"/>
          <c:order val="0"/>
          <c:tx>
            <c:strRef>
              <c:f>'Hiring '!$F$9</c:f>
              <c:strCache>
                <c:ptCount val="1"/>
                <c:pt idx="0">
                  <c:v>Total</c:v>
                </c:pt>
              </c:strCache>
            </c:strRef>
          </c:tx>
          <c:spPr>
            <a:solidFill>
              <a:srgbClr val="CC3300"/>
            </a:solidFill>
          </c:spPr>
          <c:dPt>
            <c:idx val="0"/>
            <c:bubble3D val="0"/>
            <c:spPr>
              <a:solidFill>
                <a:srgbClr val="CC3300"/>
              </a:solidFill>
              <a:ln w="19050">
                <a:solidFill>
                  <a:schemeClr val="lt1"/>
                </a:solidFill>
              </a:ln>
              <a:effectLst/>
            </c:spPr>
            <c:extLst>
              <c:ext xmlns:c16="http://schemas.microsoft.com/office/drawing/2014/chart" uri="{C3380CC4-5D6E-409C-BE32-E72D297353CC}">
                <c16:uniqueId val="{00000001-C2E8-4DAE-9C61-B35A6AA65675}"/>
              </c:ext>
            </c:extLst>
          </c:dPt>
          <c:dPt>
            <c:idx val="1"/>
            <c:bubble3D val="0"/>
            <c:spPr>
              <a:solidFill>
                <a:srgbClr val="CC3300"/>
              </a:solidFill>
              <a:ln w="19050">
                <a:solidFill>
                  <a:schemeClr val="lt1"/>
                </a:solidFill>
              </a:ln>
              <a:effectLst/>
            </c:spPr>
            <c:extLst>
              <c:ext xmlns:c16="http://schemas.microsoft.com/office/drawing/2014/chart" uri="{C3380CC4-5D6E-409C-BE32-E72D297353CC}">
                <c16:uniqueId val="{00000003-C2E8-4DAE-9C61-B35A6AA65675}"/>
              </c:ext>
            </c:extLst>
          </c:dPt>
          <c:cat>
            <c:strRef>
              <c:f>'Hiring '!$E$10:$E$11</c:f>
              <c:strCache>
                <c:ptCount val="1"/>
                <c:pt idx="0">
                  <c:v>Male</c:v>
                </c:pt>
              </c:strCache>
            </c:strRef>
          </c:cat>
          <c:val>
            <c:numRef>
              <c:f>'Hiring '!$F$10:$F$11</c:f>
              <c:numCache>
                <c:formatCode>General</c:formatCode>
                <c:ptCount val="1"/>
                <c:pt idx="0">
                  <c:v>882</c:v>
                </c:pt>
              </c:numCache>
            </c:numRef>
          </c:val>
          <c:extLst>
            <c:ext xmlns:c16="http://schemas.microsoft.com/office/drawing/2014/chart" uri="{C3380CC4-5D6E-409C-BE32-E72D297353CC}">
              <c16:uniqueId val="{00000004-C2E8-4DAE-9C61-B35A6AA656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9000">
          <a:schemeClr val="tx1"/>
        </a:gs>
        <a:gs pos="0">
          <a:schemeClr val="tx1"/>
        </a:gs>
        <a:gs pos="100000">
          <a:schemeClr val="accent3">
            <a:lumMod val="60000"/>
            <a:lumOff val="40000"/>
          </a:schemeClr>
        </a:gs>
        <a:gs pos="100000">
          <a:schemeClr val="tx1"/>
        </a:gs>
      </a:gsLst>
      <a:lin ang="16200000" scaled="1"/>
      <a:tileRect/>
    </a:gra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[Hiring-Attrition.xlsx]Hiring !PivotTable13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Employee Distribution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'Hiring '!$B$17</c:f>
              <c:strCache>
                <c:ptCount val="1"/>
                <c:pt idx="0">
                  <c:v>Total</c:v>
                </c:pt>
              </c:strCache>
            </c:strRef>
          </c:tx>
          <c:spPr>
            <a:solidFill>
              <a:schemeClr val="accent2"/>
            </a:solidFill>
            <a:ln>
              <a:noFill/>
            </a:ln>
            <a:effectLst/>
          </c:spPr>
          <c:invertIfNegative val="0"/>
          <c:cat>
            <c:strRef>
              <c:f>'Hiring '!$A$18:$A$27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'Hiring '!$B$18:$B$27</c:f>
              <c:numCache>
                <c:formatCode>General</c:formatCode>
                <c:ptCount val="9"/>
                <c:pt idx="0">
                  <c:v>80</c:v>
                </c:pt>
                <c:pt idx="1">
                  <c:v>36</c:v>
                </c:pt>
                <c:pt idx="2">
                  <c:v>174</c:v>
                </c:pt>
                <c:pt idx="3">
                  <c:v>55</c:v>
                </c:pt>
                <c:pt idx="4">
                  <c:v>73</c:v>
                </c:pt>
                <c:pt idx="5">
                  <c:v>47</c:v>
                </c:pt>
                <c:pt idx="6">
                  <c:v>178</c:v>
                </c:pt>
                <c:pt idx="7">
                  <c:v>194</c:v>
                </c:pt>
                <c:pt idx="8">
                  <c:v>45</c:v>
                </c:pt>
              </c:numCache>
            </c:numRef>
          </c:val>
          <c:extLst>
            <c:ext xmlns:c16="http://schemas.microsoft.com/office/drawing/2014/chart" uri="{C3380CC4-5D6E-409C-BE32-E72D297353CC}">
              <c16:uniqueId val="{00000000-A733-45FC-9930-AFD76A438DD0}"/>
            </c:ext>
          </c:extLst>
        </c:ser>
        <c:dLbls>
          <c:showLegendKey val="0"/>
          <c:showVal val="0"/>
          <c:showCatName val="0"/>
          <c:showSerName val="0"/>
          <c:showPercent val="0"/>
          <c:showBubbleSize val="0"/>
        </c:dLbls>
        <c:gapWidth val="150"/>
        <c:overlap val="100"/>
        <c:axId val="947900784"/>
        <c:axId val="947906064"/>
      </c:barChart>
      <c:catAx>
        <c:axId val="94790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7906064"/>
        <c:crosses val="autoZero"/>
        <c:auto val="1"/>
        <c:lblAlgn val="ctr"/>
        <c:lblOffset val="100"/>
        <c:noMultiLvlLbl val="0"/>
      </c:catAx>
      <c:valAx>
        <c:axId val="947906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790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6559">
          <a:srgbClr val="000000"/>
        </a:gs>
        <a:gs pos="39000">
          <a:schemeClr val="tx1"/>
        </a:gs>
        <a:gs pos="100000">
          <a:schemeClr val="accent3">
            <a:lumMod val="60000"/>
            <a:lumOff val="40000"/>
          </a:schemeClr>
        </a:gs>
        <a:gs pos="57000">
          <a:schemeClr val="tx1"/>
        </a:gs>
      </a:gsLst>
      <a:lin ang="8100000" scaled="1"/>
      <a:tileRect/>
    </a:gra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[Hiring-Attrition.xlsx]Hiring !PivotTable14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Employee Distribution by Education Field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'Hiring '!$F$17</c:f>
              <c:strCache>
                <c:ptCount val="1"/>
                <c:pt idx="0">
                  <c:v>Total</c:v>
                </c:pt>
              </c:strCache>
            </c:strRef>
          </c:tx>
          <c:spPr>
            <a:solidFill>
              <a:schemeClr val="accent2"/>
            </a:solidFill>
            <a:ln>
              <a:noFill/>
            </a:ln>
            <a:effectLst/>
          </c:spPr>
          <c:invertIfNegative val="0"/>
          <c:cat>
            <c:strRef>
              <c:f>'Hiring '!$E$18:$E$24</c:f>
              <c:strCache>
                <c:ptCount val="6"/>
                <c:pt idx="0">
                  <c:v>Marketing</c:v>
                </c:pt>
                <c:pt idx="1">
                  <c:v>Human Resources</c:v>
                </c:pt>
                <c:pt idx="2">
                  <c:v>Life Sciences</c:v>
                </c:pt>
                <c:pt idx="3">
                  <c:v>Medical</c:v>
                </c:pt>
                <c:pt idx="4">
                  <c:v>Other</c:v>
                </c:pt>
                <c:pt idx="5">
                  <c:v>Technical Degree</c:v>
                </c:pt>
              </c:strCache>
            </c:strRef>
          </c:cat>
          <c:val>
            <c:numRef>
              <c:f>'Hiring '!$F$18:$F$24</c:f>
              <c:numCache>
                <c:formatCode>General</c:formatCode>
                <c:ptCount val="6"/>
                <c:pt idx="0">
                  <c:v>90</c:v>
                </c:pt>
                <c:pt idx="1">
                  <c:v>19</c:v>
                </c:pt>
                <c:pt idx="2">
                  <c:v>366</c:v>
                </c:pt>
                <c:pt idx="3">
                  <c:v>274</c:v>
                </c:pt>
                <c:pt idx="4">
                  <c:v>53</c:v>
                </c:pt>
                <c:pt idx="5">
                  <c:v>80</c:v>
                </c:pt>
              </c:numCache>
            </c:numRef>
          </c:val>
          <c:extLst>
            <c:ext xmlns:c16="http://schemas.microsoft.com/office/drawing/2014/chart" uri="{C3380CC4-5D6E-409C-BE32-E72D297353CC}">
              <c16:uniqueId val="{00000000-0658-42D9-9FA4-0CD7221D4059}"/>
            </c:ext>
          </c:extLst>
        </c:ser>
        <c:dLbls>
          <c:showLegendKey val="0"/>
          <c:showVal val="0"/>
          <c:showCatName val="0"/>
          <c:showSerName val="0"/>
          <c:showPercent val="0"/>
          <c:showBubbleSize val="0"/>
        </c:dLbls>
        <c:gapWidth val="182"/>
        <c:overlap val="100"/>
        <c:axId val="833079504"/>
        <c:axId val="833086224"/>
      </c:barChart>
      <c:catAx>
        <c:axId val="83307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3086224"/>
        <c:crosses val="autoZero"/>
        <c:auto val="1"/>
        <c:lblAlgn val="ctr"/>
        <c:lblOffset val="100"/>
        <c:noMultiLvlLbl val="0"/>
      </c:catAx>
      <c:valAx>
        <c:axId val="833086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307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6559">
          <a:srgbClr val="000000"/>
        </a:gs>
        <a:gs pos="54000">
          <a:schemeClr val="tx1"/>
        </a:gs>
        <a:gs pos="100000">
          <a:schemeClr val="accent3">
            <a:lumMod val="60000"/>
            <a:lumOff val="40000"/>
          </a:schemeClr>
        </a:gs>
      </a:gsLst>
      <a:lin ang="2700000" scaled="1"/>
      <a:tileRect/>
    </a:gra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[Hiring-Attrition.xlsx]Hiring !PivotTable15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Age Group-wise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'Hiring '!$F$28</c:f>
              <c:strCache>
                <c:ptCount val="1"/>
                <c:pt idx="0">
                  <c:v>Total</c:v>
                </c:pt>
              </c:strCache>
            </c:strRef>
          </c:tx>
          <c:spPr>
            <a:solidFill>
              <a:schemeClr val="accent2"/>
            </a:solidFill>
            <a:ln>
              <a:noFill/>
            </a:ln>
            <a:effectLst/>
          </c:spPr>
          <c:invertIfNegative val="0"/>
          <c:cat>
            <c:strRef>
              <c:f>'Hiring '!$E$29:$E$32</c:f>
              <c:strCache>
                <c:ptCount val="3"/>
                <c:pt idx="0">
                  <c:v>Mid</c:v>
                </c:pt>
                <c:pt idx="1">
                  <c:v>Senior</c:v>
                </c:pt>
                <c:pt idx="2">
                  <c:v>Young</c:v>
                </c:pt>
              </c:strCache>
            </c:strRef>
          </c:cat>
          <c:val>
            <c:numRef>
              <c:f>'Hiring '!$F$29:$F$32</c:f>
              <c:numCache>
                <c:formatCode>General</c:formatCode>
                <c:ptCount val="3"/>
                <c:pt idx="0">
                  <c:v>500</c:v>
                </c:pt>
                <c:pt idx="1">
                  <c:v>176</c:v>
                </c:pt>
                <c:pt idx="2">
                  <c:v>206</c:v>
                </c:pt>
              </c:numCache>
            </c:numRef>
          </c:val>
          <c:extLst>
            <c:ext xmlns:c16="http://schemas.microsoft.com/office/drawing/2014/chart" uri="{C3380CC4-5D6E-409C-BE32-E72D297353CC}">
              <c16:uniqueId val="{00000000-5B4C-4476-9BEF-34C4F13E43C0}"/>
            </c:ext>
          </c:extLst>
        </c:ser>
        <c:dLbls>
          <c:showLegendKey val="0"/>
          <c:showVal val="0"/>
          <c:showCatName val="0"/>
          <c:showSerName val="0"/>
          <c:showPercent val="0"/>
          <c:showBubbleSize val="0"/>
        </c:dLbls>
        <c:gapWidth val="150"/>
        <c:overlap val="100"/>
        <c:axId val="959703424"/>
        <c:axId val="959716864"/>
      </c:barChart>
      <c:catAx>
        <c:axId val="95970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9716864"/>
        <c:crosses val="autoZero"/>
        <c:auto val="1"/>
        <c:lblAlgn val="ctr"/>
        <c:lblOffset val="100"/>
        <c:noMultiLvlLbl val="0"/>
      </c:catAx>
      <c:valAx>
        <c:axId val="95971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97034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6559">
          <a:srgbClr val="000000"/>
        </a:gs>
        <a:gs pos="39000">
          <a:schemeClr val="tx1"/>
        </a:gs>
        <a:gs pos="100000">
          <a:schemeClr val="accent3">
            <a:lumMod val="60000"/>
            <a:lumOff val="40000"/>
          </a:schemeClr>
        </a:gs>
        <a:gs pos="40000">
          <a:schemeClr val="tx1"/>
        </a:gs>
      </a:gsLst>
      <a:lin ang="16800000" scaled="0"/>
      <a:tileRect/>
    </a:gra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[Hiring-Attrition.xlsx]Attrition!PivotTable16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Attrition!$B$9</c:f>
              <c:strCache>
                <c:ptCount val="1"/>
                <c:pt idx="0">
                  <c:v>Total</c:v>
                </c:pt>
              </c:strCache>
            </c:strRef>
          </c:tx>
          <c:spPr>
            <a:solidFill>
              <a:schemeClr val="accent6">
                <a:lumMod val="60000"/>
                <a:lumOff val="40000"/>
              </a:schemeClr>
            </a:solidFill>
            <a:ln>
              <a:noFill/>
            </a:ln>
            <a:effectLst/>
          </c:spPr>
          <c:invertIfNegative val="0"/>
          <c:cat>
            <c:strRef>
              <c:f>Attrition!$A$10:$A$13</c:f>
              <c:strCache>
                <c:ptCount val="3"/>
                <c:pt idx="0">
                  <c:v>Sales</c:v>
                </c:pt>
                <c:pt idx="1">
                  <c:v>Human Resources</c:v>
                </c:pt>
                <c:pt idx="2">
                  <c:v>Research &amp; Development</c:v>
                </c:pt>
              </c:strCache>
            </c:strRef>
          </c:cat>
          <c:val>
            <c:numRef>
              <c:f>Attrition!$B$10:$B$13</c:f>
              <c:numCache>
                <c:formatCode>General</c:formatCode>
                <c:ptCount val="3"/>
                <c:pt idx="0">
                  <c:v>92</c:v>
                </c:pt>
                <c:pt idx="1">
                  <c:v>12</c:v>
                </c:pt>
                <c:pt idx="2">
                  <c:v>133</c:v>
                </c:pt>
              </c:numCache>
            </c:numRef>
          </c:val>
          <c:extLst>
            <c:ext xmlns:c16="http://schemas.microsoft.com/office/drawing/2014/chart" uri="{C3380CC4-5D6E-409C-BE32-E72D297353CC}">
              <c16:uniqueId val="{00000000-0685-4243-B39A-5D09251557F2}"/>
            </c:ext>
          </c:extLst>
        </c:ser>
        <c:dLbls>
          <c:showLegendKey val="0"/>
          <c:showVal val="0"/>
          <c:showCatName val="0"/>
          <c:showSerName val="0"/>
          <c:showPercent val="0"/>
          <c:showBubbleSize val="0"/>
        </c:dLbls>
        <c:gapWidth val="219"/>
        <c:overlap val="-27"/>
        <c:axId val="947930064"/>
        <c:axId val="947930544"/>
      </c:barChart>
      <c:catAx>
        <c:axId val="94793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7930544"/>
        <c:crosses val="autoZero"/>
        <c:auto val="1"/>
        <c:lblAlgn val="ctr"/>
        <c:lblOffset val="100"/>
        <c:noMultiLvlLbl val="0"/>
      </c:catAx>
      <c:valAx>
        <c:axId val="947930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793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62900">
          <a:schemeClr val="tx1"/>
        </a:gs>
        <a:gs pos="0">
          <a:schemeClr val="tx1"/>
        </a:gs>
        <a:gs pos="74000">
          <a:srgbClr val="FF0000"/>
        </a:gs>
        <a:gs pos="100000">
          <a:srgbClr val="FF0000"/>
        </a:gs>
      </a:gsLst>
      <a:lin ang="5400000" scaled="1"/>
      <a:tileRect/>
    </a:gra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[Hiring-Attrition.xlsx]Attrition!PivotTable17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Attrition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Attrition!$F$9</c:f>
              <c:strCache>
                <c:ptCount val="1"/>
                <c:pt idx="0">
                  <c:v>Total</c:v>
                </c:pt>
              </c:strCache>
            </c:strRef>
          </c:tx>
          <c:spPr>
            <a:solidFill>
              <a:schemeClr val="accent6">
                <a:lumMod val="60000"/>
                <a:lumOff val="40000"/>
              </a:schemeClr>
            </a:solidFill>
            <a:ln>
              <a:noFill/>
            </a:ln>
            <a:effectLst/>
          </c:spPr>
          <c:invertIfNegative val="0"/>
          <c:cat>
            <c:strRef>
              <c:f>Attrition!$E$10:$E$19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Attrition!$F$10:$F$19</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F05D-4790-A103-D37EEBEDD494}"/>
            </c:ext>
          </c:extLst>
        </c:ser>
        <c:dLbls>
          <c:showLegendKey val="0"/>
          <c:showVal val="0"/>
          <c:showCatName val="0"/>
          <c:showSerName val="0"/>
          <c:showPercent val="0"/>
          <c:showBubbleSize val="0"/>
        </c:dLbls>
        <c:gapWidth val="182"/>
        <c:axId val="833050704"/>
        <c:axId val="833053584"/>
      </c:barChart>
      <c:catAx>
        <c:axId val="83305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3053584"/>
        <c:crosses val="autoZero"/>
        <c:auto val="1"/>
        <c:lblAlgn val="ctr"/>
        <c:lblOffset val="100"/>
        <c:noMultiLvlLbl val="0"/>
      </c:catAx>
      <c:valAx>
        <c:axId val="833053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305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2900">
          <a:schemeClr val="tx1"/>
        </a:gs>
        <a:gs pos="0">
          <a:schemeClr val="tx1"/>
        </a:gs>
        <a:gs pos="74000">
          <a:srgbClr val="FF0000"/>
        </a:gs>
        <a:gs pos="100000">
          <a:srgbClr val="FF0000"/>
        </a:gs>
      </a:gsLst>
      <a:lin ang="5400000" scaled="1"/>
    </a:gra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[Hiring-Attrition.xlsx]Attrition!PivotTable18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Attrition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D44B"/>
          </a:solidFill>
          <a:ln>
            <a:noFill/>
          </a:ln>
          <a:effectLst/>
        </c:spPr>
      </c:pivotFmt>
      <c:pivotFmt>
        <c:idx val="7"/>
        <c:spPr>
          <a:solidFill>
            <a:srgbClr val="A50021"/>
          </a:solidFill>
          <a:ln>
            <a:noFill/>
          </a:ln>
          <a:effectLst/>
        </c:spPr>
      </c:pivotFmt>
      <c:pivotFmt>
        <c:idx val="8"/>
        <c:spPr>
          <a:solidFill>
            <a:schemeClr val="accent6">
              <a:lumMod val="75000"/>
            </a:schemeClr>
          </a:solidFill>
          <a:ln>
            <a:noFill/>
          </a:ln>
          <a:effectLst/>
        </c:spPr>
      </c:pivotFmt>
    </c:pivotFmts>
    <c:plotArea>
      <c:layout/>
      <c:pieChart>
        <c:varyColors val="1"/>
        <c:ser>
          <c:idx val="0"/>
          <c:order val="0"/>
          <c:tx>
            <c:strRef>
              <c:f>Attrition!$B$17</c:f>
              <c:strCache>
                <c:ptCount val="1"/>
                <c:pt idx="0">
                  <c:v>Total</c:v>
                </c:pt>
              </c:strCache>
            </c:strRef>
          </c:tx>
          <c:spPr>
            <a:solidFill>
              <a:srgbClr val="FFC000"/>
            </a:solidFill>
          </c:spPr>
          <c:dPt>
            <c:idx val="0"/>
            <c:bubble3D val="0"/>
            <c:spPr>
              <a:solidFill>
                <a:srgbClr val="FFD44B"/>
              </a:solidFill>
              <a:ln>
                <a:noFill/>
              </a:ln>
              <a:effectLst/>
            </c:spPr>
            <c:extLst>
              <c:ext xmlns:c16="http://schemas.microsoft.com/office/drawing/2014/chart" uri="{C3380CC4-5D6E-409C-BE32-E72D297353CC}">
                <c16:uniqueId val="{00000001-A866-4F7E-991A-F204D82A79E6}"/>
              </c:ext>
            </c:extLst>
          </c:dPt>
          <c:dPt>
            <c:idx val="1"/>
            <c:bubble3D val="0"/>
            <c:spPr>
              <a:solidFill>
                <a:srgbClr val="A50021"/>
              </a:solidFill>
              <a:ln>
                <a:noFill/>
              </a:ln>
              <a:effectLst/>
            </c:spPr>
            <c:extLst>
              <c:ext xmlns:c16="http://schemas.microsoft.com/office/drawing/2014/chart" uri="{C3380CC4-5D6E-409C-BE32-E72D297353CC}">
                <c16:uniqueId val="{00000003-A866-4F7E-991A-F204D82A79E6}"/>
              </c:ext>
            </c:extLst>
          </c:dPt>
          <c:dPt>
            <c:idx val="2"/>
            <c:bubble3D val="0"/>
            <c:spPr>
              <a:solidFill>
                <a:schemeClr val="accent6">
                  <a:lumMod val="75000"/>
                </a:schemeClr>
              </a:solidFill>
              <a:ln>
                <a:noFill/>
              </a:ln>
              <a:effectLst/>
            </c:spPr>
            <c:extLst>
              <c:ext xmlns:c16="http://schemas.microsoft.com/office/drawing/2014/chart" uri="{C3380CC4-5D6E-409C-BE32-E72D297353CC}">
                <c16:uniqueId val="{00000005-A866-4F7E-991A-F204D82A79E6}"/>
              </c:ext>
            </c:extLst>
          </c:dPt>
          <c:cat>
            <c:strRef>
              <c:f>Attrition!$A$18:$A$21</c:f>
              <c:strCache>
                <c:ptCount val="3"/>
                <c:pt idx="0">
                  <c:v>Mid</c:v>
                </c:pt>
                <c:pt idx="1">
                  <c:v>Senior</c:v>
                </c:pt>
                <c:pt idx="2">
                  <c:v>Young</c:v>
                </c:pt>
              </c:strCache>
            </c:strRef>
          </c:cat>
          <c:val>
            <c:numRef>
              <c:f>Attrition!$B$18:$B$21</c:f>
              <c:numCache>
                <c:formatCode>General</c:formatCode>
                <c:ptCount val="3"/>
                <c:pt idx="0">
                  <c:v>830</c:v>
                </c:pt>
                <c:pt idx="1">
                  <c:v>314</c:v>
                </c:pt>
                <c:pt idx="2">
                  <c:v>326</c:v>
                </c:pt>
              </c:numCache>
            </c:numRef>
          </c:val>
          <c:extLst>
            <c:ext xmlns:c16="http://schemas.microsoft.com/office/drawing/2014/chart" uri="{C3380CC4-5D6E-409C-BE32-E72D297353CC}">
              <c16:uniqueId val="{00000006-A866-4F7E-991A-F204D82A79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2900">
          <a:schemeClr val="tx1"/>
        </a:gs>
        <a:gs pos="0">
          <a:schemeClr val="tx1"/>
        </a:gs>
        <a:gs pos="74000">
          <a:srgbClr val="FF0000"/>
        </a:gs>
        <a:gs pos="100000">
          <a:srgbClr val="FF0000"/>
        </a:gs>
      </a:gsLst>
      <a:lin ang="5400000" scaled="1"/>
    </a:gra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[Hiring-Attrition.xlsx]Attrition!PivotTable19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Attrition 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Attrition!$B$24</c:f>
              <c:strCache>
                <c:ptCount val="1"/>
                <c:pt idx="0">
                  <c:v>Total</c:v>
                </c:pt>
              </c:strCache>
            </c:strRef>
          </c:tx>
          <c:spPr>
            <a:solidFill>
              <a:schemeClr val="accent6">
                <a:lumMod val="60000"/>
                <a:lumOff val="40000"/>
              </a:schemeClr>
            </a:solidFill>
            <a:ln>
              <a:noFill/>
            </a:ln>
            <a:effectLst/>
            <a:sp3d/>
          </c:spPr>
          <c:invertIfNegative val="0"/>
          <c:cat>
            <c:strRef>
              <c:f>Attrition!$A$25:$A$28</c:f>
              <c:strCache>
                <c:ptCount val="3"/>
                <c:pt idx="0">
                  <c:v>High</c:v>
                </c:pt>
                <c:pt idx="1">
                  <c:v>Low</c:v>
                </c:pt>
                <c:pt idx="2">
                  <c:v>Medium</c:v>
                </c:pt>
              </c:strCache>
            </c:strRef>
          </c:cat>
          <c:val>
            <c:numRef>
              <c:f>Attrition!$B$25:$B$28</c:f>
              <c:numCache>
                <c:formatCode>General</c:formatCode>
                <c:ptCount val="3"/>
                <c:pt idx="0">
                  <c:v>281</c:v>
                </c:pt>
                <c:pt idx="1">
                  <c:v>749</c:v>
                </c:pt>
                <c:pt idx="2">
                  <c:v>440</c:v>
                </c:pt>
              </c:numCache>
            </c:numRef>
          </c:val>
          <c:extLst>
            <c:ext xmlns:c16="http://schemas.microsoft.com/office/drawing/2014/chart" uri="{C3380CC4-5D6E-409C-BE32-E72D297353CC}">
              <c16:uniqueId val="{00000000-0128-413D-96D0-57BA6FDDD166}"/>
            </c:ext>
          </c:extLst>
        </c:ser>
        <c:dLbls>
          <c:showLegendKey val="0"/>
          <c:showVal val="0"/>
          <c:showCatName val="0"/>
          <c:showSerName val="0"/>
          <c:showPercent val="0"/>
          <c:showBubbleSize val="0"/>
        </c:dLbls>
        <c:gapWidth val="150"/>
        <c:shape val="box"/>
        <c:axId val="833055504"/>
        <c:axId val="833046384"/>
        <c:axId val="0"/>
      </c:bar3DChart>
      <c:catAx>
        <c:axId val="833055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3046384"/>
        <c:crosses val="autoZero"/>
        <c:auto val="1"/>
        <c:lblAlgn val="ctr"/>
        <c:lblOffset val="100"/>
        <c:noMultiLvlLbl val="0"/>
      </c:catAx>
      <c:valAx>
        <c:axId val="83304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305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2900">
          <a:schemeClr val="tx1"/>
        </a:gs>
        <a:gs pos="0">
          <a:schemeClr val="tx1"/>
        </a:gs>
        <a:gs pos="74000">
          <a:srgbClr val="FF0000"/>
        </a:gs>
        <a:gs pos="100000">
          <a:srgbClr val="FF0000"/>
        </a:gs>
      </a:gsLst>
      <a:lin ang="5400000" scaled="1"/>
    </a:gra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[Hiring-Attrition.xlsx]Attrition!PivotTable20</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Attrition by Salary Hike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Attrition!$F$24</c:f>
              <c:strCache>
                <c:ptCount val="1"/>
                <c:pt idx="0">
                  <c:v>Total</c:v>
                </c:pt>
              </c:strCache>
            </c:strRef>
          </c:tx>
          <c:spPr>
            <a:solidFill>
              <a:schemeClr val="accent6">
                <a:lumMod val="60000"/>
                <a:lumOff val="40000"/>
              </a:schemeClr>
            </a:solidFill>
            <a:ln>
              <a:noFill/>
            </a:ln>
            <a:effectLst/>
            <a:sp3d/>
          </c:spPr>
          <c:invertIfNegative val="0"/>
          <c:cat>
            <c:strRef>
              <c:f>Attrition!$E$25:$E$28</c:f>
              <c:strCache>
                <c:ptCount val="3"/>
                <c:pt idx="0">
                  <c:v>High</c:v>
                </c:pt>
                <c:pt idx="1">
                  <c:v>Low</c:v>
                </c:pt>
                <c:pt idx="2">
                  <c:v>Medium</c:v>
                </c:pt>
              </c:strCache>
            </c:strRef>
          </c:cat>
          <c:val>
            <c:numRef>
              <c:f>Attrition!$F$25:$F$28</c:f>
              <c:numCache>
                <c:formatCode>General</c:formatCode>
                <c:ptCount val="3"/>
                <c:pt idx="0">
                  <c:v>59</c:v>
                </c:pt>
                <c:pt idx="1">
                  <c:v>74</c:v>
                </c:pt>
                <c:pt idx="2">
                  <c:v>104</c:v>
                </c:pt>
              </c:numCache>
            </c:numRef>
          </c:val>
          <c:extLst>
            <c:ext xmlns:c16="http://schemas.microsoft.com/office/drawing/2014/chart" uri="{C3380CC4-5D6E-409C-BE32-E72D297353CC}">
              <c16:uniqueId val="{00000000-6949-40CD-87C5-2150E54F568E}"/>
            </c:ext>
          </c:extLst>
        </c:ser>
        <c:dLbls>
          <c:showLegendKey val="0"/>
          <c:showVal val="0"/>
          <c:showCatName val="0"/>
          <c:showSerName val="0"/>
          <c:showPercent val="0"/>
          <c:showBubbleSize val="0"/>
        </c:dLbls>
        <c:gapWidth val="150"/>
        <c:shape val="box"/>
        <c:axId val="1013254144"/>
        <c:axId val="1013267104"/>
        <c:axId val="0"/>
      </c:bar3DChart>
      <c:catAx>
        <c:axId val="101325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3267104"/>
        <c:crosses val="autoZero"/>
        <c:auto val="1"/>
        <c:lblAlgn val="ctr"/>
        <c:lblOffset val="100"/>
        <c:noMultiLvlLbl val="0"/>
      </c:catAx>
      <c:valAx>
        <c:axId val="101326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325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2900">
          <a:schemeClr val="tx1"/>
        </a:gs>
        <a:gs pos="0">
          <a:schemeClr val="tx1"/>
        </a:gs>
        <a:gs pos="74000">
          <a:srgbClr val="FF0000"/>
        </a:gs>
        <a:gs pos="100000">
          <a:srgbClr val="FF0000"/>
        </a:gs>
      </a:gsLst>
      <a:lin ang="5400000" scaled="1"/>
    </a:gra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Attrition!A1"/></Relationships>
</file>

<file path=xl/drawings/_rels/drawing2.xml.rels><?xml version="1.0" encoding="UTF-8" standalone="yes"?>
<Relationships xmlns="http://schemas.openxmlformats.org/package/2006/relationships"><Relationship Id="rId1" Type="http://schemas.openxmlformats.org/officeDocument/2006/relationships/hyperlink" Target="#INTRO!A1"/></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iring-Attrition'!A1"/><Relationship Id="rId1" Type="http://schemas.openxmlformats.org/officeDocument/2006/relationships/hyperlink" Target="#'P&amp;O'!A1"/><Relationship Id="rId5" Type="http://schemas.openxmlformats.org/officeDocument/2006/relationships/hyperlink" Target="#Attrition!A1"/><Relationship Id="rId4" Type="http://schemas.openxmlformats.org/officeDocument/2006/relationships/hyperlink" Target="#'Hiring '!A1"/></Relationships>
</file>

<file path=xl/drawings/_rels/drawing4.xml.rels><?xml version="1.0" encoding="UTF-8" standalone="yes"?>
<Relationships xmlns="http://schemas.openxmlformats.org/package/2006/relationships"><Relationship Id="rId2" Type="http://schemas.openxmlformats.org/officeDocument/2006/relationships/hyperlink" Target="#DASH1!A1"/><Relationship Id="rId1" Type="http://schemas.openxmlformats.org/officeDocument/2006/relationships/hyperlink" Target="#INTRO!A1"/></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P&amp;O'!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2!A1"/><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hyperlink" Target="#INSIGHT!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DASH1!A1"/><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hyperlink" Target="#INTRO!A1"/><Relationship Id="rId1" Type="http://schemas.openxmlformats.org/officeDocument/2006/relationships/hyperlink" Target="#DASH2!A1"/></Relationships>
</file>

<file path=xl/drawings/drawing1.xml><?xml version="1.0" encoding="utf-8"?>
<xdr:wsDr xmlns:xdr="http://schemas.openxmlformats.org/drawingml/2006/spreadsheetDrawing" xmlns:a="http://schemas.openxmlformats.org/drawingml/2006/main">
  <xdr:twoCellAnchor>
    <xdr:from>
      <xdr:col>18</xdr:col>
      <xdr:colOff>33131</xdr:colOff>
      <xdr:row>14</xdr:row>
      <xdr:rowOff>33133</xdr:rowOff>
    </xdr:from>
    <xdr:to>
      <xdr:col>19</xdr:col>
      <xdr:colOff>240195</xdr:colOff>
      <xdr:row>16</xdr:row>
      <xdr:rowOff>140806</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5F0092CE-D28E-53FD-92A1-A730048AE914}"/>
            </a:ext>
          </a:extLst>
        </xdr:cNvPr>
        <xdr:cNvSpPr/>
      </xdr:nvSpPr>
      <xdr:spPr>
        <a:xfrm>
          <a:off x="14593957" y="2584176"/>
          <a:ext cx="819977" cy="472108"/>
        </a:xfrm>
        <a:prstGeom prst="rightArrow">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274320</xdr:colOff>
      <xdr:row>14</xdr:row>
      <xdr:rowOff>0</xdr:rowOff>
    </xdr:from>
    <xdr:to>
      <xdr:col>16</xdr:col>
      <xdr:colOff>533400</xdr:colOff>
      <xdr:row>16</xdr:row>
      <xdr:rowOff>76200</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016AF3D5-61BD-BD2D-AB22-E73AD6526CA1}"/>
            </a:ext>
          </a:extLst>
        </xdr:cNvPr>
        <xdr:cNvSpPr/>
      </xdr:nvSpPr>
      <xdr:spPr>
        <a:xfrm>
          <a:off x="13289280" y="2560320"/>
          <a:ext cx="868680" cy="441960"/>
        </a:xfrm>
        <a:prstGeom prst="rightArrow">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144780</xdr:colOff>
      <xdr:row>34</xdr:row>
      <xdr:rowOff>99060</xdr:rowOff>
    </xdr:to>
    <xdr:sp macro="" textlink="">
      <xdr:nvSpPr>
        <xdr:cNvPr id="2" name="Rectangle 1">
          <a:extLst>
            <a:ext uri="{FF2B5EF4-FFF2-40B4-BE49-F238E27FC236}">
              <a16:creationId xmlns:a16="http://schemas.microsoft.com/office/drawing/2014/main" id="{E8811FD3-D1EE-B1F8-6CBE-18BA48F5B045}"/>
            </a:ext>
          </a:extLst>
        </xdr:cNvPr>
        <xdr:cNvSpPr/>
      </xdr:nvSpPr>
      <xdr:spPr>
        <a:xfrm>
          <a:off x="0" y="0"/>
          <a:ext cx="14775180" cy="631698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190500</xdr:colOff>
      <xdr:row>0</xdr:row>
      <xdr:rowOff>99060</xdr:rowOff>
    </xdr:from>
    <xdr:to>
      <xdr:col>15</xdr:col>
      <xdr:colOff>365760</xdr:colOff>
      <xdr:row>3</xdr:row>
      <xdr:rowOff>106680</xdr:rowOff>
    </xdr:to>
    <xdr:sp macro="" textlink="">
      <xdr:nvSpPr>
        <xdr:cNvPr id="3" name="Rectangle 2">
          <a:extLst>
            <a:ext uri="{FF2B5EF4-FFF2-40B4-BE49-F238E27FC236}">
              <a16:creationId xmlns:a16="http://schemas.microsoft.com/office/drawing/2014/main" id="{E476A4F8-DEEB-FEE6-5709-32DCC5F07503}"/>
            </a:ext>
          </a:extLst>
        </xdr:cNvPr>
        <xdr:cNvSpPr/>
      </xdr:nvSpPr>
      <xdr:spPr>
        <a:xfrm>
          <a:off x="4457700" y="99060"/>
          <a:ext cx="5052060" cy="556260"/>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solidFill>
                <a:srgbClr val="A50021"/>
              </a:solidFill>
              <a:latin typeface="+mj-lt"/>
              <a:ea typeface="ADLaM Display" panose="02010000000000000000" pitchFamily="2" charset="0"/>
              <a:cs typeface="ADLaM Display" panose="02010000000000000000" pitchFamily="2" charset="0"/>
            </a:rPr>
            <a:t>INTRODUCTION</a:t>
          </a:r>
        </a:p>
      </xdr:txBody>
    </xdr:sp>
    <xdr:clientData/>
  </xdr:twoCellAnchor>
  <xdr:twoCellAnchor>
    <xdr:from>
      <xdr:col>5</xdr:col>
      <xdr:colOff>259080</xdr:colOff>
      <xdr:row>7</xdr:row>
      <xdr:rowOff>83820</xdr:rowOff>
    </xdr:from>
    <xdr:to>
      <xdr:col>18</xdr:col>
      <xdr:colOff>22860</xdr:colOff>
      <xdr:row>11</xdr:row>
      <xdr:rowOff>91440</xdr:rowOff>
    </xdr:to>
    <xdr:sp macro="" textlink="">
      <xdr:nvSpPr>
        <xdr:cNvPr id="4" name="Rectangle: Top Corners Rounded 3">
          <a:extLst>
            <a:ext uri="{FF2B5EF4-FFF2-40B4-BE49-F238E27FC236}">
              <a16:creationId xmlns:a16="http://schemas.microsoft.com/office/drawing/2014/main" id="{2C850A96-124A-7E91-4A32-A9B5DEC0BD87}"/>
            </a:ext>
          </a:extLst>
        </xdr:cNvPr>
        <xdr:cNvSpPr/>
      </xdr:nvSpPr>
      <xdr:spPr>
        <a:xfrm>
          <a:off x="3307080" y="1363980"/>
          <a:ext cx="7688580" cy="739140"/>
        </a:xfrm>
        <a:prstGeom prst="round2SameRect">
          <a:avLst/>
        </a:prstGeom>
        <a:gradFill>
          <a:gsLst>
            <a:gs pos="62900">
              <a:schemeClr val="tx1"/>
            </a:gs>
            <a:gs pos="0">
              <a:schemeClr val="tx1"/>
            </a:gs>
            <a:gs pos="74000">
              <a:schemeClr val="tx1"/>
            </a:gs>
            <a:gs pos="100000">
              <a:schemeClr val="tx1"/>
            </a:gs>
          </a:gsLst>
          <a:lin ang="54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gradFill>
                <a:gsLst>
                  <a:gs pos="52450">
                    <a:schemeClr val="accent6">
                      <a:lumMod val="75000"/>
                    </a:schemeClr>
                  </a:gs>
                  <a:gs pos="31496">
                    <a:schemeClr val="accent6">
                      <a:lumMod val="75000"/>
                    </a:schemeClr>
                  </a:gs>
                  <a:gs pos="18000">
                    <a:schemeClr val="accent6">
                      <a:lumMod val="75000"/>
                    </a:schemeClr>
                  </a:gs>
                  <a:gs pos="0">
                    <a:schemeClr val="accent6">
                      <a:lumMod val="75000"/>
                    </a:schemeClr>
                  </a:gs>
                  <a:gs pos="64344">
                    <a:schemeClr val="accent6">
                      <a:lumMod val="75000"/>
                    </a:schemeClr>
                  </a:gs>
                  <a:gs pos="79000">
                    <a:srgbClr val="C00000"/>
                  </a:gs>
                  <a:gs pos="100000">
                    <a:srgbClr val="C00000"/>
                  </a:gs>
                </a:gsLst>
                <a:lin ang="5400000" scaled="1"/>
              </a:gradFill>
              <a:latin typeface="ADLaM Display" panose="02010000000000000000" pitchFamily="2" charset="0"/>
              <a:ea typeface="ADLaM Display" panose="02010000000000000000" pitchFamily="2" charset="0"/>
              <a:cs typeface="ADLaM Display" panose="02010000000000000000" pitchFamily="2" charset="0"/>
            </a:rPr>
            <a:t>Hiring and Attrition Analysis</a:t>
          </a:r>
        </a:p>
      </xdr:txBody>
    </xdr:sp>
    <xdr:clientData/>
  </xdr:twoCellAnchor>
  <xdr:twoCellAnchor>
    <xdr:from>
      <xdr:col>2</xdr:col>
      <xdr:colOff>594360</xdr:colOff>
      <xdr:row>16</xdr:row>
      <xdr:rowOff>114300</xdr:rowOff>
    </xdr:from>
    <xdr:to>
      <xdr:col>20</xdr:col>
      <xdr:colOff>381000</xdr:colOff>
      <xdr:row>27</xdr:row>
      <xdr:rowOff>167640</xdr:rowOff>
    </xdr:to>
    <xdr:sp macro="" textlink="">
      <xdr:nvSpPr>
        <xdr:cNvPr id="5" name="Rectangle 4">
          <a:extLst>
            <a:ext uri="{FF2B5EF4-FFF2-40B4-BE49-F238E27FC236}">
              <a16:creationId xmlns:a16="http://schemas.microsoft.com/office/drawing/2014/main" id="{11834A73-C742-CFDB-17A4-25AAC9864773}"/>
            </a:ext>
          </a:extLst>
        </xdr:cNvPr>
        <xdr:cNvSpPr/>
      </xdr:nvSpPr>
      <xdr:spPr>
        <a:xfrm>
          <a:off x="1813560" y="3040380"/>
          <a:ext cx="10759440" cy="206502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rgbClr val="C00000"/>
              </a:solidFill>
            </a:rPr>
            <a:t>Hiring and Attrition Analysis helps  in</a:t>
          </a:r>
          <a:r>
            <a:rPr lang="en-IN" sz="2400" b="1" baseline="0">
              <a:solidFill>
                <a:srgbClr val="C00000"/>
              </a:solidFill>
            </a:rPr>
            <a:t> a</a:t>
          </a:r>
          <a:r>
            <a:rPr lang="en-IN" sz="2400" b="1">
              <a:solidFill>
                <a:srgbClr val="C00000"/>
              </a:solidFill>
            </a:rPr>
            <a:t>nalyzing employee hiring and attrition trends to gain insights into workforce growth, retention, and turnover.</a:t>
          </a:r>
          <a:endParaRPr lang="en-IN" sz="2400">
            <a:solidFill>
              <a:srgbClr val="C00000"/>
            </a:solidFill>
          </a:endParaRPr>
        </a:p>
        <a:p>
          <a:pPr algn="ctr"/>
          <a:endParaRPr lang="en-IN" sz="2400" b="1">
            <a:solidFill>
              <a:srgbClr val="C00000"/>
            </a:solidFill>
          </a:endParaRPr>
        </a:p>
      </xdr:txBody>
    </xdr:sp>
    <xdr:clientData/>
  </xdr:twoCellAnchor>
  <xdr:twoCellAnchor>
    <xdr:from>
      <xdr:col>22</xdr:col>
      <xdr:colOff>137160</xdr:colOff>
      <xdr:row>14</xdr:row>
      <xdr:rowOff>137160</xdr:rowOff>
    </xdr:from>
    <xdr:to>
      <xdr:col>23</xdr:col>
      <xdr:colOff>160020</xdr:colOff>
      <xdr:row>17</xdr:row>
      <xdr:rowOff>106680</xdr:rowOff>
    </xdr:to>
    <xdr:sp macro="" textlink="">
      <xdr:nvSpPr>
        <xdr:cNvPr id="6" name="Arrow: Right 5">
          <a:hlinkClick xmlns:r="http://schemas.openxmlformats.org/officeDocument/2006/relationships" r:id="rId1"/>
          <a:extLst>
            <a:ext uri="{FF2B5EF4-FFF2-40B4-BE49-F238E27FC236}">
              <a16:creationId xmlns:a16="http://schemas.microsoft.com/office/drawing/2014/main" id="{54D367F1-86EF-1670-9017-A887FA97190F}"/>
            </a:ext>
          </a:extLst>
        </xdr:cNvPr>
        <xdr:cNvSpPr/>
      </xdr:nvSpPr>
      <xdr:spPr>
        <a:xfrm>
          <a:off x="13548360" y="2697480"/>
          <a:ext cx="632460" cy="518160"/>
        </a:xfrm>
        <a:prstGeom prst="rightArrow">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12</xdr:row>
      <xdr:rowOff>160020</xdr:rowOff>
    </xdr:from>
    <xdr:to>
      <xdr:col>3</xdr:col>
      <xdr:colOff>22860</xdr:colOff>
      <xdr:row>16</xdr:row>
      <xdr:rowOff>0</xdr:rowOff>
    </xdr:to>
    <xdr:sp macro="" textlink="">
      <xdr:nvSpPr>
        <xdr:cNvPr id="9" name="Rectangle 8">
          <a:hlinkClick xmlns:r="http://schemas.openxmlformats.org/officeDocument/2006/relationships" r:id="rId2"/>
          <a:extLst>
            <a:ext uri="{FF2B5EF4-FFF2-40B4-BE49-F238E27FC236}">
              <a16:creationId xmlns:a16="http://schemas.microsoft.com/office/drawing/2014/main" id="{C5862446-A38D-FB22-EE91-344F3C0509C7}"/>
            </a:ext>
          </a:extLst>
        </xdr:cNvPr>
        <xdr:cNvSpPr/>
      </xdr:nvSpPr>
      <xdr:spPr>
        <a:xfrm>
          <a:off x="38100" y="2354580"/>
          <a:ext cx="1813560" cy="5715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3200">
              <a:solidFill>
                <a:schemeClr val="tx1"/>
              </a:solidFill>
              <a:latin typeface="ADLaM Display" panose="02010000000000000000" pitchFamily="2" charset="0"/>
              <a:ea typeface="ADLaM Display" panose="02010000000000000000" pitchFamily="2" charset="0"/>
              <a:cs typeface="ADLaM Display" panose="02010000000000000000" pitchFamily="2" charset="0"/>
            </a:rPr>
            <a:t>DATA</a:t>
          </a:r>
        </a:p>
      </xdr:txBody>
    </xdr:sp>
    <xdr:clientData/>
  </xdr:twoCellAnchor>
  <xdr:twoCellAnchor editAs="oneCell">
    <xdr:from>
      <xdr:col>0</xdr:col>
      <xdr:colOff>30480</xdr:colOff>
      <xdr:row>12</xdr:row>
      <xdr:rowOff>160020</xdr:rowOff>
    </xdr:from>
    <xdr:to>
      <xdr:col>1</xdr:col>
      <xdr:colOff>45720</xdr:colOff>
      <xdr:row>16</xdr:row>
      <xdr:rowOff>53340</xdr:rowOff>
    </xdr:to>
    <xdr:pic>
      <xdr:nvPicPr>
        <xdr:cNvPr id="10" name="Picture 9" descr="Data analysis Vector Icons free download in SVG, PNG Format">
          <a:extLst>
            <a:ext uri="{FF2B5EF4-FFF2-40B4-BE49-F238E27FC236}">
              <a16:creationId xmlns:a16="http://schemas.microsoft.com/office/drawing/2014/main" id="{5D5326DD-8E88-4AA8-854B-DCA919F20D5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0480" y="2354580"/>
          <a:ext cx="624840" cy="624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243840</xdr:colOff>
      <xdr:row>16</xdr:row>
      <xdr:rowOff>106680</xdr:rowOff>
    </xdr:from>
    <xdr:to>
      <xdr:col>2</xdr:col>
      <xdr:colOff>251460</xdr:colOff>
      <xdr:row>18</xdr:row>
      <xdr:rowOff>129540</xdr:rowOff>
    </xdr:to>
    <xdr:sp macro="" textlink="">
      <xdr:nvSpPr>
        <xdr:cNvPr id="7" name="Rectangle 6">
          <a:hlinkClick xmlns:r="http://schemas.openxmlformats.org/officeDocument/2006/relationships" r:id="rId4"/>
          <a:extLst>
            <a:ext uri="{FF2B5EF4-FFF2-40B4-BE49-F238E27FC236}">
              <a16:creationId xmlns:a16="http://schemas.microsoft.com/office/drawing/2014/main" id="{26C16EE0-F509-7D17-0BFF-F6C7FB8F8433}"/>
            </a:ext>
          </a:extLst>
        </xdr:cNvPr>
        <xdr:cNvSpPr/>
      </xdr:nvSpPr>
      <xdr:spPr>
        <a:xfrm>
          <a:off x="243840" y="3032760"/>
          <a:ext cx="1226820" cy="388620"/>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HIRING</a:t>
          </a:r>
        </a:p>
      </xdr:txBody>
    </xdr:sp>
    <xdr:clientData/>
  </xdr:twoCellAnchor>
  <xdr:twoCellAnchor>
    <xdr:from>
      <xdr:col>0</xdr:col>
      <xdr:colOff>243840</xdr:colOff>
      <xdr:row>19</xdr:row>
      <xdr:rowOff>76200</xdr:rowOff>
    </xdr:from>
    <xdr:to>
      <xdr:col>2</xdr:col>
      <xdr:colOff>251460</xdr:colOff>
      <xdr:row>21</xdr:row>
      <xdr:rowOff>99060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497D36C1-5D5D-4557-A743-658DE6075971}"/>
            </a:ext>
          </a:extLst>
        </xdr:cNvPr>
        <xdr:cNvSpPr/>
      </xdr:nvSpPr>
      <xdr:spPr>
        <a:xfrm>
          <a:off x="243840" y="3550920"/>
          <a:ext cx="1226820" cy="388620"/>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ATTRITION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182880</xdr:colOff>
      <xdr:row>33</xdr:row>
      <xdr:rowOff>22860</xdr:rowOff>
    </xdr:to>
    <xdr:sp macro="" textlink="">
      <xdr:nvSpPr>
        <xdr:cNvPr id="2" name="Rectangle 1">
          <a:extLst>
            <a:ext uri="{FF2B5EF4-FFF2-40B4-BE49-F238E27FC236}">
              <a16:creationId xmlns:a16="http://schemas.microsoft.com/office/drawing/2014/main" id="{D9D1076F-4FB5-AFF8-122C-F2D04F63C5CD}"/>
            </a:ext>
          </a:extLst>
        </xdr:cNvPr>
        <xdr:cNvSpPr/>
      </xdr:nvSpPr>
      <xdr:spPr>
        <a:xfrm>
          <a:off x="0" y="0"/>
          <a:ext cx="14203680" cy="60579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396240</xdr:colOff>
      <xdr:row>0</xdr:row>
      <xdr:rowOff>0</xdr:rowOff>
    </xdr:from>
    <xdr:to>
      <xdr:col>11</xdr:col>
      <xdr:colOff>396240</xdr:colOff>
      <xdr:row>33</xdr:row>
      <xdr:rowOff>22860</xdr:rowOff>
    </xdr:to>
    <xdr:cxnSp macro="">
      <xdr:nvCxnSpPr>
        <xdr:cNvPr id="4" name="Straight Connector 3">
          <a:extLst>
            <a:ext uri="{FF2B5EF4-FFF2-40B4-BE49-F238E27FC236}">
              <a16:creationId xmlns:a16="http://schemas.microsoft.com/office/drawing/2014/main" id="{F64A6155-B0C8-BF8C-DDD9-D08E177398C0}"/>
            </a:ext>
          </a:extLst>
        </xdr:cNvPr>
        <xdr:cNvCxnSpPr>
          <a:stCxn id="2" idx="0"/>
          <a:endCxn id="2" idx="2"/>
        </xdr:cNvCxnSpPr>
      </xdr:nvCxnSpPr>
      <xdr:spPr>
        <a:xfrm>
          <a:off x="7101840" y="0"/>
          <a:ext cx="0" cy="6057900"/>
        </a:xfrm>
        <a:prstGeom prst="line">
          <a:avLst/>
        </a:prstGeom>
        <a:ln w="76200">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426720</xdr:colOff>
      <xdr:row>0</xdr:row>
      <xdr:rowOff>137160</xdr:rowOff>
    </xdr:from>
    <xdr:to>
      <xdr:col>9</xdr:col>
      <xdr:colOff>182880</xdr:colOff>
      <xdr:row>3</xdr:row>
      <xdr:rowOff>76200</xdr:rowOff>
    </xdr:to>
    <xdr:sp macro="" textlink="">
      <xdr:nvSpPr>
        <xdr:cNvPr id="6" name="Rectangle 5">
          <a:extLst>
            <a:ext uri="{FF2B5EF4-FFF2-40B4-BE49-F238E27FC236}">
              <a16:creationId xmlns:a16="http://schemas.microsoft.com/office/drawing/2014/main" id="{107B8094-2292-E26F-8329-F370845BC84B}"/>
            </a:ext>
          </a:extLst>
        </xdr:cNvPr>
        <xdr:cNvSpPr/>
      </xdr:nvSpPr>
      <xdr:spPr>
        <a:xfrm>
          <a:off x="1645920" y="137160"/>
          <a:ext cx="4023360" cy="48768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PLANNING</a:t>
          </a:r>
        </a:p>
      </xdr:txBody>
    </xdr:sp>
    <xdr:clientData/>
  </xdr:twoCellAnchor>
  <xdr:twoCellAnchor>
    <xdr:from>
      <xdr:col>14</xdr:col>
      <xdr:colOff>160020</xdr:colOff>
      <xdr:row>0</xdr:row>
      <xdr:rowOff>144780</xdr:rowOff>
    </xdr:from>
    <xdr:to>
      <xdr:col>20</xdr:col>
      <xdr:colOff>525780</xdr:colOff>
      <xdr:row>3</xdr:row>
      <xdr:rowOff>83820</xdr:rowOff>
    </xdr:to>
    <xdr:sp macro="" textlink="">
      <xdr:nvSpPr>
        <xdr:cNvPr id="7" name="Rectangle 6">
          <a:extLst>
            <a:ext uri="{FF2B5EF4-FFF2-40B4-BE49-F238E27FC236}">
              <a16:creationId xmlns:a16="http://schemas.microsoft.com/office/drawing/2014/main" id="{2831F64A-7653-4D6E-8904-C589592E01C3}"/>
            </a:ext>
          </a:extLst>
        </xdr:cNvPr>
        <xdr:cNvSpPr/>
      </xdr:nvSpPr>
      <xdr:spPr>
        <a:xfrm>
          <a:off x="8694420" y="144780"/>
          <a:ext cx="4023360" cy="48768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OBJECTIVE</a:t>
          </a:r>
        </a:p>
      </xdr:txBody>
    </xdr:sp>
    <xdr:clientData/>
  </xdr:twoCellAnchor>
  <xdr:twoCellAnchor>
    <xdr:from>
      <xdr:col>1</xdr:col>
      <xdr:colOff>160020</xdr:colOff>
      <xdr:row>5</xdr:row>
      <xdr:rowOff>175260</xdr:rowOff>
    </xdr:from>
    <xdr:to>
      <xdr:col>11</xdr:col>
      <xdr:colOff>22860</xdr:colOff>
      <xdr:row>29</xdr:row>
      <xdr:rowOff>30480</xdr:rowOff>
    </xdr:to>
    <xdr:sp macro="" textlink="">
      <xdr:nvSpPr>
        <xdr:cNvPr id="8" name="Rectangle 7">
          <a:extLst>
            <a:ext uri="{FF2B5EF4-FFF2-40B4-BE49-F238E27FC236}">
              <a16:creationId xmlns:a16="http://schemas.microsoft.com/office/drawing/2014/main" id="{F335EFF7-FF39-2555-15C4-300D0E9017C7}"/>
            </a:ext>
          </a:extLst>
        </xdr:cNvPr>
        <xdr:cNvSpPr/>
      </xdr:nvSpPr>
      <xdr:spPr>
        <a:xfrm>
          <a:off x="769620" y="1089660"/>
          <a:ext cx="5958840" cy="42443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800" b="1"/>
            <a:t>I started by collecting the data and understanding the HR dataset and the available employee information such as age, gender, department, job role, salary, experience, overtime, and satisfaction scores. After removing duplicates and</a:t>
          </a:r>
          <a:r>
            <a:rPr lang="en-IN" sz="1800" b="1" baseline="0"/>
            <a:t> </a:t>
          </a:r>
          <a:r>
            <a:rPr lang="en-IN" sz="1800" b="1"/>
            <a:t>cleaning the data ,  i converted it</a:t>
          </a:r>
          <a:r>
            <a:rPr lang="en-IN" sz="1800" b="1" baseline="0"/>
            <a:t> into table format, then </a:t>
          </a:r>
          <a:r>
            <a:rPr lang="en-IN" sz="1800" b="1"/>
            <a:t>I created the</a:t>
          </a:r>
          <a:r>
            <a:rPr lang="en-IN" sz="1800" b="1" baseline="0"/>
            <a:t> helper column.</a:t>
          </a:r>
          <a:endParaRPr lang="en-IN" sz="1800" b="1"/>
        </a:p>
        <a:p>
          <a:endParaRPr lang="en-IN" sz="1800">
            <a:solidFill>
              <a:schemeClr val="accent6"/>
            </a:solidFill>
          </a:endParaRPr>
        </a:p>
        <a:p>
          <a:r>
            <a:rPr lang="en-IN" sz="1800" b="1"/>
            <a:t>Next, I defined key KPIs such as Total Employees, Active Employees, Attrition Count, and Attrition Rate. Then I built separate dashboards for Hiring Analysis and Attrition Analysis. Finally, I analyzed different employee segments to identify the major reasons behind employee turnover and converted those findings into business insights.</a:t>
          </a:r>
          <a:endParaRPr lang="en-IN" sz="1800"/>
        </a:p>
        <a:p>
          <a:pPr algn="l"/>
          <a:endParaRPr lang="en-IN" sz="1800"/>
        </a:p>
      </xdr:txBody>
    </xdr:sp>
    <xdr:clientData/>
  </xdr:twoCellAnchor>
  <xdr:twoCellAnchor>
    <xdr:from>
      <xdr:col>12</xdr:col>
      <xdr:colOff>114300</xdr:colOff>
      <xdr:row>6</xdr:row>
      <xdr:rowOff>22860</xdr:rowOff>
    </xdr:from>
    <xdr:to>
      <xdr:col>21</xdr:col>
      <xdr:colOff>586740</xdr:colOff>
      <xdr:row>29</xdr:row>
      <xdr:rowOff>60960</xdr:rowOff>
    </xdr:to>
    <xdr:sp macro="" textlink="">
      <xdr:nvSpPr>
        <xdr:cNvPr id="9" name="Rectangle 8">
          <a:extLst>
            <a:ext uri="{FF2B5EF4-FFF2-40B4-BE49-F238E27FC236}">
              <a16:creationId xmlns:a16="http://schemas.microsoft.com/office/drawing/2014/main" id="{9898F96E-6305-4095-9F88-3FB185E7D42F}"/>
            </a:ext>
          </a:extLst>
        </xdr:cNvPr>
        <xdr:cNvSpPr/>
      </xdr:nvSpPr>
      <xdr:spPr>
        <a:xfrm>
          <a:off x="7429500" y="1120140"/>
          <a:ext cx="5958840" cy="42443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latin typeface="+mn-lt"/>
            </a:rPr>
            <a:t>The main objective of this project was to understand the hiring and attrition pattern in the organization. I wanted to identify which employees were leaving the company, which departments were most affected, and what factors such as salary, overtime, experience, and job satisfaction were contributing to attrition. The goal was to convert raw HR data into meaningful insights that could help HR teams improve employee retention.</a:t>
          </a:r>
        </a:p>
      </xdr:txBody>
    </xdr:sp>
    <xdr:clientData/>
  </xdr:twoCellAnchor>
  <xdr:twoCellAnchor>
    <xdr:from>
      <xdr:col>0</xdr:col>
      <xdr:colOff>0</xdr:colOff>
      <xdr:row>15</xdr:row>
      <xdr:rowOff>144780</xdr:rowOff>
    </xdr:from>
    <xdr:to>
      <xdr:col>1</xdr:col>
      <xdr:colOff>0</xdr:colOff>
      <xdr:row>17</xdr:row>
      <xdr:rowOff>160020</xdr:rowOff>
    </xdr:to>
    <xdr:sp macro="" textlink="">
      <xdr:nvSpPr>
        <xdr:cNvPr id="10" name="Arrow: Left 9">
          <a:hlinkClick xmlns:r="http://schemas.openxmlformats.org/officeDocument/2006/relationships" r:id="rId1"/>
          <a:extLst>
            <a:ext uri="{FF2B5EF4-FFF2-40B4-BE49-F238E27FC236}">
              <a16:creationId xmlns:a16="http://schemas.microsoft.com/office/drawing/2014/main" id="{F508FABC-BA95-5B54-20E4-1278789AB618}"/>
            </a:ext>
          </a:extLst>
        </xdr:cNvPr>
        <xdr:cNvSpPr/>
      </xdr:nvSpPr>
      <xdr:spPr>
        <a:xfrm>
          <a:off x="0" y="2887980"/>
          <a:ext cx="609600" cy="381000"/>
        </a:xfrm>
        <a:prstGeom prst="leftArrow">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175260</xdr:colOff>
      <xdr:row>16</xdr:row>
      <xdr:rowOff>99060</xdr:rowOff>
    </xdr:from>
    <xdr:to>
      <xdr:col>23</xdr:col>
      <xdr:colOff>175260</xdr:colOff>
      <xdr:row>18</xdr:row>
      <xdr:rowOff>106680</xdr:rowOff>
    </xdr:to>
    <xdr:sp macro="" textlink="">
      <xdr:nvSpPr>
        <xdr:cNvPr id="12" name="Arrow: Right 11">
          <a:hlinkClick xmlns:r="http://schemas.openxmlformats.org/officeDocument/2006/relationships" r:id="rId2"/>
          <a:extLst>
            <a:ext uri="{FF2B5EF4-FFF2-40B4-BE49-F238E27FC236}">
              <a16:creationId xmlns:a16="http://schemas.microsoft.com/office/drawing/2014/main" id="{F996980B-D104-1798-4FE1-1A2C34FC977C}"/>
            </a:ext>
          </a:extLst>
        </xdr:cNvPr>
        <xdr:cNvSpPr/>
      </xdr:nvSpPr>
      <xdr:spPr>
        <a:xfrm>
          <a:off x="13586460" y="3025140"/>
          <a:ext cx="609600" cy="373380"/>
        </a:xfrm>
        <a:prstGeom prst="rightArrow">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144780</xdr:colOff>
      <xdr:row>0</xdr:row>
      <xdr:rowOff>167640</xdr:rowOff>
    </xdr:from>
    <xdr:to>
      <xdr:col>21</xdr:col>
      <xdr:colOff>411480</xdr:colOff>
      <xdr:row>29</xdr:row>
      <xdr:rowOff>68580</xdr:rowOff>
    </xdr:to>
    <xdr:sp macro="" textlink="">
      <xdr:nvSpPr>
        <xdr:cNvPr id="23" name="Rectangle 22">
          <a:extLst>
            <a:ext uri="{FF2B5EF4-FFF2-40B4-BE49-F238E27FC236}">
              <a16:creationId xmlns:a16="http://schemas.microsoft.com/office/drawing/2014/main" id="{CF3CE4BD-4AB9-848A-F111-680C7EF62788}"/>
            </a:ext>
          </a:extLst>
        </xdr:cNvPr>
        <xdr:cNvSpPr/>
      </xdr:nvSpPr>
      <xdr:spPr>
        <a:xfrm>
          <a:off x="11117580" y="167640"/>
          <a:ext cx="2095500" cy="5204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23</xdr:col>
      <xdr:colOff>350520</xdr:colOff>
      <xdr:row>32</xdr:row>
      <xdr:rowOff>30480</xdr:rowOff>
    </xdr:to>
    <xdr:sp macro="" textlink="">
      <xdr:nvSpPr>
        <xdr:cNvPr id="2" name="Rectangle 1">
          <a:extLst>
            <a:ext uri="{FF2B5EF4-FFF2-40B4-BE49-F238E27FC236}">
              <a16:creationId xmlns:a16="http://schemas.microsoft.com/office/drawing/2014/main" id="{C3D1E3DC-C185-6CD7-FD0F-64BC11FA8B5B}"/>
            </a:ext>
          </a:extLst>
        </xdr:cNvPr>
        <xdr:cNvSpPr/>
      </xdr:nvSpPr>
      <xdr:spPr>
        <a:xfrm>
          <a:off x="0" y="0"/>
          <a:ext cx="14371320" cy="588264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23</xdr:col>
      <xdr:colOff>259080</xdr:colOff>
      <xdr:row>30</xdr:row>
      <xdr:rowOff>167640</xdr:rowOff>
    </xdr:to>
    <xdr:sp macro="" textlink="">
      <xdr:nvSpPr>
        <xdr:cNvPr id="3" name="Rectangle: Rounded Corners 2">
          <a:extLst>
            <a:ext uri="{FF2B5EF4-FFF2-40B4-BE49-F238E27FC236}">
              <a16:creationId xmlns:a16="http://schemas.microsoft.com/office/drawing/2014/main" id="{5EE3EED8-E917-DC41-9B69-F52B129483A1}"/>
            </a:ext>
          </a:extLst>
        </xdr:cNvPr>
        <xdr:cNvSpPr/>
      </xdr:nvSpPr>
      <xdr:spPr>
        <a:xfrm>
          <a:off x="0" y="0"/>
          <a:ext cx="14279880" cy="5654040"/>
        </a:xfrm>
        <a:prstGeom prst="roundRect">
          <a:avLst/>
        </a:prstGeom>
        <a:gradFill flip="none" rotWithShape="1">
          <a:gsLst>
            <a:gs pos="37754">
              <a:schemeClr val="tx1"/>
            </a:gs>
            <a:gs pos="63638">
              <a:schemeClr val="tx1"/>
            </a:gs>
            <a:gs pos="27976">
              <a:schemeClr val="tx1"/>
            </a:gs>
            <a:gs pos="52000">
              <a:schemeClr val="accent6">
                <a:lumMod val="75000"/>
              </a:schemeClr>
            </a:gs>
            <a:gs pos="0">
              <a:schemeClr val="tx1"/>
            </a:gs>
            <a:gs pos="74000">
              <a:schemeClr val="tx1"/>
            </a:gs>
            <a:gs pos="83000">
              <a:schemeClr val="tx1"/>
            </a:gs>
            <a:gs pos="100000">
              <a:schemeClr val="tx1"/>
            </a:gs>
          </a:gsLst>
          <a:lin ang="54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228600</xdr:colOff>
      <xdr:row>0</xdr:row>
      <xdr:rowOff>22860</xdr:rowOff>
    </xdr:from>
    <xdr:to>
      <xdr:col>15</xdr:col>
      <xdr:colOff>228600</xdr:colOff>
      <xdr:row>2</xdr:row>
      <xdr:rowOff>137160</xdr:rowOff>
    </xdr:to>
    <xdr:sp macro="" textlink="">
      <xdr:nvSpPr>
        <xdr:cNvPr id="4" name="Flowchart: Process 3">
          <a:extLst>
            <a:ext uri="{FF2B5EF4-FFF2-40B4-BE49-F238E27FC236}">
              <a16:creationId xmlns:a16="http://schemas.microsoft.com/office/drawing/2014/main" id="{E8B66004-06E6-A3C1-10DC-08D26FD668ED}"/>
            </a:ext>
          </a:extLst>
        </xdr:cNvPr>
        <xdr:cNvSpPr/>
      </xdr:nvSpPr>
      <xdr:spPr>
        <a:xfrm>
          <a:off x="4495800" y="22860"/>
          <a:ext cx="4876800" cy="480060"/>
        </a:xfrm>
        <a:prstGeom prst="flowChartProcess">
          <a:avLst/>
        </a:prstGeom>
        <a:gradFill flip="none" rotWithShape="1">
          <a:gsLst>
            <a:gs pos="43368">
              <a:schemeClr val="tx1"/>
            </a:gs>
            <a:gs pos="23052">
              <a:schemeClr val="tx1"/>
            </a:gs>
            <a:gs pos="63000">
              <a:srgbClr val="47992B"/>
            </a:gs>
            <a:gs pos="95000">
              <a:srgbClr val="3F8826"/>
            </a:gs>
            <a:gs pos="82000">
              <a:schemeClr val="accent6">
                <a:lumMod val="97000"/>
                <a:lumOff val="3000"/>
              </a:schemeClr>
            </a:gs>
            <a:gs pos="0">
              <a:schemeClr val="tx1"/>
            </a:gs>
          </a:gsLst>
          <a:lin ang="6000000" scaled="0"/>
          <a:tileRect/>
        </a:gra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0" i="0">
              <a:solidFill>
                <a:schemeClr val="lt1"/>
              </a:solidFill>
              <a:effectLst/>
              <a:latin typeface="ADLaM Display" panose="02010000000000000000" pitchFamily="2" charset="0"/>
              <a:ea typeface="ADLaM Display" panose="02010000000000000000" pitchFamily="2" charset="0"/>
              <a:cs typeface="ADLaM Display" panose="02010000000000000000" pitchFamily="2" charset="0"/>
            </a:rPr>
            <a:t>HIRING ANALYSIS</a:t>
          </a:r>
          <a:endParaRPr lang="en-IN" sz="2400">
            <a:effectLst/>
            <a:latin typeface="ADLaM Display" panose="02010000000000000000" pitchFamily="2" charset="0"/>
            <a:ea typeface="ADLaM Display" panose="02010000000000000000" pitchFamily="2" charset="0"/>
            <a:cs typeface="ADLaM Display" panose="02010000000000000000" pitchFamily="2" charset="0"/>
          </a:endParaRPr>
        </a:p>
        <a:p>
          <a:pPr algn="l"/>
          <a:endParaRPr lang="en-IN" sz="1100"/>
        </a:p>
      </xdr:txBody>
    </xdr:sp>
    <xdr:clientData/>
  </xdr:twoCellAnchor>
  <xdr:twoCellAnchor>
    <xdr:from>
      <xdr:col>4</xdr:col>
      <xdr:colOff>30480</xdr:colOff>
      <xdr:row>3</xdr:row>
      <xdr:rowOff>76200</xdr:rowOff>
    </xdr:from>
    <xdr:to>
      <xdr:col>18</xdr:col>
      <xdr:colOff>350520</xdr:colOff>
      <xdr:row>6</xdr:row>
      <xdr:rowOff>175260</xdr:rowOff>
    </xdr:to>
    <xdr:grpSp>
      <xdr:nvGrpSpPr>
        <xdr:cNvPr id="24" name="Group 23">
          <a:extLst>
            <a:ext uri="{FF2B5EF4-FFF2-40B4-BE49-F238E27FC236}">
              <a16:creationId xmlns:a16="http://schemas.microsoft.com/office/drawing/2014/main" id="{A6345EBB-75AE-1488-7657-B918E9F95F8E}"/>
            </a:ext>
          </a:extLst>
        </xdr:cNvPr>
        <xdr:cNvGrpSpPr/>
      </xdr:nvGrpSpPr>
      <xdr:grpSpPr>
        <a:xfrm>
          <a:off x="2468880" y="624840"/>
          <a:ext cx="8854440" cy="647700"/>
          <a:chOff x="1371600" y="571500"/>
          <a:chExt cx="8854440" cy="647700"/>
        </a:xfrm>
      </xdr:grpSpPr>
      <xdr:sp macro="" textlink="">
        <xdr:nvSpPr>
          <xdr:cNvPr id="5" name="Rectangle: Rounded Corners 4">
            <a:extLst>
              <a:ext uri="{FF2B5EF4-FFF2-40B4-BE49-F238E27FC236}">
                <a16:creationId xmlns:a16="http://schemas.microsoft.com/office/drawing/2014/main" id="{D875999C-CC6D-1C02-5924-6EA7865B48F2}"/>
              </a:ext>
            </a:extLst>
          </xdr:cNvPr>
          <xdr:cNvSpPr/>
        </xdr:nvSpPr>
        <xdr:spPr>
          <a:xfrm>
            <a:off x="1371600" y="571500"/>
            <a:ext cx="1371600" cy="640080"/>
          </a:xfrm>
          <a:prstGeom prst="roundRect">
            <a:avLst/>
          </a:prstGeom>
          <a:gradFill flip="none" rotWithShape="1">
            <a:gsLst>
              <a:gs pos="62900">
                <a:srgbClr val="92D050"/>
              </a:gs>
              <a:gs pos="0">
                <a:schemeClr val="tx1"/>
              </a:gs>
              <a:gs pos="47000">
                <a:schemeClr val="tx1"/>
              </a:gs>
              <a:gs pos="24000">
                <a:schemeClr val="tx1"/>
              </a:gs>
            </a:gsLst>
            <a:lin ang="81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Employees</a:t>
            </a:r>
          </a:p>
        </xdr:txBody>
      </xdr:sp>
      <xdr:sp macro="" textlink="">
        <xdr:nvSpPr>
          <xdr:cNvPr id="6" name="Rectangle: Rounded Corners 5">
            <a:extLst>
              <a:ext uri="{FF2B5EF4-FFF2-40B4-BE49-F238E27FC236}">
                <a16:creationId xmlns:a16="http://schemas.microsoft.com/office/drawing/2014/main" id="{215D275C-58F4-42D8-B8FB-2EC957094A60}"/>
              </a:ext>
            </a:extLst>
          </xdr:cNvPr>
          <xdr:cNvSpPr/>
        </xdr:nvSpPr>
        <xdr:spPr>
          <a:xfrm>
            <a:off x="3101340" y="609600"/>
            <a:ext cx="1371600" cy="609600"/>
          </a:xfrm>
          <a:prstGeom prst="roundRect">
            <a:avLst/>
          </a:prstGeom>
          <a:gradFill>
            <a:gsLst>
              <a:gs pos="62900">
                <a:srgbClr val="92D050"/>
              </a:gs>
              <a:gs pos="0">
                <a:schemeClr val="tx1"/>
              </a:gs>
              <a:gs pos="47000">
                <a:schemeClr val="tx1"/>
              </a:gs>
              <a:gs pos="24000">
                <a:schemeClr val="tx1"/>
              </a:gs>
            </a:gsLst>
            <a:lin ang="81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a:t>
            </a:r>
            <a:r>
              <a:rPr lang="en-IN" sz="1100"/>
              <a:t> </a:t>
            </a:r>
            <a:r>
              <a:rPr lang="en-IN" sz="1100" b="1"/>
              <a:t>Age</a:t>
            </a:r>
          </a:p>
        </xdr:txBody>
      </xdr:sp>
      <xdr:sp macro="" textlink="">
        <xdr:nvSpPr>
          <xdr:cNvPr id="7" name="Rectangle: Rounded Corners 6">
            <a:extLst>
              <a:ext uri="{FF2B5EF4-FFF2-40B4-BE49-F238E27FC236}">
                <a16:creationId xmlns:a16="http://schemas.microsoft.com/office/drawing/2014/main" id="{3F6705D4-1A8A-493A-A4A3-02354D0F727A}"/>
              </a:ext>
            </a:extLst>
          </xdr:cNvPr>
          <xdr:cNvSpPr/>
        </xdr:nvSpPr>
        <xdr:spPr>
          <a:xfrm>
            <a:off x="5021580" y="586740"/>
            <a:ext cx="1371600" cy="632460"/>
          </a:xfrm>
          <a:prstGeom prst="roundRect">
            <a:avLst/>
          </a:prstGeom>
          <a:gradFill>
            <a:gsLst>
              <a:gs pos="62900">
                <a:srgbClr val="92D050"/>
              </a:gs>
              <a:gs pos="0">
                <a:schemeClr val="tx1"/>
              </a:gs>
              <a:gs pos="47000">
                <a:schemeClr val="tx1"/>
              </a:gs>
              <a:gs pos="24000">
                <a:schemeClr val="tx1"/>
              </a:gs>
            </a:gsLst>
            <a:lin ang="81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Active Employees</a:t>
            </a:r>
          </a:p>
        </xdr:txBody>
      </xdr:sp>
      <xdr:sp macro="" textlink="">
        <xdr:nvSpPr>
          <xdr:cNvPr id="8" name="Rectangle: Rounded Corners 7">
            <a:extLst>
              <a:ext uri="{FF2B5EF4-FFF2-40B4-BE49-F238E27FC236}">
                <a16:creationId xmlns:a16="http://schemas.microsoft.com/office/drawing/2014/main" id="{F5566AF7-4B79-4796-B3CD-68E5C62A5228}"/>
              </a:ext>
            </a:extLst>
          </xdr:cNvPr>
          <xdr:cNvSpPr/>
        </xdr:nvSpPr>
        <xdr:spPr>
          <a:xfrm>
            <a:off x="6964680" y="579120"/>
            <a:ext cx="1371600" cy="624840"/>
          </a:xfrm>
          <a:prstGeom prst="roundRect">
            <a:avLst/>
          </a:prstGeom>
          <a:gradFill>
            <a:gsLst>
              <a:gs pos="62900">
                <a:srgbClr val="92D050"/>
              </a:gs>
              <a:gs pos="0">
                <a:schemeClr val="tx1"/>
              </a:gs>
              <a:gs pos="47000">
                <a:schemeClr val="tx1"/>
              </a:gs>
              <a:gs pos="24000">
                <a:schemeClr val="tx1"/>
              </a:gs>
            </a:gsLst>
            <a:lin ang="81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Female Employees</a:t>
            </a:r>
          </a:p>
        </xdr:txBody>
      </xdr:sp>
      <xdr:sp macro="" textlink="">
        <xdr:nvSpPr>
          <xdr:cNvPr id="9" name="Rectangle: Rounded Corners 8">
            <a:extLst>
              <a:ext uri="{FF2B5EF4-FFF2-40B4-BE49-F238E27FC236}">
                <a16:creationId xmlns:a16="http://schemas.microsoft.com/office/drawing/2014/main" id="{92DAC835-DC1E-4249-AA82-95FD4671408A}"/>
              </a:ext>
            </a:extLst>
          </xdr:cNvPr>
          <xdr:cNvSpPr/>
        </xdr:nvSpPr>
        <xdr:spPr>
          <a:xfrm>
            <a:off x="8854440" y="571500"/>
            <a:ext cx="1371600" cy="640080"/>
          </a:xfrm>
          <a:prstGeom prst="roundRect">
            <a:avLst/>
          </a:prstGeom>
          <a:gradFill>
            <a:gsLst>
              <a:gs pos="62900">
                <a:srgbClr val="92D050"/>
              </a:gs>
              <a:gs pos="0">
                <a:schemeClr val="tx1"/>
              </a:gs>
              <a:gs pos="47000">
                <a:schemeClr val="tx1"/>
              </a:gs>
              <a:gs pos="24000">
                <a:schemeClr val="tx1"/>
              </a:gs>
            </a:gsLst>
            <a:lin ang="81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Male Employees</a:t>
            </a:r>
          </a:p>
        </xdr:txBody>
      </xdr:sp>
    </xdr:grpSp>
    <xdr:clientData/>
  </xdr:twoCellAnchor>
  <xdr:twoCellAnchor>
    <xdr:from>
      <xdr:col>4</xdr:col>
      <xdr:colOff>419100</xdr:colOff>
      <xdr:row>5</xdr:row>
      <xdr:rowOff>60960</xdr:rowOff>
    </xdr:from>
    <xdr:to>
      <xdr:col>5</xdr:col>
      <xdr:colOff>396240</xdr:colOff>
      <xdr:row>6</xdr:row>
      <xdr:rowOff>167640</xdr:rowOff>
    </xdr:to>
    <xdr:sp macro="" textlink="'Hiring '!A2">
      <xdr:nvSpPr>
        <xdr:cNvPr id="10" name="Rectangle: Rounded Corners 9">
          <a:extLst>
            <a:ext uri="{FF2B5EF4-FFF2-40B4-BE49-F238E27FC236}">
              <a16:creationId xmlns:a16="http://schemas.microsoft.com/office/drawing/2014/main" id="{2D528825-8971-B59A-FDBD-2C1718298F22}"/>
            </a:ext>
          </a:extLst>
        </xdr:cNvPr>
        <xdr:cNvSpPr/>
      </xdr:nvSpPr>
      <xdr:spPr>
        <a:xfrm>
          <a:off x="2857500" y="975360"/>
          <a:ext cx="586740" cy="28956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BA7DE25-5774-45D7-B453-0C7930575A9B}" type="TxLink">
            <a:rPr lang="en-US" sz="1100" b="1" i="0" u="none" strike="noStrike">
              <a:solidFill>
                <a:schemeClr val="bg1"/>
              </a:solidFill>
              <a:latin typeface="Aptos Narrow"/>
            </a:rPr>
            <a:pPr algn="ctr"/>
            <a:t>882</a:t>
          </a:fld>
          <a:endParaRPr lang="en-IN" sz="1100" b="1">
            <a:solidFill>
              <a:schemeClr val="bg1"/>
            </a:solidFill>
          </a:endParaRPr>
        </a:p>
      </xdr:txBody>
    </xdr:sp>
    <xdr:clientData/>
  </xdr:twoCellAnchor>
  <xdr:twoCellAnchor>
    <xdr:from>
      <xdr:col>7</xdr:col>
      <xdr:colOff>358140</xdr:colOff>
      <xdr:row>5</xdr:row>
      <xdr:rowOff>60960</xdr:rowOff>
    </xdr:from>
    <xdr:to>
      <xdr:col>8</xdr:col>
      <xdr:colOff>335280</xdr:colOff>
      <xdr:row>6</xdr:row>
      <xdr:rowOff>167640</xdr:rowOff>
    </xdr:to>
    <xdr:sp macro="" textlink="'Hiring '!C2">
      <xdr:nvSpPr>
        <xdr:cNvPr id="11" name="Rectangle: Rounded Corners 10">
          <a:extLst>
            <a:ext uri="{FF2B5EF4-FFF2-40B4-BE49-F238E27FC236}">
              <a16:creationId xmlns:a16="http://schemas.microsoft.com/office/drawing/2014/main" id="{44185309-2547-40A5-A01E-CB715065F22F}"/>
            </a:ext>
          </a:extLst>
        </xdr:cNvPr>
        <xdr:cNvSpPr/>
      </xdr:nvSpPr>
      <xdr:spPr>
        <a:xfrm>
          <a:off x="4625340" y="975360"/>
          <a:ext cx="586740" cy="28956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0F90FA4-B597-4E47-8DFF-994C34FB3DC7}" type="TxLink">
            <a:rPr lang="en-US" sz="1100" b="1" i="0" u="none" strike="noStrike">
              <a:solidFill>
                <a:schemeClr val="bg1"/>
              </a:solidFill>
              <a:latin typeface="Aptos Narrow"/>
            </a:rPr>
            <a:pPr algn="ctr"/>
            <a:t>37</a:t>
          </a:fld>
          <a:endParaRPr lang="en-IN" sz="1100" b="1">
            <a:solidFill>
              <a:schemeClr val="bg1"/>
            </a:solidFill>
          </a:endParaRPr>
        </a:p>
      </xdr:txBody>
    </xdr:sp>
    <xdr:clientData/>
  </xdr:twoCellAnchor>
  <xdr:twoCellAnchor>
    <xdr:from>
      <xdr:col>10</xdr:col>
      <xdr:colOff>480060</xdr:colOff>
      <xdr:row>5</xdr:row>
      <xdr:rowOff>60960</xdr:rowOff>
    </xdr:from>
    <xdr:to>
      <xdr:col>11</xdr:col>
      <xdr:colOff>457200</xdr:colOff>
      <xdr:row>6</xdr:row>
      <xdr:rowOff>167640</xdr:rowOff>
    </xdr:to>
    <xdr:sp macro="" textlink="'Hiring '!E4">
      <xdr:nvSpPr>
        <xdr:cNvPr id="12" name="Rectangle: Rounded Corners 11">
          <a:extLst>
            <a:ext uri="{FF2B5EF4-FFF2-40B4-BE49-F238E27FC236}">
              <a16:creationId xmlns:a16="http://schemas.microsoft.com/office/drawing/2014/main" id="{D3B1CD65-9088-49F0-9AA0-7FBB6CA00EBA}"/>
            </a:ext>
          </a:extLst>
        </xdr:cNvPr>
        <xdr:cNvSpPr/>
      </xdr:nvSpPr>
      <xdr:spPr>
        <a:xfrm>
          <a:off x="6576060" y="975360"/>
          <a:ext cx="586740" cy="28956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C61FE9A-DADA-4422-B458-C90AB9458022}" type="TxLink">
            <a:rPr lang="en-US" sz="1100" b="1" i="0" u="none" strike="noStrike">
              <a:solidFill>
                <a:schemeClr val="bg1"/>
              </a:solidFill>
              <a:latin typeface="Aptos Narrow"/>
            </a:rPr>
            <a:pPr algn="ctr"/>
            <a:t>732</a:t>
          </a:fld>
          <a:endParaRPr lang="en-IN" sz="1100" b="1">
            <a:solidFill>
              <a:schemeClr val="bg1"/>
            </a:solidFill>
          </a:endParaRPr>
        </a:p>
      </xdr:txBody>
    </xdr:sp>
    <xdr:clientData/>
  </xdr:twoCellAnchor>
  <xdr:twoCellAnchor>
    <xdr:from>
      <xdr:col>13</xdr:col>
      <xdr:colOff>533400</xdr:colOff>
      <xdr:row>5</xdr:row>
      <xdr:rowOff>45720</xdr:rowOff>
    </xdr:from>
    <xdr:to>
      <xdr:col>14</xdr:col>
      <xdr:colOff>510540</xdr:colOff>
      <xdr:row>6</xdr:row>
      <xdr:rowOff>152400</xdr:rowOff>
    </xdr:to>
    <xdr:sp macro="" textlink="'Hiring '!H4">
      <xdr:nvSpPr>
        <xdr:cNvPr id="13" name="Rectangle: Rounded Corners 12">
          <a:extLst>
            <a:ext uri="{FF2B5EF4-FFF2-40B4-BE49-F238E27FC236}">
              <a16:creationId xmlns:a16="http://schemas.microsoft.com/office/drawing/2014/main" id="{62FBDCDE-1D72-4EE7-89E9-295A358263A6}"/>
            </a:ext>
          </a:extLst>
        </xdr:cNvPr>
        <xdr:cNvSpPr/>
      </xdr:nvSpPr>
      <xdr:spPr>
        <a:xfrm>
          <a:off x="8458200" y="960120"/>
          <a:ext cx="586740" cy="28956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F14193D-0CEE-40C7-BF3D-13EA59322D60}" type="TxLink">
            <a:rPr lang="en-US" sz="1100" b="1" i="0" u="none" strike="noStrike">
              <a:solidFill>
                <a:schemeClr val="bg1"/>
              </a:solidFill>
              <a:latin typeface="Aptos Narrow"/>
            </a:rPr>
            <a:pPr algn="ctr"/>
            <a:t>882</a:t>
          </a:fld>
          <a:endParaRPr lang="en-IN" sz="1100" b="1">
            <a:solidFill>
              <a:schemeClr val="bg1"/>
            </a:solidFill>
          </a:endParaRPr>
        </a:p>
      </xdr:txBody>
    </xdr:sp>
    <xdr:clientData/>
  </xdr:twoCellAnchor>
  <xdr:twoCellAnchor>
    <xdr:from>
      <xdr:col>17</xdr:col>
      <xdr:colOff>7620</xdr:colOff>
      <xdr:row>5</xdr:row>
      <xdr:rowOff>53340</xdr:rowOff>
    </xdr:from>
    <xdr:to>
      <xdr:col>17</xdr:col>
      <xdr:colOff>594360</xdr:colOff>
      <xdr:row>6</xdr:row>
      <xdr:rowOff>160020</xdr:rowOff>
    </xdr:to>
    <xdr:sp macro="" textlink="'Hiring '!J4">
      <xdr:nvSpPr>
        <xdr:cNvPr id="14" name="Rectangle: Rounded Corners 13">
          <a:extLst>
            <a:ext uri="{FF2B5EF4-FFF2-40B4-BE49-F238E27FC236}">
              <a16:creationId xmlns:a16="http://schemas.microsoft.com/office/drawing/2014/main" id="{15E80AD0-CE5F-4385-8EC3-9667D4CE3282}"/>
            </a:ext>
          </a:extLst>
        </xdr:cNvPr>
        <xdr:cNvSpPr/>
      </xdr:nvSpPr>
      <xdr:spPr>
        <a:xfrm>
          <a:off x="10370820" y="967740"/>
          <a:ext cx="586740" cy="28956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19B0F72-0243-4201-9069-B2502CEE8627}" type="TxLink">
            <a:rPr lang="en-US" sz="1100" b="1" i="0" u="none" strike="noStrike">
              <a:solidFill>
                <a:schemeClr val="bg1"/>
              </a:solidFill>
              <a:latin typeface="Aptos Narrow"/>
            </a:rPr>
            <a:pPr algn="ctr"/>
            <a:t>882</a:t>
          </a:fld>
          <a:endParaRPr lang="en-IN" sz="1100" b="1">
            <a:solidFill>
              <a:schemeClr val="bg1"/>
            </a:solidFill>
          </a:endParaRPr>
        </a:p>
      </xdr:txBody>
    </xdr:sp>
    <xdr:clientData/>
  </xdr:twoCellAnchor>
  <xdr:twoCellAnchor>
    <xdr:from>
      <xdr:col>2</xdr:col>
      <xdr:colOff>335280</xdr:colOff>
      <xdr:row>7</xdr:row>
      <xdr:rowOff>167641</xdr:rowOff>
    </xdr:from>
    <xdr:to>
      <xdr:col>8</xdr:col>
      <xdr:colOff>76200</xdr:colOff>
      <xdr:row>16</xdr:row>
      <xdr:rowOff>114301</xdr:rowOff>
    </xdr:to>
    <xdr:graphicFrame macro="">
      <xdr:nvGraphicFramePr>
        <xdr:cNvPr id="15" name="Chart 14">
          <a:extLst>
            <a:ext uri="{FF2B5EF4-FFF2-40B4-BE49-F238E27FC236}">
              <a16:creationId xmlns:a16="http://schemas.microsoft.com/office/drawing/2014/main" id="{62F13F26-01BD-4A70-9A6E-1B31B7156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7</xdr:row>
      <xdr:rowOff>175261</xdr:rowOff>
    </xdr:from>
    <xdr:to>
      <xdr:col>13</xdr:col>
      <xdr:colOff>332630</xdr:colOff>
      <xdr:row>16</xdr:row>
      <xdr:rowOff>91441</xdr:rowOff>
    </xdr:to>
    <xdr:graphicFrame macro="">
      <xdr:nvGraphicFramePr>
        <xdr:cNvPr id="16" name="Chart 15">
          <a:extLst>
            <a:ext uri="{FF2B5EF4-FFF2-40B4-BE49-F238E27FC236}">
              <a16:creationId xmlns:a16="http://schemas.microsoft.com/office/drawing/2014/main" id="{0E642F79-899A-4835-854B-5F19C6218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350520</xdr:colOff>
      <xdr:row>17</xdr:row>
      <xdr:rowOff>137160</xdr:rowOff>
    </xdr:from>
    <xdr:to>
      <xdr:col>12</xdr:col>
      <xdr:colOff>350520</xdr:colOff>
      <xdr:row>29</xdr:row>
      <xdr:rowOff>106680</xdr:rowOff>
    </xdr:to>
    <xdr:graphicFrame macro="">
      <xdr:nvGraphicFramePr>
        <xdr:cNvPr id="17" name="Chart 16">
          <a:extLst>
            <a:ext uri="{FF2B5EF4-FFF2-40B4-BE49-F238E27FC236}">
              <a16:creationId xmlns:a16="http://schemas.microsoft.com/office/drawing/2014/main" id="{1835FBFA-1021-4F6C-ACFC-51B6FF926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502920</xdr:colOff>
      <xdr:row>17</xdr:row>
      <xdr:rowOff>137160</xdr:rowOff>
    </xdr:from>
    <xdr:to>
      <xdr:col>19</xdr:col>
      <xdr:colOff>76200</xdr:colOff>
      <xdr:row>29</xdr:row>
      <xdr:rowOff>83820</xdr:rowOff>
    </xdr:to>
    <xdr:graphicFrame macro="">
      <xdr:nvGraphicFramePr>
        <xdr:cNvPr id="18" name="Chart 17">
          <a:extLst>
            <a:ext uri="{FF2B5EF4-FFF2-40B4-BE49-F238E27FC236}">
              <a16:creationId xmlns:a16="http://schemas.microsoft.com/office/drawing/2014/main" id="{7F55BC5B-1351-46AD-9EB1-6FC2E4ADB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419100</xdr:colOff>
      <xdr:row>7</xdr:row>
      <xdr:rowOff>175261</xdr:rowOff>
    </xdr:from>
    <xdr:to>
      <xdr:col>19</xdr:col>
      <xdr:colOff>68580</xdr:colOff>
      <xdr:row>16</xdr:row>
      <xdr:rowOff>99061</xdr:rowOff>
    </xdr:to>
    <xdr:graphicFrame macro="">
      <xdr:nvGraphicFramePr>
        <xdr:cNvPr id="19" name="Chart 18">
          <a:extLst>
            <a:ext uri="{FF2B5EF4-FFF2-40B4-BE49-F238E27FC236}">
              <a16:creationId xmlns:a16="http://schemas.microsoft.com/office/drawing/2014/main" id="{2BEBF5C1-3CB1-4E41-BFA6-6C2BF8E00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243840</xdr:colOff>
      <xdr:row>23</xdr:row>
      <xdr:rowOff>76201</xdr:rowOff>
    </xdr:from>
    <xdr:to>
      <xdr:col>22</xdr:col>
      <xdr:colOff>198120</xdr:colOff>
      <xdr:row>30</xdr:row>
      <xdr:rowOff>83820</xdr:rowOff>
    </xdr:to>
    <mc:AlternateContent xmlns:mc="http://schemas.openxmlformats.org/markup-compatibility/2006" xmlns:a14="http://schemas.microsoft.com/office/drawing/2010/main">
      <mc:Choice Requires="a14">
        <xdr:graphicFrame macro="">
          <xdr:nvGraphicFramePr>
            <xdr:cNvPr id="20" name="Department">
              <a:extLst>
                <a:ext uri="{FF2B5EF4-FFF2-40B4-BE49-F238E27FC236}">
                  <a16:creationId xmlns:a16="http://schemas.microsoft.com/office/drawing/2014/main" id="{C5D1FC0F-1429-7771-8FF0-BD72F87594C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826240" y="4282441"/>
              <a:ext cx="178308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17</xdr:row>
      <xdr:rowOff>30481</xdr:rowOff>
    </xdr:from>
    <xdr:to>
      <xdr:col>22</xdr:col>
      <xdr:colOff>152400</xdr:colOff>
      <xdr:row>22</xdr:row>
      <xdr:rowOff>121921</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9BE12E23-98AF-0AE8-19AB-CFF0B9EE028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772900" y="3139441"/>
              <a:ext cx="17907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152400</xdr:colOff>
      <xdr:row>0</xdr:row>
      <xdr:rowOff>121920</xdr:rowOff>
    </xdr:from>
    <xdr:to>
      <xdr:col>22</xdr:col>
      <xdr:colOff>106680</xdr:colOff>
      <xdr:row>16</xdr:row>
      <xdr:rowOff>106680</xdr:rowOff>
    </xdr:to>
    <mc:AlternateContent xmlns:mc="http://schemas.openxmlformats.org/markup-compatibility/2006" xmlns:a14="http://schemas.microsoft.com/office/drawing/2010/main">
      <mc:Choice Requires="a14">
        <xdr:graphicFrame macro="">
          <xdr:nvGraphicFramePr>
            <xdr:cNvPr id="22" name="JobRole">
              <a:extLst>
                <a:ext uri="{FF2B5EF4-FFF2-40B4-BE49-F238E27FC236}">
                  <a16:creationId xmlns:a16="http://schemas.microsoft.com/office/drawing/2014/main" id="{8EF82287-5789-5ADB-5F1C-8192FFA6CAE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1734800" y="121920"/>
              <a:ext cx="1783080" cy="2910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259080</xdr:colOff>
      <xdr:row>15</xdr:row>
      <xdr:rowOff>114300</xdr:rowOff>
    </xdr:from>
    <xdr:to>
      <xdr:col>23</xdr:col>
      <xdr:colOff>160020</xdr:colOff>
      <xdr:row>17</xdr:row>
      <xdr:rowOff>106680</xdr:rowOff>
    </xdr:to>
    <xdr:sp macro="" textlink="">
      <xdr:nvSpPr>
        <xdr:cNvPr id="25" name="Arrow: Right 24">
          <a:hlinkClick xmlns:r="http://schemas.openxmlformats.org/officeDocument/2006/relationships" r:id="rId6"/>
          <a:extLst>
            <a:ext uri="{FF2B5EF4-FFF2-40B4-BE49-F238E27FC236}">
              <a16:creationId xmlns:a16="http://schemas.microsoft.com/office/drawing/2014/main" id="{A908BABD-0FE0-3112-BA60-EFBE22A94578}"/>
            </a:ext>
          </a:extLst>
        </xdr:cNvPr>
        <xdr:cNvSpPr/>
      </xdr:nvSpPr>
      <xdr:spPr>
        <a:xfrm>
          <a:off x="13670280" y="2857500"/>
          <a:ext cx="510540" cy="358140"/>
        </a:xfrm>
        <a:prstGeom prst="rightArrow">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a:p>
          <a:pPr algn="l"/>
          <a:endParaRPr lang="en-IN" sz="1100" b="1">
            <a:solidFill>
              <a:schemeClr val="tx1"/>
            </a:solidFill>
          </a:endParaRPr>
        </a:p>
      </xdr:txBody>
    </xdr:sp>
    <xdr:clientData/>
  </xdr:twoCellAnchor>
  <xdr:twoCellAnchor>
    <xdr:from>
      <xdr:col>0</xdr:col>
      <xdr:colOff>0</xdr:colOff>
      <xdr:row>15</xdr:row>
      <xdr:rowOff>83820</xdr:rowOff>
    </xdr:from>
    <xdr:to>
      <xdr:col>0</xdr:col>
      <xdr:colOff>563880</xdr:colOff>
      <xdr:row>17</xdr:row>
      <xdr:rowOff>91440</xdr:rowOff>
    </xdr:to>
    <xdr:sp macro="" textlink="">
      <xdr:nvSpPr>
        <xdr:cNvPr id="26" name="Arrow: Left 25">
          <a:hlinkClick xmlns:r="http://schemas.openxmlformats.org/officeDocument/2006/relationships" r:id="rId7"/>
          <a:extLst>
            <a:ext uri="{FF2B5EF4-FFF2-40B4-BE49-F238E27FC236}">
              <a16:creationId xmlns:a16="http://schemas.microsoft.com/office/drawing/2014/main" id="{110F43FB-B0F7-8D6B-5AD4-AD605454B30D}"/>
            </a:ext>
          </a:extLst>
        </xdr:cNvPr>
        <xdr:cNvSpPr/>
      </xdr:nvSpPr>
      <xdr:spPr>
        <a:xfrm>
          <a:off x="0" y="2827020"/>
          <a:ext cx="563880" cy="373380"/>
        </a:xfrm>
        <a:prstGeom prst="leftArrow">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0</xdr:row>
      <xdr:rowOff>0</xdr:rowOff>
    </xdr:from>
    <xdr:to>
      <xdr:col>23</xdr:col>
      <xdr:colOff>579120</xdr:colOff>
      <xdr:row>33</xdr:row>
      <xdr:rowOff>144780</xdr:rowOff>
    </xdr:to>
    <xdr:sp macro="" textlink="">
      <xdr:nvSpPr>
        <xdr:cNvPr id="2" name="Rectangle 1">
          <a:extLst>
            <a:ext uri="{FF2B5EF4-FFF2-40B4-BE49-F238E27FC236}">
              <a16:creationId xmlns:a16="http://schemas.microsoft.com/office/drawing/2014/main" id="{F96644ED-C265-CA15-15E3-5A5F2B371A9C}"/>
            </a:ext>
          </a:extLst>
        </xdr:cNvPr>
        <xdr:cNvSpPr/>
      </xdr:nvSpPr>
      <xdr:spPr>
        <a:xfrm>
          <a:off x="7620" y="0"/>
          <a:ext cx="14592300" cy="61798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297180</xdr:colOff>
      <xdr:row>5</xdr:row>
      <xdr:rowOff>76200</xdr:rowOff>
    </xdr:from>
    <xdr:to>
      <xdr:col>5</xdr:col>
      <xdr:colOff>15240</xdr:colOff>
      <xdr:row>30</xdr:row>
      <xdr:rowOff>91440</xdr:rowOff>
    </xdr:to>
    <xdr:sp macro="" textlink="">
      <xdr:nvSpPr>
        <xdr:cNvPr id="3" name="Rectangle: Rounded Corners 2">
          <a:extLst>
            <a:ext uri="{FF2B5EF4-FFF2-40B4-BE49-F238E27FC236}">
              <a16:creationId xmlns:a16="http://schemas.microsoft.com/office/drawing/2014/main" id="{35C7C75D-1220-AEE0-1817-52FFC66D5E1D}"/>
            </a:ext>
          </a:extLst>
        </xdr:cNvPr>
        <xdr:cNvSpPr/>
      </xdr:nvSpPr>
      <xdr:spPr>
        <a:xfrm>
          <a:off x="906780" y="990600"/>
          <a:ext cx="2156460" cy="4587240"/>
        </a:xfrm>
        <a:prstGeom prst="roundRect">
          <a:avLst/>
        </a:prstGeom>
        <a:solidFill>
          <a:schemeClr val="tx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0</xdr:row>
      <xdr:rowOff>91440</xdr:rowOff>
    </xdr:from>
    <xdr:to>
      <xdr:col>9</xdr:col>
      <xdr:colOff>228600</xdr:colOff>
      <xdr:row>3</xdr:row>
      <xdr:rowOff>152400</xdr:rowOff>
    </xdr:to>
    <xdr:sp macro="" textlink="">
      <xdr:nvSpPr>
        <xdr:cNvPr id="4" name="Rectangle 3">
          <a:extLst>
            <a:ext uri="{FF2B5EF4-FFF2-40B4-BE49-F238E27FC236}">
              <a16:creationId xmlns:a16="http://schemas.microsoft.com/office/drawing/2014/main" id="{299BBA61-A22C-721F-FF41-9A205D1B5619}"/>
            </a:ext>
          </a:extLst>
        </xdr:cNvPr>
        <xdr:cNvSpPr/>
      </xdr:nvSpPr>
      <xdr:spPr>
        <a:xfrm>
          <a:off x="129540" y="91440"/>
          <a:ext cx="5585460" cy="609600"/>
        </a:xfrm>
        <a:prstGeom prst="rect">
          <a:avLst/>
        </a:prstGeom>
        <a:solidFill>
          <a:schemeClr val="tx1"/>
        </a:solid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0" i="0">
              <a:solidFill>
                <a:srgbClr val="FF0000"/>
              </a:solidFill>
              <a:effectLst/>
              <a:latin typeface="ADLaM Display" panose="02010000000000000000" pitchFamily="2" charset="0"/>
              <a:ea typeface="ADLaM Display" panose="02010000000000000000" pitchFamily="2" charset="0"/>
              <a:cs typeface="ADLaM Display" panose="02010000000000000000" pitchFamily="2" charset="0"/>
            </a:rPr>
            <a:t>ATTRITION ANALYSIS</a:t>
          </a:r>
          <a:endParaRPr lang="en-IN" sz="3200">
            <a:solidFill>
              <a:srgbClr val="FF0000"/>
            </a:solidFill>
            <a:effectLst/>
            <a:latin typeface="ADLaM Display" panose="02010000000000000000" pitchFamily="2" charset="0"/>
            <a:ea typeface="ADLaM Display" panose="02010000000000000000" pitchFamily="2" charset="0"/>
            <a:cs typeface="ADLaM Display" panose="02010000000000000000" pitchFamily="2" charset="0"/>
          </a:endParaRPr>
        </a:p>
        <a:p>
          <a:pPr algn="l"/>
          <a:endParaRPr lang="en-IN" sz="1100"/>
        </a:p>
      </xdr:txBody>
    </xdr:sp>
    <xdr:clientData/>
  </xdr:twoCellAnchor>
  <xdr:twoCellAnchor>
    <xdr:from>
      <xdr:col>10</xdr:col>
      <xdr:colOff>167640</xdr:colOff>
      <xdr:row>0</xdr:row>
      <xdr:rowOff>60960</xdr:rowOff>
    </xdr:from>
    <xdr:to>
      <xdr:col>12</xdr:col>
      <xdr:colOff>281940</xdr:colOff>
      <xdr:row>4</xdr:row>
      <xdr:rowOff>22860</xdr:rowOff>
    </xdr:to>
    <xdr:sp macro="" textlink="">
      <xdr:nvSpPr>
        <xdr:cNvPr id="5" name="Rectangle: Rounded Corners 4">
          <a:extLst>
            <a:ext uri="{FF2B5EF4-FFF2-40B4-BE49-F238E27FC236}">
              <a16:creationId xmlns:a16="http://schemas.microsoft.com/office/drawing/2014/main" id="{887A68A1-10EC-4F48-F90B-B86C634E3313}"/>
            </a:ext>
          </a:extLst>
        </xdr:cNvPr>
        <xdr:cNvSpPr/>
      </xdr:nvSpPr>
      <xdr:spPr>
        <a:xfrm>
          <a:off x="6263640" y="60960"/>
          <a:ext cx="1333500" cy="693420"/>
        </a:xfrm>
        <a:prstGeom prst="roundRect">
          <a:avLst/>
        </a:prstGeom>
        <a:solidFill>
          <a:srgbClr val="FF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Employees</a:t>
          </a:r>
        </a:p>
      </xdr:txBody>
    </xdr:sp>
    <xdr:clientData/>
  </xdr:twoCellAnchor>
  <xdr:twoCellAnchor>
    <xdr:from>
      <xdr:col>12</xdr:col>
      <xdr:colOff>548640</xdr:colOff>
      <xdr:row>0</xdr:row>
      <xdr:rowOff>60960</xdr:rowOff>
    </xdr:from>
    <xdr:to>
      <xdr:col>15</xdr:col>
      <xdr:colOff>60960</xdr:colOff>
      <xdr:row>4</xdr:row>
      <xdr:rowOff>22860</xdr:rowOff>
    </xdr:to>
    <xdr:sp macro="" textlink="">
      <xdr:nvSpPr>
        <xdr:cNvPr id="6" name="Rectangle: Rounded Corners 5">
          <a:extLst>
            <a:ext uri="{FF2B5EF4-FFF2-40B4-BE49-F238E27FC236}">
              <a16:creationId xmlns:a16="http://schemas.microsoft.com/office/drawing/2014/main" id="{46E9F22A-E5A9-423A-A32E-C9D643E1F6D4}"/>
            </a:ext>
          </a:extLst>
        </xdr:cNvPr>
        <xdr:cNvSpPr/>
      </xdr:nvSpPr>
      <xdr:spPr>
        <a:xfrm>
          <a:off x="7863840" y="60960"/>
          <a:ext cx="1341120" cy="693420"/>
        </a:xfrm>
        <a:prstGeom prst="roundRect">
          <a:avLst/>
        </a:prstGeom>
        <a:solidFill>
          <a:srgbClr val="FF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Attrition</a:t>
          </a:r>
        </a:p>
      </xdr:txBody>
    </xdr:sp>
    <xdr:clientData/>
  </xdr:twoCellAnchor>
  <xdr:twoCellAnchor>
    <xdr:from>
      <xdr:col>15</xdr:col>
      <xdr:colOff>320040</xdr:colOff>
      <xdr:row>0</xdr:row>
      <xdr:rowOff>76200</xdr:rowOff>
    </xdr:from>
    <xdr:to>
      <xdr:col>17</xdr:col>
      <xdr:colOff>441960</xdr:colOff>
      <xdr:row>4</xdr:row>
      <xdr:rowOff>38100</xdr:rowOff>
    </xdr:to>
    <xdr:sp macro="" textlink="">
      <xdr:nvSpPr>
        <xdr:cNvPr id="7" name="Rectangle: Rounded Corners 6">
          <a:extLst>
            <a:ext uri="{FF2B5EF4-FFF2-40B4-BE49-F238E27FC236}">
              <a16:creationId xmlns:a16="http://schemas.microsoft.com/office/drawing/2014/main" id="{B2E53CE2-E677-4CCF-B656-F76B1532B111}"/>
            </a:ext>
          </a:extLst>
        </xdr:cNvPr>
        <xdr:cNvSpPr/>
      </xdr:nvSpPr>
      <xdr:spPr>
        <a:xfrm>
          <a:off x="9464040" y="76200"/>
          <a:ext cx="1341120" cy="693420"/>
        </a:xfrm>
        <a:prstGeom prst="roundRect">
          <a:avLst/>
        </a:prstGeom>
        <a:solidFill>
          <a:srgbClr val="FF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Overtime Attrition</a:t>
          </a:r>
        </a:p>
      </xdr:txBody>
    </xdr:sp>
    <xdr:clientData/>
  </xdr:twoCellAnchor>
  <xdr:twoCellAnchor>
    <xdr:from>
      <xdr:col>18</xdr:col>
      <xdr:colOff>15240</xdr:colOff>
      <xdr:row>0</xdr:row>
      <xdr:rowOff>83820</xdr:rowOff>
    </xdr:from>
    <xdr:to>
      <xdr:col>20</xdr:col>
      <xdr:colOff>327660</xdr:colOff>
      <xdr:row>4</xdr:row>
      <xdr:rowOff>45720</xdr:rowOff>
    </xdr:to>
    <xdr:sp macro="" textlink="">
      <xdr:nvSpPr>
        <xdr:cNvPr id="8" name="Rectangle: Rounded Corners 7">
          <a:extLst>
            <a:ext uri="{FF2B5EF4-FFF2-40B4-BE49-F238E27FC236}">
              <a16:creationId xmlns:a16="http://schemas.microsoft.com/office/drawing/2014/main" id="{8A09E80B-63BB-4A20-AAF6-F40106F16DD2}"/>
            </a:ext>
          </a:extLst>
        </xdr:cNvPr>
        <xdr:cNvSpPr/>
      </xdr:nvSpPr>
      <xdr:spPr>
        <a:xfrm>
          <a:off x="10988040" y="83820"/>
          <a:ext cx="1531620" cy="693420"/>
        </a:xfrm>
        <a:prstGeom prst="roundRect">
          <a:avLst/>
        </a:prstGeom>
        <a:solidFill>
          <a:srgbClr val="FF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Attrition by Age Group</a:t>
          </a:r>
        </a:p>
      </xdr:txBody>
    </xdr:sp>
    <xdr:clientData/>
  </xdr:twoCellAnchor>
  <xdr:twoCellAnchor>
    <xdr:from>
      <xdr:col>20</xdr:col>
      <xdr:colOff>556260</xdr:colOff>
      <xdr:row>0</xdr:row>
      <xdr:rowOff>83820</xdr:rowOff>
    </xdr:from>
    <xdr:to>
      <xdr:col>23</xdr:col>
      <xdr:colOff>60960</xdr:colOff>
      <xdr:row>4</xdr:row>
      <xdr:rowOff>45720</xdr:rowOff>
    </xdr:to>
    <xdr:sp macro="" textlink="">
      <xdr:nvSpPr>
        <xdr:cNvPr id="9" name="Rectangle: Rounded Corners 8">
          <a:extLst>
            <a:ext uri="{FF2B5EF4-FFF2-40B4-BE49-F238E27FC236}">
              <a16:creationId xmlns:a16="http://schemas.microsoft.com/office/drawing/2014/main" id="{496AFCB3-3B60-4E47-BFA5-64FF357BE299}"/>
            </a:ext>
          </a:extLst>
        </xdr:cNvPr>
        <xdr:cNvSpPr/>
      </xdr:nvSpPr>
      <xdr:spPr>
        <a:xfrm>
          <a:off x="12748260" y="83820"/>
          <a:ext cx="1333500" cy="693420"/>
        </a:xfrm>
        <a:prstGeom prst="roundRect">
          <a:avLst/>
        </a:prstGeom>
        <a:solidFill>
          <a:srgbClr val="FF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 Low Engagement</a:t>
          </a:r>
        </a:p>
      </xdr:txBody>
    </xdr:sp>
    <xdr:clientData/>
  </xdr:twoCellAnchor>
  <xdr:twoCellAnchor>
    <xdr:from>
      <xdr:col>10</xdr:col>
      <xdr:colOff>518160</xdr:colOff>
      <xdr:row>2</xdr:row>
      <xdr:rowOff>15240</xdr:rowOff>
    </xdr:from>
    <xdr:to>
      <xdr:col>11</xdr:col>
      <xdr:colOff>510540</xdr:colOff>
      <xdr:row>4</xdr:row>
      <xdr:rowOff>15240</xdr:rowOff>
    </xdr:to>
    <xdr:sp macro="" textlink="Attrition!A4">
      <xdr:nvSpPr>
        <xdr:cNvPr id="10" name="Flowchart: Process 9">
          <a:extLst>
            <a:ext uri="{FF2B5EF4-FFF2-40B4-BE49-F238E27FC236}">
              <a16:creationId xmlns:a16="http://schemas.microsoft.com/office/drawing/2014/main" id="{C0B4D0EF-DB63-A883-0ED6-A2A8CB1B46CA}"/>
            </a:ext>
          </a:extLst>
        </xdr:cNvPr>
        <xdr:cNvSpPr/>
      </xdr:nvSpPr>
      <xdr:spPr>
        <a:xfrm>
          <a:off x="6614160" y="381000"/>
          <a:ext cx="601980" cy="365760"/>
        </a:xfrm>
        <a:prstGeom prst="flowChartProcess">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A3814E-526C-4689-9AE8-A64EDA7571AA}" type="TxLink">
            <a:rPr lang="en-US" sz="1100" b="1" i="0" u="none" strike="noStrike">
              <a:solidFill>
                <a:schemeClr val="bg1"/>
              </a:solidFill>
              <a:latin typeface="Aptos Narrow"/>
            </a:rPr>
            <a:pPr algn="ctr"/>
            <a:t>1470</a:t>
          </a:fld>
          <a:endParaRPr lang="en-IN" sz="1100" b="1">
            <a:solidFill>
              <a:schemeClr val="bg1"/>
            </a:solidFill>
          </a:endParaRPr>
        </a:p>
      </xdr:txBody>
    </xdr:sp>
    <xdr:clientData/>
  </xdr:twoCellAnchor>
  <xdr:twoCellAnchor>
    <xdr:from>
      <xdr:col>13</xdr:col>
      <xdr:colOff>327660</xdr:colOff>
      <xdr:row>2</xdr:row>
      <xdr:rowOff>15240</xdr:rowOff>
    </xdr:from>
    <xdr:to>
      <xdr:col>14</xdr:col>
      <xdr:colOff>320040</xdr:colOff>
      <xdr:row>4</xdr:row>
      <xdr:rowOff>15240</xdr:rowOff>
    </xdr:to>
    <xdr:sp macro="" textlink="Attrition!D5">
      <xdr:nvSpPr>
        <xdr:cNvPr id="11" name="Flowchart: Process 10">
          <a:extLst>
            <a:ext uri="{FF2B5EF4-FFF2-40B4-BE49-F238E27FC236}">
              <a16:creationId xmlns:a16="http://schemas.microsoft.com/office/drawing/2014/main" id="{352B7D62-FCFD-472E-A16F-628E99C699C2}"/>
            </a:ext>
          </a:extLst>
        </xdr:cNvPr>
        <xdr:cNvSpPr/>
      </xdr:nvSpPr>
      <xdr:spPr>
        <a:xfrm>
          <a:off x="8252460" y="381000"/>
          <a:ext cx="601980" cy="365760"/>
        </a:xfrm>
        <a:prstGeom prst="flowChartProcess">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FE7C09-427D-4F62-98DE-FCE124022D93}" type="TxLink">
            <a:rPr lang="en-US" sz="1100" b="1" i="0" u="none" strike="noStrike">
              <a:solidFill>
                <a:schemeClr val="bg1"/>
              </a:solidFill>
              <a:latin typeface="Aptos Narrow"/>
            </a:rPr>
            <a:pPr algn="ctr"/>
            <a:t>237</a:t>
          </a:fld>
          <a:endParaRPr lang="en-IN" sz="1100" b="1">
            <a:solidFill>
              <a:schemeClr val="bg1"/>
            </a:solidFill>
          </a:endParaRPr>
        </a:p>
      </xdr:txBody>
    </xdr:sp>
    <xdr:clientData/>
  </xdr:twoCellAnchor>
  <xdr:twoCellAnchor>
    <xdr:from>
      <xdr:col>16</xdr:col>
      <xdr:colOff>99060</xdr:colOff>
      <xdr:row>2</xdr:row>
      <xdr:rowOff>30480</xdr:rowOff>
    </xdr:from>
    <xdr:to>
      <xdr:col>17</xdr:col>
      <xdr:colOff>91440</xdr:colOff>
      <xdr:row>4</xdr:row>
      <xdr:rowOff>30480</xdr:rowOff>
    </xdr:to>
    <xdr:sp macro="" textlink="Attrition!G5">
      <xdr:nvSpPr>
        <xdr:cNvPr id="12" name="Flowchart: Process 11">
          <a:extLst>
            <a:ext uri="{FF2B5EF4-FFF2-40B4-BE49-F238E27FC236}">
              <a16:creationId xmlns:a16="http://schemas.microsoft.com/office/drawing/2014/main" id="{C439C085-B15F-44B5-AB56-793673AC8495}"/>
            </a:ext>
          </a:extLst>
        </xdr:cNvPr>
        <xdr:cNvSpPr/>
      </xdr:nvSpPr>
      <xdr:spPr>
        <a:xfrm>
          <a:off x="9852660" y="396240"/>
          <a:ext cx="601980" cy="365760"/>
        </a:xfrm>
        <a:prstGeom prst="flowChartProcess">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6EF945-52D9-484E-BBF4-73226E94F178}" type="TxLink">
            <a:rPr lang="en-US" sz="1100" b="1" i="0" u="none" strike="noStrike">
              <a:solidFill>
                <a:schemeClr val="bg1"/>
              </a:solidFill>
              <a:latin typeface="Aptos Narrow"/>
            </a:rPr>
            <a:pPr algn="ctr"/>
            <a:t>416</a:t>
          </a:fld>
          <a:endParaRPr lang="en-IN" sz="1100" b="1">
            <a:solidFill>
              <a:schemeClr val="bg1"/>
            </a:solidFill>
          </a:endParaRPr>
        </a:p>
      </xdr:txBody>
    </xdr:sp>
    <xdr:clientData/>
  </xdr:twoCellAnchor>
  <xdr:twoCellAnchor>
    <xdr:from>
      <xdr:col>18</xdr:col>
      <xdr:colOff>525780</xdr:colOff>
      <xdr:row>2</xdr:row>
      <xdr:rowOff>45720</xdr:rowOff>
    </xdr:from>
    <xdr:to>
      <xdr:col>19</xdr:col>
      <xdr:colOff>518160</xdr:colOff>
      <xdr:row>4</xdr:row>
      <xdr:rowOff>45720</xdr:rowOff>
    </xdr:to>
    <xdr:sp macro="" textlink="Attrition!J5">
      <xdr:nvSpPr>
        <xdr:cNvPr id="13" name="Flowchart: Process 12">
          <a:extLst>
            <a:ext uri="{FF2B5EF4-FFF2-40B4-BE49-F238E27FC236}">
              <a16:creationId xmlns:a16="http://schemas.microsoft.com/office/drawing/2014/main" id="{D6E57982-2B70-4926-A225-9767726CC99D}"/>
            </a:ext>
          </a:extLst>
        </xdr:cNvPr>
        <xdr:cNvSpPr/>
      </xdr:nvSpPr>
      <xdr:spPr>
        <a:xfrm>
          <a:off x="11498580" y="411480"/>
          <a:ext cx="601980" cy="365760"/>
        </a:xfrm>
        <a:prstGeom prst="flowChartProcess">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C96F7A2-093F-4664-8A45-C4E0377FA510}" type="TxLink">
            <a:rPr lang="en-US" sz="1100" b="1" i="0" u="none" strike="noStrike">
              <a:solidFill>
                <a:schemeClr val="bg1"/>
              </a:solidFill>
              <a:latin typeface="Aptos Narrow"/>
            </a:rPr>
            <a:pPr algn="ctr"/>
            <a:t>326</a:t>
          </a:fld>
          <a:endParaRPr lang="en-IN" sz="1100" b="1">
            <a:solidFill>
              <a:schemeClr val="bg1"/>
            </a:solidFill>
          </a:endParaRPr>
        </a:p>
      </xdr:txBody>
    </xdr:sp>
    <xdr:clientData/>
  </xdr:twoCellAnchor>
  <xdr:twoCellAnchor>
    <xdr:from>
      <xdr:col>21</xdr:col>
      <xdr:colOff>358140</xdr:colOff>
      <xdr:row>2</xdr:row>
      <xdr:rowOff>45720</xdr:rowOff>
    </xdr:from>
    <xdr:to>
      <xdr:col>22</xdr:col>
      <xdr:colOff>350520</xdr:colOff>
      <xdr:row>4</xdr:row>
      <xdr:rowOff>45720</xdr:rowOff>
    </xdr:to>
    <xdr:sp macro="" textlink="Attrition!M4">
      <xdr:nvSpPr>
        <xdr:cNvPr id="14" name="Flowchart: Process 13">
          <a:extLst>
            <a:ext uri="{FF2B5EF4-FFF2-40B4-BE49-F238E27FC236}">
              <a16:creationId xmlns:a16="http://schemas.microsoft.com/office/drawing/2014/main" id="{989CA03E-F1C1-4A6E-ACD8-1057E8637608}"/>
            </a:ext>
          </a:extLst>
        </xdr:cNvPr>
        <xdr:cNvSpPr/>
      </xdr:nvSpPr>
      <xdr:spPr>
        <a:xfrm>
          <a:off x="13159740" y="411480"/>
          <a:ext cx="601980" cy="365760"/>
        </a:xfrm>
        <a:prstGeom prst="flowChartProcess">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7E36D7-6A58-405B-B7C0-52758D10DD04}" type="TxLink">
            <a:rPr lang="en-US" sz="1100" b="1" i="0" u="none" strike="noStrike">
              <a:solidFill>
                <a:schemeClr val="bg1"/>
              </a:solidFill>
              <a:latin typeface="Aptos Narrow"/>
            </a:rPr>
            <a:pPr algn="ctr"/>
            <a:t>289</a:t>
          </a:fld>
          <a:endParaRPr lang="en-IN" sz="1100" b="1">
            <a:solidFill>
              <a:schemeClr val="bg1"/>
            </a:solidFill>
          </a:endParaRPr>
        </a:p>
      </xdr:txBody>
    </xdr:sp>
    <xdr:clientData/>
  </xdr:twoCellAnchor>
  <xdr:twoCellAnchor>
    <xdr:from>
      <xdr:col>5</xdr:col>
      <xdr:colOff>213360</xdr:colOff>
      <xdr:row>5</xdr:row>
      <xdr:rowOff>60960</xdr:rowOff>
    </xdr:from>
    <xdr:to>
      <xdr:col>11</xdr:col>
      <xdr:colOff>15240</xdr:colOff>
      <xdr:row>16</xdr:row>
      <xdr:rowOff>38100</xdr:rowOff>
    </xdr:to>
    <xdr:graphicFrame macro="">
      <xdr:nvGraphicFramePr>
        <xdr:cNvPr id="15" name="Chart 14">
          <a:extLst>
            <a:ext uri="{FF2B5EF4-FFF2-40B4-BE49-F238E27FC236}">
              <a16:creationId xmlns:a16="http://schemas.microsoft.com/office/drawing/2014/main" id="{0A6B3752-9E3E-4F11-ADF7-42D2D11E5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236220</xdr:colOff>
      <xdr:row>17</xdr:row>
      <xdr:rowOff>167640</xdr:rowOff>
    </xdr:from>
    <xdr:to>
      <xdr:col>23</xdr:col>
      <xdr:colOff>45720</xdr:colOff>
      <xdr:row>30</xdr:row>
      <xdr:rowOff>95250</xdr:rowOff>
    </xdr:to>
    <xdr:graphicFrame macro="">
      <xdr:nvGraphicFramePr>
        <xdr:cNvPr id="16" name="Chart 15">
          <a:extLst>
            <a:ext uri="{FF2B5EF4-FFF2-40B4-BE49-F238E27FC236}">
              <a16:creationId xmlns:a16="http://schemas.microsoft.com/office/drawing/2014/main" id="{43C660D8-4B49-46F6-A8AA-B7F2342DF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205740</xdr:colOff>
      <xdr:row>5</xdr:row>
      <xdr:rowOff>53340</xdr:rowOff>
    </xdr:from>
    <xdr:to>
      <xdr:col>16</xdr:col>
      <xdr:colOff>571500</xdr:colOff>
      <xdr:row>16</xdr:row>
      <xdr:rowOff>30480</xdr:rowOff>
    </xdr:to>
    <xdr:graphicFrame macro="">
      <xdr:nvGraphicFramePr>
        <xdr:cNvPr id="17" name="Chart 16">
          <a:extLst>
            <a:ext uri="{FF2B5EF4-FFF2-40B4-BE49-F238E27FC236}">
              <a16:creationId xmlns:a16="http://schemas.microsoft.com/office/drawing/2014/main" id="{BD4E3F9C-C101-44F3-ADF6-D6988F1B7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205740</xdr:colOff>
      <xdr:row>18</xdr:row>
      <xdr:rowOff>22860</xdr:rowOff>
    </xdr:from>
    <xdr:to>
      <xdr:col>11</xdr:col>
      <xdr:colOff>594360</xdr:colOff>
      <xdr:row>30</xdr:row>
      <xdr:rowOff>114300</xdr:rowOff>
    </xdr:to>
    <xdr:graphicFrame macro="">
      <xdr:nvGraphicFramePr>
        <xdr:cNvPr id="18" name="Chart 17">
          <a:extLst>
            <a:ext uri="{FF2B5EF4-FFF2-40B4-BE49-F238E27FC236}">
              <a16:creationId xmlns:a16="http://schemas.microsoft.com/office/drawing/2014/main" id="{7EE2FA62-825C-4480-839A-B7B10594A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182880</xdr:colOff>
      <xdr:row>5</xdr:row>
      <xdr:rowOff>30480</xdr:rowOff>
    </xdr:from>
    <xdr:to>
      <xdr:col>22</xdr:col>
      <xdr:colOff>495300</xdr:colOff>
      <xdr:row>16</xdr:row>
      <xdr:rowOff>26670</xdr:rowOff>
    </xdr:to>
    <xdr:graphicFrame macro="">
      <xdr:nvGraphicFramePr>
        <xdr:cNvPr id="19" name="Chart 18">
          <a:extLst>
            <a:ext uri="{FF2B5EF4-FFF2-40B4-BE49-F238E27FC236}">
              <a16:creationId xmlns:a16="http://schemas.microsoft.com/office/drawing/2014/main" id="{BC243E36-42C6-4A19-9514-A51115CFA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495300</xdr:colOff>
      <xdr:row>6</xdr:row>
      <xdr:rowOff>121921</xdr:rowOff>
    </xdr:from>
    <xdr:to>
      <xdr:col>4</xdr:col>
      <xdr:colOff>495300</xdr:colOff>
      <xdr:row>13</xdr:row>
      <xdr:rowOff>53341</xdr:rowOff>
    </xdr:to>
    <mc:AlternateContent xmlns:mc="http://schemas.openxmlformats.org/markup-compatibility/2006" xmlns:a14="http://schemas.microsoft.com/office/drawing/2010/main">
      <mc:Choice Requires="a14">
        <xdr:graphicFrame macro="">
          <xdr:nvGraphicFramePr>
            <xdr:cNvPr id="20" name="Department 1">
              <a:extLst>
                <a:ext uri="{FF2B5EF4-FFF2-40B4-BE49-F238E27FC236}">
                  <a16:creationId xmlns:a16="http://schemas.microsoft.com/office/drawing/2014/main" id="{00CD8B17-6828-211B-3DA2-5A8DC3C70D8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04900" y="121920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518160</xdr:colOff>
      <xdr:row>22</xdr:row>
      <xdr:rowOff>53341</xdr:rowOff>
    </xdr:from>
    <xdr:to>
      <xdr:col>4</xdr:col>
      <xdr:colOff>518160</xdr:colOff>
      <xdr:row>29</xdr:row>
      <xdr:rowOff>30481</xdr:rowOff>
    </xdr:to>
    <mc:AlternateContent xmlns:mc="http://schemas.openxmlformats.org/markup-compatibility/2006" xmlns:a14="http://schemas.microsoft.com/office/drawing/2010/main">
      <mc:Choice Requires="a14">
        <xdr:graphicFrame macro="">
          <xdr:nvGraphicFramePr>
            <xdr:cNvPr id="23" name="Income Group">
              <a:extLst>
                <a:ext uri="{FF2B5EF4-FFF2-40B4-BE49-F238E27FC236}">
                  <a16:creationId xmlns:a16="http://schemas.microsoft.com/office/drawing/2014/main" id="{FBFAC731-7FAA-949C-3736-84C4957FA59D}"/>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1127760" y="407670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502920</xdr:colOff>
      <xdr:row>14</xdr:row>
      <xdr:rowOff>30480</xdr:rowOff>
    </xdr:from>
    <xdr:to>
      <xdr:col>4</xdr:col>
      <xdr:colOff>502920</xdr:colOff>
      <xdr:row>21</xdr:row>
      <xdr:rowOff>30479</xdr:rowOff>
    </xdr:to>
    <mc:AlternateContent xmlns:mc="http://schemas.openxmlformats.org/markup-compatibility/2006" xmlns:a14="http://schemas.microsoft.com/office/drawing/2010/main">
      <mc:Choice Requires="a14">
        <xdr:graphicFrame macro="">
          <xdr:nvGraphicFramePr>
            <xdr:cNvPr id="25" name="Salary Hike Group">
              <a:extLst>
                <a:ext uri="{FF2B5EF4-FFF2-40B4-BE49-F238E27FC236}">
                  <a16:creationId xmlns:a16="http://schemas.microsoft.com/office/drawing/2014/main" id="{4BAD669E-4162-1393-8CEA-0AD3D0A1C63D}"/>
                </a:ext>
              </a:extLst>
            </xdr:cNvPr>
            <xdr:cNvGraphicFramePr/>
          </xdr:nvGraphicFramePr>
          <xdr:xfrm>
            <a:off x="0" y="0"/>
            <a:ext cx="0" cy="0"/>
          </xdr:xfrm>
          <a:graphic>
            <a:graphicData uri="http://schemas.microsoft.com/office/drawing/2010/slicer">
              <sle:slicer xmlns:sle="http://schemas.microsoft.com/office/drawing/2010/slicer" name="Salary Hike Group"/>
            </a:graphicData>
          </a:graphic>
        </xdr:graphicFrame>
      </mc:Choice>
      <mc:Fallback xmlns="">
        <xdr:sp macro="" textlink="">
          <xdr:nvSpPr>
            <xdr:cNvPr id="0" name=""/>
            <xdr:cNvSpPr>
              <a:spLocks noTextEdit="1"/>
            </xdr:cNvSpPr>
          </xdr:nvSpPr>
          <xdr:spPr>
            <a:xfrm>
              <a:off x="1112520" y="2590800"/>
              <a:ext cx="182880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14</xdr:row>
      <xdr:rowOff>160020</xdr:rowOff>
    </xdr:from>
    <xdr:to>
      <xdr:col>1</xdr:col>
      <xdr:colOff>15240</xdr:colOff>
      <xdr:row>16</xdr:row>
      <xdr:rowOff>152400</xdr:rowOff>
    </xdr:to>
    <xdr:sp macro="" textlink="">
      <xdr:nvSpPr>
        <xdr:cNvPr id="24" name="Arrow: Left 23">
          <a:hlinkClick xmlns:r="http://schemas.openxmlformats.org/officeDocument/2006/relationships" r:id="rId6"/>
          <a:extLst>
            <a:ext uri="{FF2B5EF4-FFF2-40B4-BE49-F238E27FC236}">
              <a16:creationId xmlns:a16="http://schemas.microsoft.com/office/drawing/2014/main" id="{AF9EA328-FD89-F240-B743-C239C14C40F6}"/>
            </a:ext>
          </a:extLst>
        </xdr:cNvPr>
        <xdr:cNvSpPr/>
      </xdr:nvSpPr>
      <xdr:spPr>
        <a:xfrm>
          <a:off x="7620" y="2720340"/>
          <a:ext cx="617220" cy="358140"/>
        </a:xfrm>
        <a:prstGeom prst="leftArrow">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106680</xdr:colOff>
      <xdr:row>16</xdr:row>
      <xdr:rowOff>0</xdr:rowOff>
    </xdr:from>
    <xdr:to>
      <xdr:col>23</xdr:col>
      <xdr:colOff>137160</xdr:colOff>
      <xdr:row>17</xdr:row>
      <xdr:rowOff>137160</xdr:rowOff>
    </xdr:to>
    <xdr:sp macro="" textlink="">
      <xdr:nvSpPr>
        <xdr:cNvPr id="26" name="Arrow: Right 25">
          <a:hlinkClick xmlns:r="http://schemas.openxmlformats.org/officeDocument/2006/relationships" r:id="rId7"/>
          <a:extLst>
            <a:ext uri="{FF2B5EF4-FFF2-40B4-BE49-F238E27FC236}">
              <a16:creationId xmlns:a16="http://schemas.microsoft.com/office/drawing/2014/main" id="{A09F9DBD-FD51-F3E1-A827-235F187F6680}"/>
            </a:ext>
          </a:extLst>
        </xdr:cNvPr>
        <xdr:cNvSpPr/>
      </xdr:nvSpPr>
      <xdr:spPr>
        <a:xfrm>
          <a:off x="13517880" y="2926080"/>
          <a:ext cx="640080" cy="320040"/>
        </a:xfrm>
        <a:prstGeom prst="rightArrow">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15240</xdr:colOff>
      <xdr:row>0</xdr:row>
      <xdr:rowOff>0</xdr:rowOff>
    </xdr:from>
    <xdr:to>
      <xdr:col>24</xdr:col>
      <xdr:colOff>601980</xdr:colOff>
      <xdr:row>31</xdr:row>
      <xdr:rowOff>45720</xdr:rowOff>
    </xdr:to>
    <xdr:sp macro="" textlink="">
      <xdr:nvSpPr>
        <xdr:cNvPr id="2" name="Rectangle 1">
          <a:extLst>
            <a:ext uri="{FF2B5EF4-FFF2-40B4-BE49-F238E27FC236}">
              <a16:creationId xmlns:a16="http://schemas.microsoft.com/office/drawing/2014/main" id="{F28B494E-DEB9-3623-FBE0-46CDD5AD7136}"/>
            </a:ext>
          </a:extLst>
        </xdr:cNvPr>
        <xdr:cNvSpPr/>
      </xdr:nvSpPr>
      <xdr:spPr>
        <a:xfrm>
          <a:off x="15240" y="0"/>
          <a:ext cx="15217140" cy="5715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228600</xdr:colOff>
      <xdr:row>0</xdr:row>
      <xdr:rowOff>22860</xdr:rowOff>
    </xdr:from>
    <xdr:to>
      <xdr:col>13</xdr:col>
      <xdr:colOff>480060</xdr:colOff>
      <xdr:row>3</xdr:row>
      <xdr:rowOff>76200</xdr:rowOff>
    </xdr:to>
    <xdr:sp macro="" textlink="">
      <xdr:nvSpPr>
        <xdr:cNvPr id="3" name="Rectangle 2">
          <a:extLst>
            <a:ext uri="{FF2B5EF4-FFF2-40B4-BE49-F238E27FC236}">
              <a16:creationId xmlns:a16="http://schemas.microsoft.com/office/drawing/2014/main" id="{F076871C-272F-49AF-3431-9271A422FF53}"/>
            </a:ext>
          </a:extLst>
        </xdr:cNvPr>
        <xdr:cNvSpPr/>
      </xdr:nvSpPr>
      <xdr:spPr>
        <a:xfrm>
          <a:off x="6324600" y="22860"/>
          <a:ext cx="2080260" cy="60198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latin typeface="+mj-lt"/>
            </a:rPr>
            <a:t>INSIGHTS</a:t>
          </a:r>
        </a:p>
      </xdr:txBody>
    </xdr:sp>
    <xdr:clientData/>
  </xdr:twoCellAnchor>
  <xdr:twoCellAnchor>
    <xdr:from>
      <xdr:col>2</xdr:col>
      <xdr:colOff>281940</xdr:colOff>
      <xdr:row>4</xdr:row>
      <xdr:rowOff>137160</xdr:rowOff>
    </xdr:from>
    <xdr:to>
      <xdr:col>21</xdr:col>
      <xdr:colOff>518160</xdr:colOff>
      <xdr:row>30</xdr:row>
      <xdr:rowOff>167640</xdr:rowOff>
    </xdr:to>
    <xdr:sp macro="" textlink="">
      <xdr:nvSpPr>
        <xdr:cNvPr id="4" name="Rectangle 3">
          <a:extLst>
            <a:ext uri="{FF2B5EF4-FFF2-40B4-BE49-F238E27FC236}">
              <a16:creationId xmlns:a16="http://schemas.microsoft.com/office/drawing/2014/main" id="{A340E38D-D3A7-D0A1-4A95-55443E5F3475}"/>
            </a:ext>
          </a:extLst>
        </xdr:cNvPr>
        <xdr:cNvSpPr/>
      </xdr:nvSpPr>
      <xdr:spPr>
        <a:xfrm>
          <a:off x="1501140" y="868680"/>
          <a:ext cx="11818620" cy="478536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The organization has a total workforce of </a:t>
          </a:r>
          <a:r>
            <a:rPr lang="en-IN" sz="2000" b="1"/>
            <a:t>1,470 employees</a:t>
          </a:r>
          <a:r>
            <a:rPr lang="en-IN" sz="2000"/>
            <a:t>, with </a:t>
          </a:r>
          <a:r>
            <a:rPr lang="en-IN" sz="2000" b="1"/>
            <a:t>1,233 active employees</a:t>
          </a:r>
          <a:r>
            <a:rPr lang="en-IN" sz="2000"/>
            <a:t> and </a:t>
          </a:r>
          <a:r>
            <a:rPr lang="en-IN" sz="2000" b="1"/>
            <a:t>237 employees who left</a:t>
          </a:r>
          <a:r>
            <a:rPr lang="en-IN" sz="2000"/>
            <a:t>, resulting in an overall attrition rate of </a:t>
          </a:r>
          <a:r>
            <a:rPr lang="en-IN" sz="2000" b="1"/>
            <a:t>16%</a:t>
          </a:r>
          <a:r>
            <a:rPr lang="en-IN" sz="2000"/>
            <a:t>.</a:t>
          </a:r>
        </a:p>
        <a:p>
          <a:pPr algn="l"/>
          <a:r>
            <a:rPr lang="en-IN" sz="2000"/>
            <a:t> The workforce is primarily concentrated in the </a:t>
          </a:r>
          <a:r>
            <a:rPr lang="en-IN" sz="2000" b="1"/>
            <a:t>Research &amp; Development and Sales departments</a:t>
          </a:r>
          <a:r>
            <a:rPr lang="en-IN" sz="2000"/>
            <a:t>, with Sales also recording the highest employee turnover among all departments.</a:t>
          </a:r>
        </a:p>
        <a:p>
          <a:pPr algn="l"/>
          <a:r>
            <a:rPr lang="en-IN" sz="2000"/>
            <a:t> Employees working </a:t>
          </a:r>
          <a:r>
            <a:rPr lang="en-IN" sz="2000" b="1"/>
            <a:t>overtime showed an attrition rate of 31%</a:t>
          </a:r>
          <a:r>
            <a:rPr lang="en-IN" sz="2000"/>
            <a:t>, compared to only </a:t>
          </a:r>
          <a:r>
            <a:rPr lang="en-IN" sz="2000" b="1"/>
            <a:t>10%</a:t>
          </a:r>
          <a:r>
            <a:rPr lang="en-IN" sz="2000"/>
            <a:t> for employees not working overtime, making overtime the most significant factor influencing attrition.</a:t>
          </a:r>
        </a:p>
        <a:p>
          <a:pPr algn="l"/>
          <a:r>
            <a:rPr lang="en-IN" sz="2000"/>
            <a:t> The </a:t>
          </a:r>
          <a:r>
            <a:rPr lang="en-IN" sz="2000" b="1"/>
            <a:t>Young Age Group</a:t>
          </a:r>
          <a:r>
            <a:rPr lang="en-IN" sz="2000"/>
            <a:t> represents a major portion of the workforce and also recorded the highest attrition rate of </a:t>
          </a:r>
          <a:r>
            <a:rPr lang="en-IN" sz="2000" b="1"/>
            <a:t>28%</a:t>
          </a:r>
          <a:r>
            <a:rPr lang="en-IN" sz="2000"/>
            <a:t>, indicating higher turnover among early-career employees. </a:t>
          </a:r>
        </a:p>
        <a:p>
          <a:pPr algn="l"/>
          <a:r>
            <a:rPr lang="en-IN" sz="2000"/>
            <a:t>Employees with </a:t>
          </a:r>
          <a:r>
            <a:rPr lang="en-IN" sz="2000" b="1"/>
            <a:t>lower tenure</a:t>
          </a:r>
          <a:r>
            <a:rPr lang="en-IN" sz="2000"/>
            <a:t> showed the highest attrition rate of </a:t>
          </a:r>
          <a:r>
            <a:rPr lang="en-IN" sz="2000" b="1"/>
            <a:t>30%</a:t>
          </a:r>
          <a:r>
            <a:rPr lang="en-IN" sz="2000"/>
            <a:t>, suggesting that employee retention is most challenging during the initial years of employment. </a:t>
          </a:r>
        </a:p>
        <a:p>
          <a:pPr algn="l"/>
          <a:r>
            <a:rPr lang="en-IN" sz="2000"/>
            <a:t>The analysis revealed that employees in the </a:t>
          </a:r>
          <a:r>
            <a:rPr lang="en-IN" sz="2000" b="1"/>
            <a:t>Low Income Group experienced higher attrition (22%)</a:t>
          </a:r>
          <a:r>
            <a:rPr lang="en-IN" sz="2000"/>
            <a:t> compared to other income groups, highlighting compensation as an important factor in employee retention.</a:t>
          </a:r>
        </a:p>
        <a:p>
          <a:pPr algn="l"/>
          <a:endParaRPr lang="en-IN" sz="2000" b="0">
            <a:solidFill>
              <a:schemeClr val="lt1"/>
            </a:solidFill>
          </a:endParaRPr>
        </a:p>
        <a:p>
          <a:pPr algn="l"/>
          <a:r>
            <a:rPr lang="en-IN" sz="2000" b="1">
              <a:solidFill>
                <a:srgbClr val="C00000"/>
              </a:solidFill>
            </a:rPr>
            <a:t>"Attrition can be reduced by focusing on employee satisfaction, fair compensation, workload management, and early-career retention strategies."</a:t>
          </a:r>
        </a:p>
      </xdr:txBody>
    </xdr:sp>
    <xdr:clientData/>
  </xdr:twoCellAnchor>
  <xdr:twoCellAnchor>
    <xdr:from>
      <xdr:col>0</xdr:col>
      <xdr:colOff>0</xdr:colOff>
      <xdr:row>15</xdr:row>
      <xdr:rowOff>152400</xdr:rowOff>
    </xdr:from>
    <xdr:to>
      <xdr:col>1</xdr:col>
      <xdr:colOff>30480</xdr:colOff>
      <xdr:row>17</xdr:row>
      <xdr:rowOff>152400</xdr:rowOff>
    </xdr:to>
    <xdr:sp macro="" textlink="">
      <xdr:nvSpPr>
        <xdr:cNvPr id="5" name="Arrow: Left 4">
          <a:hlinkClick xmlns:r="http://schemas.openxmlformats.org/officeDocument/2006/relationships" r:id="rId1"/>
          <a:extLst>
            <a:ext uri="{FF2B5EF4-FFF2-40B4-BE49-F238E27FC236}">
              <a16:creationId xmlns:a16="http://schemas.microsoft.com/office/drawing/2014/main" id="{64E00415-B416-75E3-4D41-6EDBF3FAF013}"/>
            </a:ext>
          </a:extLst>
        </xdr:cNvPr>
        <xdr:cNvSpPr/>
      </xdr:nvSpPr>
      <xdr:spPr>
        <a:xfrm>
          <a:off x="0" y="2895600"/>
          <a:ext cx="640080" cy="365760"/>
        </a:xfrm>
        <a:prstGeom prst="leftArrow">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144780</xdr:colOff>
      <xdr:row>16</xdr:row>
      <xdr:rowOff>60960</xdr:rowOff>
    </xdr:from>
    <xdr:to>
      <xdr:col>23</xdr:col>
      <xdr:colOff>167640</xdr:colOff>
      <xdr:row>18</xdr:row>
      <xdr:rowOff>60960</xdr:rowOff>
    </xdr:to>
    <xdr:sp macro="" textlink="">
      <xdr:nvSpPr>
        <xdr:cNvPr id="7" name="Arrow: Right 6">
          <a:hlinkClick xmlns:r="http://schemas.openxmlformats.org/officeDocument/2006/relationships" r:id="rId2"/>
          <a:extLst>
            <a:ext uri="{FF2B5EF4-FFF2-40B4-BE49-F238E27FC236}">
              <a16:creationId xmlns:a16="http://schemas.microsoft.com/office/drawing/2014/main" id="{8D604BD6-66A8-0C48-44B1-B612A0A2542C}"/>
            </a:ext>
          </a:extLst>
        </xdr:cNvPr>
        <xdr:cNvSpPr/>
      </xdr:nvSpPr>
      <xdr:spPr>
        <a:xfrm>
          <a:off x="13555980" y="2987040"/>
          <a:ext cx="632460" cy="365760"/>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a800e62217272080/Scans/Documents/Hiring%20%5e0%20Attrition%20Analysis.xlsx" TargetMode="External"/><Relationship Id="rId1" Type="http://schemas.openxmlformats.org/officeDocument/2006/relationships/externalLinkPath" Target="Hiring%20%5e0%20Attrition%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iring-Attrition"/>
      <sheetName val="Hiring &amp; Attrition "/>
      <sheetName val="Hiring "/>
      <sheetName val="Attrition"/>
      <sheetName val="DASH1"/>
      <sheetName val="DASH2"/>
    </sheetNames>
    <sheetDataSet>
      <sheetData sheetId="0"/>
      <sheetData sheetId="1">
        <row r="1">
          <cell r="A1" t="str">
            <v>Age</v>
          </cell>
          <cell r="B1" t="str">
            <v>Attrition</v>
          </cell>
          <cell r="C1" t="str">
            <v>Department</v>
          </cell>
          <cell r="D1" t="str">
            <v>DistanceFromHome</v>
          </cell>
          <cell r="E1" t="str">
            <v>Education</v>
          </cell>
          <cell r="F1" t="str">
            <v>EducationField</v>
          </cell>
          <cell r="G1" t="str">
            <v>EnvironmentSatisfaction</v>
          </cell>
          <cell r="H1" t="str">
            <v>Gender</v>
          </cell>
          <cell r="I1" t="str">
            <v>JobInvolvement</v>
          </cell>
          <cell r="J1" t="str">
            <v>JobLevel</v>
          </cell>
          <cell r="K1" t="str">
            <v>JobRole</v>
          </cell>
          <cell r="L1" t="str">
            <v>JobSatisfaction</v>
          </cell>
          <cell r="M1" t="str">
            <v>MaritalStatus</v>
          </cell>
          <cell r="N1" t="str">
            <v>MonthlyIncome</v>
          </cell>
          <cell r="O1" t="str">
            <v>NumCompaniesWorked</v>
          </cell>
          <cell r="P1" t="str">
            <v>OverTime</v>
          </cell>
          <cell r="Q1" t="str">
            <v>RelationshipSatisfaction</v>
          </cell>
          <cell r="R1" t="str">
            <v>TotalWorkingYears</v>
          </cell>
          <cell r="S1" t="str">
            <v>WorkLifeBalance</v>
          </cell>
          <cell r="T1" t="str">
            <v>YearsAtCompany</v>
          </cell>
          <cell r="U1" t="str">
            <v>YearsInCurrentRole</v>
          </cell>
          <cell r="V1" t="str">
            <v>YearsSinceLastPromotion</v>
          </cell>
          <cell r="W1" t="str">
            <v>YearsWithCurrManager</v>
          </cell>
          <cell r="X1" t="str">
            <v>PercentSalaryHike</v>
          </cell>
          <cell r="Y1" t="str">
            <v>Attrition Flag</v>
          </cell>
          <cell r="Z1" t="str">
            <v>Age Group</v>
          </cell>
          <cell r="AA1" t="str">
            <v>Income Group</v>
          </cell>
          <cell r="AB1" t="str">
            <v>Tenure Group</v>
          </cell>
          <cell r="AC1" t="str">
            <v>Salary Hike Group</v>
          </cell>
          <cell r="AD1" t="str">
            <v>EmployeeNumber</v>
          </cell>
        </row>
        <row r="2">
          <cell r="A2">
            <v>41</v>
          </cell>
          <cell r="B2" t="str">
            <v>Yes</v>
          </cell>
          <cell r="C2" t="str">
            <v>Sales</v>
          </cell>
          <cell r="D2">
            <v>1</v>
          </cell>
          <cell r="E2">
            <v>2</v>
          </cell>
          <cell r="F2" t="str">
            <v>Life Sciences</v>
          </cell>
          <cell r="G2">
            <v>2</v>
          </cell>
          <cell r="H2" t="str">
            <v>Female</v>
          </cell>
          <cell r="I2">
            <v>3</v>
          </cell>
          <cell r="J2">
            <v>2</v>
          </cell>
          <cell r="K2" t="str">
            <v>Sales Executive</v>
          </cell>
          <cell r="L2">
            <v>4</v>
          </cell>
          <cell r="M2" t="str">
            <v>Single</v>
          </cell>
          <cell r="N2">
            <v>5993</v>
          </cell>
          <cell r="O2">
            <v>8</v>
          </cell>
          <cell r="P2" t="str">
            <v>Yes</v>
          </cell>
          <cell r="Q2">
            <v>1</v>
          </cell>
          <cell r="R2">
            <v>8</v>
          </cell>
          <cell r="S2">
            <v>1</v>
          </cell>
          <cell r="T2">
            <v>6</v>
          </cell>
          <cell r="U2">
            <v>4</v>
          </cell>
          <cell r="V2">
            <v>0</v>
          </cell>
          <cell r="W2">
            <v>5</v>
          </cell>
          <cell r="X2">
            <v>11</v>
          </cell>
          <cell r="Y2">
            <v>1</v>
          </cell>
          <cell r="Z2" t="str">
            <v>Mid</v>
          </cell>
          <cell r="AA2" t="str">
            <v>Medium</v>
          </cell>
          <cell r="AB2" t="str">
            <v>Mid</v>
          </cell>
          <cell r="AC2" t="str">
            <v>Low</v>
          </cell>
          <cell r="AD2">
            <v>1</v>
          </cell>
        </row>
        <row r="3">
          <cell r="A3">
            <v>49</v>
          </cell>
          <cell r="B3" t="str">
            <v>No</v>
          </cell>
          <cell r="C3" t="str">
            <v>Research &amp; Development</v>
          </cell>
          <cell r="D3">
            <v>8</v>
          </cell>
          <cell r="E3">
            <v>1</v>
          </cell>
          <cell r="F3" t="str">
            <v>Life Sciences</v>
          </cell>
          <cell r="G3">
            <v>3</v>
          </cell>
          <cell r="H3" t="str">
            <v>Male</v>
          </cell>
          <cell r="I3">
            <v>2</v>
          </cell>
          <cell r="J3">
            <v>2</v>
          </cell>
          <cell r="K3" t="str">
            <v>Research Scientist</v>
          </cell>
          <cell r="L3">
            <v>2</v>
          </cell>
          <cell r="M3" t="str">
            <v>Married</v>
          </cell>
          <cell r="N3">
            <v>5130</v>
          </cell>
          <cell r="O3">
            <v>1</v>
          </cell>
          <cell r="P3" t="str">
            <v>No</v>
          </cell>
          <cell r="Q3">
            <v>4</v>
          </cell>
          <cell r="R3">
            <v>10</v>
          </cell>
          <cell r="S3">
            <v>3</v>
          </cell>
          <cell r="T3">
            <v>10</v>
          </cell>
          <cell r="U3">
            <v>7</v>
          </cell>
          <cell r="V3">
            <v>1</v>
          </cell>
          <cell r="W3">
            <v>7</v>
          </cell>
          <cell r="X3">
            <v>23</v>
          </cell>
          <cell r="Y3">
            <v>0</v>
          </cell>
          <cell r="Z3" t="str">
            <v>Senior</v>
          </cell>
          <cell r="AA3" t="str">
            <v>Medium</v>
          </cell>
          <cell r="AB3" t="str">
            <v>Long</v>
          </cell>
          <cell r="AC3" t="str">
            <v>High</v>
          </cell>
          <cell r="AD3">
            <v>2</v>
          </cell>
        </row>
        <row r="4">
          <cell r="A4">
            <v>37</v>
          </cell>
          <cell r="B4" t="str">
            <v>Yes</v>
          </cell>
          <cell r="C4" t="str">
            <v>Research &amp; Development</v>
          </cell>
          <cell r="D4">
            <v>2</v>
          </cell>
          <cell r="E4">
            <v>2</v>
          </cell>
          <cell r="F4" t="str">
            <v>Other</v>
          </cell>
          <cell r="G4">
            <v>4</v>
          </cell>
          <cell r="H4" t="str">
            <v>Male</v>
          </cell>
          <cell r="I4">
            <v>2</v>
          </cell>
          <cell r="J4">
            <v>1</v>
          </cell>
          <cell r="K4" t="str">
            <v>Laboratory Technician</v>
          </cell>
          <cell r="L4">
            <v>3</v>
          </cell>
          <cell r="M4" t="str">
            <v>Single</v>
          </cell>
          <cell r="N4">
            <v>2090</v>
          </cell>
          <cell r="O4">
            <v>6</v>
          </cell>
          <cell r="P4" t="str">
            <v>Yes</v>
          </cell>
          <cell r="Q4">
            <v>2</v>
          </cell>
          <cell r="R4">
            <v>7</v>
          </cell>
          <cell r="S4">
            <v>3</v>
          </cell>
          <cell r="T4">
            <v>0</v>
          </cell>
          <cell r="U4">
            <v>0</v>
          </cell>
          <cell r="V4">
            <v>0</v>
          </cell>
          <cell r="W4">
            <v>0</v>
          </cell>
          <cell r="X4">
            <v>15</v>
          </cell>
          <cell r="Y4">
            <v>1</v>
          </cell>
          <cell r="Z4" t="str">
            <v>Mid</v>
          </cell>
          <cell r="AA4" t="str">
            <v>Low</v>
          </cell>
          <cell r="AB4" t="str">
            <v>Early</v>
          </cell>
          <cell r="AC4" t="str">
            <v>Medium</v>
          </cell>
          <cell r="AD4">
            <v>4</v>
          </cell>
        </row>
        <row r="5">
          <cell r="A5">
            <v>33</v>
          </cell>
          <cell r="B5" t="str">
            <v>No</v>
          </cell>
          <cell r="C5" t="str">
            <v>Research &amp; Development</v>
          </cell>
          <cell r="D5">
            <v>3</v>
          </cell>
          <cell r="E5">
            <v>4</v>
          </cell>
          <cell r="F5" t="str">
            <v>Life Sciences</v>
          </cell>
          <cell r="G5">
            <v>4</v>
          </cell>
          <cell r="H5" t="str">
            <v>Female</v>
          </cell>
          <cell r="I5">
            <v>3</v>
          </cell>
          <cell r="J5">
            <v>1</v>
          </cell>
          <cell r="K5" t="str">
            <v>Research Scientist</v>
          </cell>
          <cell r="L5">
            <v>3</v>
          </cell>
          <cell r="M5" t="str">
            <v>Married</v>
          </cell>
          <cell r="N5">
            <v>2909</v>
          </cell>
          <cell r="O5">
            <v>1</v>
          </cell>
          <cell r="P5" t="str">
            <v>Yes</v>
          </cell>
          <cell r="Q5">
            <v>3</v>
          </cell>
          <cell r="R5">
            <v>8</v>
          </cell>
          <cell r="S5">
            <v>3</v>
          </cell>
          <cell r="T5">
            <v>8</v>
          </cell>
          <cell r="U5">
            <v>7</v>
          </cell>
          <cell r="V5">
            <v>3</v>
          </cell>
          <cell r="W5">
            <v>0</v>
          </cell>
          <cell r="X5">
            <v>11</v>
          </cell>
          <cell r="Y5">
            <v>0</v>
          </cell>
          <cell r="Z5" t="str">
            <v>Mid</v>
          </cell>
          <cell r="AA5" t="str">
            <v>Low</v>
          </cell>
          <cell r="AB5" t="str">
            <v>Long</v>
          </cell>
          <cell r="AC5" t="str">
            <v>Low</v>
          </cell>
          <cell r="AD5">
            <v>5</v>
          </cell>
        </row>
        <row r="6">
          <cell r="A6">
            <v>27</v>
          </cell>
          <cell r="B6" t="str">
            <v>No</v>
          </cell>
          <cell r="C6" t="str">
            <v>Research &amp; Development</v>
          </cell>
          <cell r="D6">
            <v>2</v>
          </cell>
          <cell r="E6">
            <v>1</v>
          </cell>
          <cell r="F6" t="str">
            <v>Medical</v>
          </cell>
          <cell r="G6">
            <v>1</v>
          </cell>
          <cell r="H6" t="str">
            <v>Male</v>
          </cell>
          <cell r="I6">
            <v>3</v>
          </cell>
          <cell r="J6">
            <v>1</v>
          </cell>
          <cell r="K6" t="str">
            <v>Laboratory Technician</v>
          </cell>
          <cell r="L6">
            <v>2</v>
          </cell>
          <cell r="M6" t="str">
            <v>Married</v>
          </cell>
          <cell r="N6">
            <v>3468</v>
          </cell>
          <cell r="O6">
            <v>9</v>
          </cell>
          <cell r="P6" t="str">
            <v>No</v>
          </cell>
          <cell r="Q6">
            <v>4</v>
          </cell>
          <cell r="R6">
            <v>6</v>
          </cell>
          <cell r="S6">
            <v>3</v>
          </cell>
          <cell r="T6">
            <v>2</v>
          </cell>
          <cell r="U6">
            <v>2</v>
          </cell>
          <cell r="V6">
            <v>2</v>
          </cell>
          <cell r="W6">
            <v>2</v>
          </cell>
          <cell r="X6">
            <v>12</v>
          </cell>
          <cell r="Y6">
            <v>0</v>
          </cell>
          <cell r="Z6" t="str">
            <v>Young</v>
          </cell>
          <cell r="AA6" t="str">
            <v>Low</v>
          </cell>
          <cell r="AB6" t="str">
            <v>Early</v>
          </cell>
          <cell r="AC6" t="str">
            <v>Low</v>
          </cell>
          <cell r="AD6">
            <v>7</v>
          </cell>
        </row>
        <row r="7">
          <cell r="A7">
            <v>32</v>
          </cell>
          <cell r="B7" t="str">
            <v>No</v>
          </cell>
          <cell r="C7" t="str">
            <v>Research &amp; Development</v>
          </cell>
          <cell r="D7">
            <v>2</v>
          </cell>
          <cell r="E7">
            <v>2</v>
          </cell>
          <cell r="F7" t="str">
            <v>Life Sciences</v>
          </cell>
          <cell r="G7">
            <v>4</v>
          </cell>
          <cell r="H7" t="str">
            <v>Male</v>
          </cell>
          <cell r="I7">
            <v>3</v>
          </cell>
          <cell r="J7">
            <v>1</v>
          </cell>
          <cell r="K7" t="str">
            <v>Laboratory Technician</v>
          </cell>
          <cell r="L7">
            <v>4</v>
          </cell>
          <cell r="M7" t="str">
            <v>Single</v>
          </cell>
          <cell r="N7">
            <v>3068</v>
          </cell>
          <cell r="O7">
            <v>0</v>
          </cell>
          <cell r="P7" t="str">
            <v>No</v>
          </cell>
          <cell r="Q7">
            <v>3</v>
          </cell>
          <cell r="R7">
            <v>8</v>
          </cell>
          <cell r="S7">
            <v>2</v>
          </cell>
          <cell r="T7">
            <v>7</v>
          </cell>
          <cell r="U7">
            <v>7</v>
          </cell>
          <cell r="V7">
            <v>3</v>
          </cell>
          <cell r="W7">
            <v>6</v>
          </cell>
          <cell r="X7">
            <v>13</v>
          </cell>
          <cell r="Y7">
            <v>0</v>
          </cell>
          <cell r="Z7" t="str">
            <v>Mid</v>
          </cell>
          <cell r="AA7" t="str">
            <v>Low</v>
          </cell>
          <cell r="AB7" t="str">
            <v>Long</v>
          </cell>
          <cell r="AC7" t="str">
            <v>Medium</v>
          </cell>
          <cell r="AD7">
            <v>8</v>
          </cell>
        </row>
        <row r="8">
          <cell r="A8">
            <v>59</v>
          </cell>
          <cell r="B8" t="str">
            <v>No</v>
          </cell>
          <cell r="C8" t="str">
            <v>Research &amp; Development</v>
          </cell>
          <cell r="D8">
            <v>3</v>
          </cell>
          <cell r="E8">
            <v>3</v>
          </cell>
          <cell r="F8" t="str">
            <v>Medical</v>
          </cell>
          <cell r="G8">
            <v>3</v>
          </cell>
          <cell r="H8" t="str">
            <v>Female</v>
          </cell>
          <cell r="I8">
            <v>4</v>
          </cell>
          <cell r="J8">
            <v>1</v>
          </cell>
          <cell r="K8" t="str">
            <v>Laboratory Technician</v>
          </cell>
          <cell r="L8">
            <v>1</v>
          </cell>
          <cell r="M8" t="str">
            <v>Married</v>
          </cell>
          <cell r="N8">
            <v>2670</v>
          </cell>
          <cell r="O8">
            <v>4</v>
          </cell>
          <cell r="P8" t="str">
            <v>Yes</v>
          </cell>
          <cell r="Q8">
            <v>1</v>
          </cell>
          <cell r="R8">
            <v>12</v>
          </cell>
          <cell r="S8">
            <v>2</v>
          </cell>
          <cell r="T8">
            <v>1</v>
          </cell>
          <cell r="U8">
            <v>0</v>
          </cell>
          <cell r="V8">
            <v>0</v>
          </cell>
          <cell r="W8">
            <v>0</v>
          </cell>
          <cell r="X8">
            <v>20</v>
          </cell>
          <cell r="Y8">
            <v>0</v>
          </cell>
          <cell r="Z8" t="str">
            <v>Senior</v>
          </cell>
          <cell r="AA8" t="str">
            <v>Low</v>
          </cell>
          <cell r="AB8" t="str">
            <v>Early</v>
          </cell>
          <cell r="AC8" t="str">
            <v>High</v>
          </cell>
          <cell r="AD8">
            <v>10</v>
          </cell>
        </row>
        <row r="9">
          <cell r="A9">
            <v>30</v>
          </cell>
          <cell r="B9" t="str">
            <v>No</v>
          </cell>
          <cell r="C9" t="str">
            <v>Research &amp; Development</v>
          </cell>
          <cell r="D9">
            <v>24</v>
          </cell>
          <cell r="E9">
            <v>1</v>
          </cell>
          <cell r="F9" t="str">
            <v>Life Sciences</v>
          </cell>
          <cell r="G9">
            <v>4</v>
          </cell>
          <cell r="H9" t="str">
            <v>Male</v>
          </cell>
          <cell r="I9">
            <v>3</v>
          </cell>
          <cell r="J9">
            <v>1</v>
          </cell>
          <cell r="K9" t="str">
            <v>Laboratory Technician</v>
          </cell>
          <cell r="L9">
            <v>3</v>
          </cell>
          <cell r="M9" t="str">
            <v>Divorced</v>
          </cell>
          <cell r="N9">
            <v>2693</v>
          </cell>
          <cell r="O9">
            <v>1</v>
          </cell>
          <cell r="P9" t="str">
            <v>No</v>
          </cell>
          <cell r="Q9">
            <v>2</v>
          </cell>
          <cell r="R9">
            <v>1</v>
          </cell>
          <cell r="S9">
            <v>3</v>
          </cell>
          <cell r="T9">
            <v>1</v>
          </cell>
          <cell r="U9">
            <v>0</v>
          </cell>
          <cell r="V9">
            <v>0</v>
          </cell>
          <cell r="W9">
            <v>0</v>
          </cell>
          <cell r="X9">
            <v>22</v>
          </cell>
          <cell r="Y9">
            <v>0</v>
          </cell>
          <cell r="Z9" t="str">
            <v>Mid</v>
          </cell>
          <cell r="AA9" t="str">
            <v>Low</v>
          </cell>
          <cell r="AB9" t="str">
            <v>Early</v>
          </cell>
          <cell r="AC9" t="str">
            <v>High</v>
          </cell>
          <cell r="AD9">
            <v>11</v>
          </cell>
        </row>
        <row r="10">
          <cell r="A10">
            <v>38</v>
          </cell>
          <cell r="B10" t="str">
            <v>No</v>
          </cell>
          <cell r="C10" t="str">
            <v>Research &amp; Development</v>
          </cell>
          <cell r="D10">
            <v>23</v>
          </cell>
          <cell r="E10">
            <v>3</v>
          </cell>
          <cell r="F10" t="str">
            <v>Life Sciences</v>
          </cell>
          <cell r="G10">
            <v>4</v>
          </cell>
          <cell r="H10" t="str">
            <v>Male</v>
          </cell>
          <cell r="I10">
            <v>2</v>
          </cell>
          <cell r="J10">
            <v>3</v>
          </cell>
          <cell r="K10" t="str">
            <v>Manufacturing Director</v>
          </cell>
          <cell r="L10">
            <v>3</v>
          </cell>
          <cell r="M10" t="str">
            <v>Single</v>
          </cell>
          <cell r="N10">
            <v>9526</v>
          </cell>
          <cell r="O10">
            <v>0</v>
          </cell>
          <cell r="P10" t="str">
            <v>No</v>
          </cell>
          <cell r="Q10">
            <v>2</v>
          </cell>
          <cell r="R10">
            <v>10</v>
          </cell>
          <cell r="S10">
            <v>3</v>
          </cell>
          <cell r="T10">
            <v>9</v>
          </cell>
          <cell r="U10">
            <v>7</v>
          </cell>
          <cell r="V10">
            <v>1</v>
          </cell>
          <cell r="W10">
            <v>8</v>
          </cell>
          <cell r="X10">
            <v>21</v>
          </cell>
          <cell r="Y10">
            <v>0</v>
          </cell>
          <cell r="Z10" t="str">
            <v>Mid</v>
          </cell>
          <cell r="AA10" t="str">
            <v>Medium</v>
          </cell>
          <cell r="AB10" t="str">
            <v>Long</v>
          </cell>
          <cell r="AC10" t="str">
            <v>High</v>
          </cell>
          <cell r="AD10">
            <v>12</v>
          </cell>
        </row>
        <row r="11">
          <cell r="A11">
            <v>36</v>
          </cell>
          <cell r="B11" t="str">
            <v>No</v>
          </cell>
          <cell r="C11" t="str">
            <v>Research &amp; Development</v>
          </cell>
          <cell r="D11">
            <v>27</v>
          </cell>
          <cell r="E11">
            <v>3</v>
          </cell>
          <cell r="F11" t="str">
            <v>Medical</v>
          </cell>
          <cell r="G11">
            <v>3</v>
          </cell>
          <cell r="H11" t="str">
            <v>Male</v>
          </cell>
          <cell r="I11">
            <v>3</v>
          </cell>
          <cell r="J11">
            <v>2</v>
          </cell>
          <cell r="K11" t="str">
            <v>Healthcare Representative</v>
          </cell>
          <cell r="L11">
            <v>3</v>
          </cell>
          <cell r="M11" t="str">
            <v>Married</v>
          </cell>
          <cell r="N11">
            <v>5237</v>
          </cell>
          <cell r="O11">
            <v>6</v>
          </cell>
          <cell r="P11" t="str">
            <v>No</v>
          </cell>
          <cell r="Q11">
            <v>2</v>
          </cell>
          <cell r="R11">
            <v>17</v>
          </cell>
          <cell r="S11">
            <v>2</v>
          </cell>
          <cell r="T11">
            <v>7</v>
          </cell>
          <cell r="U11">
            <v>7</v>
          </cell>
          <cell r="V11">
            <v>7</v>
          </cell>
          <cell r="W11">
            <v>7</v>
          </cell>
          <cell r="X11">
            <v>13</v>
          </cell>
          <cell r="Y11">
            <v>0</v>
          </cell>
          <cell r="Z11" t="str">
            <v>Mid</v>
          </cell>
          <cell r="AA11" t="str">
            <v>Medium</v>
          </cell>
          <cell r="AB11" t="str">
            <v>Long</v>
          </cell>
          <cell r="AC11" t="str">
            <v>Medium</v>
          </cell>
          <cell r="AD11">
            <v>13</v>
          </cell>
        </row>
        <row r="12">
          <cell r="A12">
            <v>35</v>
          </cell>
          <cell r="B12" t="str">
            <v>No</v>
          </cell>
          <cell r="C12" t="str">
            <v>Research &amp; Development</v>
          </cell>
          <cell r="D12">
            <v>16</v>
          </cell>
          <cell r="E12">
            <v>3</v>
          </cell>
          <cell r="F12" t="str">
            <v>Medical</v>
          </cell>
          <cell r="G12">
            <v>1</v>
          </cell>
          <cell r="H12" t="str">
            <v>Male</v>
          </cell>
          <cell r="I12">
            <v>4</v>
          </cell>
          <cell r="J12">
            <v>1</v>
          </cell>
          <cell r="K12" t="str">
            <v>Laboratory Technician</v>
          </cell>
          <cell r="L12">
            <v>2</v>
          </cell>
          <cell r="M12" t="str">
            <v>Married</v>
          </cell>
          <cell r="N12">
            <v>2426</v>
          </cell>
          <cell r="O12">
            <v>0</v>
          </cell>
          <cell r="P12" t="str">
            <v>No</v>
          </cell>
          <cell r="Q12">
            <v>3</v>
          </cell>
          <cell r="R12">
            <v>6</v>
          </cell>
          <cell r="S12">
            <v>3</v>
          </cell>
          <cell r="T12">
            <v>5</v>
          </cell>
          <cell r="U12">
            <v>4</v>
          </cell>
          <cell r="V12">
            <v>0</v>
          </cell>
          <cell r="W12">
            <v>3</v>
          </cell>
          <cell r="X12">
            <v>13</v>
          </cell>
          <cell r="Y12">
            <v>0</v>
          </cell>
          <cell r="Z12" t="str">
            <v>Mid</v>
          </cell>
          <cell r="AA12" t="str">
            <v>Low</v>
          </cell>
          <cell r="AB12" t="str">
            <v>Mid</v>
          </cell>
          <cell r="AC12" t="str">
            <v>Medium</v>
          </cell>
          <cell r="AD12">
            <v>14</v>
          </cell>
        </row>
        <row r="13">
          <cell r="A13">
            <v>29</v>
          </cell>
          <cell r="B13" t="str">
            <v>No</v>
          </cell>
          <cell r="C13" t="str">
            <v>Research &amp; Development</v>
          </cell>
          <cell r="D13">
            <v>15</v>
          </cell>
          <cell r="E13">
            <v>2</v>
          </cell>
          <cell r="F13" t="str">
            <v>Life Sciences</v>
          </cell>
          <cell r="G13">
            <v>4</v>
          </cell>
          <cell r="H13" t="str">
            <v>Female</v>
          </cell>
          <cell r="I13">
            <v>2</v>
          </cell>
          <cell r="J13">
            <v>2</v>
          </cell>
          <cell r="K13" t="str">
            <v>Laboratory Technician</v>
          </cell>
          <cell r="L13">
            <v>3</v>
          </cell>
          <cell r="M13" t="str">
            <v>Single</v>
          </cell>
          <cell r="N13">
            <v>4193</v>
          </cell>
          <cell r="O13">
            <v>0</v>
          </cell>
          <cell r="P13" t="str">
            <v>Yes</v>
          </cell>
          <cell r="Q13">
            <v>4</v>
          </cell>
          <cell r="R13">
            <v>10</v>
          </cell>
          <cell r="S13">
            <v>3</v>
          </cell>
          <cell r="T13">
            <v>9</v>
          </cell>
          <cell r="U13">
            <v>5</v>
          </cell>
          <cell r="V13">
            <v>0</v>
          </cell>
          <cell r="W13">
            <v>8</v>
          </cell>
          <cell r="X13">
            <v>12</v>
          </cell>
          <cell r="Y13">
            <v>0</v>
          </cell>
          <cell r="Z13" t="str">
            <v>Young</v>
          </cell>
          <cell r="AA13" t="str">
            <v>Low</v>
          </cell>
          <cell r="AB13" t="str">
            <v>Long</v>
          </cell>
          <cell r="AC13" t="str">
            <v>Low</v>
          </cell>
          <cell r="AD13">
            <v>15</v>
          </cell>
        </row>
        <row r="14">
          <cell r="A14">
            <v>31</v>
          </cell>
          <cell r="B14" t="str">
            <v>No</v>
          </cell>
          <cell r="C14" t="str">
            <v>Research &amp; Development</v>
          </cell>
          <cell r="D14">
            <v>26</v>
          </cell>
          <cell r="E14">
            <v>1</v>
          </cell>
          <cell r="F14" t="str">
            <v>Life Sciences</v>
          </cell>
          <cell r="G14">
            <v>1</v>
          </cell>
          <cell r="H14" t="str">
            <v>Male</v>
          </cell>
          <cell r="I14">
            <v>3</v>
          </cell>
          <cell r="J14">
            <v>1</v>
          </cell>
          <cell r="K14" t="str">
            <v>Research Scientist</v>
          </cell>
          <cell r="L14">
            <v>3</v>
          </cell>
          <cell r="M14" t="str">
            <v>Divorced</v>
          </cell>
          <cell r="N14">
            <v>2911</v>
          </cell>
          <cell r="O14">
            <v>1</v>
          </cell>
          <cell r="P14" t="str">
            <v>No</v>
          </cell>
          <cell r="Q14">
            <v>4</v>
          </cell>
          <cell r="R14">
            <v>5</v>
          </cell>
          <cell r="S14">
            <v>2</v>
          </cell>
          <cell r="T14">
            <v>5</v>
          </cell>
          <cell r="U14">
            <v>2</v>
          </cell>
          <cell r="V14">
            <v>4</v>
          </cell>
          <cell r="W14">
            <v>3</v>
          </cell>
          <cell r="X14">
            <v>17</v>
          </cell>
          <cell r="Y14">
            <v>0</v>
          </cell>
          <cell r="Z14" t="str">
            <v>Mid</v>
          </cell>
          <cell r="AA14" t="str">
            <v>Low</v>
          </cell>
          <cell r="AB14" t="str">
            <v>Mid</v>
          </cell>
          <cell r="AC14" t="str">
            <v>Medium</v>
          </cell>
          <cell r="AD14">
            <v>16</v>
          </cell>
        </row>
        <row r="15">
          <cell r="A15">
            <v>34</v>
          </cell>
          <cell r="B15" t="str">
            <v>No</v>
          </cell>
          <cell r="C15" t="str">
            <v>Research &amp; Development</v>
          </cell>
          <cell r="D15">
            <v>19</v>
          </cell>
          <cell r="E15">
            <v>2</v>
          </cell>
          <cell r="F15" t="str">
            <v>Medical</v>
          </cell>
          <cell r="G15">
            <v>2</v>
          </cell>
          <cell r="H15" t="str">
            <v>Male</v>
          </cell>
          <cell r="I15">
            <v>3</v>
          </cell>
          <cell r="J15">
            <v>1</v>
          </cell>
          <cell r="K15" t="str">
            <v>Laboratory Technician</v>
          </cell>
          <cell r="L15">
            <v>4</v>
          </cell>
          <cell r="M15" t="str">
            <v>Divorced</v>
          </cell>
          <cell r="N15">
            <v>2661</v>
          </cell>
          <cell r="O15">
            <v>0</v>
          </cell>
          <cell r="P15" t="str">
            <v>No</v>
          </cell>
          <cell r="Q15">
            <v>3</v>
          </cell>
          <cell r="R15">
            <v>3</v>
          </cell>
          <cell r="S15">
            <v>3</v>
          </cell>
          <cell r="T15">
            <v>2</v>
          </cell>
          <cell r="U15">
            <v>2</v>
          </cell>
          <cell r="V15">
            <v>1</v>
          </cell>
          <cell r="W15">
            <v>2</v>
          </cell>
          <cell r="X15">
            <v>11</v>
          </cell>
          <cell r="Y15">
            <v>0</v>
          </cell>
          <cell r="Z15" t="str">
            <v>Mid</v>
          </cell>
          <cell r="AA15" t="str">
            <v>Low</v>
          </cell>
          <cell r="AB15" t="str">
            <v>Early</v>
          </cell>
          <cell r="AC15" t="str">
            <v>Low</v>
          </cell>
          <cell r="AD15">
            <v>18</v>
          </cell>
        </row>
        <row r="16">
          <cell r="A16">
            <v>28</v>
          </cell>
          <cell r="B16" t="str">
            <v>Yes</v>
          </cell>
          <cell r="C16" t="str">
            <v>Research &amp; Development</v>
          </cell>
          <cell r="D16">
            <v>24</v>
          </cell>
          <cell r="E16">
            <v>3</v>
          </cell>
          <cell r="F16" t="str">
            <v>Life Sciences</v>
          </cell>
          <cell r="G16">
            <v>3</v>
          </cell>
          <cell r="H16" t="str">
            <v>Male</v>
          </cell>
          <cell r="I16">
            <v>2</v>
          </cell>
          <cell r="J16">
            <v>1</v>
          </cell>
          <cell r="K16" t="str">
            <v>Laboratory Technician</v>
          </cell>
          <cell r="L16">
            <v>3</v>
          </cell>
          <cell r="M16" t="str">
            <v>Single</v>
          </cell>
          <cell r="N16">
            <v>2028</v>
          </cell>
          <cell r="O16">
            <v>5</v>
          </cell>
          <cell r="P16" t="str">
            <v>Yes</v>
          </cell>
          <cell r="Q16">
            <v>2</v>
          </cell>
          <cell r="R16">
            <v>6</v>
          </cell>
          <cell r="S16">
            <v>3</v>
          </cell>
          <cell r="T16">
            <v>4</v>
          </cell>
          <cell r="U16">
            <v>2</v>
          </cell>
          <cell r="V16">
            <v>0</v>
          </cell>
          <cell r="W16">
            <v>3</v>
          </cell>
          <cell r="X16">
            <v>14</v>
          </cell>
          <cell r="Y16">
            <v>1</v>
          </cell>
          <cell r="Z16" t="str">
            <v>Young</v>
          </cell>
          <cell r="AA16" t="str">
            <v>Low</v>
          </cell>
          <cell r="AB16" t="str">
            <v>Mid</v>
          </cell>
          <cell r="AC16" t="str">
            <v>Medium</v>
          </cell>
          <cell r="AD16">
            <v>19</v>
          </cell>
        </row>
        <row r="17">
          <cell r="A17">
            <v>29</v>
          </cell>
          <cell r="B17" t="str">
            <v>No</v>
          </cell>
          <cell r="C17" t="str">
            <v>Research &amp; Development</v>
          </cell>
          <cell r="D17">
            <v>21</v>
          </cell>
          <cell r="E17">
            <v>4</v>
          </cell>
          <cell r="F17" t="str">
            <v>Life Sciences</v>
          </cell>
          <cell r="G17">
            <v>2</v>
          </cell>
          <cell r="H17" t="str">
            <v>Female</v>
          </cell>
          <cell r="I17">
            <v>4</v>
          </cell>
          <cell r="J17">
            <v>3</v>
          </cell>
          <cell r="K17" t="str">
            <v>Manufacturing Director</v>
          </cell>
          <cell r="L17">
            <v>1</v>
          </cell>
          <cell r="M17" t="str">
            <v>Divorced</v>
          </cell>
          <cell r="N17">
            <v>9980</v>
          </cell>
          <cell r="O17">
            <v>1</v>
          </cell>
          <cell r="P17" t="str">
            <v>No</v>
          </cell>
          <cell r="Q17">
            <v>3</v>
          </cell>
          <cell r="R17">
            <v>10</v>
          </cell>
          <cell r="S17">
            <v>3</v>
          </cell>
          <cell r="T17">
            <v>10</v>
          </cell>
          <cell r="U17">
            <v>9</v>
          </cell>
          <cell r="V17">
            <v>8</v>
          </cell>
          <cell r="W17">
            <v>8</v>
          </cell>
          <cell r="X17">
            <v>11</v>
          </cell>
          <cell r="Y17">
            <v>0</v>
          </cell>
          <cell r="Z17" t="str">
            <v>Young</v>
          </cell>
          <cell r="AA17" t="str">
            <v>Medium</v>
          </cell>
          <cell r="AB17" t="str">
            <v>Long</v>
          </cell>
          <cell r="AC17" t="str">
            <v>Low</v>
          </cell>
          <cell r="AD17">
            <v>20</v>
          </cell>
        </row>
        <row r="18">
          <cell r="A18">
            <v>32</v>
          </cell>
          <cell r="B18" t="str">
            <v>No</v>
          </cell>
          <cell r="C18" t="str">
            <v>Research &amp; Development</v>
          </cell>
          <cell r="D18">
            <v>5</v>
          </cell>
          <cell r="E18">
            <v>2</v>
          </cell>
          <cell r="F18" t="str">
            <v>Life Sciences</v>
          </cell>
          <cell r="G18">
            <v>1</v>
          </cell>
          <cell r="H18" t="str">
            <v>Male</v>
          </cell>
          <cell r="I18">
            <v>4</v>
          </cell>
          <cell r="J18">
            <v>1</v>
          </cell>
          <cell r="K18" t="str">
            <v>Research Scientist</v>
          </cell>
          <cell r="L18">
            <v>2</v>
          </cell>
          <cell r="M18" t="str">
            <v>Divorced</v>
          </cell>
          <cell r="N18">
            <v>3298</v>
          </cell>
          <cell r="O18">
            <v>0</v>
          </cell>
          <cell r="P18" t="str">
            <v>Yes</v>
          </cell>
          <cell r="Q18">
            <v>4</v>
          </cell>
          <cell r="R18">
            <v>7</v>
          </cell>
          <cell r="S18">
            <v>2</v>
          </cell>
          <cell r="T18">
            <v>6</v>
          </cell>
          <cell r="U18">
            <v>2</v>
          </cell>
          <cell r="V18">
            <v>0</v>
          </cell>
          <cell r="W18">
            <v>5</v>
          </cell>
          <cell r="X18">
            <v>12</v>
          </cell>
          <cell r="Y18">
            <v>0</v>
          </cell>
          <cell r="Z18" t="str">
            <v>Mid</v>
          </cell>
          <cell r="AA18" t="str">
            <v>Low</v>
          </cell>
          <cell r="AB18" t="str">
            <v>Mid</v>
          </cell>
          <cell r="AC18" t="str">
            <v>Low</v>
          </cell>
          <cell r="AD18">
            <v>21</v>
          </cell>
        </row>
        <row r="19">
          <cell r="A19">
            <v>22</v>
          </cell>
          <cell r="B19" t="str">
            <v>No</v>
          </cell>
          <cell r="C19" t="str">
            <v>Research &amp; Development</v>
          </cell>
          <cell r="D19">
            <v>16</v>
          </cell>
          <cell r="E19">
            <v>2</v>
          </cell>
          <cell r="F19" t="str">
            <v>Medical</v>
          </cell>
          <cell r="G19">
            <v>4</v>
          </cell>
          <cell r="H19" t="str">
            <v>Male</v>
          </cell>
          <cell r="I19">
            <v>4</v>
          </cell>
          <cell r="J19">
            <v>1</v>
          </cell>
          <cell r="K19" t="str">
            <v>Laboratory Technician</v>
          </cell>
          <cell r="L19">
            <v>4</v>
          </cell>
          <cell r="M19" t="str">
            <v>Divorced</v>
          </cell>
          <cell r="N19">
            <v>2935</v>
          </cell>
          <cell r="O19">
            <v>1</v>
          </cell>
          <cell r="P19" t="str">
            <v>Yes</v>
          </cell>
          <cell r="Q19">
            <v>2</v>
          </cell>
          <cell r="R19">
            <v>1</v>
          </cell>
          <cell r="S19">
            <v>2</v>
          </cell>
          <cell r="T19">
            <v>1</v>
          </cell>
          <cell r="U19">
            <v>0</v>
          </cell>
          <cell r="V19">
            <v>0</v>
          </cell>
          <cell r="W19">
            <v>0</v>
          </cell>
          <cell r="X19">
            <v>13</v>
          </cell>
          <cell r="Y19">
            <v>0</v>
          </cell>
          <cell r="Z19" t="str">
            <v>Young</v>
          </cell>
          <cell r="AA19" t="str">
            <v>Low</v>
          </cell>
          <cell r="AB19" t="str">
            <v>Early</v>
          </cell>
          <cell r="AC19" t="str">
            <v>Medium</v>
          </cell>
          <cell r="AD19">
            <v>22</v>
          </cell>
        </row>
        <row r="20">
          <cell r="A20">
            <v>53</v>
          </cell>
          <cell r="B20" t="str">
            <v>No</v>
          </cell>
          <cell r="C20" t="str">
            <v>Sales</v>
          </cell>
          <cell r="D20">
            <v>2</v>
          </cell>
          <cell r="E20">
            <v>4</v>
          </cell>
          <cell r="F20" t="str">
            <v>Life Sciences</v>
          </cell>
          <cell r="G20">
            <v>1</v>
          </cell>
          <cell r="H20" t="str">
            <v>Female</v>
          </cell>
          <cell r="I20">
            <v>2</v>
          </cell>
          <cell r="J20">
            <v>4</v>
          </cell>
          <cell r="K20" t="str">
            <v>Manager</v>
          </cell>
          <cell r="L20">
            <v>4</v>
          </cell>
          <cell r="M20" t="str">
            <v>Married</v>
          </cell>
          <cell r="N20">
            <v>15427</v>
          </cell>
          <cell r="O20">
            <v>2</v>
          </cell>
          <cell r="P20" t="str">
            <v>No</v>
          </cell>
          <cell r="Q20">
            <v>3</v>
          </cell>
          <cell r="R20">
            <v>31</v>
          </cell>
          <cell r="S20">
            <v>3</v>
          </cell>
          <cell r="T20">
            <v>25</v>
          </cell>
          <cell r="U20">
            <v>8</v>
          </cell>
          <cell r="V20">
            <v>3</v>
          </cell>
          <cell r="W20">
            <v>7</v>
          </cell>
          <cell r="X20">
            <v>16</v>
          </cell>
          <cell r="Y20">
            <v>0</v>
          </cell>
          <cell r="Z20" t="str">
            <v>Senior</v>
          </cell>
          <cell r="AA20" t="str">
            <v>High</v>
          </cell>
          <cell r="AB20" t="str">
            <v>Long</v>
          </cell>
          <cell r="AC20" t="str">
            <v>Medium</v>
          </cell>
          <cell r="AD20">
            <v>23</v>
          </cell>
        </row>
        <row r="21">
          <cell r="A21">
            <v>38</v>
          </cell>
          <cell r="B21" t="str">
            <v>No</v>
          </cell>
          <cell r="C21" t="str">
            <v>Research &amp; Development</v>
          </cell>
          <cell r="D21">
            <v>2</v>
          </cell>
          <cell r="E21">
            <v>3</v>
          </cell>
          <cell r="F21" t="str">
            <v>Life Sciences</v>
          </cell>
          <cell r="G21">
            <v>4</v>
          </cell>
          <cell r="H21" t="str">
            <v>Male</v>
          </cell>
          <cell r="I21">
            <v>3</v>
          </cell>
          <cell r="J21">
            <v>1</v>
          </cell>
          <cell r="K21" t="str">
            <v>Research Scientist</v>
          </cell>
          <cell r="L21">
            <v>4</v>
          </cell>
          <cell r="M21" t="str">
            <v>Single</v>
          </cell>
          <cell r="N21">
            <v>3944</v>
          </cell>
          <cell r="O21">
            <v>5</v>
          </cell>
          <cell r="P21" t="str">
            <v>Yes</v>
          </cell>
          <cell r="Q21">
            <v>3</v>
          </cell>
          <cell r="R21">
            <v>6</v>
          </cell>
          <cell r="S21">
            <v>3</v>
          </cell>
          <cell r="T21">
            <v>3</v>
          </cell>
          <cell r="U21">
            <v>2</v>
          </cell>
          <cell r="V21">
            <v>1</v>
          </cell>
          <cell r="W21">
            <v>2</v>
          </cell>
          <cell r="X21">
            <v>11</v>
          </cell>
          <cell r="Y21">
            <v>0</v>
          </cell>
          <cell r="Z21" t="str">
            <v>Mid</v>
          </cell>
          <cell r="AA21" t="str">
            <v>Low</v>
          </cell>
          <cell r="AB21" t="str">
            <v>Mid</v>
          </cell>
          <cell r="AC21" t="str">
            <v>Low</v>
          </cell>
          <cell r="AD21">
            <v>24</v>
          </cell>
        </row>
        <row r="22">
          <cell r="A22">
            <v>24</v>
          </cell>
          <cell r="B22" t="str">
            <v>No</v>
          </cell>
          <cell r="C22" t="str">
            <v>Research &amp; Development</v>
          </cell>
          <cell r="D22">
            <v>11</v>
          </cell>
          <cell r="E22">
            <v>2</v>
          </cell>
          <cell r="F22" t="str">
            <v>Other</v>
          </cell>
          <cell r="G22">
            <v>1</v>
          </cell>
          <cell r="H22" t="str">
            <v>Female</v>
          </cell>
          <cell r="I22">
            <v>4</v>
          </cell>
          <cell r="J22">
            <v>2</v>
          </cell>
          <cell r="K22" t="str">
            <v>Manufacturing Director</v>
          </cell>
          <cell r="L22">
            <v>3</v>
          </cell>
          <cell r="M22" t="str">
            <v>Divorced</v>
          </cell>
          <cell r="N22">
            <v>4011</v>
          </cell>
          <cell r="O22">
            <v>0</v>
          </cell>
          <cell r="P22" t="str">
            <v>No</v>
          </cell>
          <cell r="Q22">
            <v>4</v>
          </cell>
          <cell r="R22">
            <v>5</v>
          </cell>
          <cell r="S22">
            <v>2</v>
          </cell>
          <cell r="T22">
            <v>4</v>
          </cell>
          <cell r="U22">
            <v>2</v>
          </cell>
          <cell r="V22">
            <v>1</v>
          </cell>
          <cell r="W22">
            <v>3</v>
          </cell>
          <cell r="X22">
            <v>18</v>
          </cell>
          <cell r="Y22">
            <v>0</v>
          </cell>
          <cell r="Z22" t="str">
            <v>Young</v>
          </cell>
          <cell r="AA22" t="str">
            <v>Low</v>
          </cell>
          <cell r="AB22" t="str">
            <v>Mid</v>
          </cell>
          <cell r="AC22" t="str">
            <v>High</v>
          </cell>
          <cell r="AD22">
            <v>26</v>
          </cell>
        </row>
        <row r="23">
          <cell r="A23">
            <v>36</v>
          </cell>
          <cell r="B23" t="str">
            <v>Yes</v>
          </cell>
          <cell r="C23" t="str">
            <v>Sales</v>
          </cell>
          <cell r="D23">
            <v>9</v>
          </cell>
          <cell r="E23">
            <v>4</v>
          </cell>
          <cell r="F23" t="str">
            <v>Life Sciences</v>
          </cell>
          <cell r="G23">
            <v>3</v>
          </cell>
          <cell r="H23" t="str">
            <v>Male</v>
          </cell>
          <cell r="I23">
            <v>2</v>
          </cell>
          <cell r="J23">
            <v>1</v>
          </cell>
          <cell r="K23" t="str">
            <v>Sales Representative</v>
          </cell>
          <cell r="L23">
            <v>1</v>
          </cell>
          <cell r="M23" t="str">
            <v>Single</v>
          </cell>
          <cell r="N23">
            <v>3407</v>
          </cell>
          <cell r="O23">
            <v>7</v>
          </cell>
          <cell r="P23" t="str">
            <v>No</v>
          </cell>
          <cell r="Q23">
            <v>2</v>
          </cell>
          <cell r="R23">
            <v>10</v>
          </cell>
          <cell r="S23">
            <v>3</v>
          </cell>
          <cell r="T23">
            <v>5</v>
          </cell>
          <cell r="U23">
            <v>3</v>
          </cell>
          <cell r="V23">
            <v>0</v>
          </cell>
          <cell r="W23">
            <v>3</v>
          </cell>
          <cell r="X23">
            <v>23</v>
          </cell>
          <cell r="Y23">
            <v>1</v>
          </cell>
          <cell r="Z23" t="str">
            <v>Mid</v>
          </cell>
          <cell r="AA23" t="str">
            <v>Low</v>
          </cell>
          <cell r="AB23" t="str">
            <v>Mid</v>
          </cell>
          <cell r="AC23" t="str">
            <v>High</v>
          </cell>
          <cell r="AD23">
            <v>27</v>
          </cell>
        </row>
        <row r="24">
          <cell r="A24">
            <v>34</v>
          </cell>
          <cell r="B24" t="str">
            <v>No</v>
          </cell>
          <cell r="C24" t="str">
            <v>Research &amp; Development</v>
          </cell>
          <cell r="D24">
            <v>7</v>
          </cell>
          <cell r="E24">
            <v>4</v>
          </cell>
          <cell r="F24" t="str">
            <v>Life Sciences</v>
          </cell>
          <cell r="G24">
            <v>1</v>
          </cell>
          <cell r="H24" t="str">
            <v>Female</v>
          </cell>
          <cell r="I24">
            <v>3</v>
          </cell>
          <cell r="J24">
            <v>3</v>
          </cell>
          <cell r="K24" t="str">
            <v>Research Director</v>
          </cell>
          <cell r="L24">
            <v>2</v>
          </cell>
          <cell r="M24" t="str">
            <v>Single</v>
          </cell>
          <cell r="N24">
            <v>11994</v>
          </cell>
          <cell r="O24">
            <v>0</v>
          </cell>
          <cell r="P24" t="str">
            <v>No</v>
          </cell>
          <cell r="Q24">
            <v>3</v>
          </cell>
          <cell r="R24">
            <v>13</v>
          </cell>
          <cell r="S24">
            <v>3</v>
          </cell>
          <cell r="T24">
            <v>12</v>
          </cell>
          <cell r="U24">
            <v>6</v>
          </cell>
          <cell r="V24">
            <v>2</v>
          </cell>
          <cell r="W24">
            <v>11</v>
          </cell>
          <cell r="X24">
            <v>11</v>
          </cell>
          <cell r="Y24">
            <v>0</v>
          </cell>
          <cell r="Z24" t="str">
            <v>Mid</v>
          </cell>
          <cell r="AA24" t="str">
            <v>High</v>
          </cell>
          <cell r="AB24" t="str">
            <v>Long</v>
          </cell>
          <cell r="AC24" t="str">
            <v>Low</v>
          </cell>
          <cell r="AD24">
            <v>28</v>
          </cell>
        </row>
        <row r="25">
          <cell r="A25">
            <v>21</v>
          </cell>
          <cell r="B25" t="str">
            <v>No</v>
          </cell>
          <cell r="C25" t="str">
            <v>Research &amp; Development</v>
          </cell>
          <cell r="D25">
            <v>15</v>
          </cell>
          <cell r="E25">
            <v>2</v>
          </cell>
          <cell r="F25" t="str">
            <v>Life Sciences</v>
          </cell>
          <cell r="G25">
            <v>3</v>
          </cell>
          <cell r="H25" t="str">
            <v>Male</v>
          </cell>
          <cell r="I25">
            <v>3</v>
          </cell>
          <cell r="J25">
            <v>1</v>
          </cell>
          <cell r="K25" t="str">
            <v>Research Scientist</v>
          </cell>
          <cell r="L25">
            <v>4</v>
          </cell>
          <cell r="M25" t="str">
            <v>Single</v>
          </cell>
          <cell r="N25">
            <v>1232</v>
          </cell>
          <cell r="O25">
            <v>1</v>
          </cell>
          <cell r="P25" t="str">
            <v>No</v>
          </cell>
          <cell r="Q25">
            <v>4</v>
          </cell>
          <cell r="R25">
            <v>0</v>
          </cell>
          <cell r="S25">
            <v>3</v>
          </cell>
          <cell r="T25">
            <v>0</v>
          </cell>
          <cell r="U25">
            <v>0</v>
          </cell>
          <cell r="V25">
            <v>0</v>
          </cell>
          <cell r="W25">
            <v>0</v>
          </cell>
          <cell r="X25">
            <v>14</v>
          </cell>
          <cell r="Y25">
            <v>0</v>
          </cell>
          <cell r="Z25" t="str">
            <v>Young</v>
          </cell>
          <cell r="AA25" t="str">
            <v>Low</v>
          </cell>
          <cell r="AB25" t="str">
            <v>Early</v>
          </cell>
          <cell r="AC25" t="str">
            <v>Medium</v>
          </cell>
          <cell r="AD25">
            <v>30</v>
          </cell>
        </row>
        <row r="26">
          <cell r="A26">
            <v>34</v>
          </cell>
          <cell r="B26" t="str">
            <v>Yes</v>
          </cell>
          <cell r="C26" t="str">
            <v>Research &amp; Development</v>
          </cell>
          <cell r="D26">
            <v>6</v>
          </cell>
          <cell r="E26">
            <v>1</v>
          </cell>
          <cell r="F26" t="str">
            <v>Medical</v>
          </cell>
          <cell r="G26">
            <v>2</v>
          </cell>
          <cell r="H26" t="str">
            <v>Male</v>
          </cell>
          <cell r="I26">
            <v>3</v>
          </cell>
          <cell r="J26">
            <v>1</v>
          </cell>
          <cell r="K26" t="str">
            <v>Research Scientist</v>
          </cell>
          <cell r="L26">
            <v>1</v>
          </cell>
          <cell r="M26" t="str">
            <v>Single</v>
          </cell>
          <cell r="N26">
            <v>2960</v>
          </cell>
          <cell r="O26">
            <v>2</v>
          </cell>
          <cell r="P26" t="str">
            <v>No</v>
          </cell>
          <cell r="Q26">
            <v>3</v>
          </cell>
          <cell r="R26">
            <v>8</v>
          </cell>
          <cell r="S26">
            <v>3</v>
          </cell>
          <cell r="T26">
            <v>4</v>
          </cell>
          <cell r="U26">
            <v>2</v>
          </cell>
          <cell r="V26">
            <v>1</v>
          </cell>
          <cell r="W26">
            <v>3</v>
          </cell>
          <cell r="X26">
            <v>11</v>
          </cell>
          <cell r="Y26">
            <v>1</v>
          </cell>
          <cell r="Z26" t="str">
            <v>Mid</v>
          </cell>
          <cell r="AA26" t="str">
            <v>Low</v>
          </cell>
          <cell r="AB26" t="str">
            <v>Mid</v>
          </cell>
          <cell r="AC26" t="str">
            <v>Low</v>
          </cell>
          <cell r="AD26">
            <v>31</v>
          </cell>
        </row>
        <row r="27">
          <cell r="A27">
            <v>53</v>
          </cell>
          <cell r="B27" t="str">
            <v>No</v>
          </cell>
          <cell r="C27" t="str">
            <v>Research &amp; Development</v>
          </cell>
          <cell r="D27">
            <v>5</v>
          </cell>
          <cell r="E27">
            <v>3</v>
          </cell>
          <cell r="F27" t="str">
            <v>Other</v>
          </cell>
          <cell r="G27">
            <v>3</v>
          </cell>
          <cell r="H27" t="str">
            <v>Female</v>
          </cell>
          <cell r="I27">
            <v>3</v>
          </cell>
          <cell r="J27">
            <v>5</v>
          </cell>
          <cell r="K27" t="str">
            <v>Manager</v>
          </cell>
          <cell r="L27">
            <v>3</v>
          </cell>
          <cell r="M27" t="str">
            <v>Divorced</v>
          </cell>
          <cell r="N27">
            <v>19094</v>
          </cell>
          <cell r="O27">
            <v>4</v>
          </cell>
          <cell r="P27" t="str">
            <v>No</v>
          </cell>
          <cell r="Q27">
            <v>4</v>
          </cell>
          <cell r="R27">
            <v>26</v>
          </cell>
          <cell r="S27">
            <v>2</v>
          </cell>
          <cell r="T27">
            <v>14</v>
          </cell>
          <cell r="U27">
            <v>13</v>
          </cell>
          <cell r="V27">
            <v>4</v>
          </cell>
          <cell r="W27">
            <v>8</v>
          </cell>
          <cell r="X27">
            <v>11</v>
          </cell>
          <cell r="Y27">
            <v>0</v>
          </cell>
          <cell r="Z27" t="str">
            <v>Senior</v>
          </cell>
          <cell r="AA27" t="str">
            <v>High</v>
          </cell>
          <cell r="AB27" t="str">
            <v>Long</v>
          </cell>
          <cell r="AC27" t="str">
            <v>Low</v>
          </cell>
          <cell r="AD27">
            <v>32</v>
          </cell>
        </row>
        <row r="28">
          <cell r="A28">
            <v>32</v>
          </cell>
          <cell r="B28" t="str">
            <v>Yes</v>
          </cell>
          <cell r="C28" t="str">
            <v>Research &amp; Development</v>
          </cell>
          <cell r="D28">
            <v>16</v>
          </cell>
          <cell r="E28">
            <v>1</v>
          </cell>
          <cell r="F28" t="str">
            <v>Life Sciences</v>
          </cell>
          <cell r="G28">
            <v>2</v>
          </cell>
          <cell r="H28" t="str">
            <v>Female</v>
          </cell>
          <cell r="I28">
            <v>1</v>
          </cell>
          <cell r="J28">
            <v>1</v>
          </cell>
          <cell r="K28" t="str">
            <v>Research Scientist</v>
          </cell>
          <cell r="L28">
            <v>1</v>
          </cell>
          <cell r="M28" t="str">
            <v>Single</v>
          </cell>
          <cell r="N28">
            <v>3919</v>
          </cell>
          <cell r="O28">
            <v>1</v>
          </cell>
          <cell r="P28" t="str">
            <v>Yes</v>
          </cell>
          <cell r="Q28">
            <v>2</v>
          </cell>
          <cell r="R28">
            <v>10</v>
          </cell>
          <cell r="S28">
            <v>3</v>
          </cell>
          <cell r="T28">
            <v>10</v>
          </cell>
          <cell r="U28">
            <v>2</v>
          </cell>
          <cell r="V28">
            <v>6</v>
          </cell>
          <cell r="W28">
            <v>7</v>
          </cell>
          <cell r="X28">
            <v>22</v>
          </cell>
          <cell r="Y28">
            <v>1</v>
          </cell>
          <cell r="Z28" t="str">
            <v>Mid</v>
          </cell>
          <cell r="AA28" t="str">
            <v>Low</v>
          </cell>
          <cell r="AB28" t="str">
            <v>Long</v>
          </cell>
          <cell r="AC28" t="str">
            <v>High</v>
          </cell>
          <cell r="AD28">
            <v>33</v>
          </cell>
        </row>
        <row r="29">
          <cell r="A29">
            <v>42</v>
          </cell>
          <cell r="B29" t="str">
            <v>No</v>
          </cell>
          <cell r="C29" t="str">
            <v>Sales</v>
          </cell>
          <cell r="D29">
            <v>8</v>
          </cell>
          <cell r="E29">
            <v>4</v>
          </cell>
          <cell r="F29" t="str">
            <v>Marketing</v>
          </cell>
          <cell r="G29">
            <v>3</v>
          </cell>
          <cell r="H29" t="str">
            <v>Male</v>
          </cell>
          <cell r="I29">
            <v>3</v>
          </cell>
          <cell r="J29">
            <v>2</v>
          </cell>
          <cell r="K29" t="str">
            <v>Sales Executive</v>
          </cell>
          <cell r="L29">
            <v>2</v>
          </cell>
          <cell r="M29" t="str">
            <v>Married</v>
          </cell>
          <cell r="N29">
            <v>6825</v>
          </cell>
          <cell r="O29">
            <v>0</v>
          </cell>
          <cell r="P29" t="str">
            <v>No</v>
          </cell>
          <cell r="Q29">
            <v>4</v>
          </cell>
          <cell r="R29">
            <v>10</v>
          </cell>
          <cell r="S29">
            <v>3</v>
          </cell>
          <cell r="T29">
            <v>9</v>
          </cell>
          <cell r="U29">
            <v>7</v>
          </cell>
          <cell r="V29">
            <v>4</v>
          </cell>
          <cell r="W29">
            <v>2</v>
          </cell>
          <cell r="X29">
            <v>11</v>
          </cell>
          <cell r="Y29">
            <v>0</v>
          </cell>
          <cell r="Z29" t="str">
            <v>Mid</v>
          </cell>
          <cell r="AA29" t="str">
            <v>Medium</v>
          </cell>
          <cell r="AB29" t="str">
            <v>Long</v>
          </cell>
          <cell r="AC29" t="str">
            <v>Low</v>
          </cell>
          <cell r="AD29">
            <v>35</v>
          </cell>
        </row>
        <row r="30">
          <cell r="A30">
            <v>44</v>
          </cell>
          <cell r="B30" t="str">
            <v>No</v>
          </cell>
          <cell r="C30" t="str">
            <v>Research &amp; Development</v>
          </cell>
          <cell r="D30">
            <v>7</v>
          </cell>
          <cell r="E30">
            <v>4</v>
          </cell>
          <cell r="F30" t="str">
            <v>Medical</v>
          </cell>
          <cell r="G30">
            <v>1</v>
          </cell>
          <cell r="H30" t="str">
            <v>Female</v>
          </cell>
          <cell r="I30">
            <v>2</v>
          </cell>
          <cell r="J30">
            <v>3</v>
          </cell>
          <cell r="K30" t="str">
            <v>Healthcare Representative</v>
          </cell>
          <cell r="L30">
            <v>4</v>
          </cell>
          <cell r="M30" t="str">
            <v>Married</v>
          </cell>
          <cell r="N30">
            <v>10248</v>
          </cell>
          <cell r="O30">
            <v>3</v>
          </cell>
          <cell r="P30" t="str">
            <v>No</v>
          </cell>
          <cell r="Q30">
            <v>4</v>
          </cell>
          <cell r="R30">
            <v>24</v>
          </cell>
          <cell r="S30">
            <v>3</v>
          </cell>
          <cell r="T30">
            <v>22</v>
          </cell>
          <cell r="U30">
            <v>6</v>
          </cell>
          <cell r="V30">
            <v>5</v>
          </cell>
          <cell r="W30">
            <v>17</v>
          </cell>
          <cell r="X30">
            <v>14</v>
          </cell>
          <cell r="Y30">
            <v>0</v>
          </cell>
          <cell r="Z30" t="str">
            <v>Mid</v>
          </cell>
          <cell r="AA30" t="str">
            <v>High</v>
          </cell>
          <cell r="AB30" t="str">
            <v>Long</v>
          </cell>
          <cell r="AC30" t="str">
            <v>Medium</v>
          </cell>
          <cell r="AD30">
            <v>36</v>
          </cell>
        </row>
        <row r="31">
          <cell r="A31">
            <v>46</v>
          </cell>
          <cell r="B31" t="str">
            <v>No</v>
          </cell>
          <cell r="C31" t="str">
            <v>Sales</v>
          </cell>
          <cell r="D31">
            <v>2</v>
          </cell>
          <cell r="E31">
            <v>4</v>
          </cell>
          <cell r="F31" t="str">
            <v>Marketing</v>
          </cell>
          <cell r="G31">
            <v>2</v>
          </cell>
          <cell r="H31" t="str">
            <v>Female</v>
          </cell>
          <cell r="I31">
            <v>3</v>
          </cell>
          <cell r="J31">
            <v>5</v>
          </cell>
          <cell r="K31" t="str">
            <v>Manager</v>
          </cell>
          <cell r="L31">
            <v>1</v>
          </cell>
          <cell r="M31" t="str">
            <v>Single</v>
          </cell>
          <cell r="N31">
            <v>18947</v>
          </cell>
          <cell r="O31">
            <v>3</v>
          </cell>
          <cell r="P31" t="str">
            <v>No</v>
          </cell>
          <cell r="Q31">
            <v>4</v>
          </cell>
          <cell r="R31">
            <v>22</v>
          </cell>
          <cell r="S31">
            <v>2</v>
          </cell>
          <cell r="T31">
            <v>2</v>
          </cell>
          <cell r="U31">
            <v>2</v>
          </cell>
          <cell r="V31">
            <v>2</v>
          </cell>
          <cell r="W31">
            <v>1</v>
          </cell>
          <cell r="X31">
            <v>12</v>
          </cell>
          <cell r="Y31">
            <v>0</v>
          </cell>
          <cell r="Z31" t="str">
            <v>Senior</v>
          </cell>
          <cell r="AA31" t="str">
            <v>High</v>
          </cell>
          <cell r="AB31" t="str">
            <v>Early</v>
          </cell>
          <cell r="AC31" t="str">
            <v>Low</v>
          </cell>
          <cell r="AD31">
            <v>38</v>
          </cell>
        </row>
        <row r="32">
          <cell r="A32">
            <v>33</v>
          </cell>
          <cell r="B32" t="str">
            <v>No</v>
          </cell>
          <cell r="C32" t="str">
            <v>Research &amp; Development</v>
          </cell>
          <cell r="D32">
            <v>2</v>
          </cell>
          <cell r="E32">
            <v>3</v>
          </cell>
          <cell r="F32" t="str">
            <v>Medical</v>
          </cell>
          <cell r="G32">
            <v>3</v>
          </cell>
          <cell r="H32" t="str">
            <v>Male</v>
          </cell>
          <cell r="I32">
            <v>3</v>
          </cell>
          <cell r="J32">
            <v>1</v>
          </cell>
          <cell r="K32" t="str">
            <v>Laboratory Technician</v>
          </cell>
          <cell r="L32">
            <v>4</v>
          </cell>
          <cell r="M32" t="str">
            <v>Single</v>
          </cell>
          <cell r="N32">
            <v>2496</v>
          </cell>
          <cell r="O32">
            <v>4</v>
          </cell>
          <cell r="P32" t="str">
            <v>No</v>
          </cell>
          <cell r="Q32">
            <v>4</v>
          </cell>
          <cell r="R32">
            <v>7</v>
          </cell>
          <cell r="S32">
            <v>3</v>
          </cell>
          <cell r="T32">
            <v>1</v>
          </cell>
          <cell r="U32">
            <v>1</v>
          </cell>
          <cell r="V32">
            <v>0</v>
          </cell>
          <cell r="W32">
            <v>0</v>
          </cell>
          <cell r="X32">
            <v>11</v>
          </cell>
          <cell r="Y32">
            <v>0</v>
          </cell>
          <cell r="Z32" t="str">
            <v>Mid</v>
          </cell>
          <cell r="AA32" t="str">
            <v>Low</v>
          </cell>
          <cell r="AB32" t="str">
            <v>Early</v>
          </cell>
          <cell r="AC32" t="str">
            <v>Low</v>
          </cell>
          <cell r="AD32">
            <v>39</v>
          </cell>
        </row>
        <row r="33">
          <cell r="A33">
            <v>44</v>
          </cell>
          <cell r="B33" t="str">
            <v>No</v>
          </cell>
          <cell r="C33" t="str">
            <v>Research &amp; Development</v>
          </cell>
          <cell r="D33">
            <v>10</v>
          </cell>
          <cell r="E33">
            <v>4</v>
          </cell>
          <cell r="F33" t="str">
            <v>Other</v>
          </cell>
          <cell r="G33">
            <v>4</v>
          </cell>
          <cell r="H33" t="str">
            <v>Male</v>
          </cell>
          <cell r="I33">
            <v>3</v>
          </cell>
          <cell r="J33">
            <v>2</v>
          </cell>
          <cell r="K33" t="str">
            <v>Healthcare Representative</v>
          </cell>
          <cell r="L33">
            <v>4</v>
          </cell>
          <cell r="M33" t="str">
            <v>Married</v>
          </cell>
          <cell r="N33">
            <v>6465</v>
          </cell>
          <cell r="O33">
            <v>2</v>
          </cell>
          <cell r="P33" t="str">
            <v>Yes</v>
          </cell>
          <cell r="Q33">
            <v>4</v>
          </cell>
          <cell r="R33">
            <v>9</v>
          </cell>
          <cell r="S33">
            <v>4</v>
          </cell>
          <cell r="T33">
            <v>4</v>
          </cell>
          <cell r="U33">
            <v>2</v>
          </cell>
          <cell r="V33">
            <v>1</v>
          </cell>
          <cell r="W33">
            <v>3</v>
          </cell>
          <cell r="X33">
            <v>13</v>
          </cell>
          <cell r="Y33">
            <v>0</v>
          </cell>
          <cell r="Z33" t="str">
            <v>Mid</v>
          </cell>
          <cell r="AA33" t="str">
            <v>Medium</v>
          </cell>
          <cell r="AB33" t="str">
            <v>Mid</v>
          </cell>
          <cell r="AC33" t="str">
            <v>Medium</v>
          </cell>
          <cell r="AD33">
            <v>40</v>
          </cell>
        </row>
        <row r="34">
          <cell r="A34">
            <v>30</v>
          </cell>
          <cell r="B34" t="str">
            <v>No</v>
          </cell>
          <cell r="C34" t="str">
            <v>Research &amp; Development</v>
          </cell>
          <cell r="D34">
            <v>9</v>
          </cell>
          <cell r="E34">
            <v>2</v>
          </cell>
          <cell r="F34" t="str">
            <v>Medical</v>
          </cell>
          <cell r="G34">
            <v>4</v>
          </cell>
          <cell r="H34" t="str">
            <v>Male</v>
          </cell>
          <cell r="I34">
            <v>2</v>
          </cell>
          <cell r="J34">
            <v>1</v>
          </cell>
          <cell r="K34" t="str">
            <v>Laboratory Technician</v>
          </cell>
          <cell r="L34">
            <v>3</v>
          </cell>
          <cell r="M34" t="str">
            <v>Single</v>
          </cell>
          <cell r="N34">
            <v>2206</v>
          </cell>
          <cell r="O34">
            <v>1</v>
          </cell>
          <cell r="P34" t="str">
            <v>No</v>
          </cell>
          <cell r="Q34">
            <v>1</v>
          </cell>
          <cell r="R34">
            <v>10</v>
          </cell>
          <cell r="S34">
            <v>3</v>
          </cell>
          <cell r="T34">
            <v>10</v>
          </cell>
          <cell r="U34">
            <v>0</v>
          </cell>
          <cell r="V34">
            <v>1</v>
          </cell>
          <cell r="W34">
            <v>8</v>
          </cell>
          <cell r="X34">
            <v>13</v>
          </cell>
          <cell r="Y34">
            <v>0</v>
          </cell>
          <cell r="Z34" t="str">
            <v>Mid</v>
          </cell>
          <cell r="AA34" t="str">
            <v>Low</v>
          </cell>
          <cell r="AB34" t="str">
            <v>Long</v>
          </cell>
          <cell r="AC34" t="str">
            <v>Medium</v>
          </cell>
          <cell r="AD34">
            <v>41</v>
          </cell>
        </row>
        <row r="35">
          <cell r="A35">
            <v>39</v>
          </cell>
          <cell r="B35" t="str">
            <v>Yes</v>
          </cell>
          <cell r="C35" t="str">
            <v>Sales</v>
          </cell>
          <cell r="D35">
            <v>5</v>
          </cell>
          <cell r="E35">
            <v>3</v>
          </cell>
          <cell r="F35" t="str">
            <v>Technical Degree</v>
          </cell>
          <cell r="G35">
            <v>4</v>
          </cell>
          <cell r="H35" t="str">
            <v>Male</v>
          </cell>
          <cell r="I35">
            <v>3</v>
          </cell>
          <cell r="J35">
            <v>2</v>
          </cell>
          <cell r="K35" t="str">
            <v>Sales Representative</v>
          </cell>
          <cell r="L35">
            <v>4</v>
          </cell>
          <cell r="M35" t="str">
            <v>Married</v>
          </cell>
          <cell r="N35">
            <v>2086</v>
          </cell>
          <cell r="O35">
            <v>3</v>
          </cell>
          <cell r="P35" t="str">
            <v>No</v>
          </cell>
          <cell r="Q35">
            <v>3</v>
          </cell>
          <cell r="R35">
            <v>19</v>
          </cell>
          <cell r="S35">
            <v>4</v>
          </cell>
          <cell r="T35">
            <v>1</v>
          </cell>
          <cell r="U35">
            <v>0</v>
          </cell>
          <cell r="V35">
            <v>0</v>
          </cell>
          <cell r="W35">
            <v>0</v>
          </cell>
          <cell r="X35">
            <v>14</v>
          </cell>
          <cell r="Y35">
            <v>1</v>
          </cell>
          <cell r="Z35" t="str">
            <v>Mid</v>
          </cell>
          <cell r="AA35" t="str">
            <v>Low</v>
          </cell>
          <cell r="AB35" t="str">
            <v>Early</v>
          </cell>
          <cell r="AC35" t="str">
            <v>Medium</v>
          </cell>
          <cell r="AD35">
            <v>42</v>
          </cell>
        </row>
        <row r="36">
          <cell r="A36">
            <v>24</v>
          </cell>
          <cell r="B36" t="str">
            <v>Yes</v>
          </cell>
          <cell r="C36" t="str">
            <v>Research &amp; Development</v>
          </cell>
          <cell r="D36">
            <v>1</v>
          </cell>
          <cell r="E36">
            <v>3</v>
          </cell>
          <cell r="F36" t="str">
            <v>Medical</v>
          </cell>
          <cell r="G36">
            <v>2</v>
          </cell>
          <cell r="H36" t="str">
            <v>Male</v>
          </cell>
          <cell r="I36">
            <v>3</v>
          </cell>
          <cell r="J36">
            <v>1</v>
          </cell>
          <cell r="K36" t="str">
            <v>Research Scientist</v>
          </cell>
          <cell r="L36">
            <v>4</v>
          </cell>
          <cell r="M36" t="str">
            <v>Married</v>
          </cell>
          <cell r="N36">
            <v>2293</v>
          </cell>
          <cell r="O36">
            <v>2</v>
          </cell>
          <cell r="P36" t="str">
            <v>Yes</v>
          </cell>
          <cell r="Q36">
            <v>1</v>
          </cell>
          <cell r="R36">
            <v>6</v>
          </cell>
          <cell r="S36">
            <v>2</v>
          </cell>
          <cell r="T36">
            <v>2</v>
          </cell>
          <cell r="U36">
            <v>0</v>
          </cell>
          <cell r="V36">
            <v>2</v>
          </cell>
          <cell r="W36">
            <v>0</v>
          </cell>
          <cell r="X36">
            <v>16</v>
          </cell>
          <cell r="Y36">
            <v>1</v>
          </cell>
          <cell r="Z36" t="str">
            <v>Young</v>
          </cell>
          <cell r="AA36" t="str">
            <v>Low</v>
          </cell>
          <cell r="AB36" t="str">
            <v>Early</v>
          </cell>
          <cell r="AC36" t="str">
            <v>Medium</v>
          </cell>
          <cell r="AD36">
            <v>45</v>
          </cell>
        </row>
        <row r="37">
          <cell r="A37">
            <v>43</v>
          </cell>
          <cell r="B37" t="str">
            <v>No</v>
          </cell>
          <cell r="C37" t="str">
            <v>Research &amp; Development</v>
          </cell>
          <cell r="D37">
            <v>2</v>
          </cell>
          <cell r="E37">
            <v>2</v>
          </cell>
          <cell r="F37" t="str">
            <v>Medical</v>
          </cell>
          <cell r="G37">
            <v>4</v>
          </cell>
          <cell r="H37" t="str">
            <v>Female</v>
          </cell>
          <cell r="I37">
            <v>4</v>
          </cell>
          <cell r="J37">
            <v>1</v>
          </cell>
          <cell r="K37" t="str">
            <v>Research Scientist</v>
          </cell>
          <cell r="L37">
            <v>3</v>
          </cell>
          <cell r="M37" t="str">
            <v>Divorced</v>
          </cell>
          <cell r="N37">
            <v>2645</v>
          </cell>
          <cell r="O37">
            <v>1</v>
          </cell>
          <cell r="P37" t="str">
            <v>No</v>
          </cell>
          <cell r="Q37">
            <v>4</v>
          </cell>
          <cell r="R37">
            <v>6</v>
          </cell>
          <cell r="S37">
            <v>2</v>
          </cell>
          <cell r="T37">
            <v>5</v>
          </cell>
          <cell r="U37">
            <v>3</v>
          </cell>
          <cell r="V37">
            <v>1</v>
          </cell>
          <cell r="W37">
            <v>4</v>
          </cell>
          <cell r="X37">
            <v>12</v>
          </cell>
          <cell r="Y37">
            <v>0</v>
          </cell>
          <cell r="Z37" t="str">
            <v>Mid</v>
          </cell>
          <cell r="AA37" t="str">
            <v>Low</v>
          </cell>
          <cell r="AB37" t="str">
            <v>Mid</v>
          </cell>
          <cell r="AC37" t="str">
            <v>Low</v>
          </cell>
          <cell r="AD37">
            <v>46</v>
          </cell>
        </row>
        <row r="38">
          <cell r="A38">
            <v>50</v>
          </cell>
          <cell r="B38" t="str">
            <v>Yes</v>
          </cell>
          <cell r="C38" t="str">
            <v>Sales</v>
          </cell>
          <cell r="D38">
            <v>3</v>
          </cell>
          <cell r="E38">
            <v>2</v>
          </cell>
          <cell r="F38" t="str">
            <v>Marketing</v>
          </cell>
          <cell r="G38">
            <v>1</v>
          </cell>
          <cell r="H38" t="str">
            <v>Male</v>
          </cell>
          <cell r="I38">
            <v>2</v>
          </cell>
          <cell r="J38">
            <v>1</v>
          </cell>
          <cell r="K38" t="str">
            <v>Sales Representative</v>
          </cell>
          <cell r="L38">
            <v>3</v>
          </cell>
          <cell r="M38" t="str">
            <v>Married</v>
          </cell>
          <cell r="N38">
            <v>2683</v>
          </cell>
          <cell r="O38">
            <v>1</v>
          </cell>
          <cell r="P38" t="str">
            <v>Yes</v>
          </cell>
          <cell r="Q38">
            <v>3</v>
          </cell>
          <cell r="R38">
            <v>3</v>
          </cell>
          <cell r="S38">
            <v>3</v>
          </cell>
          <cell r="T38">
            <v>3</v>
          </cell>
          <cell r="U38">
            <v>2</v>
          </cell>
          <cell r="V38">
            <v>0</v>
          </cell>
          <cell r="W38">
            <v>2</v>
          </cell>
          <cell r="X38">
            <v>14</v>
          </cell>
          <cell r="Y38">
            <v>1</v>
          </cell>
          <cell r="Z38" t="str">
            <v>Senior</v>
          </cell>
          <cell r="AA38" t="str">
            <v>Low</v>
          </cell>
          <cell r="AB38" t="str">
            <v>Mid</v>
          </cell>
          <cell r="AC38" t="str">
            <v>Medium</v>
          </cell>
          <cell r="AD38">
            <v>47</v>
          </cell>
        </row>
        <row r="39">
          <cell r="A39">
            <v>35</v>
          </cell>
          <cell r="B39" t="str">
            <v>No</v>
          </cell>
          <cell r="C39" t="str">
            <v>Sales</v>
          </cell>
          <cell r="D39">
            <v>2</v>
          </cell>
          <cell r="E39">
            <v>3</v>
          </cell>
          <cell r="F39" t="str">
            <v>Marketing</v>
          </cell>
          <cell r="G39">
            <v>4</v>
          </cell>
          <cell r="H39" t="str">
            <v>Female</v>
          </cell>
          <cell r="I39">
            <v>3</v>
          </cell>
          <cell r="J39">
            <v>1</v>
          </cell>
          <cell r="K39" t="str">
            <v>Sales Representative</v>
          </cell>
          <cell r="L39">
            <v>4</v>
          </cell>
          <cell r="M39" t="str">
            <v>Married</v>
          </cell>
          <cell r="N39">
            <v>2014</v>
          </cell>
          <cell r="O39">
            <v>1</v>
          </cell>
          <cell r="P39" t="str">
            <v>No</v>
          </cell>
          <cell r="Q39">
            <v>1</v>
          </cell>
          <cell r="R39">
            <v>2</v>
          </cell>
          <cell r="S39">
            <v>3</v>
          </cell>
          <cell r="T39">
            <v>2</v>
          </cell>
          <cell r="U39">
            <v>2</v>
          </cell>
          <cell r="V39">
            <v>2</v>
          </cell>
          <cell r="W39">
            <v>2</v>
          </cell>
          <cell r="X39">
            <v>13</v>
          </cell>
          <cell r="Y39">
            <v>0</v>
          </cell>
          <cell r="Z39" t="str">
            <v>Mid</v>
          </cell>
          <cell r="AA39" t="str">
            <v>Low</v>
          </cell>
          <cell r="AB39" t="str">
            <v>Early</v>
          </cell>
          <cell r="AC39" t="str">
            <v>Medium</v>
          </cell>
          <cell r="AD39">
            <v>49</v>
          </cell>
        </row>
        <row r="40">
          <cell r="A40">
            <v>36</v>
          </cell>
          <cell r="B40" t="str">
            <v>No</v>
          </cell>
          <cell r="C40" t="str">
            <v>Research &amp; Development</v>
          </cell>
          <cell r="D40">
            <v>5</v>
          </cell>
          <cell r="E40">
            <v>4</v>
          </cell>
          <cell r="F40" t="str">
            <v>Life Sciences</v>
          </cell>
          <cell r="G40">
            <v>2</v>
          </cell>
          <cell r="H40" t="str">
            <v>Female</v>
          </cell>
          <cell r="I40">
            <v>2</v>
          </cell>
          <cell r="J40">
            <v>1</v>
          </cell>
          <cell r="K40" t="str">
            <v>Research Scientist</v>
          </cell>
          <cell r="L40">
            <v>1</v>
          </cell>
          <cell r="M40" t="str">
            <v>Married</v>
          </cell>
          <cell r="N40">
            <v>3419</v>
          </cell>
          <cell r="O40">
            <v>9</v>
          </cell>
          <cell r="P40" t="str">
            <v>Yes</v>
          </cell>
          <cell r="Q40">
            <v>4</v>
          </cell>
          <cell r="R40">
            <v>6</v>
          </cell>
          <cell r="S40">
            <v>4</v>
          </cell>
          <cell r="T40">
            <v>1</v>
          </cell>
          <cell r="U40">
            <v>1</v>
          </cell>
          <cell r="V40">
            <v>0</v>
          </cell>
          <cell r="W40">
            <v>0</v>
          </cell>
          <cell r="X40">
            <v>14</v>
          </cell>
          <cell r="Y40">
            <v>0</v>
          </cell>
          <cell r="Z40" t="str">
            <v>Mid</v>
          </cell>
          <cell r="AA40" t="str">
            <v>Low</v>
          </cell>
          <cell r="AB40" t="str">
            <v>Early</v>
          </cell>
          <cell r="AC40" t="str">
            <v>Medium</v>
          </cell>
          <cell r="AD40">
            <v>51</v>
          </cell>
        </row>
        <row r="41">
          <cell r="A41">
            <v>33</v>
          </cell>
          <cell r="B41" t="str">
            <v>No</v>
          </cell>
          <cell r="C41" t="str">
            <v>Sales</v>
          </cell>
          <cell r="D41">
            <v>1</v>
          </cell>
          <cell r="E41">
            <v>3</v>
          </cell>
          <cell r="F41" t="str">
            <v>Life Sciences</v>
          </cell>
          <cell r="G41">
            <v>3</v>
          </cell>
          <cell r="H41" t="str">
            <v>Female</v>
          </cell>
          <cell r="I41">
            <v>4</v>
          </cell>
          <cell r="J41">
            <v>2</v>
          </cell>
          <cell r="K41" t="str">
            <v>Sales Executive</v>
          </cell>
          <cell r="L41">
            <v>1</v>
          </cell>
          <cell r="M41" t="str">
            <v>Married</v>
          </cell>
          <cell r="N41">
            <v>5376</v>
          </cell>
          <cell r="O41">
            <v>2</v>
          </cell>
          <cell r="P41" t="str">
            <v>No</v>
          </cell>
          <cell r="Q41">
            <v>1</v>
          </cell>
          <cell r="R41">
            <v>10</v>
          </cell>
          <cell r="S41">
            <v>3</v>
          </cell>
          <cell r="T41">
            <v>5</v>
          </cell>
          <cell r="U41">
            <v>3</v>
          </cell>
          <cell r="V41">
            <v>1</v>
          </cell>
          <cell r="W41">
            <v>3</v>
          </cell>
          <cell r="X41">
            <v>19</v>
          </cell>
          <cell r="Y41">
            <v>0</v>
          </cell>
          <cell r="Z41" t="str">
            <v>Mid</v>
          </cell>
          <cell r="AA41" t="str">
            <v>Medium</v>
          </cell>
          <cell r="AB41" t="str">
            <v>Mid</v>
          </cell>
          <cell r="AC41" t="str">
            <v>High</v>
          </cell>
          <cell r="AD41">
            <v>52</v>
          </cell>
        </row>
        <row r="42">
          <cell r="A42">
            <v>35</v>
          </cell>
          <cell r="B42" t="str">
            <v>No</v>
          </cell>
          <cell r="C42" t="str">
            <v>Research &amp; Development</v>
          </cell>
          <cell r="D42">
            <v>4</v>
          </cell>
          <cell r="E42">
            <v>2</v>
          </cell>
          <cell r="F42" t="str">
            <v>Other</v>
          </cell>
          <cell r="G42">
            <v>3</v>
          </cell>
          <cell r="H42" t="str">
            <v>Male</v>
          </cell>
          <cell r="I42">
            <v>3</v>
          </cell>
          <cell r="J42">
            <v>1</v>
          </cell>
          <cell r="K42" t="str">
            <v>Laboratory Technician</v>
          </cell>
          <cell r="L42">
            <v>4</v>
          </cell>
          <cell r="M42" t="str">
            <v>Divorced</v>
          </cell>
          <cell r="N42">
            <v>1951</v>
          </cell>
          <cell r="O42">
            <v>1</v>
          </cell>
          <cell r="P42" t="str">
            <v>No</v>
          </cell>
          <cell r="Q42">
            <v>3</v>
          </cell>
          <cell r="R42">
            <v>1</v>
          </cell>
          <cell r="S42">
            <v>3</v>
          </cell>
          <cell r="T42">
            <v>1</v>
          </cell>
          <cell r="U42">
            <v>0</v>
          </cell>
          <cell r="V42">
            <v>0</v>
          </cell>
          <cell r="W42">
            <v>0</v>
          </cell>
          <cell r="X42">
            <v>12</v>
          </cell>
          <cell r="Y42">
            <v>0</v>
          </cell>
          <cell r="Z42" t="str">
            <v>Mid</v>
          </cell>
          <cell r="AA42" t="str">
            <v>Low</v>
          </cell>
          <cell r="AB42" t="str">
            <v>Early</v>
          </cell>
          <cell r="AC42" t="str">
            <v>Low</v>
          </cell>
          <cell r="AD42">
            <v>53</v>
          </cell>
        </row>
        <row r="43">
          <cell r="A43">
            <v>27</v>
          </cell>
          <cell r="B43" t="str">
            <v>No</v>
          </cell>
          <cell r="C43" t="str">
            <v>Research &amp; Development</v>
          </cell>
          <cell r="D43">
            <v>2</v>
          </cell>
          <cell r="E43">
            <v>4</v>
          </cell>
          <cell r="F43" t="str">
            <v>Life Sciences</v>
          </cell>
          <cell r="G43">
            <v>4</v>
          </cell>
          <cell r="H43" t="str">
            <v>Female</v>
          </cell>
          <cell r="I43">
            <v>3</v>
          </cell>
          <cell r="J43">
            <v>1</v>
          </cell>
          <cell r="K43" t="str">
            <v>Laboratory Technician</v>
          </cell>
          <cell r="L43">
            <v>1</v>
          </cell>
          <cell r="M43" t="str">
            <v>Divorced</v>
          </cell>
          <cell r="N43">
            <v>2341</v>
          </cell>
          <cell r="O43">
            <v>1</v>
          </cell>
          <cell r="P43" t="str">
            <v>No</v>
          </cell>
          <cell r="Q43">
            <v>4</v>
          </cell>
          <cell r="R43">
            <v>1</v>
          </cell>
          <cell r="S43">
            <v>3</v>
          </cell>
          <cell r="T43">
            <v>1</v>
          </cell>
          <cell r="U43">
            <v>0</v>
          </cell>
          <cell r="V43">
            <v>0</v>
          </cell>
          <cell r="W43">
            <v>0</v>
          </cell>
          <cell r="X43">
            <v>13</v>
          </cell>
          <cell r="Y43">
            <v>0</v>
          </cell>
          <cell r="Z43" t="str">
            <v>Young</v>
          </cell>
          <cell r="AA43" t="str">
            <v>Low</v>
          </cell>
          <cell r="AB43" t="str">
            <v>Early</v>
          </cell>
          <cell r="AC43" t="str">
            <v>Medium</v>
          </cell>
          <cell r="AD43">
            <v>54</v>
          </cell>
        </row>
        <row r="44">
          <cell r="A44">
            <v>26</v>
          </cell>
          <cell r="B44" t="str">
            <v>Yes</v>
          </cell>
          <cell r="C44" t="str">
            <v>Research &amp; Development</v>
          </cell>
          <cell r="D44">
            <v>25</v>
          </cell>
          <cell r="E44">
            <v>3</v>
          </cell>
          <cell r="F44" t="str">
            <v>Life Sciences</v>
          </cell>
          <cell r="G44">
            <v>1</v>
          </cell>
          <cell r="H44" t="str">
            <v>Male</v>
          </cell>
          <cell r="I44">
            <v>1</v>
          </cell>
          <cell r="J44">
            <v>1</v>
          </cell>
          <cell r="K44" t="str">
            <v>Laboratory Technician</v>
          </cell>
          <cell r="L44">
            <v>3</v>
          </cell>
          <cell r="M44" t="str">
            <v>Single</v>
          </cell>
          <cell r="N44">
            <v>2293</v>
          </cell>
          <cell r="O44">
            <v>1</v>
          </cell>
          <cell r="P44" t="str">
            <v>No</v>
          </cell>
          <cell r="Q44">
            <v>3</v>
          </cell>
          <cell r="R44">
            <v>1</v>
          </cell>
          <cell r="S44">
            <v>2</v>
          </cell>
          <cell r="T44">
            <v>1</v>
          </cell>
          <cell r="U44">
            <v>0</v>
          </cell>
          <cell r="V44">
            <v>0</v>
          </cell>
          <cell r="W44">
            <v>1</v>
          </cell>
          <cell r="X44">
            <v>12</v>
          </cell>
          <cell r="Y44">
            <v>1</v>
          </cell>
          <cell r="Z44" t="str">
            <v>Young</v>
          </cell>
          <cell r="AA44" t="str">
            <v>Low</v>
          </cell>
          <cell r="AB44" t="str">
            <v>Early</v>
          </cell>
          <cell r="AC44" t="str">
            <v>Low</v>
          </cell>
          <cell r="AD44">
            <v>55</v>
          </cell>
        </row>
        <row r="45">
          <cell r="A45">
            <v>27</v>
          </cell>
          <cell r="B45" t="str">
            <v>No</v>
          </cell>
          <cell r="C45" t="str">
            <v>Sales</v>
          </cell>
          <cell r="D45">
            <v>8</v>
          </cell>
          <cell r="E45">
            <v>3</v>
          </cell>
          <cell r="F45" t="str">
            <v>Life Sciences</v>
          </cell>
          <cell r="G45">
            <v>4</v>
          </cell>
          <cell r="H45" t="str">
            <v>Male</v>
          </cell>
          <cell r="I45">
            <v>3</v>
          </cell>
          <cell r="J45">
            <v>3</v>
          </cell>
          <cell r="K45" t="str">
            <v>Sales Executive</v>
          </cell>
          <cell r="L45">
            <v>3</v>
          </cell>
          <cell r="M45" t="str">
            <v>Single</v>
          </cell>
          <cell r="N45">
            <v>8726</v>
          </cell>
          <cell r="O45">
            <v>1</v>
          </cell>
          <cell r="P45" t="str">
            <v>No</v>
          </cell>
          <cell r="Q45">
            <v>4</v>
          </cell>
          <cell r="R45">
            <v>9</v>
          </cell>
          <cell r="S45">
            <v>3</v>
          </cell>
          <cell r="T45">
            <v>9</v>
          </cell>
          <cell r="U45">
            <v>8</v>
          </cell>
          <cell r="V45">
            <v>1</v>
          </cell>
          <cell r="W45">
            <v>7</v>
          </cell>
          <cell r="X45">
            <v>15</v>
          </cell>
          <cell r="Y45">
            <v>0</v>
          </cell>
          <cell r="Z45" t="str">
            <v>Young</v>
          </cell>
          <cell r="AA45" t="str">
            <v>Medium</v>
          </cell>
          <cell r="AB45" t="str">
            <v>Long</v>
          </cell>
          <cell r="AC45" t="str">
            <v>Medium</v>
          </cell>
          <cell r="AD45">
            <v>56</v>
          </cell>
        </row>
        <row r="46">
          <cell r="A46">
            <v>30</v>
          </cell>
          <cell r="B46" t="str">
            <v>No</v>
          </cell>
          <cell r="C46" t="str">
            <v>Research &amp; Development</v>
          </cell>
          <cell r="D46">
            <v>1</v>
          </cell>
          <cell r="E46">
            <v>2</v>
          </cell>
          <cell r="F46" t="str">
            <v>Medical</v>
          </cell>
          <cell r="G46">
            <v>3</v>
          </cell>
          <cell r="H46" t="str">
            <v>Female</v>
          </cell>
          <cell r="I46">
            <v>3</v>
          </cell>
          <cell r="J46">
            <v>2</v>
          </cell>
          <cell r="K46" t="str">
            <v>Laboratory Technician</v>
          </cell>
          <cell r="L46">
            <v>4</v>
          </cell>
          <cell r="M46" t="str">
            <v>Single</v>
          </cell>
          <cell r="N46">
            <v>4011</v>
          </cell>
          <cell r="O46">
            <v>1</v>
          </cell>
          <cell r="P46" t="str">
            <v>No</v>
          </cell>
          <cell r="Q46">
            <v>4</v>
          </cell>
          <cell r="R46">
            <v>12</v>
          </cell>
          <cell r="S46">
            <v>3</v>
          </cell>
          <cell r="T46">
            <v>12</v>
          </cell>
          <cell r="U46">
            <v>8</v>
          </cell>
          <cell r="V46">
            <v>3</v>
          </cell>
          <cell r="W46">
            <v>7</v>
          </cell>
          <cell r="X46">
            <v>23</v>
          </cell>
          <cell r="Y46">
            <v>0</v>
          </cell>
          <cell r="Z46" t="str">
            <v>Mid</v>
          </cell>
          <cell r="AA46" t="str">
            <v>Low</v>
          </cell>
          <cell r="AB46" t="str">
            <v>Long</v>
          </cell>
          <cell r="AC46" t="str">
            <v>High</v>
          </cell>
          <cell r="AD46">
            <v>57</v>
          </cell>
        </row>
        <row r="47">
          <cell r="A47">
            <v>41</v>
          </cell>
          <cell r="B47" t="str">
            <v>Yes</v>
          </cell>
          <cell r="C47" t="str">
            <v>Research &amp; Development</v>
          </cell>
          <cell r="D47">
            <v>12</v>
          </cell>
          <cell r="E47">
            <v>3</v>
          </cell>
          <cell r="F47" t="str">
            <v>Technical Degree</v>
          </cell>
          <cell r="G47">
            <v>2</v>
          </cell>
          <cell r="H47" t="str">
            <v>Female</v>
          </cell>
          <cell r="I47">
            <v>3</v>
          </cell>
          <cell r="J47">
            <v>5</v>
          </cell>
          <cell r="K47" t="str">
            <v>Research Director</v>
          </cell>
          <cell r="L47">
            <v>3</v>
          </cell>
          <cell r="M47" t="str">
            <v>Married</v>
          </cell>
          <cell r="N47">
            <v>19545</v>
          </cell>
          <cell r="O47">
            <v>1</v>
          </cell>
          <cell r="P47" t="str">
            <v>No</v>
          </cell>
          <cell r="Q47">
            <v>4</v>
          </cell>
          <cell r="R47">
            <v>23</v>
          </cell>
          <cell r="S47">
            <v>3</v>
          </cell>
          <cell r="T47">
            <v>22</v>
          </cell>
          <cell r="U47">
            <v>15</v>
          </cell>
          <cell r="V47">
            <v>15</v>
          </cell>
          <cell r="W47">
            <v>8</v>
          </cell>
          <cell r="X47">
            <v>12</v>
          </cell>
          <cell r="Y47">
            <v>1</v>
          </cell>
          <cell r="Z47" t="str">
            <v>Mid</v>
          </cell>
          <cell r="AA47" t="str">
            <v>High</v>
          </cell>
          <cell r="AB47" t="str">
            <v>Long</v>
          </cell>
          <cell r="AC47" t="str">
            <v>Low</v>
          </cell>
          <cell r="AD47">
            <v>58</v>
          </cell>
        </row>
        <row r="48">
          <cell r="A48">
            <v>34</v>
          </cell>
          <cell r="B48" t="str">
            <v>No</v>
          </cell>
          <cell r="C48" t="str">
            <v>Sales</v>
          </cell>
          <cell r="D48">
            <v>23</v>
          </cell>
          <cell r="E48">
            <v>4</v>
          </cell>
          <cell r="F48" t="str">
            <v>Marketing</v>
          </cell>
          <cell r="G48">
            <v>2</v>
          </cell>
          <cell r="H48" t="str">
            <v>Male</v>
          </cell>
          <cell r="I48">
            <v>3</v>
          </cell>
          <cell r="J48">
            <v>2</v>
          </cell>
          <cell r="K48" t="str">
            <v>Sales Executive</v>
          </cell>
          <cell r="L48">
            <v>3</v>
          </cell>
          <cell r="M48" t="str">
            <v>Single</v>
          </cell>
          <cell r="N48">
            <v>4568</v>
          </cell>
          <cell r="O48">
            <v>0</v>
          </cell>
          <cell r="P48" t="str">
            <v>No</v>
          </cell>
          <cell r="Q48">
            <v>3</v>
          </cell>
          <cell r="R48">
            <v>10</v>
          </cell>
          <cell r="S48">
            <v>3</v>
          </cell>
          <cell r="T48">
            <v>9</v>
          </cell>
          <cell r="U48">
            <v>5</v>
          </cell>
          <cell r="V48">
            <v>8</v>
          </cell>
          <cell r="W48">
            <v>7</v>
          </cell>
          <cell r="X48">
            <v>20</v>
          </cell>
          <cell r="Y48">
            <v>0</v>
          </cell>
          <cell r="Z48" t="str">
            <v>Mid</v>
          </cell>
          <cell r="AA48" t="str">
            <v>Low</v>
          </cell>
          <cell r="AB48" t="str">
            <v>Long</v>
          </cell>
          <cell r="AC48" t="str">
            <v>High</v>
          </cell>
          <cell r="AD48">
            <v>60</v>
          </cell>
        </row>
        <row r="49">
          <cell r="A49">
            <v>37</v>
          </cell>
          <cell r="B49" t="str">
            <v>No</v>
          </cell>
          <cell r="C49" t="str">
            <v>Research &amp; Development</v>
          </cell>
          <cell r="D49">
            <v>19</v>
          </cell>
          <cell r="E49">
            <v>2</v>
          </cell>
          <cell r="F49" t="str">
            <v>Life Sciences</v>
          </cell>
          <cell r="G49">
            <v>2</v>
          </cell>
          <cell r="H49" t="str">
            <v>Male</v>
          </cell>
          <cell r="I49">
            <v>3</v>
          </cell>
          <cell r="J49">
            <v>1</v>
          </cell>
          <cell r="K49" t="str">
            <v>Research Scientist</v>
          </cell>
          <cell r="L49">
            <v>2</v>
          </cell>
          <cell r="M49" t="str">
            <v>Married</v>
          </cell>
          <cell r="N49">
            <v>3022</v>
          </cell>
          <cell r="O49">
            <v>4</v>
          </cell>
          <cell r="P49" t="str">
            <v>No</v>
          </cell>
          <cell r="Q49">
            <v>1</v>
          </cell>
          <cell r="R49">
            <v>8</v>
          </cell>
          <cell r="S49">
            <v>3</v>
          </cell>
          <cell r="T49">
            <v>1</v>
          </cell>
          <cell r="U49">
            <v>0</v>
          </cell>
          <cell r="V49">
            <v>0</v>
          </cell>
          <cell r="W49">
            <v>0</v>
          </cell>
          <cell r="X49">
            <v>21</v>
          </cell>
          <cell r="Y49">
            <v>0</v>
          </cell>
          <cell r="Z49" t="str">
            <v>Mid</v>
          </cell>
          <cell r="AA49" t="str">
            <v>Low</v>
          </cell>
          <cell r="AB49" t="str">
            <v>Early</v>
          </cell>
          <cell r="AC49" t="str">
            <v>High</v>
          </cell>
          <cell r="AD49">
            <v>61</v>
          </cell>
        </row>
        <row r="50">
          <cell r="A50">
            <v>46</v>
          </cell>
          <cell r="B50" t="str">
            <v>No</v>
          </cell>
          <cell r="C50" t="str">
            <v>Sales</v>
          </cell>
          <cell r="D50">
            <v>5</v>
          </cell>
          <cell r="E50">
            <v>4</v>
          </cell>
          <cell r="F50" t="str">
            <v>Marketing</v>
          </cell>
          <cell r="G50">
            <v>1</v>
          </cell>
          <cell r="H50" t="str">
            <v>Male</v>
          </cell>
          <cell r="I50">
            <v>3</v>
          </cell>
          <cell r="J50">
            <v>2</v>
          </cell>
          <cell r="K50" t="str">
            <v>Sales Executive</v>
          </cell>
          <cell r="L50">
            <v>4</v>
          </cell>
          <cell r="M50" t="str">
            <v>Single</v>
          </cell>
          <cell r="N50">
            <v>5772</v>
          </cell>
          <cell r="O50">
            <v>4</v>
          </cell>
          <cell r="P50" t="str">
            <v>Yes</v>
          </cell>
          <cell r="Q50">
            <v>3</v>
          </cell>
          <cell r="R50">
            <v>14</v>
          </cell>
          <cell r="S50">
            <v>3</v>
          </cell>
          <cell r="T50">
            <v>9</v>
          </cell>
          <cell r="U50">
            <v>6</v>
          </cell>
          <cell r="V50">
            <v>0</v>
          </cell>
          <cell r="W50">
            <v>8</v>
          </cell>
          <cell r="X50">
            <v>21</v>
          </cell>
          <cell r="Y50">
            <v>0</v>
          </cell>
          <cell r="Z50" t="str">
            <v>Senior</v>
          </cell>
          <cell r="AA50" t="str">
            <v>Medium</v>
          </cell>
          <cell r="AB50" t="str">
            <v>Long</v>
          </cell>
          <cell r="AC50" t="str">
            <v>High</v>
          </cell>
          <cell r="AD50">
            <v>62</v>
          </cell>
        </row>
        <row r="51">
          <cell r="A51">
            <v>35</v>
          </cell>
          <cell r="B51" t="str">
            <v>No</v>
          </cell>
          <cell r="C51" t="str">
            <v>Research &amp; Development</v>
          </cell>
          <cell r="D51">
            <v>8</v>
          </cell>
          <cell r="E51">
            <v>1</v>
          </cell>
          <cell r="F51" t="str">
            <v>Life Sciences</v>
          </cell>
          <cell r="G51">
            <v>4</v>
          </cell>
          <cell r="H51" t="str">
            <v>Male</v>
          </cell>
          <cell r="I51">
            <v>4</v>
          </cell>
          <cell r="J51">
            <v>1</v>
          </cell>
          <cell r="K51" t="str">
            <v>Laboratory Technician</v>
          </cell>
          <cell r="L51">
            <v>4</v>
          </cell>
          <cell r="M51" t="str">
            <v>Married</v>
          </cell>
          <cell r="N51">
            <v>2269</v>
          </cell>
          <cell r="O51">
            <v>1</v>
          </cell>
          <cell r="P51" t="str">
            <v>No</v>
          </cell>
          <cell r="Q51">
            <v>4</v>
          </cell>
          <cell r="R51">
            <v>1</v>
          </cell>
          <cell r="S51">
            <v>3</v>
          </cell>
          <cell r="T51">
            <v>1</v>
          </cell>
          <cell r="U51">
            <v>0</v>
          </cell>
          <cell r="V51">
            <v>0</v>
          </cell>
          <cell r="W51">
            <v>1</v>
          </cell>
          <cell r="X51">
            <v>19</v>
          </cell>
          <cell r="Y51">
            <v>0</v>
          </cell>
          <cell r="Z51" t="str">
            <v>Mid</v>
          </cell>
          <cell r="AA51" t="str">
            <v>Low</v>
          </cell>
          <cell r="AB51" t="str">
            <v>Early</v>
          </cell>
          <cell r="AC51" t="str">
            <v>High</v>
          </cell>
          <cell r="AD51">
            <v>63</v>
          </cell>
        </row>
        <row r="52">
          <cell r="A52">
            <v>48</v>
          </cell>
          <cell r="B52" t="str">
            <v>Yes</v>
          </cell>
          <cell r="C52" t="str">
            <v>Research &amp; Development</v>
          </cell>
          <cell r="D52">
            <v>1</v>
          </cell>
          <cell r="E52">
            <v>2</v>
          </cell>
          <cell r="F52" t="str">
            <v>Life Sciences</v>
          </cell>
          <cell r="G52">
            <v>1</v>
          </cell>
          <cell r="H52" t="str">
            <v>Male</v>
          </cell>
          <cell r="I52">
            <v>2</v>
          </cell>
          <cell r="J52">
            <v>3</v>
          </cell>
          <cell r="K52" t="str">
            <v>Laboratory Technician</v>
          </cell>
          <cell r="L52">
            <v>3</v>
          </cell>
          <cell r="M52" t="str">
            <v>Single</v>
          </cell>
          <cell r="N52">
            <v>5381</v>
          </cell>
          <cell r="O52">
            <v>9</v>
          </cell>
          <cell r="P52" t="str">
            <v>Yes</v>
          </cell>
          <cell r="Q52">
            <v>4</v>
          </cell>
          <cell r="R52">
            <v>23</v>
          </cell>
          <cell r="S52">
            <v>3</v>
          </cell>
          <cell r="T52">
            <v>1</v>
          </cell>
          <cell r="U52">
            <v>0</v>
          </cell>
          <cell r="V52">
            <v>0</v>
          </cell>
          <cell r="W52">
            <v>0</v>
          </cell>
          <cell r="X52">
            <v>13</v>
          </cell>
          <cell r="Y52">
            <v>1</v>
          </cell>
          <cell r="Z52" t="str">
            <v>Senior</v>
          </cell>
          <cell r="AA52" t="str">
            <v>Medium</v>
          </cell>
          <cell r="AB52" t="str">
            <v>Early</v>
          </cell>
          <cell r="AC52" t="str">
            <v>Medium</v>
          </cell>
          <cell r="AD52">
            <v>64</v>
          </cell>
        </row>
        <row r="53">
          <cell r="A53">
            <v>28</v>
          </cell>
          <cell r="B53" t="str">
            <v>Yes</v>
          </cell>
          <cell r="C53" t="str">
            <v>Research &amp; Development</v>
          </cell>
          <cell r="D53">
            <v>5</v>
          </cell>
          <cell r="E53">
            <v>4</v>
          </cell>
          <cell r="F53" t="str">
            <v>Technical Degree</v>
          </cell>
          <cell r="G53">
            <v>3</v>
          </cell>
          <cell r="H53" t="str">
            <v>Male</v>
          </cell>
          <cell r="I53">
            <v>3</v>
          </cell>
          <cell r="J53">
            <v>1</v>
          </cell>
          <cell r="K53" t="str">
            <v>Laboratory Technician</v>
          </cell>
          <cell r="L53">
            <v>3</v>
          </cell>
          <cell r="M53" t="str">
            <v>Single</v>
          </cell>
          <cell r="N53">
            <v>3441</v>
          </cell>
          <cell r="O53">
            <v>1</v>
          </cell>
          <cell r="P53" t="str">
            <v>Yes</v>
          </cell>
          <cell r="Q53">
            <v>3</v>
          </cell>
          <cell r="R53">
            <v>2</v>
          </cell>
          <cell r="S53">
            <v>2</v>
          </cell>
          <cell r="T53">
            <v>2</v>
          </cell>
          <cell r="U53">
            <v>2</v>
          </cell>
          <cell r="V53">
            <v>2</v>
          </cell>
          <cell r="W53">
            <v>2</v>
          </cell>
          <cell r="X53">
            <v>13</v>
          </cell>
          <cell r="Y53">
            <v>1</v>
          </cell>
          <cell r="Z53" t="str">
            <v>Young</v>
          </cell>
          <cell r="AA53" t="str">
            <v>Low</v>
          </cell>
          <cell r="AB53" t="str">
            <v>Early</v>
          </cell>
          <cell r="AC53" t="str">
            <v>Medium</v>
          </cell>
          <cell r="AD53">
            <v>65</v>
          </cell>
        </row>
        <row r="54">
          <cell r="A54">
            <v>44</v>
          </cell>
          <cell r="B54" t="str">
            <v>No</v>
          </cell>
          <cell r="C54" t="str">
            <v>Sales</v>
          </cell>
          <cell r="D54">
            <v>1</v>
          </cell>
          <cell r="E54">
            <v>5</v>
          </cell>
          <cell r="F54" t="str">
            <v>Marketing</v>
          </cell>
          <cell r="G54">
            <v>2</v>
          </cell>
          <cell r="H54" t="str">
            <v>Female</v>
          </cell>
          <cell r="I54">
            <v>3</v>
          </cell>
          <cell r="J54">
            <v>2</v>
          </cell>
          <cell r="K54" t="str">
            <v>Sales Executive</v>
          </cell>
          <cell r="L54">
            <v>1</v>
          </cell>
          <cell r="M54" t="str">
            <v>Divorced</v>
          </cell>
          <cell r="N54">
            <v>5454</v>
          </cell>
          <cell r="O54">
            <v>5</v>
          </cell>
          <cell r="P54" t="str">
            <v>Yes</v>
          </cell>
          <cell r="Q54">
            <v>3</v>
          </cell>
          <cell r="R54">
            <v>9</v>
          </cell>
          <cell r="S54">
            <v>2</v>
          </cell>
          <cell r="T54">
            <v>4</v>
          </cell>
          <cell r="U54">
            <v>3</v>
          </cell>
          <cell r="V54">
            <v>1</v>
          </cell>
          <cell r="W54">
            <v>3</v>
          </cell>
          <cell r="X54">
            <v>21</v>
          </cell>
          <cell r="Y54">
            <v>0</v>
          </cell>
          <cell r="Z54" t="str">
            <v>Mid</v>
          </cell>
          <cell r="AA54" t="str">
            <v>Medium</v>
          </cell>
          <cell r="AB54" t="str">
            <v>Mid</v>
          </cell>
          <cell r="AC54" t="str">
            <v>High</v>
          </cell>
          <cell r="AD54">
            <v>68</v>
          </cell>
        </row>
        <row r="55">
          <cell r="A55">
            <v>35</v>
          </cell>
          <cell r="B55" t="str">
            <v>No</v>
          </cell>
          <cell r="C55" t="str">
            <v>Research &amp; Development</v>
          </cell>
          <cell r="D55">
            <v>11</v>
          </cell>
          <cell r="E55">
            <v>2</v>
          </cell>
          <cell r="F55" t="str">
            <v>Medical</v>
          </cell>
          <cell r="G55">
            <v>3</v>
          </cell>
          <cell r="H55" t="str">
            <v>Male</v>
          </cell>
          <cell r="I55">
            <v>2</v>
          </cell>
          <cell r="J55">
            <v>3</v>
          </cell>
          <cell r="K55" t="str">
            <v>Healthcare Representative</v>
          </cell>
          <cell r="L55">
            <v>1</v>
          </cell>
          <cell r="M55" t="str">
            <v>Married</v>
          </cell>
          <cell r="N55">
            <v>9884</v>
          </cell>
          <cell r="O55">
            <v>2</v>
          </cell>
          <cell r="P55" t="str">
            <v>Yes</v>
          </cell>
          <cell r="Q55">
            <v>3</v>
          </cell>
          <cell r="R55">
            <v>10</v>
          </cell>
          <cell r="S55">
            <v>3</v>
          </cell>
          <cell r="T55">
            <v>4</v>
          </cell>
          <cell r="U55">
            <v>0</v>
          </cell>
          <cell r="V55">
            <v>2</v>
          </cell>
          <cell r="W55">
            <v>3</v>
          </cell>
          <cell r="X55">
            <v>13</v>
          </cell>
          <cell r="Y55">
            <v>0</v>
          </cell>
          <cell r="Z55" t="str">
            <v>Mid</v>
          </cell>
          <cell r="AA55" t="str">
            <v>Medium</v>
          </cell>
          <cell r="AB55" t="str">
            <v>Mid</v>
          </cell>
          <cell r="AC55" t="str">
            <v>Medium</v>
          </cell>
          <cell r="AD55">
            <v>70</v>
          </cell>
        </row>
        <row r="56">
          <cell r="A56">
            <v>26</v>
          </cell>
          <cell r="B56" t="str">
            <v>No</v>
          </cell>
          <cell r="C56" t="str">
            <v>Sales</v>
          </cell>
          <cell r="D56">
            <v>23</v>
          </cell>
          <cell r="E56">
            <v>3</v>
          </cell>
          <cell r="F56" t="str">
            <v>Marketing</v>
          </cell>
          <cell r="G56">
            <v>3</v>
          </cell>
          <cell r="H56" t="str">
            <v>Female</v>
          </cell>
          <cell r="I56">
            <v>2</v>
          </cell>
          <cell r="J56">
            <v>2</v>
          </cell>
          <cell r="K56" t="str">
            <v>Sales Executive</v>
          </cell>
          <cell r="L56">
            <v>4</v>
          </cell>
          <cell r="M56" t="str">
            <v>Married</v>
          </cell>
          <cell r="N56">
            <v>4157</v>
          </cell>
          <cell r="O56">
            <v>7</v>
          </cell>
          <cell r="P56" t="str">
            <v>Yes</v>
          </cell>
          <cell r="Q56">
            <v>3</v>
          </cell>
          <cell r="R56">
            <v>5</v>
          </cell>
          <cell r="S56">
            <v>2</v>
          </cell>
          <cell r="T56">
            <v>2</v>
          </cell>
          <cell r="U56">
            <v>2</v>
          </cell>
          <cell r="V56">
            <v>0</v>
          </cell>
          <cell r="W56">
            <v>0</v>
          </cell>
          <cell r="X56">
            <v>19</v>
          </cell>
          <cell r="Y56">
            <v>0</v>
          </cell>
          <cell r="Z56" t="str">
            <v>Young</v>
          </cell>
          <cell r="AA56" t="str">
            <v>Low</v>
          </cell>
          <cell r="AB56" t="str">
            <v>Early</v>
          </cell>
          <cell r="AC56" t="str">
            <v>High</v>
          </cell>
          <cell r="AD56">
            <v>72</v>
          </cell>
        </row>
        <row r="57">
          <cell r="A57">
            <v>33</v>
          </cell>
          <cell r="B57" t="str">
            <v>No</v>
          </cell>
          <cell r="C57" t="str">
            <v>Research &amp; Development</v>
          </cell>
          <cell r="D57">
            <v>1</v>
          </cell>
          <cell r="E57">
            <v>2</v>
          </cell>
          <cell r="F57" t="str">
            <v>Life Sciences</v>
          </cell>
          <cell r="G57">
            <v>1</v>
          </cell>
          <cell r="H57" t="str">
            <v>Female</v>
          </cell>
          <cell r="I57">
            <v>3</v>
          </cell>
          <cell r="J57">
            <v>3</v>
          </cell>
          <cell r="K57" t="str">
            <v>Research Director</v>
          </cell>
          <cell r="L57">
            <v>4</v>
          </cell>
          <cell r="M57" t="str">
            <v>Single</v>
          </cell>
          <cell r="N57">
            <v>13458</v>
          </cell>
          <cell r="O57">
            <v>1</v>
          </cell>
          <cell r="P57" t="str">
            <v>Yes</v>
          </cell>
          <cell r="Q57">
            <v>3</v>
          </cell>
          <cell r="R57">
            <v>15</v>
          </cell>
          <cell r="S57">
            <v>3</v>
          </cell>
          <cell r="T57">
            <v>15</v>
          </cell>
          <cell r="U57">
            <v>14</v>
          </cell>
          <cell r="V57">
            <v>8</v>
          </cell>
          <cell r="W57">
            <v>12</v>
          </cell>
          <cell r="X57">
            <v>12</v>
          </cell>
          <cell r="Y57">
            <v>0</v>
          </cell>
          <cell r="Z57" t="str">
            <v>Mid</v>
          </cell>
          <cell r="AA57" t="str">
            <v>High</v>
          </cell>
          <cell r="AB57" t="str">
            <v>Long</v>
          </cell>
          <cell r="AC57" t="str">
            <v>Low</v>
          </cell>
          <cell r="AD57">
            <v>73</v>
          </cell>
        </row>
        <row r="58">
          <cell r="A58">
            <v>35</v>
          </cell>
          <cell r="B58" t="str">
            <v>No</v>
          </cell>
          <cell r="C58" t="str">
            <v>Sales</v>
          </cell>
          <cell r="D58">
            <v>18</v>
          </cell>
          <cell r="E58">
            <v>5</v>
          </cell>
          <cell r="F58" t="str">
            <v>Life Sciences</v>
          </cell>
          <cell r="G58">
            <v>2</v>
          </cell>
          <cell r="H58" t="str">
            <v>Male</v>
          </cell>
          <cell r="I58">
            <v>3</v>
          </cell>
          <cell r="J58">
            <v>3</v>
          </cell>
          <cell r="K58" t="str">
            <v>Sales Executive</v>
          </cell>
          <cell r="L58">
            <v>1</v>
          </cell>
          <cell r="M58" t="str">
            <v>Married</v>
          </cell>
          <cell r="N58">
            <v>9069</v>
          </cell>
          <cell r="O58">
            <v>1</v>
          </cell>
          <cell r="P58" t="str">
            <v>No</v>
          </cell>
          <cell r="Q58">
            <v>4</v>
          </cell>
          <cell r="R58">
            <v>9</v>
          </cell>
          <cell r="S58">
            <v>2</v>
          </cell>
          <cell r="T58">
            <v>9</v>
          </cell>
          <cell r="U58">
            <v>8</v>
          </cell>
          <cell r="V58">
            <v>1</v>
          </cell>
          <cell r="W58">
            <v>8</v>
          </cell>
          <cell r="X58">
            <v>22</v>
          </cell>
          <cell r="Y58">
            <v>0</v>
          </cell>
          <cell r="Z58" t="str">
            <v>Mid</v>
          </cell>
          <cell r="AA58" t="str">
            <v>Medium</v>
          </cell>
          <cell r="AB58" t="str">
            <v>Long</v>
          </cell>
          <cell r="AC58" t="str">
            <v>High</v>
          </cell>
          <cell r="AD58">
            <v>74</v>
          </cell>
        </row>
        <row r="59">
          <cell r="A59">
            <v>35</v>
          </cell>
          <cell r="B59" t="str">
            <v>No</v>
          </cell>
          <cell r="C59" t="str">
            <v>Research &amp; Development</v>
          </cell>
          <cell r="D59">
            <v>23</v>
          </cell>
          <cell r="E59">
            <v>4</v>
          </cell>
          <cell r="F59" t="str">
            <v>Medical</v>
          </cell>
          <cell r="G59">
            <v>3</v>
          </cell>
          <cell r="H59" t="str">
            <v>Female</v>
          </cell>
          <cell r="I59">
            <v>3</v>
          </cell>
          <cell r="J59">
            <v>1</v>
          </cell>
          <cell r="K59" t="str">
            <v>Laboratory Technician</v>
          </cell>
          <cell r="L59">
            <v>1</v>
          </cell>
          <cell r="M59" t="str">
            <v>Married</v>
          </cell>
          <cell r="N59">
            <v>4014</v>
          </cell>
          <cell r="O59">
            <v>3</v>
          </cell>
          <cell r="P59" t="str">
            <v>Yes</v>
          </cell>
          <cell r="Q59">
            <v>3</v>
          </cell>
          <cell r="R59">
            <v>4</v>
          </cell>
          <cell r="S59">
            <v>3</v>
          </cell>
          <cell r="T59">
            <v>2</v>
          </cell>
          <cell r="U59">
            <v>2</v>
          </cell>
          <cell r="V59">
            <v>2</v>
          </cell>
          <cell r="W59">
            <v>2</v>
          </cell>
          <cell r="X59">
            <v>15</v>
          </cell>
          <cell r="Y59">
            <v>0</v>
          </cell>
          <cell r="Z59" t="str">
            <v>Mid</v>
          </cell>
          <cell r="AA59" t="str">
            <v>Low</v>
          </cell>
          <cell r="AB59" t="str">
            <v>Early</v>
          </cell>
          <cell r="AC59" t="str">
            <v>Medium</v>
          </cell>
          <cell r="AD59">
            <v>75</v>
          </cell>
        </row>
        <row r="60">
          <cell r="A60">
            <v>31</v>
          </cell>
          <cell r="B60" t="str">
            <v>No</v>
          </cell>
          <cell r="C60" t="str">
            <v>Research &amp; Development</v>
          </cell>
          <cell r="D60">
            <v>7</v>
          </cell>
          <cell r="E60">
            <v>4</v>
          </cell>
          <cell r="F60" t="str">
            <v>Life Sciences</v>
          </cell>
          <cell r="G60">
            <v>4</v>
          </cell>
          <cell r="H60" t="str">
            <v>Male</v>
          </cell>
          <cell r="I60">
            <v>3</v>
          </cell>
          <cell r="J60">
            <v>2</v>
          </cell>
          <cell r="K60" t="str">
            <v>Laboratory Technician</v>
          </cell>
          <cell r="L60">
            <v>4</v>
          </cell>
          <cell r="M60" t="str">
            <v>Divorced</v>
          </cell>
          <cell r="N60">
            <v>5915</v>
          </cell>
          <cell r="O60">
            <v>3</v>
          </cell>
          <cell r="P60" t="str">
            <v>No</v>
          </cell>
          <cell r="Q60">
            <v>4</v>
          </cell>
          <cell r="R60">
            <v>10</v>
          </cell>
          <cell r="S60">
            <v>2</v>
          </cell>
          <cell r="T60">
            <v>7</v>
          </cell>
          <cell r="U60">
            <v>7</v>
          </cell>
          <cell r="V60">
            <v>1</v>
          </cell>
          <cell r="W60">
            <v>7</v>
          </cell>
          <cell r="X60">
            <v>22</v>
          </cell>
          <cell r="Y60">
            <v>0</v>
          </cell>
          <cell r="Z60" t="str">
            <v>Mid</v>
          </cell>
          <cell r="AA60" t="str">
            <v>Medium</v>
          </cell>
          <cell r="AB60" t="str">
            <v>Long</v>
          </cell>
          <cell r="AC60" t="str">
            <v>High</v>
          </cell>
          <cell r="AD60">
            <v>76</v>
          </cell>
        </row>
        <row r="61">
          <cell r="A61">
            <v>37</v>
          </cell>
          <cell r="B61" t="str">
            <v>No</v>
          </cell>
          <cell r="C61" t="str">
            <v>Research &amp; Development</v>
          </cell>
          <cell r="D61">
            <v>1</v>
          </cell>
          <cell r="E61">
            <v>4</v>
          </cell>
          <cell r="F61" t="str">
            <v>Life Sciences</v>
          </cell>
          <cell r="G61">
            <v>1</v>
          </cell>
          <cell r="H61" t="str">
            <v>Male</v>
          </cell>
          <cell r="I61">
            <v>2</v>
          </cell>
          <cell r="J61">
            <v>2</v>
          </cell>
          <cell r="K61" t="str">
            <v>Manufacturing Director</v>
          </cell>
          <cell r="L61">
            <v>3</v>
          </cell>
          <cell r="M61" t="str">
            <v>Divorced</v>
          </cell>
          <cell r="N61">
            <v>5993</v>
          </cell>
          <cell r="O61">
            <v>1</v>
          </cell>
          <cell r="P61" t="str">
            <v>No</v>
          </cell>
          <cell r="Q61">
            <v>3</v>
          </cell>
          <cell r="R61">
            <v>7</v>
          </cell>
          <cell r="S61">
            <v>4</v>
          </cell>
          <cell r="T61">
            <v>7</v>
          </cell>
          <cell r="U61">
            <v>5</v>
          </cell>
          <cell r="V61">
            <v>0</v>
          </cell>
          <cell r="W61">
            <v>7</v>
          </cell>
          <cell r="X61">
            <v>18</v>
          </cell>
          <cell r="Y61">
            <v>0</v>
          </cell>
          <cell r="Z61" t="str">
            <v>Mid</v>
          </cell>
          <cell r="AA61" t="str">
            <v>Medium</v>
          </cell>
          <cell r="AB61" t="str">
            <v>Long</v>
          </cell>
          <cell r="AC61" t="str">
            <v>High</v>
          </cell>
          <cell r="AD61">
            <v>77</v>
          </cell>
        </row>
        <row r="62">
          <cell r="A62">
            <v>32</v>
          </cell>
          <cell r="B62" t="str">
            <v>No</v>
          </cell>
          <cell r="C62" t="str">
            <v>Research &amp; Development</v>
          </cell>
          <cell r="D62">
            <v>1</v>
          </cell>
          <cell r="E62">
            <v>3</v>
          </cell>
          <cell r="F62" t="str">
            <v>Medical</v>
          </cell>
          <cell r="G62">
            <v>1</v>
          </cell>
          <cell r="H62" t="str">
            <v>Male</v>
          </cell>
          <cell r="I62">
            <v>3</v>
          </cell>
          <cell r="J62">
            <v>2</v>
          </cell>
          <cell r="K62" t="str">
            <v>Manufacturing Director</v>
          </cell>
          <cell r="L62">
            <v>4</v>
          </cell>
          <cell r="M62" t="str">
            <v>Married</v>
          </cell>
          <cell r="N62">
            <v>6162</v>
          </cell>
          <cell r="O62">
            <v>1</v>
          </cell>
          <cell r="P62" t="str">
            <v>Yes</v>
          </cell>
          <cell r="Q62">
            <v>2</v>
          </cell>
          <cell r="R62">
            <v>9</v>
          </cell>
          <cell r="S62">
            <v>3</v>
          </cell>
          <cell r="T62">
            <v>9</v>
          </cell>
          <cell r="U62">
            <v>8</v>
          </cell>
          <cell r="V62">
            <v>7</v>
          </cell>
          <cell r="W62">
            <v>8</v>
          </cell>
          <cell r="X62">
            <v>22</v>
          </cell>
          <cell r="Y62">
            <v>0</v>
          </cell>
          <cell r="Z62" t="str">
            <v>Mid</v>
          </cell>
          <cell r="AA62" t="str">
            <v>Medium</v>
          </cell>
          <cell r="AB62" t="str">
            <v>Long</v>
          </cell>
          <cell r="AC62" t="str">
            <v>High</v>
          </cell>
          <cell r="AD62">
            <v>78</v>
          </cell>
        </row>
        <row r="63">
          <cell r="A63">
            <v>38</v>
          </cell>
          <cell r="B63" t="str">
            <v>No</v>
          </cell>
          <cell r="C63" t="str">
            <v>Research &amp; Development</v>
          </cell>
          <cell r="D63">
            <v>29</v>
          </cell>
          <cell r="E63">
            <v>5</v>
          </cell>
          <cell r="F63" t="str">
            <v>Life Sciences</v>
          </cell>
          <cell r="G63">
            <v>4</v>
          </cell>
          <cell r="H63" t="str">
            <v>Female</v>
          </cell>
          <cell r="I63">
            <v>3</v>
          </cell>
          <cell r="J63">
            <v>2</v>
          </cell>
          <cell r="K63" t="str">
            <v>Laboratory Technician</v>
          </cell>
          <cell r="L63">
            <v>4</v>
          </cell>
          <cell r="M63" t="str">
            <v>Single</v>
          </cell>
          <cell r="N63">
            <v>2406</v>
          </cell>
          <cell r="O63">
            <v>1</v>
          </cell>
          <cell r="P63" t="str">
            <v>No</v>
          </cell>
          <cell r="Q63">
            <v>4</v>
          </cell>
          <cell r="R63">
            <v>10</v>
          </cell>
          <cell r="S63">
            <v>3</v>
          </cell>
          <cell r="T63">
            <v>10</v>
          </cell>
          <cell r="U63">
            <v>3</v>
          </cell>
          <cell r="V63">
            <v>9</v>
          </cell>
          <cell r="W63">
            <v>9</v>
          </cell>
          <cell r="X63">
            <v>11</v>
          </cell>
          <cell r="Y63">
            <v>0</v>
          </cell>
          <cell r="Z63" t="str">
            <v>Mid</v>
          </cell>
          <cell r="AA63" t="str">
            <v>Low</v>
          </cell>
          <cell r="AB63" t="str">
            <v>Long</v>
          </cell>
          <cell r="AC63" t="str">
            <v>Low</v>
          </cell>
          <cell r="AD63">
            <v>79</v>
          </cell>
        </row>
        <row r="64">
          <cell r="A64">
            <v>50</v>
          </cell>
          <cell r="B64" t="str">
            <v>No</v>
          </cell>
          <cell r="C64" t="str">
            <v>Research &amp; Development</v>
          </cell>
          <cell r="D64">
            <v>7</v>
          </cell>
          <cell r="E64">
            <v>2</v>
          </cell>
          <cell r="F64" t="str">
            <v>Medical</v>
          </cell>
          <cell r="G64">
            <v>2</v>
          </cell>
          <cell r="H64" t="str">
            <v>Female</v>
          </cell>
          <cell r="I64">
            <v>2</v>
          </cell>
          <cell r="J64">
            <v>5</v>
          </cell>
          <cell r="K64" t="str">
            <v>Research Director</v>
          </cell>
          <cell r="L64">
            <v>3</v>
          </cell>
          <cell r="M64" t="str">
            <v>Divorced</v>
          </cell>
          <cell r="N64">
            <v>18740</v>
          </cell>
          <cell r="O64">
            <v>5</v>
          </cell>
          <cell r="P64" t="str">
            <v>Yes</v>
          </cell>
          <cell r="Q64">
            <v>4</v>
          </cell>
          <cell r="R64">
            <v>29</v>
          </cell>
          <cell r="S64">
            <v>2</v>
          </cell>
          <cell r="T64">
            <v>27</v>
          </cell>
          <cell r="U64">
            <v>3</v>
          </cell>
          <cell r="V64">
            <v>13</v>
          </cell>
          <cell r="W64">
            <v>8</v>
          </cell>
          <cell r="X64">
            <v>12</v>
          </cell>
          <cell r="Y64">
            <v>0</v>
          </cell>
          <cell r="Z64" t="str">
            <v>Senior</v>
          </cell>
          <cell r="AA64" t="str">
            <v>High</v>
          </cell>
          <cell r="AB64" t="str">
            <v>Long</v>
          </cell>
          <cell r="AC64" t="str">
            <v>Low</v>
          </cell>
          <cell r="AD64">
            <v>80</v>
          </cell>
        </row>
        <row r="65">
          <cell r="A65">
            <v>59</v>
          </cell>
          <cell r="B65" t="str">
            <v>No</v>
          </cell>
          <cell r="C65" t="str">
            <v>Sales</v>
          </cell>
          <cell r="D65">
            <v>25</v>
          </cell>
          <cell r="E65">
            <v>3</v>
          </cell>
          <cell r="F65" t="str">
            <v>Life Sciences</v>
          </cell>
          <cell r="G65">
            <v>1</v>
          </cell>
          <cell r="H65" t="str">
            <v>Female</v>
          </cell>
          <cell r="I65">
            <v>3</v>
          </cell>
          <cell r="J65">
            <v>3</v>
          </cell>
          <cell r="K65" t="str">
            <v>Sales Executive</v>
          </cell>
          <cell r="L65">
            <v>1</v>
          </cell>
          <cell r="M65" t="str">
            <v>Single</v>
          </cell>
          <cell r="N65">
            <v>7637</v>
          </cell>
          <cell r="O65">
            <v>7</v>
          </cell>
          <cell r="P65" t="str">
            <v>No</v>
          </cell>
          <cell r="Q65">
            <v>4</v>
          </cell>
          <cell r="R65">
            <v>28</v>
          </cell>
          <cell r="S65">
            <v>2</v>
          </cell>
          <cell r="T65">
            <v>21</v>
          </cell>
          <cell r="U65">
            <v>16</v>
          </cell>
          <cell r="V65">
            <v>7</v>
          </cell>
          <cell r="W65">
            <v>9</v>
          </cell>
          <cell r="X65">
            <v>11</v>
          </cell>
          <cell r="Y65">
            <v>0</v>
          </cell>
          <cell r="Z65" t="str">
            <v>Senior</v>
          </cell>
          <cell r="AA65" t="str">
            <v>Medium</v>
          </cell>
          <cell r="AB65" t="str">
            <v>Long</v>
          </cell>
          <cell r="AC65" t="str">
            <v>Low</v>
          </cell>
          <cell r="AD65">
            <v>81</v>
          </cell>
        </row>
        <row r="66">
          <cell r="A66">
            <v>36</v>
          </cell>
          <cell r="B66" t="str">
            <v>No</v>
          </cell>
          <cell r="C66" t="str">
            <v>Research &amp; Development</v>
          </cell>
          <cell r="D66">
            <v>8</v>
          </cell>
          <cell r="E66">
            <v>3</v>
          </cell>
          <cell r="F66" t="str">
            <v>Technical Degree</v>
          </cell>
          <cell r="G66">
            <v>3</v>
          </cell>
          <cell r="H66" t="str">
            <v>Female</v>
          </cell>
          <cell r="I66">
            <v>3</v>
          </cell>
          <cell r="J66">
            <v>3</v>
          </cell>
          <cell r="K66" t="str">
            <v>Healthcare Representative</v>
          </cell>
          <cell r="L66">
            <v>3</v>
          </cell>
          <cell r="M66" t="str">
            <v>Divorced</v>
          </cell>
          <cell r="N66">
            <v>10096</v>
          </cell>
          <cell r="O66">
            <v>1</v>
          </cell>
          <cell r="P66" t="str">
            <v>No</v>
          </cell>
          <cell r="Q66">
            <v>2</v>
          </cell>
          <cell r="R66">
            <v>17</v>
          </cell>
          <cell r="S66">
            <v>3</v>
          </cell>
          <cell r="T66">
            <v>17</v>
          </cell>
          <cell r="U66">
            <v>14</v>
          </cell>
          <cell r="V66">
            <v>12</v>
          </cell>
          <cell r="W66">
            <v>8</v>
          </cell>
          <cell r="X66">
            <v>13</v>
          </cell>
          <cell r="Y66">
            <v>0</v>
          </cell>
          <cell r="Z66" t="str">
            <v>Mid</v>
          </cell>
          <cell r="AA66" t="str">
            <v>High</v>
          </cell>
          <cell r="AB66" t="str">
            <v>Long</v>
          </cell>
          <cell r="AC66" t="str">
            <v>Medium</v>
          </cell>
          <cell r="AD66">
            <v>83</v>
          </cell>
        </row>
        <row r="67">
          <cell r="A67">
            <v>55</v>
          </cell>
          <cell r="B67" t="str">
            <v>No</v>
          </cell>
          <cell r="C67" t="str">
            <v>Research &amp; Development</v>
          </cell>
          <cell r="D67">
            <v>8</v>
          </cell>
          <cell r="E67">
            <v>3</v>
          </cell>
          <cell r="F67" t="str">
            <v>Medical</v>
          </cell>
          <cell r="G67">
            <v>4</v>
          </cell>
          <cell r="H67" t="str">
            <v>Female</v>
          </cell>
          <cell r="I67">
            <v>3</v>
          </cell>
          <cell r="J67">
            <v>4</v>
          </cell>
          <cell r="K67" t="str">
            <v>Manager</v>
          </cell>
          <cell r="L67">
            <v>3</v>
          </cell>
          <cell r="M67" t="str">
            <v>Divorced</v>
          </cell>
          <cell r="N67">
            <v>14756</v>
          </cell>
          <cell r="O67">
            <v>2</v>
          </cell>
          <cell r="P67" t="str">
            <v>Yes</v>
          </cell>
          <cell r="Q67">
            <v>3</v>
          </cell>
          <cell r="R67">
            <v>21</v>
          </cell>
          <cell r="S67">
            <v>3</v>
          </cell>
          <cell r="T67">
            <v>5</v>
          </cell>
          <cell r="U67">
            <v>0</v>
          </cell>
          <cell r="V67">
            <v>0</v>
          </cell>
          <cell r="W67">
            <v>2</v>
          </cell>
          <cell r="X67">
            <v>14</v>
          </cell>
          <cell r="Y67">
            <v>0</v>
          </cell>
          <cell r="Z67" t="str">
            <v>Senior</v>
          </cell>
          <cell r="AA67" t="str">
            <v>High</v>
          </cell>
          <cell r="AB67" t="str">
            <v>Mid</v>
          </cell>
          <cell r="AC67" t="str">
            <v>Medium</v>
          </cell>
          <cell r="AD67">
            <v>84</v>
          </cell>
        </row>
        <row r="68">
          <cell r="A68">
            <v>36</v>
          </cell>
          <cell r="B68" t="str">
            <v>No</v>
          </cell>
          <cell r="C68" t="str">
            <v>Research &amp; Development</v>
          </cell>
          <cell r="D68">
            <v>11</v>
          </cell>
          <cell r="E68">
            <v>3</v>
          </cell>
          <cell r="F68" t="str">
            <v>Life Sciences</v>
          </cell>
          <cell r="G68">
            <v>2</v>
          </cell>
          <cell r="H68" t="str">
            <v>Male</v>
          </cell>
          <cell r="I68">
            <v>2</v>
          </cell>
          <cell r="J68">
            <v>2</v>
          </cell>
          <cell r="K68" t="str">
            <v>Manufacturing Director</v>
          </cell>
          <cell r="L68">
            <v>2</v>
          </cell>
          <cell r="M68" t="str">
            <v>Single</v>
          </cell>
          <cell r="N68">
            <v>6499</v>
          </cell>
          <cell r="O68">
            <v>1</v>
          </cell>
          <cell r="P68" t="str">
            <v>No</v>
          </cell>
          <cell r="Q68">
            <v>3</v>
          </cell>
          <cell r="R68">
            <v>6</v>
          </cell>
          <cell r="S68">
            <v>3</v>
          </cell>
          <cell r="T68">
            <v>6</v>
          </cell>
          <cell r="U68">
            <v>5</v>
          </cell>
          <cell r="V68">
            <v>0</v>
          </cell>
          <cell r="W68">
            <v>3</v>
          </cell>
          <cell r="X68">
            <v>13</v>
          </cell>
          <cell r="Y68">
            <v>0</v>
          </cell>
          <cell r="Z68" t="str">
            <v>Mid</v>
          </cell>
          <cell r="AA68" t="str">
            <v>Medium</v>
          </cell>
          <cell r="AB68" t="str">
            <v>Mid</v>
          </cell>
          <cell r="AC68" t="str">
            <v>Medium</v>
          </cell>
          <cell r="AD68">
            <v>85</v>
          </cell>
        </row>
        <row r="69">
          <cell r="A69">
            <v>45</v>
          </cell>
          <cell r="B69" t="str">
            <v>No</v>
          </cell>
          <cell r="C69" t="str">
            <v>Research &amp; Development</v>
          </cell>
          <cell r="D69">
            <v>7</v>
          </cell>
          <cell r="E69">
            <v>3</v>
          </cell>
          <cell r="F69" t="str">
            <v>Life Sciences</v>
          </cell>
          <cell r="G69">
            <v>2</v>
          </cell>
          <cell r="H69" t="str">
            <v>Male</v>
          </cell>
          <cell r="I69">
            <v>3</v>
          </cell>
          <cell r="J69">
            <v>3</v>
          </cell>
          <cell r="K69" t="str">
            <v>Research Scientist</v>
          </cell>
          <cell r="L69">
            <v>1</v>
          </cell>
          <cell r="M69" t="str">
            <v>Divorced</v>
          </cell>
          <cell r="N69">
            <v>9724</v>
          </cell>
          <cell r="O69">
            <v>2</v>
          </cell>
          <cell r="P69" t="str">
            <v>No</v>
          </cell>
          <cell r="Q69">
            <v>3</v>
          </cell>
          <cell r="R69">
            <v>25</v>
          </cell>
          <cell r="S69">
            <v>3</v>
          </cell>
          <cell r="T69">
            <v>1</v>
          </cell>
          <cell r="U69">
            <v>0</v>
          </cell>
          <cell r="V69">
            <v>0</v>
          </cell>
          <cell r="W69">
            <v>0</v>
          </cell>
          <cell r="X69">
            <v>17</v>
          </cell>
          <cell r="Y69">
            <v>0</v>
          </cell>
          <cell r="Z69" t="str">
            <v>Senior</v>
          </cell>
          <cell r="AA69" t="str">
            <v>Medium</v>
          </cell>
          <cell r="AB69" t="str">
            <v>Early</v>
          </cell>
          <cell r="AC69" t="str">
            <v>Medium</v>
          </cell>
          <cell r="AD69">
            <v>86</v>
          </cell>
        </row>
        <row r="70">
          <cell r="A70">
            <v>35</v>
          </cell>
          <cell r="B70" t="str">
            <v>No</v>
          </cell>
          <cell r="C70" t="str">
            <v>Research &amp; Development</v>
          </cell>
          <cell r="D70">
            <v>1</v>
          </cell>
          <cell r="E70">
            <v>3</v>
          </cell>
          <cell r="F70" t="str">
            <v>Medical</v>
          </cell>
          <cell r="G70">
            <v>2</v>
          </cell>
          <cell r="H70" t="str">
            <v>Male</v>
          </cell>
          <cell r="I70">
            <v>3</v>
          </cell>
          <cell r="J70">
            <v>1</v>
          </cell>
          <cell r="K70" t="str">
            <v>Research Scientist</v>
          </cell>
          <cell r="L70">
            <v>1</v>
          </cell>
          <cell r="M70" t="str">
            <v>Married</v>
          </cell>
          <cell r="N70">
            <v>2194</v>
          </cell>
          <cell r="O70">
            <v>4</v>
          </cell>
          <cell r="P70" t="str">
            <v>No</v>
          </cell>
          <cell r="Q70">
            <v>4</v>
          </cell>
          <cell r="R70">
            <v>5</v>
          </cell>
          <cell r="S70">
            <v>2</v>
          </cell>
          <cell r="T70">
            <v>3</v>
          </cell>
          <cell r="U70">
            <v>2</v>
          </cell>
          <cell r="V70">
            <v>1</v>
          </cell>
          <cell r="W70">
            <v>2</v>
          </cell>
          <cell r="X70">
            <v>13</v>
          </cell>
          <cell r="Y70">
            <v>0</v>
          </cell>
          <cell r="Z70" t="str">
            <v>Mid</v>
          </cell>
          <cell r="AA70" t="str">
            <v>Low</v>
          </cell>
          <cell r="AB70" t="str">
            <v>Mid</v>
          </cell>
          <cell r="AC70" t="str">
            <v>Medium</v>
          </cell>
          <cell r="AD70">
            <v>88</v>
          </cell>
        </row>
        <row r="71">
          <cell r="A71">
            <v>36</v>
          </cell>
          <cell r="B71" t="str">
            <v>Yes</v>
          </cell>
          <cell r="C71" t="str">
            <v>Research &amp; Development</v>
          </cell>
          <cell r="D71">
            <v>9</v>
          </cell>
          <cell r="E71">
            <v>3</v>
          </cell>
          <cell r="F71" t="str">
            <v>Medical</v>
          </cell>
          <cell r="G71">
            <v>4</v>
          </cell>
          <cell r="H71" t="str">
            <v>Male</v>
          </cell>
          <cell r="I71">
            <v>2</v>
          </cell>
          <cell r="J71">
            <v>1</v>
          </cell>
          <cell r="K71" t="str">
            <v>Research Scientist</v>
          </cell>
          <cell r="L71">
            <v>3</v>
          </cell>
          <cell r="M71" t="str">
            <v>Married</v>
          </cell>
          <cell r="N71">
            <v>3388</v>
          </cell>
          <cell r="O71">
            <v>0</v>
          </cell>
          <cell r="P71" t="str">
            <v>Yes</v>
          </cell>
          <cell r="Q71">
            <v>1</v>
          </cell>
          <cell r="R71">
            <v>2</v>
          </cell>
          <cell r="S71">
            <v>2</v>
          </cell>
          <cell r="T71">
            <v>1</v>
          </cell>
          <cell r="U71">
            <v>0</v>
          </cell>
          <cell r="V71">
            <v>0</v>
          </cell>
          <cell r="W71">
            <v>0</v>
          </cell>
          <cell r="X71">
            <v>17</v>
          </cell>
          <cell r="Y71">
            <v>1</v>
          </cell>
          <cell r="Z71" t="str">
            <v>Mid</v>
          </cell>
          <cell r="AA71" t="str">
            <v>Low</v>
          </cell>
          <cell r="AB71" t="str">
            <v>Early</v>
          </cell>
          <cell r="AC71" t="str">
            <v>Medium</v>
          </cell>
          <cell r="AD71">
            <v>90</v>
          </cell>
        </row>
        <row r="72">
          <cell r="A72">
            <v>59</v>
          </cell>
          <cell r="B72" t="str">
            <v>No</v>
          </cell>
          <cell r="C72" t="str">
            <v>Sales</v>
          </cell>
          <cell r="D72">
            <v>1</v>
          </cell>
          <cell r="E72">
            <v>1</v>
          </cell>
          <cell r="F72" t="str">
            <v>Life Sciences</v>
          </cell>
          <cell r="G72">
            <v>1</v>
          </cell>
          <cell r="H72" t="str">
            <v>Female</v>
          </cell>
          <cell r="I72">
            <v>2</v>
          </cell>
          <cell r="J72">
            <v>2</v>
          </cell>
          <cell r="K72" t="str">
            <v>Sales Executive</v>
          </cell>
          <cell r="L72">
            <v>3</v>
          </cell>
          <cell r="M72" t="str">
            <v>Single</v>
          </cell>
          <cell r="N72">
            <v>5473</v>
          </cell>
          <cell r="O72">
            <v>7</v>
          </cell>
          <cell r="P72" t="str">
            <v>No</v>
          </cell>
          <cell r="Q72">
            <v>4</v>
          </cell>
          <cell r="R72">
            <v>20</v>
          </cell>
          <cell r="S72">
            <v>2</v>
          </cell>
          <cell r="T72">
            <v>4</v>
          </cell>
          <cell r="U72">
            <v>3</v>
          </cell>
          <cell r="V72">
            <v>1</v>
          </cell>
          <cell r="W72">
            <v>3</v>
          </cell>
          <cell r="X72">
            <v>11</v>
          </cell>
          <cell r="Y72">
            <v>0</v>
          </cell>
          <cell r="Z72" t="str">
            <v>Senior</v>
          </cell>
          <cell r="AA72" t="str">
            <v>Medium</v>
          </cell>
          <cell r="AB72" t="str">
            <v>Mid</v>
          </cell>
          <cell r="AC72" t="str">
            <v>Low</v>
          </cell>
          <cell r="AD72">
            <v>91</v>
          </cell>
        </row>
        <row r="73">
          <cell r="A73">
            <v>29</v>
          </cell>
          <cell r="B73" t="str">
            <v>No</v>
          </cell>
          <cell r="C73" t="str">
            <v>Research &amp; Development</v>
          </cell>
          <cell r="D73">
            <v>2</v>
          </cell>
          <cell r="E73">
            <v>3</v>
          </cell>
          <cell r="F73" t="str">
            <v>Life Sciences</v>
          </cell>
          <cell r="G73">
            <v>3</v>
          </cell>
          <cell r="H73" t="str">
            <v>Male</v>
          </cell>
          <cell r="I73">
            <v>3</v>
          </cell>
          <cell r="J73">
            <v>1</v>
          </cell>
          <cell r="K73" t="str">
            <v>Research Scientist</v>
          </cell>
          <cell r="L73">
            <v>2</v>
          </cell>
          <cell r="M73" t="str">
            <v>Married</v>
          </cell>
          <cell r="N73">
            <v>2703</v>
          </cell>
          <cell r="O73">
            <v>0</v>
          </cell>
          <cell r="P73" t="str">
            <v>No</v>
          </cell>
          <cell r="Q73">
            <v>4</v>
          </cell>
          <cell r="R73">
            <v>6</v>
          </cell>
          <cell r="S73">
            <v>3</v>
          </cell>
          <cell r="T73">
            <v>5</v>
          </cell>
          <cell r="U73">
            <v>4</v>
          </cell>
          <cell r="V73">
            <v>0</v>
          </cell>
          <cell r="W73">
            <v>4</v>
          </cell>
          <cell r="X73">
            <v>23</v>
          </cell>
          <cell r="Y73">
            <v>0</v>
          </cell>
          <cell r="Z73" t="str">
            <v>Young</v>
          </cell>
          <cell r="AA73" t="str">
            <v>Low</v>
          </cell>
          <cell r="AB73" t="str">
            <v>Mid</v>
          </cell>
          <cell r="AC73" t="str">
            <v>High</v>
          </cell>
          <cell r="AD73">
            <v>94</v>
          </cell>
        </row>
        <row r="74">
          <cell r="A74">
            <v>31</v>
          </cell>
          <cell r="B74" t="str">
            <v>No</v>
          </cell>
          <cell r="C74" t="str">
            <v>Research &amp; Development</v>
          </cell>
          <cell r="D74">
            <v>1</v>
          </cell>
          <cell r="E74">
            <v>4</v>
          </cell>
          <cell r="F74" t="str">
            <v>Medical</v>
          </cell>
          <cell r="G74">
            <v>3</v>
          </cell>
          <cell r="H74" t="str">
            <v>Male</v>
          </cell>
          <cell r="I74">
            <v>3</v>
          </cell>
          <cell r="J74">
            <v>1</v>
          </cell>
          <cell r="K74" t="str">
            <v>Research Scientist</v>
          </cell>
          <cell r="L74">
            <v>2</v>
          </cell>
          <cell r="M74" t="str">
            <v>Single</v>
          </cell>
          <cell r="N74">
            <v>2501</v>
          </cell>
          <cell r="O74">
            <v>1</v>
          </cell>
          <cell r="P74" t="str">
            <v>No</v>
          </cell>
          <cell r="Q74">
            <v>2</v>
          </cell>
          <cell r="R74">
            <v>1</v>
          </cell>
          <cell r="S74">
            <v>3</v>
          </cell>
          <cell r="T74">
            <v>1</v>
          </cell>
          <cell r="U74">
            <v>1</v>
          </cell>
          <cell r="V74">
            <v>1</v>
          </cell>
          <cell r="W74">
            <v>0</v>
          </cell>
          <cell r="X74">
            <v>17</v>
          </cell>
          <cell r="Y74">
            <v>0</v>
          </cell>
          <cell r="Z74" t="str">
            <v>Mid</v>
          </cell>
          <cell r="AA74" t="str">
            <v>Low</v>
          </cell>
          <cell r="AB74" t="str">
            <v>Early</v>
          </cell>
          <cell r="AC74" t="str">
            <v>Medium</v>
          </cell>
          <cell r="AD74">
            <v>95</v>
          </cell>
        </row>
        <row r="75">
          <cell r="A75">
            <v>32</v>
          </cell>
          <cell r="B75" t="str">
            <v>No</v>
          </cell>
          <cell r="C75" t="str">
            <v>Research &amp; Development</v>
          </cell>
          <cell r="D75">
            <v>1</v>
          </cell>
          <cell r="E75">
            <v>3</v>
          </cell>
          <cell r="F75" t="str">
            <v>Life Sciences</v>
          </cell>
          <cell r="G75">
            <v>2</v>
          </cell>
          <cell r="H75" t="str">
            <v>Male</v>
          </cell>
          <cell r="I75">
            <v>3</v>
          </cell>
          <cell r="J75">
            <v>2</v>
          </cell>
          <cell r="K75" t="str">
            <v>Research Scientist</v>
          </cell>
          <cell r="L75">
            <v>2</v>
          </cell>
          <cell r="M75" t="str">
            <v>Married</v>
          </cell>
          <cell r="N75">
            <v>6220</v>
          </cell>
          <cell r="O75">
            <v>1</v>
          </cell>
          <cell r="P75" t="str">
            <v>No</v>
          </cell>
          <cell r="Q75">
            <v>2</v>
          </cell>
          <cell r="R75">
            <v>10</v>
          </cell>
          <cell r="S75">
            <v>3</v>
          </cell>
          <cell r="T75">
            <v>10</v>
          </cell>
          <cell r="U75">
            <v>4</v>
          </cell>
          <cell r="V75">
            <v>0</v>
          </cell>
          <cell r="W75">
            <v>9</v>
          </cell>
          <cell r="X75">
            <v>17</v>
          </cell>
          <cell r="Y75">
            <v>0</v>
          </cell>
          <cell r="Z75" t="str">
            <v>Mid</v>
          </cell>
          <cell r="AA75" t="str">
            <v>Medium</v>
          </cell>
          <cell r="AB75" t="str">
            <v>Long</v>
          </cell>
          <cell r="AC75" t="str">
            <v>Medium</v>
          </cell>
          <cell r="AD75">
            <v>96</v>
          </cell>
        </row>
        <row r="76">
          <cell r="A76">
            <v>36</v>
          </cell>
          <cell r="B76" t="str">
            <v>No</v>
          </cell>
          <cell r="C76" t="str">
            <v>Research &amp; Development</v>
          </cell>
          <cell r="D76">
            <v>6</v>
          </cell>
          <cell r="E76">
            <v>3</v>
          </cell>
          <cell r="F76" t="str">
            <v>Life Sciences</v>
          </cell>
          <cell r="G76">
            <v>2</v>
          </cell>
          <cell r="H76" t="str">
            <v>Female</v>
          </cell>
          <cell r="I76">
            <v>4</v>
          </cell>
          <cell r="J76">
            <v>1</v>
          </cell>
          <cell r="K76" t="str">
            <v>Laboratory Technician</v>
          </cell>
          <cell r="L76">
            <v>4</v>
          </cell>
          <cell r="M76" t="str">
            <v>Married</v>
          </cell>
          <cell r="N76">
            <v>3038</v>
          </cell>
          <cell r="O76">
            <v>3</v>
          </cell>
          <cell r="P76" t="str">
            <v>No</v>
          </cell>
          <cell r="Q76">
            <v>2</v>
          </cell>
          <cell r="R76">
            <v>5</v>
          </cell>
          <cell r="S76">
            <v>3</v>
          </cell>
          <cell r="T76">
            <v>1</v>
          </cell>
          <cell r="U76">
            <v>0</v>
          </cell>
          <cell r="V76">
            <v>0</v>
          </cell>
          <cell r="W76">
            <v>0</v>
          </cell>
          <cell r="X76">
            <v>12</v>
          </cell>
          <cell r="Y76">
            <v>0</v>
          </cell>
          <cell r="Z76" t="str">
            <v>Mid</v>
          </cell>
          <cell r="AA76" t="str">
            <v>Low</v>
          </cell>
          <cell r="AB76" t="str">
            <v>Early</v>
          </cell>
          <cell r="AC76" t="str">
            <v>Low</v>
          </cell>
          <cell r="AD76">
            <v>97</v>
          </cell>
        </row>
        <row r="77">
          <cell r="A77">
            <v>31</v>
          </cell>
          <cell r="B77" t="str">
            <v>No</v>
          </cell>
          <cell r="C77" t="str">
            <v>Research &amp; Development</v>
          </cell>
          <cell r="D77">
            <v>8</v>
          </cell>
          <cell r="E77">
            <v>4</v>
          </cell>
          <cell r="F77" t="str">
            <v>Life Sciences</v>
          </cell>
          <cell r="G77">
            <v>3</v>
          </cell>
          <cell r="H77" t="str">
            <v>Female</v>
          </cell>
          <cell r="I77">
            <v>3</v>
          </cell>
          <cell r="J77">
            <v>2</v>
          </cell>
          <cell r="K77" t="str">
            <v>Manufacturing Director</v>
          </cell>
          <cell r="L77">
            <v>4</v>
          </cell>
          <cell r="M77" t="str">
            <v>Single</v>
          </cell>
          <cell r="N77">
            <v>4424</v>
          </cell>
          <cell r="O77">
            <v>1</v>
          </cell>
          <cell r="P77" t="str">
            <v>No</v>
          </cell>
          <cell r="Q77">
            <v>4</v>
          </cell>
          <cell r="R77">
            <v>11</v>
          </cell>
          <cell r="S77">
            <v>3</v>
          </cell>
          <cell r="T77">
            <v>11</v>
          </cell>
          <cell r="U77">
            <v>7</v>
          </cell>
          <cell r="V77">
            <v>1</v>
          </cell>
          <cell r="W77">
            <v>8</v>
          </cell>
          <cell r="X77">
            <v>23</v>
          </cell>
          <cell r="Y77">
            <v>0</v>
          </cell>
          <cell r="Z77" t="str">
            <v>Mid</v>
          </cell>
          <cell r="AA77" t="str">
            <v>Low</v>
          </cell>
          <cell r="AB77" t="str">
            <v>Long</v>
          </cell>
          <cell r="AC77" t="str">
            <v>High</v>
          </cell>
          <cell r="AD77">
            <v>98</v>
          </cell>
        </row>
        <row r="78">
          <cell r="A78">
            <v>35</v>
          </cell>
          <cell r="B78" t="str">
            <v>No</v>
          </cell>
          <cell r="C78" t="str">
            <v>Sales</v>
          </cell>
          <cell r="D78">
            <v>1</v>
          </cell>
          <cell r="E78">
            <v>4</v>
          </cell>
          <cell r="F78" t="str">
            <v>Marketing</v>
          </cell>
          <cell r="G78">
            <v>3</v>
          </cell>
          <cell r="H78" t="str">
            <v>Male</v>
          </cell>
          <cell r="I78">
            <v>2</v>
          </cell>
          <cell r="J78">
            <v>2</v>
          </cell>
          <cell r="K78" t="str">
            <v>Sales Executive</v>
          </cell>
          <cell r="L78">
            <v>1</v>
          </cell>
          <cell r="M78" t="str">
            <v>Single</v>
          </cell>
          <cell r="N78">
            <v>4312</v>
          </cell>
          <cell r="O78">
            <v>0</v>
          </cell>
          <cell r="P78" t="str">
            <v>No</v>
          </cell>
          <cell r="Q78">
            <v>2</v>
          </cell>
          <cell r="R78">
            <v>16</v>
          </cell>
          <cell r="S78">
            <v>3</v>
          </cell>
          <cell r="T78">
            <v>15</v>
          </cell>
          <cell r="U78">
            <v>13</v>
          </cell>
          <cell r="V78">
            <v>2</v>
          </cell>
          <cell r="W78">
            <v>8</v>
          </cell>
          <cell r="X78">
            <v>14</v>
          </cell>
          <cell r="Y78">
            <v>0</v>
          </cell>
          <cell r="Z78" t="str">
            <v>Mid</v>
          </cell>
          <cell r="AA78" t="str">
            <v>Low</v>
          </cell>
          <cell r="AB78" t="str">
            <v>Long</v>
          </cell>
          <cell r="AC78" t="str">
            <v>Medium</v>
          </cell>
          <cell r="AD78">
            <v>100</v>
          </cell>
        </row>
        <row r="79">
          <cell r="A79">
            <v>45</v>
          </cell>
          <cell r="B79" t="str">
            <v>No</v>
          </cell>
          <cell r="C79" t="str">
            <v>Research &amp; Development</v>
          </cell>
          <cell r="D79">
            <v>6</v>
          </cell>
          <cell r="E79">
            <v>4</v>
          </cell>
          <cell r="F79" t="str">
            <v>Other</v>
          </cell>
          <cell r="G79">
            <v>4</v>
          </cell>
          <cell r="H79" t="str">
            <v>Male</v>
          </cell>
          <cell r="I79">
            <v>3</v>
          </cell>
          <cell r="J79">
            <v>3</v>
          </cell>
          <cell r="K79" t="str">
            <v>Research Director</v>
          </cell>
          <cell r="L79">
            <v>1</v>
          </cell>
          <cell r="M79" t="str">
            <v>Married</v>
          </cell>
          <cell r="N79">
            <v>13245</v>
          </cell>
          <cell r="O79">
            <v>4</v>
          </cell>
          <cell r="P79" t="str">
            <v>Yes</v>
          </cell>
          <cell r="Q79">
            <v>2</v>
          </cell>
          <cell r="R79">
            <v>17</v>
          </cell>
          <cell r="S79">
            <v>4</v>
          </cell>
          <cell r="T79">
            <v>0</v>
          </cell>
          <cell r="U79">
            <v>0</v>
          </cell>
          <cell r="V79">
            <v>0</v>
          </cell>
          <cell r="W79">
            <v>0</v>
          </cell>
          <cell r="X79">
            <v>14</v>
          </cell>
          <cell r="Y79">
            <v>0</v>
          </cell>
          <cell r="Z79" t="str">
            <v>Senior</v>
          </cell>
          <cell r="AA79" t="str">
            <v>High</v>
          </cell>
          <cell r="AB79" t="str">
            <v>Early</v>
          </cell>
          <cell r="AC79" t="str">
            <v>Medium</v>
          </cell>
          <cell r="AD79">
            <v>101</v>
          </cell>
        </row>
        <row r="80">
          <cell r="A80">
            <v>37</v>
          </cell>
          <cell r="B80" t="str">
            <v>No</v>
          </cell>
          <cell r="C80" t="str">
            <v>Research &amp; Development</v>
          </cell>
          <cell r="D80">
            <v>7</v>
          </cell>
          <cell r="E80">
            <v>4</v>
          </cell>
          <cell r="F80" t="str">
            <v>Medical</v>
          </cell>
          <cell r="G80">
            <v>1</v>
          </cell>
          <cell r="H80" t="str">
            <v>Male</v>
          </cell>
          <cell r="I80">
            <v>3</v>
          </cell>
          <cell r="J80">
            <v>3</v>
          </cell>
          <cell r="K80" t="str">
            <v>Research Director</v>
          </cell>
          <cell r="L80">
            <v>3</v>
          </cell>
          <cell r="M80" t="str">
            <v>Single</v>
          </cell>
          <cell r="N80">
            <v>13664</v>
          </cell>
          <cell r="O80">
            <v>4</v>
          </cell>
          <cell r="P80" t="str">
            <v>No</v>
          </cell>
          <cell r="Q80">
            <v>1</v>
          </cell>
          <cell r="R80">
            <v>16</v>
          </cell>
          <cell r="S80">
            <v>4</v>
          </cell>
          <cell r="T80">
            <v>5</v>
          </cell>
          <cell r="U80">
            <v>2</v>
          </cell>
          <cell r="V80">
            <v>0</v>
          </cell>
          <cell r="W80">
            <v>2</v>
          </cell>
          <cell r="X80">
            <v>13</v>
          </cell>
          <cell r="Y80">
            <v>0</v>
          </cell>
          <cell r="Z80" t="str">
            <v>Mid</v>
          </cell>
          <cell r="AA80" t="str">
            <v>High</v>
          </cell>
          <cell r="AB80" t="str">
            <v>Mid</v>
          </cell>
          <cell r="AC80" t="str">
            <v>Medium</v>
          </cell>
          <cell r="AD80">
            <v>102</v>
          </cell>
        </row>
        <row r="81">
          <cell r="A81">
            <v>46</v>
          </cell>
          <cell r="B81" t="str">
            <v>No</v>
          </cell>
          <cell r="C81" t="str">
            <v>Human Resources</v>
          </cell>
          <cell r="D81">
            <v>5</v>
          </cell>
          <cell r="E81">
            <v>2</v>
          </cell>
          <cell r="F81" t="str">
            <v>Medical</v>
          </cell>
          <cell r="G81">
            <v>2</v>
          </cell>
          <cell r="H81" t="str">
            <v>Male</v>
          </cell>
          <cell r="I81">
            <v>3</v>
          </cell>
          <cell r="J81">
            <v>2</v>
          </cell>
          <cell r="K81" t="str">
            <v>Human Resources</v>
          </cell>
          <cell r="L81">
            <v>2</v>
          </cell>
          <cell r="M81" t="str">
            <v>Divorced</v>
          </cell>
          <cell r="N81">
            <v>5021</v>
          </cell>
          <cell r="O81">
            <v>8</v>
          </cell>
          <cell r="P81" t="str">
            <v>Yes</v>
          </cell>
          <cell r="Q81">
            <v>4</v>
          </cell>
          <cell r="R81">
            <v>16</v>
          </cell>
          <cell r="S81">
            <v>3</v>
          </cell>
          <cell r="T81">
            <v>4</v>
          </cell>
          <cell r="U81">
            <v>2</v>
          </cell>
          <cell r="V81">
            <v>0</v>
          </cell>
          <cell r="W81">
            <v>2</v>
          </cell>
          <cell r="X81">
            <v>22</v>
          </cell>
          <cell r="Y81">
            <v>0</v>
          </cell>
          <cell r="Z81" t="str">
            <v>Senior</v>
          </cell>
          <cell r="AA81" t="str">
            <v>Medium</v>
          </cell>
          <cell r="AB81" t="str">
            <v>Mid</v>
          </cell>
          <cell r="AC81" t="str">
            <v>High</v>
          </cell>
          <cell r="AD81">
            <v>103</v>
          </cell>
        </row>
        <row r="82">
          <cell r="A82">
            <v>30</v>
          </cell>
          <cell r="B82" t="str">
            <v>No</v>
          </cell>
          <cell r="C82" t="str">
            <v>Research &amp; Development</v>
          </cell>
          <cell r="D82">
            <v>1</v>
          </cell>
          <cell r="E82">
            <v>1</v>
          </cell>
          <cell r="F82" t="str">
            <v>Life Sciences</v>
          </cell>
          <cell r="G82">
            <v>4</v>
          </cell>
          <cell r="H82" t="str">
            <v>Male</v>
          </cell>
          <cell r="I82">
            <v>2</v>
          </cell>
          <cell r="J82">
            <v>2</v>
          </cell>
          <cell r="K82" t="str">
            <v>Laboratory Technician</v>
          </cell>
          <cell r="L82">
            <v>4</v>
          </cell>
          <cell r="M82" t="str">
            <v>Married</v>
          </cell>
          <cell r="N82">
            <v>5126</v>
          </cell>
          <cell r="O82">
            <v>1</v>
          </cell>
          <cell r="P82" t="str">
            <v>Yes</v>
          </cell>
          <cell r="Q82">
            <v>3</v>
          </cell>
          <cell r="R82">
            <v>10</v>
          </cell>
          <cell r="S82">
            <v>2</v>
          </cell>
          <cell r="T82">
            <v>10</v>
          </cell>
          <cell r="U82">
            <v>8</v>
          </cell>
          <cell r="V82">
            <v>3</v>
          </cell>
          <cell r="W82">
            <v>0</v>
          </cell>
          <cell r="X82">
            <v>12</v>
          </cell>
          <cell r="Y82">
            <v>0</v>
          </cell>
          <cell r="Z82" t="str">
            <v>Mid</v>
          </cell>
          <cell r="AA82" t="str">
            <v>Medium</v>
          </cell>
          <cell r="AB82" t="str">
            <v>Long</v>
          </cell>
          <cell r="AC82" t="str">
            <v>Low</v>
          </cell>
          <cell r="AD82">
            <v>104</v>
          </cell>
        </row>
        <row r="83">
          <cell r="A83">
            <v>35</v>
          </cell>
          <cell r="B83" t="str">
            <v>No</v>
          </cell>
          <cell r="C83" t="str">
            <v>Research &amp; Development</v>
          </cell>
          <cell r="D83">
            <v>1</v>
          </cell>
          <cell r="E83">
            <v>3</v>
          </cell>
          <cell r="F83" t="str">
            <v>Medical</v>
          </cell>
          <cell r="G83">
            <v>2</v>
          </cell>
          <cell r="H83" t="str">
            <v>Male</v>
          </cell>
          <cell r="I83">
            <v>2</v>
          </cell>
          <cell r="J83">
            <v>1</v>
          </cell>
          <cell r="K83" t="str">
            <v>Research Scientist</v>
          </cell>
          <cell r="L83">
            <v>3</v>
          </cell>
          <cell r="M83" t="str">
            <v>Single</v>
          </cell>
          <cell r="N83">
            <v>2859</v>
          </cell>
          <cell r="O83">
            <v>1</v>
          </cell>
          <cell r="P83" t="str">
            <v>No</v>
          </cell>
          <cell r="Q83">
            <v>1</v>
          </cell>
          <cell r="R83">
            <v>6</v>
          </cell>
          <cell r="S83">
            <v>3</v>
          </cell>
          <cell r="T83">
            <v>6</v>
          </cell>
          <cell r="U83">
            <v>4</v>
          </cell>
          <cell r="V83">
            <v>0</v>
          </cell>
          <cell r="W83">
            <v>4</v>
          </cell>
          <cell r="X83">
            <v>18</v>
          </cell>
          <cell r="Y83">
            <v>0</v>
          </cell>
          <cell r="Z83" t="str">
            <v>Mid</v>
          </cell>
          <cell r="AA83" t="str">
            <v>Low</v>
          </cell>
          <cell r="AB83" t="str">
            <v>Mid</v>
          </cell>
          <cell r="AC83" t="str">
            <v>High</v>
          </cell>
          <cell r="AD83">
            <v>105</v>
          </cell>
        </row>
        <row r="84">
          <cell r="A84">
            <v>55</v>
          </cell>
          <cell r="B84" t="str">
            <v>No</v>
          </cell>
          <cell r="C84" t="str">
            <v>Sales</v>
          </cell>
          <cell r="D84">
            <v>1</v>
          </cell>
          <cell r="E84">
            <v>2</v>
          </cell>
          <cell r="F84" t="str">
            <v>Life Sciences</v>
          </cell>
          <cell r="G84">
            <v>1</v>
          </cell>
          <cell r="H84" t="str">
            <v>Male</v>
          </cell>
          <cell r="I84">
            <v>3</v>
          </cell>
          <cell r="J84">
            <v>3</v>
          </cell>
          <cell r="K84" t="str">
            <v>Sales Executive</v>
          </cell>
          <cell r="L84">
            <v>4</v>
          </cell>
          <cell r="M84" t="str">
            <v>Married</v>
          </cell>
          <cell r="N84">
            <v>10239</v>
          </cell>
          <cell r="O84">
            <v>3</v>
          </cell>
          <cell r="P84" t="str">
            <v>No</v>
          </cell>
          <cell r="Q84">
            <v>4</v>
          </cell>
          <cell r="R84">
            <v>24</v>
          </cell>
          <cell r="S84">
            <v>3</v>
          </cell>
          <cell r="T84">
            <v>1</v>
          </cell>
          <cell r="U84">
            <v>0</v>
          </cell>
          <cell r="V84">
            <v>1</v>
          </cell>
          <cell r="W84">
            <v>0</v>
          </cell>
          <cell r="X84">
            <v>14</v>
          </cell>
          <cell r="Y84">
            <v>0</v>
          </cell>
          <cell r="Z84" t="str">
            <v>Senior</v>
          </cell>
          <cell r="AA84" t="str">
            <v>High</v>
          </cell>
          <cell r="AB84" t="str">
            <v>Early</v>
          </cell>
          <cell r="AC84" t="str">
            <v>Medium</v>
          </cell>
          <cell r="AD84">
            <v>106</v>
          </cell>
        </row>
        <row r="85">
          <cell r="A85">
            <v>38</v>
          </cell>
          <cell r="B85" t="str">
            <v>No</v>
          </cell>
          <cell r="C85" t="str">
            <v>Research &amp; Development</v>
          </cell>
          <cell r="D85">
            <v>6</v>
          </cell>
          <cell r="E85">
            <v>3</v>
          </cell>
          <cell r="F85" t="str">
            <v>Medical</v>
          </cell>
          <cell r="G85">
            <v>2</v>
          </cell>
          <cell r="H85" t="str">
            <v>Female</v>
          </cell>
          <cell r="I85">
            <v>1</v>
          </cell>
          <cell r="J85">
            <v>2</v>
          </cell>
          <cell r="K85" t="str">
            <v>Research Scientist</v>
          </cell>
          <cell r="L85">
            <v>4</v>
          </cell>
          <cell r="M85" t="str">
            <v>Divorced</v>
          </cell>
          <cell r="N85">
            <v>5329</v>
          </cell>
          <cell r="O85">
            <v>7</v>
          </cell>
          <cell r="P85" t="str">
            <v>Yes</v>
          </cell>
          <cell r="Q85">
            <v>4</v>
          </cell>
          <cell r="R85">
            <v>17</v>
          </cell>
          <cell r="S85">
            <v>3</v>
          </cell>
          <cell r="T85">
            <v>13</v>
          </cell>
          <cell r="U85">
            <v>11</v>
          </cell>
          <cell r="V85">
            <v>1</v>
          </cell>
          <cell r="W85">
            <v>9</v>
          </cell>
          <cell r="X85">
            <v>12</v>
          </cell>
          <cell r="Y85">
            <v>0</v>
          </cell>
          <cell r="Z85" t="str">
            <v>Mid</v>
          </cell>
          <cell r="AA85" t="str">
            <v>Medium</v>
          </cell>
          <cell r="AB85" t="str">
            <v>Long</v>
          </cell>
          <cell r="AC85" t="str">
            <v>Low</v>
          </cell>
          <cell r="AD85">
            <v>107</v>
          </cell>
        </row>
        <row r="86">
          <cell r="A86">
            <v>34</v>
          </cell>
          <cell r="B86" t="str">
            <v>No</v>
          </cell>
          <cell r="C86" t="str">
            <v>Research &amp; Development</v>
          </cell>
          <cell r="D86">
            <v>1</v>
          </cell>
          <cell r="E86">
            <v>2</v>
          </cell>
          <cell r="F86" t="str">
            <v>Medical</v>
          </cell>
          <cell r="G86">
            <v>1</v>
          </cell>
          <cell r="H86" t="str">
            <v>Male</v>
          </cell>
          <cell r="I86">
            <v>3</v>
          </cell>
          <cell r="J86">
            <v>2</v>
          </cell>
          <cell r="K86" t="str">
            <v>Manufacturing Director</v>
          </cell>
          <cell r="L86">
            <v>2</v>
          </cell>
          <cell r="M86" t="str">
            <v>Married</v>
          </cell>
          <cell r="N86">
            <v>4325</v>
          </cell>
          <cell r="O86">
            <v>1</v>
          </cell>
          <cell r="P86" t="str">
            <v>No</v>
          </cell>
          <cell r="Q86">
            <v>3</v>
          </cell>
          <cell r="R86">
            <v>5</v>
          </cell>
          <cell r="S86">
            <v>3</v>
          </cell>
          <cell r="T86">
            <v>5</v>
          </cell>
          <cell r="U86">
            <v>2</v>
          </cell>
          <cell r="V86">
            <v>1</v>
          </cell>
          <cell r="W86">
            <v>3</v>
          </cell>
          <cell r="X86">
            <v>15</v>
          </cell>
          <cell r="Y86">
            <v>0</v>
          </cell>
          <cell r="Z86" t="str">
            <v>Mid</v>
          </cell>
          <cell r="AA86" t="str">
            <v>Low</v>
          </cell>
          <cell r="AB86" t="str">
            <v>Mid</v>
          </cell>
          <cell r="AC86" t="str">
            <v>Medium</v>
          </cell>
          <cell r="AD86">
            <v>110</v>
          </cell>
        </row>
        <row r="87">
          <cell r="A87">
            <v>56</v>
          </cell>
          <cell r="B87" t="str">
            <v>No</v>
          </cell>
          <cell r="C87" t="str">
            <v>Research &amp; Development</v>
          </cell>
          <cell r="D87">
            <v>7</v>
          </cell>
          <cell r="E87">
            <v>3</v>
          </cell>
          <cell r="F87" t="str">
            <v>Life Sciences</v>
          </cell>
          <cell r="G87">
            <v>4</v>
          </cell>
          <cell r="H87" t="str">
            <v>Male</v>
          </cell>
          <cell r="I87">
            <v>1</v>
          </cell>
          <cell r="J87">
            <v>3</v>
          </cell>
          <cell r="K87" t="str">
            <v>Manufacturing Director</v>
          </cell>
          <cell r="L87">
            <v>4</v>
          </cell>
          <cell r="M87" t="str">
            <v>Single</v>
          </cell>
          <cell r="N87">
            <v>7260</v>
          </cell>
          <cell r="O87">
            <v>4</v>
          </cell>
          <cell r="P87" t="str">
            <v>No</v>
          </cell>
          <cell r="Q87">
            <v>1</v>
          </cell>
          <cell r="R87">
            <v>37</v>
          </cell>
          <cell r="S87">
            <v>2</v>
          </cell>
          <cell r="T87">
            <v>6</v>
          </cell>
          <cell r="U87">
            <v>4</v>
          </cell>
          <cell r="V87">
            <v>0</v>
          </cell>
          <cell r="W87">
            <v>2</v>
          </cell>
          <cell r="X87">
            <v>11</v>
          </cell>
          <cell r="Y87">
            <v>0</v>
          </cell>
          <cell r="Z87" t="str">
            <v>Senior</v>
          </cell>
          <cell r="AA87" t="str">
            <v>Medium</v>
          </cell>
          <cell r="AB87" t="str">
            <v>Mid</v>
          </cell>
          <cell r="AC87" t="str">
            <v>Low</v>
          </cell>
          <cell r="AD87">
            <v>112</v>
          </cell>
        </row>
        <row r="88">
          <cell r="A88">
            <v>23</v>
          </cell>
          <cell r="B88" t="str">
            <v>No</v>
          </cell>
          <cell r="C88" t="str">
            <v>Sales</v>
          </cell>
          <cell r="D88">
            <v>2</v>
          </cell>
          <cell r="E88">
            <v>1</v>
          </cell>
          <cell r="F88" t="str">
            <v>Technical Degree</v>
          </cell>
          <cell r="G88">
            <v>3</v>
          </cell>
          <cell r="H88" t="str">
            <v>Male</v>
          </cell>
          <cell r="I88">
            <v>3</v>
          </cell>
          <cell r="J88">
            <v>1</v>
          </cell>
          <cell r="K88" t="str">
            <v>Sales Representative</v>
          </cell>
          <cell r="L88">
            <v>1</v>
          </cell>
          <cell r="M88" t="str">
            <v>Divorced</v>
          </cell>
          <cell r="N88">
            <v>2322</v>
          </cell>
          <cell r="O88">
            <v>3</v>
          </cell>
          <cell r="P88" t="str">
            <v>No</v>
          </cell>
          <cell r="Q88">
            <v>3</v>
          </cell>
          <cell r="R88">
            <v>3</v>
          </cell>
          <cell r="S88">
            <v>3</v>
          </cell>
          <cell r="T88">
            <v>0</v>
          </cell>
          <cell r="U88">
            <v>0</v>
          </cell>
          <cell r="V88">
            <v>0</v>
          </cell>
          <cell r="W88">
            <v>0</v>
          </cell>
          <cell r="X88">
            <v>13</v>
          </cell>
          <cell r="Y88">
            <v>0</v>
          </cell>
          <cell r="Z88" t="str">
            <v>Young</v>
          </cell>
          <cell r="AA88" t="str">
            <v>Low</v>
          </cell>
          <cell r="AB88" t="str">
            <v>Early</v>
          </cell>
          <cell r="AC88" t="str">
            <v>Medium</v>
          </cell>
          <cell r="AD88">
            <v>113</v>
          </cell>
        </row>
        <row r="89">
          <cell r="A89">
            <v>51</v>
          </cell>
          <cell r="B89" t="str">
            <v>No</v>
          </cell>
          <cell r="C89" t="str">
            <v>Research &amp; Development</v>
          </cell>
          <cell r="D89">
            <v>9</v>
          </cell>
          <cell r="E89">
            <v>4</v>
          </cell>
          <cell r="F89" t="str">
            <v>Life Sciences</v>
          </cell>
          <cell r="G89">
            <v>4</v>
          </cell>
          <cell r="H89" t="str">
            <v>Male</v>
          </cell>
          <cell r="I89">
            <v>3</v>
          </cell>
          <cell r="J89">
            <v>1</v>
          </cell>
          <cell r="K89" t="str">
            <v>Laboratory Technician</v>
          </cell>
          <cell r="L89">
            <v>4</v>
          </cell>
          <cell r="M89" t="str">
            <v>Married</v>
          </cell>
          <cell r="N89">
            <v>2075</v>
          </cell>
          <cell r="O89">
            <v>3</v>
          </cell>
          <cell r="P89" t="str">
            <v>No</v>
          </cell>
          <cell r="Q89">
            <v>2</v>
          </cell>
          <cell r="R89">
            <v>10</v>
          </cell>
          <cell r="S89">
            <v>3</v>
          </cell>
          <cell r="T89">
            <v>4</v>
          </cell>
          <cell r="U89">
            <v>2</v>
          </cell>
          <cell r="V89">
            <v>0</v>
          </cell>
          <cell r="W89">
            <v>3</v>
          </cell>
          <cell r="X89">
            <v>23</v>
          </cell>
          <cell r="Y89">
            <v>0</v>
          </cell>
          <cell r="Z89" t="str">
            <v>Senior</v>
          </cell>
          <cell r="AA89" t="str">
            <v>Low</v>
          </cell>
          <cell r="AB89" t="str">
            <v>Mid</v>
          </cell>
          <cell r="AC89" t="str">
            <v>High</v>
          </cell>
          <cell r="AD89">
            <v>116</v>
          </cell>
        </row>
        <row r="90">
          <cell r="A90">
            <v>30</v>
          </cell>
          <cell r="B90" t="str">
            <v>No</v>
          </cell>
          <cell r="C90" t="str">
            <v>Research &amp; Development</v>
          </cell>
          <cell r="D90">
            <v>2</v>
          </cell>
          <cell r="E90">
            <v>3</v>
          </cell>
          <cell r="F90" t="str">
            <v>Life Sciences</v>
          </cell>
          <cell r="G90">
            <v>3</v>
          </cell>
          <cell r="H90" t="str">
            <v>Male</v>
          </cell>
          <cell r="I90">
            <v>2</v>
          </cell>
          <cell r="J90">
            <v>2</v>
          </cell>
          <cell r="K90" t="str">
            <v>Healthcare Representative</v>
          </cell>
          <cell r="L90">
            <v>4</v>
          </cell>
          <cell r="M90" t="str">
            <v>Married</v>
          </cell>
          <cell r="N90">
            <v>4152</v>
          </cell>
          <cell r="O90">
            <v>1</v>
          </cell>
          <cell r="P90" t="str">
            <v>No</v>
          </cell>
          <cell r="Q90">
            <v>1</v>
          </cell>
          <cell r="R90">
            <v>11</v>
          </cell>
          <cell r="S90">
            <v>3</v>
          </cell>
          <cell r="T90">
            <v>11</v>
          </cell>
          <cell r="U90">
            <v>10</v>
          </cell>
          <cell r="V90">
            <v>10</v>
          </cell>
          <cell r="W90">
            <v>8</v>
          </cell>
          <cell r="X90">
            <v>19</v>
          </cell>
          <cell r="Y90">
            <v>0</v>
          </cell>
          <cell r="Z90" t="str">
            <v>Mid</v>
          </cell>
          <cell r="AA90" t="str">
            <v>Low</v>
          </cell>
          <cell r="AB90" t="str">
            <v>Long</v>
          </cell>
          <cell r="AC90" t="str">
            <v>High</v>
          </cell>
          <cell r="AD90">
            <v>117</v>
          </cell>
        </row>
        <row r="91">
          <cell r="A91">
            <v>46</v>
          </cell>
          <cell r="B91" t="str">
            <v>Yes</v>
          </cell>
          <cell r="C91" t="str">
            <v>Sales</v>
          </cell>
          <cell r="D91">
            <v>9</v>
          </cell>
          <cell r="E91">
            <v>2</v>
          </cell>
          <cell r="F91" t="str">
            <v>Medical</v>
          </cell>
          <cell r="G91">
            <v>3</v>
          </cell>
          <cell r="H91" t="str">
            <v>Male</v>
          </cell>
          <cell r="I91">
            <v>2</v>
          </cell>
          <cell r="J91">
            <v>3</v>
          </cell>
          <cell r="K91" t="str">
            <v>Sales Executive</v>
          </cell>
          <cell r="L91">
            <v>4</v>
          </cell>
          <cell r="M91" t="str">
            <v>Single</v>
          </cell>
          <cell r="N91">
            <v>9619</v>
          </cell>
          <cell r="O91">
            <v>1</v>
          </cell>
          <cell r="P91" t="str">
            <v>No</v>
          </cell>
          <cell r="Q91">
            <v>4</v>
          </cell>
          <cell r="R91">
            <v>9</v>
          </cell>
          <cell r="S91">
            <v>3</v>
          </cell>
          <cell r="T91">
            <v>9</v>
          </cell>
          <cell r="U91">
            <v>8</v>
          </cell>
          <cell r="V91">
            <v>4</v>
          </cell>
          <cell r="W91">
            <v>7</v>
          </cell>
          <cell r="X91">
            <v>16</v>
          </cell>
          <cell r="Y91">
            <v>1</v>
          </cell>
          <cell r="Z91" t="str">
            <v>Senior</v>
          </cell>
          <cell r="AA91" t="str">
            <v>Medium</v>
          </cell>
          <cell r="AB91" t="str">
            <v>Long</v>
          </cell>
          <cell r="AC91" t="str">
            <v>Medium</v>
          </cell>
          <cell r="AD91">
            <v>118</v>
          </cell>
        </row>
        <row r="92">
          <cell r="A92">
            <v>40</v>
          </cell>
          <cell r="B92" t="str">
            <v>No</v>
          </cell>
          <cell r="C92" t="str">
            <v>Research &amp; Development</v>
          </cell>
          <cell r="D92">
            <v>1</v>
          </cell>
          <cell r="E92">
            <v>4</v>
          </cell>
          <cell r="F92" t="str">
            <v>Life Sciences</v>
          </cell>
          <cell r="G92">
            <v>3</v>
          </cell>
          <cell r="H92" t="str">
            <v>Male</v>
          </cell>
          <cell r="I92">
            <v>2</v>
          </cell>
          <cell r="J92">
            <v>4</v>
          </cell>
          <cell r="K92" t="str">
            <v>Healthcare Representative</v>
          </cell>
          <cell r="L92">
            <v>2</v>
          </cell>
          <cell r="M92" t="str">
            <v>Married</v>
          </cell>
          <cell r="N92">
            <v>13503</v>
          </cell>
          <cell r="O92">
            <v>1</v>
          </cell>
          <cell r="P92" t="str">
            <v>No</v>
          </cell>
          <cell r="Q92">
            <v>4</v>
          </cell>
          <cell r="R92">
            <v>22</v>
          </cell>
          <cell r="S92">
            <v>2</v>
          </cell>
          <cell r="T92">
            <v>22</v>
          </cell>
          <cell r="U92">
            <v>3</v>
          </cell>
          <cell r="V92">
            <v>11</v>
          </cell>
          <cell r="W92">
            <v>11</v>
          </cell>
          <cell r="X92">
            <v>22</v>
          </cell>
          <cell r="Y92">
            <v>0</v>
          </cell>
          <cell r="Z92" t="str">
            <v>Mid</v>
          </cell>
          <cell r="AA92" t="str">
            <v>High</v>
          </cell>
          <cell r="AB92" t="str">
            <v>Long</v>
          </cell>
          <cell r="AC92" t="str">
            <v>High</v>
          </cell>
          <cell r="AD92">
            <v>119</v>
          </cell>
        </row>
        <row r="93">
          <cell r="A93">
            <v>51</v>
          </cell>
          <cell r="B93" t="str">
            <v>No</v>
          </cell>
          <cell r="C93" t="str">
            <v>Sales</v>
          </cell>
          <cell r="D93">
            <v>21</v>
          </cell>
          <cell r="E93">
            <v>4</v>
          </cell>
          <cell r="F93" t="str">
            <v>Marketing</v>
          </cell>
          <cell r="G93">
            <v>3</v>
          </cell>
          <cell r="H93" t="str">
            <v>Male</v>
          </cell>
          <cell r="I93">
            <v>3</v>
          </cell>
          <cell r="J93">
            <v>2</v>
          </cell>
          <cell r="K93" t="str">
            <v>Sales Executive</v>
          </cell>
          <cell r="L93">
            <v>4</v>
          </cell>
          <cell r="M93" t="str">
            <v>Single</v>
          </cell>
          <cell r="N93">
            <v>5441</v>
          </cell>
          <cell r="O93">
            <v>0</v>
          </cell>
          <cell r="P93" t="str">
            <v>Yes</v>
          </cell>
          <cell r="Q93">
            <v>4</v>
          </cell>
          <cell r="R93">
            <v>11</v>
          </cell>
          <cell r="S93">
            <v>1</v>
          </cell>
          <cell r="T93">
            <v>10</v>
          </cell>
          <cell r="U93">
            <v>7</v>
          </cell>
          <cell r="V93">
            <v>1</v>
          </cell>
          <cell r="W93">
            <v>0</v>
          </cell>
          <cell r="X93">
            <v>22</v>
          </cell>
          <cell r="Y93">
            <v>0</v>
          </cell>
          <cell r="Z93" t="str">
            <v>Senior</v>
          </cell>
          <cell r="AA93" t="str">
            <v>Medium</v>
          </cell>
          <cell r="AB93" t="str">
            <v>Long</v>
          </cell>
          <cell r="AC93" t="str">
            <v>High</v>
          </cell>
          <cell r="AD93">
            <v>120</v>
          </cell>
        </row>
        <row r="94">
          <cell r="A94">
            <v>30</v>
          </cell>
          <cell r="B94" t="str">
            <v>No</v>
          </cell>
          <cell r="C94" t="str">
            <v>Sales</v>
          </cell>
          <cell r="D94">
            <v>4</v>
          </cell>
          <cell r="E94">
            <v>2</v>
          </cell>
          <cell r="F94" t="str">
            <v>Medical</v>
          </cell>
          <cell r="G94">
            <v>3</v>
          </cell>
          <cell r="H94" t="str">
            <v>Female</v>
          </cell>
          <cell r="I94">
            <v>2</v>
          </cell>
          <cell r="J94">
            <v>2</v>
          </cell>
          <cell r="K94" t="str">
            <v>Sales Executive</v>
          </cell>
          <cell r="L94">
            <v>2</v>
          </cell>
          <cell r="M94" t="str">
            <v>Divorced</v>
          </cell>
          <cell r="N94">
            <v>5209</v>
          </cell>
          <cell r="O94">
            <v>1</v>
          </cell>
          <cell r="P94" t="str">
            <v>Yes</v>
          </cell>
          <cell r="Q94">
            <v>2</v>
          </cell>
          <cell r="R94">
            <v>11</v>
          </cell>
          <cell r="S94">
            <v>2</v>
          </cell>
          <cell r="T94">
            <v>11</v>
          </cell>
          <cell r="U94">
            <v>8</v>
          </cell>
          <cell r="V94">
            <v>2</v>
          </cell>
          <cell r="W94">
            <v>7</v>
          </cell>
          <cell r="X94">
            <v>12</v>
          </cell>
          <cell r="Y94">
            <v>0</v>
          </cell>
          <cell r="Z94" t="str">
            <v>Mid</v>
          </cell>
          <cell r="AA94" t="str">
            <v>Medium</v>
          </cell>
          <cell r="AB94" t="str">
            <v>Long</v>
          </cell>
          <cell r="AC94" t="str">
            <v>Low</v>
          </cell>
          <cell r="AD94">
            <v>121</v>
          </cell>
        </row>
        <row r="95">
          <cell r="A95">
            <v>46</v>
          </cell>
          <cell r="B95" t="str">
            <v>No</v>
          </cell>
          <cell r="C95" t="str">
            <v>Research &amp; Development</v>
          </cell>
          <cell r="D95">
            <v>1</v>
          </cell>
          <cell r="E95">
            <v>3</v>
          </cell>
          <cell r="F95" t="str">
            <v>Medical</v>
          </cell>
          <cell r="G95">
            <v>3</v>
          </cell>
          <cell r="H95" t="str">
            <v>Male</v>
          </cell>
          <cell r="I95">
            <v>2</v>
          </cell>
          <cell r="J95">
            <v>3</v>
          </cell>
          <cell r="K95" t="str">
            <v>Healthcare Representative</v>
          </cell>
          <cell r="L95">
            <v>1</v>
          </cell>
          <cell r="M95" t="str">
            <v>Married</v>
          </cell>
          <cell r="N95">
            <v>10673</v>
          </cell>
          <cell r="O95">
            <v>2</v>
          </cell>
          <cell r="P95" t="str">
            <v>Yes</v>
          </cell>
          <cell r="Q95">
            <v>3</v>
          </cell>
          <cell r="R95">
            <v>21</v>
          </cell>
          <cell r="S95">
            <v>2</v>
          </cell>
          <cell r="T95">
            <v>10</v>
          </cell>
          <cell r="U95">
            <v>9</v>
          </cell>
          <cell r="V95">
            <v>9</v>
          </cell>
          <cell r="W95">
            <v>5</v>
          </cell>
          <cell r="X95">
            <v>13</v>
          </cell>
          <cell r="Y95">
            <v>0</v>
          </cell>
          <cell r="Z95" t="str">
            <v>Senior</v>
          </cell>
          <cell r="AA95" t="str">
            <v>High</v>
          </cell>
          <cell r="AB95" t="str">
            <v>Long</v>
          </cell>
          <cell r="AC95" t="str">
            <v>Medium</v>
          </cell>
          <cell r="AD95">
            <v>124</v>
          </cell>
        </row>
        <row r="96">
          <cell r="A96">
            <v>32</v>
          </cell>
          <cell r="B96" t="str">
            <v>No</v>
          </cell>
          <cell r="C96" t="str">
            <v>Sales</v>
          </cell>
          <cell r="D96">
            <v>6</v>
          </cell>
          <cell r="E96">
            <v>4</v>
          </cell>
          <cell r="F96" t="str">
            <v>Medical</v>
          </cell>
          <cell r="G96">
            <v>2</v>
          </cell>
          <cell r="H96" t="str">
            <v>Male</v>
          </cell>
          <cell r="I96">
            <v>3</v>
          </cell>
          <cell r="J96">
            <v>2</v>
          </cell>
          <cell r="K96" t="str">
            <v>Sales Executive</v>
          </cell>
          <cell r="L96">
            <v>3</v>
          </cell>
          <cell r="M96" t="str">
            <v>Single</v>
          </cell>
          <cell r="N96">
            <v>5010</v>
          </cell>
          <cell r="O96">
            <v>1</v>
          </cell>
          <cell r="P96" t="str">
            <v>No</v>
          </cell>
          <cell r="Q96">
            <v>1</v>
          </cell>
          <cell r="R96">
            <v>12</v>
          </cell>
          <cell r="S96">
            <v>3</v>
          </cell>
          <cell r="T96">
            <v>11</v>
          </cell>
          <cell r="U96">
            <v>8</v>
          </cell>
          <cell r="V96">
            <v>5</v>
          </cell>
          <cell r="W96">
            <v>7</v>
          </cell>
          <cell r="X96">
            <v>16</v>
          </cell>
          <cell r="Y96">
            <v>0</v>
          </cell>
          <cell r="Z96" t="str">
            <v>Mid</v>
          </cell>
          <cell r="AA96" t="str">
            <v>Medium</v>
          </cell>
          <cell r="AB96" t="str">
            <v>Long</v>
          </cell>
          <cell r="AC96" t="str">
            <v>Medium</v>
          </cell>
          <cell r="AD96">
            <v>125</v>
          </cell>
        </row>
        <row r="97">
          <cell r="A97">
            <v>54</v>
          </cell>
          <cell r="B97" t="str">
            <v>No</v>
          </cell>
          <cell r="C97" t="str">
            <v>Research &amp; Development</v>
          </cell>
          <cell r="D97">
            <v>2</v>
          </cell>
          <cell r="E97">
            <v>4</v>
          </cell>
          <cell r="F97" t="str">
            <v>Technical Degree</v>
          </cell>
          <cell r="G97">
            <v>1</v>
          </cell>
          <cell r="H97" t="str">
            <v>Female</v>
          </cell>
          <cell r="I97">
            <v>3</v>
          </cell>
          <cell r="J97">
            <v>3</v>
          </cell>
          <cell r="K97" t="str">
            <v>Research Director</v>
          </cell>
          <cell r="L97">
            <v>3</v>
          </cell>
          <cell r="M97" t="str">
            <v>Married</v>
          </cell>
          <cell r="N97">
            <v>13549</v>
          </cell>
          <cell r="O97">
            <v>9</v>
          </cell>
          <cell r="P97" t="str">
            <v>No</v>
          </cell>
          <cell r="Q97">
            <v>1</v>
          </cell>
          <cell r="R97">
            <v>16</v>
          </cell>
          <cell r="S97">
            <v>1</v>
          </cell>
          <cell r="T97">
            <v>4</v>
          </cell>
          <cell r="U97">
            <v>3</v>
          </cell>
          <cell r="V97">
            <v>0</v>
          </cell>
          <cell r="W97">
            <v>3</v>
          </cell>
          <cell r="X97">
            <v>12</v>
          </cell>
          <cell r="Y97">
            <v>0</v>
          </cell>
          <cell r="Z97" t="str">
            <v>Senior</v>
          </cell>
          <cell r="AA97" t="str">
            <v>High</v>
          </cell>
          <cell r="AB97" t="str">
            <v>Mid</v>
          </cell>
          <cell r="AC97" t="str">
            <v>Low</v>
          </cell>
          <cell r="AD97">
            <v>126</v>
          </cell>
        </row>
        <row r="98">
          <cell r="A98">
            <v>24</v>
          </cell>
          <cell r="B98" t="str">
            <v>No</v>
          </cell>
          <cell r="C98" t="str">
            <v>Sales</v>
          </cell>
          <cell r="D98">
            <v>3</v>
          </cell>
          <cell r="E98">
            <v>2</v>
          </cell>
          <cell r="F98" t="str">
            <v>Other</v>
          </cell>
          <cell r="G98">
            <v>1</v>
          </cell>
          <cell r="H98" t="str">
            <v>Female</v>
          </cell>
          <cell r="I98">
            <v>3</v>
          </cell>
          <cell r="J98">
            <v>2</v>
          </cell>
          <cell r="K98" t="str">
            <v>Sales Executive</v>
          </cell>
          <cell r="L98">
            <v>3</v>
          </cell>
          <cell r="M98" t="str">
            <v>Married</v>
          </cell>
          <cell r="N98">
            <v>4999</v>
          </cell>
          <cell r="O98">
            <v>0</v>
          </cell>
          <cell r="P98" t="str">
            <v>No</v>
          </cell>
          <cell r="Q98">
            <v>1</v>
          </cell>
          <cell r="R98">
            <v>4</v>
          </cell>
          <cell r="S98">
            <v>2</v>
          </cell>
          <cell r="T98">
            <v>3</v>
          </cell>
          <cell r="U98">
            <v>2</v>
          </cell>
          <cell r="V98">
            <v>0</v>
          </cell>
          <cell r="W98">
            <v>2</v>
          </cell>
          <cell r="X98">
            <v>21</v>
          </cell>
          <cell r="Y98">
            <v>0</v>
          </cell>
          <cell r="Z98" t="str">
            <v>Young</v>
          </cell>
          <cell r="AA98" t="str">
            <v>Low</v>
          </cell>
          <cell r="AB98" t="str">
            <v>Mid</v>
          </cell>
          <cell r="AC98" t="str">
            <v>High</v>
          </cell>
          <cell r="AD98">
            <v>128</v>
          </cell>
        </row>
        <row r="99">
          <cell r="A99">
            <v>28</v>
          </cell>
          <cell r="B99" t="str">
            <v>No</v>
          </cell>
          <cell r="C99" t="str">
            <v>Sales</v>
          </cell>
          <cell r="D99">
            <v>4</v>
          </cell>
          <cell r="E99">
            <v>3</v>
          </cell>
          <cell r="F99" t="str">
            <v>Medical</v>
          </cell>
          <cell r="G99">
            <v>2</v>
          </cell>
          <cell r="H99" t="str">
            <v>Male</v>
          </cell>
          <cell r="I99">
            <v>3</v>
          </cell>
          <cell r="J99">
            <v>2</v>
          </cell>
          <cell r="K99" t="str">
            <v>Sales Executive</v>
          </cell>
          <cell r="L99">
            <v>3</v>
          </cell>
          <cell r="M99" t="str">
            <v>Married</v>
          </cell>
          <cell r="N99">
            <v>4221</v>
          </cell>
          <cell r="O99">
            <v>1</v>
          </cell>
          <cell r="P99" t="str">
            <v>No</v>
          </cell>
          <cell r="Q99">
            <v>2</v>
          </cell>
          <cell r="R99">
            <v>5</v>
          </cell>
          <cell r="S99">
            <v>4</v>
          </cell>
          <cell r="T99">
            <v>5</v>
          </cell>
          <cell r="U99">
            <v>4</v>
          </cell>
          <cell r="V99">
            <v>0</v>
          </cell>
          <cell r="W99">
            <v>4</v>
          </cell>
          <cell r="X99">
            <v>15</v>
          </cell>
          <cell r="Y99">
            <v>0</v>
          </cell>
          <cell r="Z99" t="str">
            <v>Young</v>
          </cell>
          <cell r="AA99" t="str">
            <v>Low</v>
          </cell>
          <cell r="AB99" t="str">
            <v>Mid</v>
          </cell>
          <cell r="AC99" t="str">
            <v>Medium</v>
          </cell>
          <cell r="AD99">
            <v>129</v>
          </cell>
        </row>
        <row r="100">
          <cell r="A100">
            <v>58</v>
          </cell>
          <cell r="B100" t="str">
            <v>No</v>
          </cell>
          <cell r="C100" t="str">
            <v>Sales</v>
          </cell>
          <cell r="D100">
            <v>10</v>
          </cell>
          <cell r="E100">
            <v>4</v>
          </cell>
          <cell r="F100" t="str">
            <v>Medical</v>
          </cell>
          <cell r="G100">
            <v>4</v>
          </cell>
          <cell r="H100" t="str">
            <v>Male</v>
          </cell>
          <cell r="I100">
            <v>3</v>
          </cell>
          <cell r="J100">
            <v>4</v>
          </cell>
          <cell r="K100" t="str">
            <v>Sales Executive</v>
          </cell>
          <cell r="L100">
            <v>3</v>
          </cell>
          <cell r="M100" t="str">
            <v>Single</v>
          </cell>
          <cell r="N100">
            <v>13872</v>
          </cell>
          <cell r="O100">
            <v>0</v>
          </cell>
          <cell r="P100" t="str">
            <v>No</v>
          </cell>
          <cell r="Q100">
            <v>3</v>
          </cell>
          <cell r="R100">
            <v>38</v>
          </cell>
          <cell r="S100">
            <v>2</v>
          </cell>
          <cell r="T100">
            <v>37</v>
          </cell>
          <cell r="U100">
            <v>10</v>
          </cell>
          <cell r="V100">
            <v>1</v>
          </cell>
          <cell r="W100">
            <v>8</v>
          </cell>
          <cell r="X100">
            <v>13</v>
          </cell>
          <cell r="Y100">
            <v>0</v>
          </cell>
          <cell r="Z100" t="str">
            <v>Senior</v>
          </cell>
          <cell r="AA100" t="str">
            <v>High</v>
          </cell>
          <cell r="AB100" t="str">
            <v>Long</v>
          </cell>
          <cell r="AC100" t="str">
            <v>Medium</v>
          </cell>
          <cell r="AD100">
            <v>131</v>
          </cell>
        </row>
        <row r="101">
          <cell r="A101">
            <v>44</v>
          </cell>
          <cell r="B101" t="str">
            <v>No</v>
          </cell>
          <cell r="C101" t="str">
            <v>Research &amp; Development</v>
          </cell>
          <cell r="D101">
            <v>23</v>
          </cell>
          <cell r="E101">
            <v>3</v>
          </cell>
          <cell r="F101" t="str">
            <v>Medical</v>
          </cell>
          <cell r="G101">
            <v>2</v>
          </cell>
          <cell r="H101" t="str">
            <v>Male</v>
          </cell>
          <cell r="I101">
            <v>3</v>
          </cell>
          <cell r="J101">
            <v>2</v>
          </cell>
          <cell r="K101" t="str">
            <v>Laboratory Technician</v>
          </cell>
          <cell r="L101">
            <v>2</v>
          </cell>
          <cell r="M101" t="str">
            <v>Married</v>
          </cell>
          <cell r="N101">
            <v>2042</v>
          </cell>
          <cell r="O101">
            <v>4</v>
          </cell>
          <cell r="P101" t="str">
            <v>No</v>
          </cell>
          <cell r="Q101">
            <v>3</v>
          </cell>
          <cell r="R101">
            <v>17</v>
          </cell>
          <cell r="S101">
            <v>4</v>
          </cell>
          <cell r="T101">
            <v>3</v>
          </cell>
          <cell r="U101">
            <v>2</v>
          </cell>
          <cell r="V101">
            <v>1</v>
          </cell>
          <cell r="W101">
            <v>2</v>
          </cell>
          <cell r="X101">
            <v>12</v>
          </cell>
          <cell r="Y101">
            <v>0</v>
          </cell>
          <cell r="Z101" t="str">
            <v>Mid</v>
          </cell>
          <cell r="AA101" t="str">
            <v>Low</v>
          </cell>
          <cell r="AB101" t="str">
            <v>Mid</v>
          </cell>
          <cell r="AC101" t="str">
            <v>Low</v>
          </cell>
          <cell r="AD101">
            <v>132</v>
          </cell>
        </row>
        <row r="102">
          <cell r="A102">
            <v>37</v>
          </cell>
          <cell r="B102" t="str">
            <v>Yes</v>
          </cell>
          <cell r="C102" t="str">
            <v>Human Resources</v>
          </cell>
          <cell r="D102">
            <v>6</v>
          </cell>
          <cell r="E102">
            <v>4</v>
          </cell>
          <cell r="F102" t="str">
            <v>Human Resources</v>
          </cell>
          <cell r="G102">
            <v>3</v>
          </cell>
          <cell r="H102" t="str">
            <v>Male</v>
          </cell>
          <cell r="I102">
            <v>3</v>
          </cell>
          <cell r="J102">
            <v>1</v>
          </cell>
          <cell r="K102" t="str">
            <v>Human Resources</v>
          </cell>
          <cell r="L102">
            <v>1</v>
          </cell>
          <cell r="M102" t="str">
            <v>Divorced</v>
          </cell>
          <cell r="N102">
            <v>2073</v>
          </cell>
          <cell r="O102">
            <v>4</v>
          </cell>
          <cell r="P102" t="str">
            <v>Yes</v>
          </cell>
          <cell r="Q102">
            <v>4</v>
          </cell>
          <cell r="R102">
            <v>7</v>
          </cell>
          <cell r="S102">
            <v>3</v>
          </cell>
          <cell r="T102">
            <v>3</v>
          </cell>
          <cell r="U102">
            <v>2</v>
          </cell>
          <cell r="V102">
            <v>0</v>
          </cell>
          <cell r="W102">
            <v>2</v>
          </cell>
          <cell r="X102">
            <v>22</v>
          </cell>
          <cell r="Y102">
            <v>1</v>
          </cell>
          <cell r="Z102" t="str">
            <v>Mid</v>
          </cell>
          <cell r="AA102" t="str">
            <v>Low</v>
          </cell>
          <cell r="AB102" t="str">
            <v>Mid</v>
          </cell>
          <cell r="AC102" t="str">
            <v>High</v>
          </cell>
          <cell r="AD102">
            <v>133</v>
          </cell>
        </row>
        <row r="103">
          <cell r="A103">
            <v>32</v>
          </cell>
          <cell r="B103" t="str">
            <v>No</v>
          </cell>
          <cell r="C103" t="str">
            <v>Research &amp; Development</v>
          </cell>
          <cell r="D103">
            <v>1</v>
          </cell>
          <cell r="E103">
            <v>1</v>
          </cell>
          <cell r="F103" t="str">
            <v>Life Sciences</v>
          </cell>
          <cell r="G103">
            <v>4</v>
          </cell>
          <cell r="H103" t="str">
            <v>Male</v>
          </cell>
          <cell r="I103">
            <v>3</v>
          </cell>
          <cell r="J103">
            <v>1</v>
          </cell>
          <cell r="K103" t="str">
            <v>Research Scientist</v>
          </cell>
          <cell r="L103">
            <v>1</v>
          </cell>
          <cell r="M103" t="str">
            <v>Single</v>
          </cell>
          <cell r="N103">
            <v>2956</v>
          </cell>
          <cell r="O103">
            <v>1</v>
          </cell>
          <cell r="P103" t="str">
            <v>No</v>
          </cell>
          <cell r="Q103">
            <v>4</v>
          </cell>
          <cell r="R103">
            <v>1</v>
          </cell>
          <cell r="S103">
            <v>3</v>
          </cell>
          <cell r="T103">
            <v>1</v>
          </cell>
          <cell r="U103">
            <v>0</v>
          </cell>
          <cell r="V103">
            <v>0</v>
          </cell>
          <cell r="W103">
            <v>0</v>
          </cell>
          <cell r="X103">
            <v>13</v>
          </cell>
          <cell r="Y103">
            <v>0</v>
          </cell>
          <cell r="Z103" t="str">
            <v>Mid</v>
          </cell>
          <cell r="AA103" t="str">
            <v>Low</v>
          </cell>
          <cell r="AB103" t="str">
            <v>Early</v>
          </cell>
          <cell r="AC103" t="str">
            <v>Medium</v>
          </cell>
          <cell r="AD103">
            <v>134</v>
          </cell>
        </row>
        <row r="104">
          <cell r="A104">
            <v>20</v>
          </cell>
          <cell r="B104" t="str">
            <v>Yes</v>
          </cell>
          <cell r="C104" t="str">
            <v>Research &amp; Development</v>
          </cell>
          <cell r="D104">
            <v>6</v>
          </cell>
          <cell r="E104">
            <v>3</v>
          </cell>
          <cell r="F104" t="str">
            <v>Life Sciences</v>
          </cell>
          <cell r="G104">
            <v>4</v>
          </cell>
          <cell r="H104" t="str">
            <v>Female</v>
          </cell>
          <cell r="I104">
            <v>2</v>
          </cell>
          <cell r="J104">
            <v>1</v>
          </cell>
          <cell r="K104" t="str">
            <v>Laboratory Technician</v>
          </cell>
          <cell r="L104">
            <v>4</v>
          </cell>
          <cell r="M104" t="str">
            <v>Single</v>
          </cell>
          <cell r="N104">
            <v>2926</v>
          </cell>
          <cell r="O104">
            <v>1</v>
          </cell>
          <cell r="P104" t="str">
            <v>Yes</v>
          </cell>
          <cell r="Q104">
            <v>2</v>
          </cell>
          <cell r="R104">
            <v>1</v>
          </cell>
          <cell r="S104">
            <v>3</v>
          </cell>
          <cell r="T104">
            <v>1</v>
          </cell>
          <cell r="U104">
            <v>0</v>
          </cell>
          <cell r="V104">
            <v>1</v>
          </cell>
          <cell r="W104">
            <v>0</v>
          </cell>
          <cell r="X104">
            <v>18</v>
          </cell>
          <cell r="Y104">
            <v>1</v>
          </cell>
          <cell r="Z104" t="str">
            <v>Young</v>
          </cell>
          <cell r="AA104" t="str">
            <v>Low</v>
          </cell>
          <cell r="AB104" t="str">
            <v>Early</v>
          </cell>
          <cell r="AC104" t="str">
            <v>High</v>
          </cell>
          <cell r="AD104">
            <v>137</v>
          </cell>
        </row>
        <row r="105">
          <cell r="A105">
            <v>34</v>
          </cell>
          <cell r="B105" t="str">
            <v>No</v>
          </cell>
          <cell r="C105" t="str">
            <v>Research &amp; Development</v>
          </cell>
          <cell r="D105">
            <v>6</v>
          </cell>
          <cell r="E105">
            <v>4</v>
          </cell>
          <cell r="F105" t="str">
            <v>Other</v>
          </cell>
          <cell r="G105">
            <v>1</v>
          </cell>
          <cell r="H105" t="str">
            <v>Female</v>
          </cell>
          <cell r="I105">
            <v>3</v>
          </cell>
          <cell r="J105">
            <v>2</v>
          </cell>
          <cell r="K105" t="str">
            <v>Research Scientist</v>
          </cell>
          <cell r="L105">
            <v>3</v>
          </cell>
          <cell r="M105" t="str">
            <v>Single</v>
          </cell>
          <cell r="N105">
            <v>4809</v>
          </cell>
          <cell r="O105">
            <v>1</v>
          </cell>
          <cell r="P105" t="str">
            <v>No</v>
          </cell>
          <cell r="Q105">
            <v>3</v>
          </cell>
          <cell r="R105">
            <v>16</v>
          </cell>
          <cell r="S105">
            <v>3</v>
          </cell>
          <cell r="T105">
            <v>16</v>
          </cell>
          <cell r="U105">
            <v>13</v>
          </cell>
          <cell r="V105">
            <v>2</v>
          </cell>
          <cell r="W105">
            <v>10</v>
          </cell>
          <cell r="X105">
            <v>14</v>
          </cell>
          <cell r="Y105">
            <v>0</v>
          </cell>
          <cell r="Z105" t="str">
            <v>Mid</v>
          </cell>
          <cell r="AA105" t="str">
            <v>Low</v>
          </cell>
          <cell r="AB105" t="str">
            <v>Long</v>
          </cell>
          <cell r="AC105" t="str">
            <v>Medium</v>
          </cell>
          <cell r="AD105">
            <v>138</v>
          </cell>
        </row>
        <row r="106">
          <cell r="A106">
            <v>37</v>
          </cell>
          <cell r="B106" t="str">
            <v>No</v>
          </cell>
          <cell r="C106" t="str">
            <v>Research &amp; Development</v>
          </cell>
          <cell r="D106">
            <v>2</v>
          </cell>
          <cell r="E106">
            <v>2</v>
          </cell>
          <cell r="F106" t="str">
            <v>Life Sciences</v>
          </cell>
          <cell r="G106">
            <v>3</v>
          </cell>
          <cell r="H106" t="str">
            <v>Male</v>
          </cell>
          <cell r="I106">
            <v>2</v>
          </cell>
          <cell r="J106">
            <v>2</v>
          </cell>
          <cell r="K106" t="str">
            <v>Healthcare Representative</v>
          </cell>
          <cell r="L106">
            <v>4</v>
          </cell>
          <cell r="M106" t="str">
            <v>Divorced</v>
          </cell>
          <cell r="N106">
            <v>5163</v>
          </cell>
          <cell r="O106">
            <v>5</v>
          </cell>
          <cell r="P106" t="str">
            <v>No</v>
          </cell>
          <cell r="Q106">
            <v>4</v>
          </cell>
          <cell r="R106">
            <v>17</v>
          </cell>
          <cell r="S106">
            <v>4</v>
          </cell>
          <cell r="T106">
            <v>1</v>
          </cell>
          <cell r="U106">
            <v>0</v>
          </cell>
          <cell r="V106">
            <v>0</v>
          </cell>
          <cell r="W106">
            <v>0</v>
          </cell>
          <cell r="X106">
            <v>14</v>
          </cell>
          <cell r="Y106">
            <v>0</v>
          </cell>
          <cell r="Z106" t="str">
            <v>Mid</v>
          </cell>
          <cell r="AA106" t="str">
            <v>Medium</v>
          </cell>
          <cell r="AB106" t="str">
            <v>Early</v>
          </cell>
          <cell r="AC106" t="str">
            <v>Medium</v>
          </cell>
          <cell r="AD106">
            <v>139</v>
          </cell>
        </row>
        <row r="107">
          <cell r="A107">
            <v>59</v>
          </cell>
          <cell r="B107" t="str">
            <v>No</v>
          </cell>
          <cell r="C107" t="str">
            <v>Human Resources</v>
          </cell>
          <cell r="D107">
            <v>2</v>
          </cell>
          <cell r="E107">
            <v>4</v>
          </cell>
          <cell r="F107" t="str">
            <v>Human Resources</v>
          </cell>
          <cell r="G107">
            <v>3</v>
          </cell>
          <cell r="H107" t="str">
            <v>Female</v>
          </cell>
          <cell r="I107">
            <v>2</v>
          </cell>
          <cell r="J107">
            <v>5</v>
          </cell>
          <cell r="K107" t="str">
            <v>Manager</v>
          </cell>
          <cell r="L107">
            <v>4</v>
          </cell>
          <cell r="M107" t="str">
            <v>Married</v>
          </cell>
          <cell r="N107">
            <v>18844</v>
          </cell>
          <cell r="O107">
            <v>9</v>
          </cell>
          <cell r="P107" t="str">
            <v>No</v>
          </cell>
          <cell r="Q107">
            <v>4</v>
          </cell>
          <cell r="R107">
            <v>30</v>
          </cell>
          <cell r="S107">
            <v>3</v>
          </cell>
          <cell r="T107">
            <v>3</v>
          </cell>
          <cell r="U107">
            <v>2</v>
          </cell>
          <cell r="V107">
            <v>2</v>
          </cell>
          <cell r="W107">
            <v>2</v>
          </cell>
          <cell r="X107">
            <v>21</v>
          </cell>
          <cell r="Y107">
            <v>0</v>
          </cell>
          <cell r="Z107" t="str">
            <v>Senior</v>
          </cell>
          <cell r="AA107" t="str">
            <v>High</v>
          </cell>
          <cell r="AB107" t="str">
            <v>Mid</v>
          </cell>
          <cell r="AC107" t="str">
            <v>High</v>
          </cell>
          <cell r="AD107">
            <v>140</v>
          </cell>
        </row>
        <row r="108">
          <cell r="A108">
            <v>50</v>
          </cell>
          <cell r="B108" t="str">
            <v>No</v>
          </cell>
          <cell r="C108" t="str">
            <v>Research &amp; Development</v>
          </cell>
          <cell r="D108">
            <v>1</v>
          </cell>
          <cell r="E108">
            <v>3</v>
          </cell>
          <cell r="F108" t="str">
            <v>Life Sciences</v>
          </cell>
          <cell r="G108">
            <v>1</v>
          </cell>
          <cell r="H108" t="str">
            <v>Female</v>
          </cell>
          <cell r="I108">
            <v>3</v>
          </cell>
          <cell r="J108">
            <v>5</v>
          </cell>
          <cell r="K108" t="str">
            <v>Research Director</v>
          </cell>
          <cell r="L108">
            <v>2</v>
          </cell>
          <cell r="M108" t="str">
            <v>Married</v>
          </cell>
          <cell r="N108">
            <v>18172</v>
          </cell>
          <cell r="O108">
            <v>3</v>
          </cell>
          <cell r="P108" t="str">
            <v>Yes</v>
          </cell>
          <cell r="Q108">
            <v>1</v>
          </cell>
          <cell r="R108">
            <v>28</v>
          </cell>
          <cell r="S108">
            <v>2</v>
          </cell>
          <cell r="T108">
            <v>8</v>
          </cell>
          <cell r="U108">
            <v>3</v>
          </cell>
          <cell r="V108">
            <v>0</v>
          </cell>
          <cell r="W108">
            <v>7</v>
          </cell>
          <cell r="X108">
            <v>19</v>
          </cell>
          <cell r="Y108">
            <v>0</v>
          </cell>
          <cell r="Z108" t="str">
            <v>Senior</v>
          </cell>
          <cell r="AA108" t="str">
            <v>High</v>
          </cell>
          <cell r="AB108" t="str">
            <v>Long</v>
          </cell>
          <cell r="AC108" t="str">
            <v>High</v>
          </cell>
          <cell r="AD108">
            <v>141</v>
          </cell>
        </row>
        <row r="109">
          <cell r="A109">
            <v>25</v>
          </cell>
          <cell r="B109" t="str">
            <v>Yes</v>
          </cell>
          <cell r="C109" t="str">
            <v>Sales</v>
          </cell>
          <cell r="D109">
            <v>5</v>
          </cell>
          <cell r="E109">
            <v>3</v>
          </cell>
          <cell r="F109" t="str">
            <v>Marketing</v>
          </cell>
          <cell r="G109">
            <v>3</v>
          </cell>
          <cell r="H109" t="str">
            <v>Male</v>
          </cell>
          <cell r="I109">
            <v>2</v>
          </cell>
          <cell r="J109">
            <v>2</v>
          </cell>
          <cell r="K109" t="str">
            <v>Sales Executive</v>
          </cell>
          <cell r="L109">
            <v>3</v>
          </cell>
          <cell r="M109" t="str">
            <v>Single</v>
          </cell>
          <cell r="N109">
            <v>5744</v>
          </cell>
          <cell r="O109">
            <v>1</v>
          </cell>
          <cell r="P109" t="str">
            <v>Yes</v>
          </cell>
          <cell r="Q109">
            <v>4</v>
          </cell>
          <cell r="R109">
            <v>6</v>
          </cell>
          <cell r="S109">
            <v>3</v>
          </cell>
          <cell r="T109">
            <v>6</v>
          </cell>
          <cell r="U109">
            <v>4</v>
          </cell>
          <cell r="V109">
            <v>0</v>
          </cell>
          <cell r="W109">
            <v>3</v>
          </cell>
          <cell r="X109">
            <v>11</v>
          </cell>
          <cell r="Y109">
            <v>1</v>
          </cell>
          <cell r="Z109" t="str">
            <v>Young</v>
          </cell>
          <cell r="AA109" t="str">
            <v>Medium</v>
          </cell>
          <cell r="AB109" t="str">
            <v>Mid</v>
          </cell>
          <cell r="AC109" t="str">
            <v>Low</v>
          </cell>
          <cell r="AD109">
            <v>142</v>
          </cell>
        </row>
        <row r="110">
          <cell r="A110">
            <v>25</v>
          </cell>
          <cell r="B110" t="str">
            <v>No</v>
          </cell>
          <cell r="C110" t="str">
            <v>Research &amp; Development</v>
          </cell>
          <cell r="D110">
            <v>7</v>
          </cell>
          <cell r="E110">
            <v>1</v>
          </cell>
          <cell r="F110" t="str">
            <v>Medical</v>
          </cell>
          <cell r="G110">
            <v>4</v>
          </cell>
          <cell r="H110" t="str">
            <v>Male</v>
          </cell>
          <cell r="I110">
            <v>2</v>
          </cell>
          <cell r="J110">
            <v>1</v>
          </cell>
          <cell r="K110" t="str">
            <v>Research Scientist</v>
          </cell>
          <cell r="L110">
            <v>4</v>
          </cell>
          <cell r="M110" t="str">
            <v>Married</v>
          </cell>
          <cell r="N110">
            <v>2889</v>
          </cell>
          <cell r="O110">
            <v>1</v>
          </cell>
          <cell r="P110" t="str">
            <v>No</v>
          </cell>
          <cell r="Q110">
            <v>3</v>
          </cell>
          <cell r="R110">
            <v>2</v>
          </cell>
          <cell r="S110">
            <v>3</v>
          </cell>
          <cell r="T110">
            <v>2</v>
          </cell>
          <cell r="U110">
            <v>2</v>
          </cell>
          <cell r="V110">
            <v>2</v>
          </cell>
          <cell r="W110">
            <v>1</v>
          </cell>
          <cell r="X110">
            <v>11</v>
          </cell>
          <cell r="Y110">
            <v>0</v>
          </cell>
          <cell r="Z110" t="str">
            <v>Young</v>
          </cell>
          <cell r="AA110" t="str">
            <v>Low</v>
          </cell>
          <cell r="AB110" t="str">
            <v>Early</v>
          </cell>
          <cell r="AC110" t="str">
            <v>Low</v>
          </cell>
          <cell r="AD110">
            <v>143</v>
          </cell>
        </row>
        <row r="111">
          <cell r="A111">
            <v>22</v>
          </cell>
          <cell r="B111" t="str">
            <v>No</v>
          </cell>
          <cell r="C111" t="str">
            <v>Research &amp; Development</v>
          </cell>
          <cell r="D111">
            <v>15</v>
          </cell>
          <cell r="E111">
            <v>3</v>
          </cell>
          <cell r="F111" t="str">
            <v>Medical</v>
          </cell>
          <cell r="G111">
            <v>2</v>
          </cell>
          <cell r="H111" t="str">
            <v>Female</v>
          </cell>
          <cell r="I111">
            <v>3</v>
          </cell>
          <cell r="J111">
            <v>1</v>
          </cell>
          <cell r="K111" t="str">
            <v>Laboratory Technician</v>
          </cell>
          <cell r="L111">
            <v>4</v>
          </cell>
          <cell r="M111" t="str">
            <v>Single</v>
          </cell>
          <cell r="N111">
            <v>2871</v>
          </cell>
          <cell r="O111">
            <v>1</v>
          </cell>
          <cell r="P111" t="str">
            <v>No</v>
          </cell>
          <cell r="Q111">
            <v>3</v>
          </cell>
          <cell r="R111">
            <v>1</v>
          </cell>
          <cell r="S111">
            <v>3</v>
          </cell>
          <cell r="T111">
            <v>0</v>
          </cell>
          <cell r="U111">
            <v>0</v>
          </cell>
          <cell r="V111">
            <v>0</v>
          </cell>
          <cell r="W111">
            <v>0</v>
          </cell>
          <cell r="X111">
            <v>15</v>
          </cell>
          <cell r="Y111">
            <v>0</v>
          </cell>
          <cell r="Z111" t="str">
            <v>Young</v>
          </cell>
          <cell r="AA111" t="str">
            <v>Low</v>
          </cell>
          <cell r="AB111" t="str">
            <v>Early</v>
          </cell>
          <cell r="AC111" t="str">
            <v>Medium</v>
          </cell>
          <cell r="AD111">
            <v>144</v>
          </cell>
        </row>
        <row r="112">
          <cell r="A112">
            <v>51</v>
          </cell>
          <cell r="B112" t="str">
            <v>No</v>
          </cell>
          <cell r="C112" t="str">
            <v>Research &amp; Development</v>
          </cell>
          <cell r="D112">
            <v>1</v>
          </cell>
          <cell r="E112">
            <v>4</v>
          </cell>
          <cell r="F112" t="str">
            <v>Medical</v>
          </cell>
          <cell r="G112">
            <v>1</v>
          </cell>
          <cell r="H112" t="str">
            <v>Female</v>
          </cell>
          <cell r="I112">
            <v>2</v>
          </cell>
          <cell r="J112">
            <v>3</v>
          </cell>
          <cell r="K112" t="str">
            <v>Healthcare Representative</v>
          </cell>
          <cell r="L112">
            <v>1</v>
          </cell>
          <cell r="M112" t="str">
            <v>Single</v>
          </cell>
          <cell r="N112">
            <v>7484</v>
          </cell>
          <cell r="O112">
            <v>3</v>
          </cell>
          <cell r="P112" t="str">
            <v>No</v>
          </cell>
          <cell r="Q112">
            <v>3</v>
          </cell>
          <cell r="R112">
            <v>23</v>
          </cell>
          <cell r="S112">
            <v>2</v>
          </cell>
          <cell r="T112">
            <v>13</v>
          </cell>
          <cell r="U112">
            <v>12</v>
          </cell>
          <cell r="V112">
            <v>12</v>
          </cell>
          <cell r="W112">
            <v>8</v>
          </cell>
          <cell r="X112">
            <v>20</v>
          </cell>
          <cell r="Y112">
            <v>0</v>
          </cell>
          <cell r="Z112" t="str">
            <v>Senior</v>
          </cell>
          <cell r="AA112" t="str">
            <v>Medium</v>
          </cell>
          <cell r="AB112" t="str">
            <v>Long</v>
          </cell>
          <cell r="AC112" t="str">
            <v>High</v>
          </cell>
          <cell r="AD112">
            <v>145</v>
          </cell>
        </row>
        <row r="113">
          <cell r="A113">
            <v>34</v>
          </cell>
          <cell r="B113" t="str">
            <v>Yes</v>
          </cell>
          <cell r="C113" t="str">
            <v>Research &amp; Development</v>
          </cell>
          <cell r="D113">
            <v>7</v>
          </cell>
          <cell r="E113">
            <v>3</v>
          </cell>
          <cell r="F113" t="str">
            <v>Life Sciences</v>
          </cell>
          <cell r="G113">
            <v>1</v>
          </cell>
          <cell r="H113" t="str">
            <v>Male</v>
          </cell>
          <cell r="I113">
            <v>1</v>
          </cell>
          <cell r="J113">
            <v>2</v>
          </cell>
          <cell r="K113" t="str">
            <v>Laboratory Technician</v>
          </cell>
          <cell r="L113">
            <v>3</v>
          </cell>
          <cell r="M113" t="str">
            <v>Single</v>
          </cell>
          <cell r="N113">
            <v>6074</v>
          </cell>
          <cell r="O113">
            <v>1</v>
          </cell>
          <cell r="P113" t="str">
            <v>Yes</v>
          </cell>
          <cell r="Q113">
            <v>4</v>
          </cell>
          <cell r="R113">
            <v>9</v>
          </cell>
          <cell r="S113">
            <v>3</v>
          </cell>
          <cell r="T113">
            <v>9</v>
          </cell>
          <cell r="U113">
            <v>7</v>
          </cell>
          <cell r="V113">
            <v>0</v>
          </cell>
          <cell r="W113">
            <v>6</v>
          </cell>
          <cell r="X113">
            <v>24</v>
          </cell>
          <cell r="Y113">
            <v>1</v>
          </cell>
          <cell r="Z113" t="str">
            <v>Mid</v>
          </cell>
          <cell r="AA113" t="str">
            <v>Medium</v>
          </cell>
          <cell r="AB113" t="str">
            <v>Long</v>
          </cell>
          <cell r="AC113" t="str">
            <v>High</v>
          </cell>
          <cell r="AD113">
            <v>147</v>
          </cell>
        </row>
        <row r="114">
          <cell r="A114">
            <v>54</v>
          </cell>
          <cell r="B114" t="str">
            <v>No</v>
          </cell>
          <cell r="C114" t="str">
            <v>Human Resources</v>
          </cell>
          <cell r="D114">
            <v>26</v>
          </cell>
          <cell r="E114">
            <v>3</v>
          </cell>
          <cell r="F114" t="str">
            <v>Human Resources</v>
          </cell>
          <cell r="G114">
            <v>4</v>
          </cell>
          <cell r="H114" t="str">
            <v>Female</v>
          </cell>
          <cell r="I114">
            <v>4</v>
          </cell>
          <cell r="J114">
            <v>4</v>
          </cell>
          <cell r="K114" t="str">
            <v>Manager</v>
          </cell>
          <cell r="L114">
            <v>4</v>
          </cell>
          <cell r="M114" t="str">
            <v>Single</v>
          </cell>
          <cell r="N114">
            <v>17328</v>
          </cell>
          <cell r="O114">
            <v>2</v>
          </cell>
          <cell r="P114" t="str">
            <v>Yes</v>
          </cell>
          <cell r="Q114">
            <v>3</v>
          </cell>
          <cell r="R114">
            <v>23</v>
          </cell>
          <cell r="S114">
            <v>3</v>
          </cell>
          <cell r="T114">
            <v>5</v>
          </cell>
          <cell r="U114">
            <v>3</v>
          </cell>
          <cell r="V114">
            <v>4</v>
          </cell>
          <cell r="W114">
            <v>4</v>
          </cell>
          <cell r="X114">
            <v>12</v>
          </cell>
          <cell r="Y114">
            <v>0</v>
          </cell>
          <cell r="Z114" t="str">
            <v>Senior</v>
          </cell>
          <cell r="AA114" t="str">
            <v>High</v>
          </cell>
          <cell r="AB114" t="str">
            <v>Mid</v>
          </cell>
          <cell r="AC114" t="str">
            <v>Low</v>
          </cell>
          <cell r="AD114">
            <v>148</v>
          </cell>
        </row>
        <row r="115">
          <cell r="A115">
            <v>24</v>
          </cell>
          <cell r="B115" t="str">
            <v>No</v>
          </cell>
          <cell r="C115" t="str">
            <v>Research &amp; Development</v>
          </cell>
          <cell r="D115">
            <v>18</v>
          </cell>
          <cell r="E115">
            <v>1</v>
          </cell>
          <cell r="F115" t="str">
            <v>Life Sciences</v>
          </cell>
          <cell r="G115">
            <v>2</v>
          </cell>
          <cell r="H115" t="str">
            <v>Male</v>
          </cell>
          <cell r="I115">
            <v>3</v>
          </cell>
          <cell r="J115">
            <v>1</v>
          </cell>
          <cell r="K115" t="str">
            <v>Laboratory Technician</v>
          </cell>
          <cell r="L115">
            <v>3</v>
          </cell>
          <cell r="M115" t="str">
            <v>Married</v>
          </cell>
          <cell r="N115">
            <v>2774</v>
          </cell>
          <cell r="O115">
            <v>0</v>
          </cell>
          <cell r="P115" t="str">
            <v>No</v>
          </cell>
          <cell r="Q115">
            <v>3</v>
          </cell>
          <cell r="R115">
            <v>6</v>
          </cell>
          <cell r="S115">
            <v>3</v>
          </cell>
          <cell r="T115">
            <v>5</v>
          </cell>
          <cell r="U115">
            <v>3</v>
          </cell>
          <cell r="V115">
            <v>1</v>
          </cell>
          <cell r="W115">
            <v>2</v>
          </cell>
          <cell r="X115">
            <v>12</v>
          </cell>
          <cell r="Y115">
            <v>0</v>
          </cell>
          <cell r="Z115" t="str">
            <v>Young</v>
          </cell>
          <cell r="AA115" t="str">
            <v>Low</v>
          </cell>
          <cell r="AB115" t="str">
            <v>Mid</v>
          </cell>
          <cell r="AC115" t="str">
            <v>Low</v>
          </cell>
          <cell r="AD115">
            <v>150</v>
          </cell>
        </row>
        <row r="116">
          <cell r="A116">
            <v>34</v>
          </cell>
          <cell r="B116" t="str">
            <v>No</v>
          </cell>
          <cell r="C116" t="str">
            <v>Research &amp; Development</v>
          </cell>
          <cell r="D116">
            <v>6</v>
          </cell>
          <cell r="E116">
            <v>4</v>
          </cell>
          <cell r="F116" t="str">
            <v>Life Sciences</v>
          </cell>
          <cell r="G116">
            <v>3</v>
          </cell>
          <cell r="H116" t="str">
            <v>Female</v>
          </cell>
          <cell r="I116">
            <v>2</v>
          </cell>
          <cell r="J116">
            <v>2</v>
          </cell>
          <cell r="K116" t="str">
            <v>Research Scientist</v>
          </cell>
          <cell r="L116">
            <v>2</v>
          </cell>
          <cell r="M116" t="str">
            <v>Divorced</v>
          </cell>
          <cell r="N116">
            <v>4505</v>
          </cell>
          <cell r="O116">
            <v>6</v>
          </cell>
          <cell r="P116" t="str">
            <v>No</v>
          </cell>
          <cell r="Q116">
            <v>3</v>
          </cell>
          <cell r="R116">
            <v>12</v>
          </cell>
          <cell r="S116">
            <v>3</v>
          </cell>
          <cell r="T116">
            <v>1</v>
          </cell>
          <cell r="U116">
            <v>0</v>
          </cell>
          <cell r="V116">
            <v>0</v>
          </cell>
          <cell r="W116">
            <v>0</v>
          </cell>
          <cell r="X116">
            <v>15</v>
          </cell>
          <cell r="Y116">
            <v>0</v>
          </cell>
          <cell r="Z116" t="str">
            <v>Mid</v>
          </cell>
          <cell r="AA116" t="str">
            <v>Low</v>
          </cell>
          <cell r="AB116" t="str">
            <v>Early</v>
          </cell>
          <cell r="AC116" t="str">
            <v>Medium</v>
          </cell>
          <cell r="AD116">
            <v>151</v>
          </cell>
        </row>
        <row r="117">
          <cell r="A117">
            <v>37</v>
          </cell>
          <cell r="B117" t="str">
            <v>No</v>
          </cell>
          <cell r="C117" t="str">
            <v>Sales</v>
          </cell>
          <cell r="D117">
            <v>3</v>
          </cell>
          <cell r="E117">
            <v>3</v>
          </cell>
          <cell r="F117" t="str">
            <v>Life Sciences</v>
          </cell>
          <cell r="G117">
            <v>3</v>
          </cell>
          <cell r="H117" t="str">
            <v>Male</v>
          </cell>
          <cell r="I117">
            <v>3</v>
          </cell>
          <cell r="J117">
            <v>3</v>
          </cell>
          <cell r="K117" t="str">
            <v>Sales Executive</v>
          </cell>
          <cell r="L117">
            <v>4</v>
          </cell>
          <cell r="M117" t="str">
            <v>Single</v>
          </cell>
          <cell r="N117">
            <v>7428</v>
          </cell>
          <cell r="O117">
            <v>2</v>
          </cell>
          <cell r="P117" t="str">
            <v>No</v>
          </cell>
          <cell r="Q117">
            <v>1</v>
          </cell>
          <cell r="R117">
            <v>12</v>
          </cell>
          <cell r="S117">
            <v>3</v>
          </cell>
          <cell r="T117">
            <v>5</v>
          </cell>
          <cell r="U117">
            <v>3</v>
          </cell>
          <cell r="V117">
            <v>1</v>
          </cell>
          <cell r="W117">
            <v>3</v>
          </cell>
          <cell r="X117">
            <v>12</v>
          </cell>
          <cell r="Y117">
            <v>0</v>
          </cell>
          <cell r="Z117" t="str">
            <v>Mid</v>
          </cell>
          <cell r="AA117" t="str">
            <v>Medium</v>
          </cell>
          <cell r="AB117" t="str">
            <v>Mid</v>
          </cell>
          <cell r="AC117" t="str">
            <v>Low</v>
          </cell>
          <cell r="AD117">
            <v>152</v>
          </cell>
        </row>
        <row r="118">
          <cell r="A118">
            <v>34</v>
          </cell>
          <cell r="B118" t="str">
            <v>No</v>
          </cell>
          <cell r="C118" t="str">
            <v>Research &amp; Development</v>
          </cell>
          <cell r="D118">
            <v>5</v>
          </cell>
          <cell r="E118">
            <v>3</v>
          </cell>
          <cell r="F118" t="str">
            <v>Medical</v>
          </cell>
          <cell r="G118">
            <v>3</v>
          </cell>
          <cell r="H118" t="str">
            <v>Female</v>
          </cell>
          <cell r="I118">
            <v>2</v>
          </cell>
          <cell r="J118">
            <v>3</v>
          </cell>
          <cell r="K118" t="str">
            <v>Manager</v>
          </cell>
          <cell r="L118">
            <v>1</v>
          </cell>
          <cell r="M118" t="str">
            <v>Single</v>
          </cell>
          <cell r="N118">
            <v>11631</v>
          </cell>
          <cell r="O118">
            <v>2</v>
          </cell>
          <cell r="P118" t="str">
            <v>No</v>
          </cell>
          <cell r="Q118">
            <v>4</v>
          </cell>
          <cell r="R118">
            <v>14</v>
          </cell>
          <cell r="S118">
            <v>3</v>
          </cell>
          <cell r="T118">
            <v>11</v>
          </cell>
          <cell r="U118">
            <v>10</v>
          </cell>
          <cell r="V118">
            <v>5</v>
          </cell>
          <cell r="W118">
            <v>8</v>
          </cell>
          <cell r="X118">
            <v>12</v>
          </cell>
          <cell r="Y118">
            <v>0</v>
          </cell>
          <cell r="Z118" t="str">
            <v>Mid</v>
          </cell>
          <cell r="AA118" t="str">
            <v>High</v>
          </cell>
          <cell r="AB118" t="str">
            <v>Long</v>
          </cell>
          <cell r="AC118" t="str">
            <v>Low</v>
          </cell>
          <cell r="AD118">
            <v>153</v>
          </cell>
        </row>
        <row r="119">
          <cell r="A119">
            <v>36</v>
          </cell>
          <cell r="B119" t="str">
            <v>No</v>
          </cell>
          <cell r="C119" t="str">
            <v>Sales</v>
          </cell>
          <cell r="D119">
            <v>11</v>
          </cell>
          <cell r="E119">
            <v>2</v>
          </cell>
          <cell r="F119" t="str">
            <v>Technical Degree</v>
          </cell>
          <cell r="G119">
            <v>2</v>
          </cell>
          <cell r="H119" t="str">
            <v>Female</v>
          </cell>
          <cell r="I119">
            <v>3</v>
          </cell>
          <cell r="J119">
            <v>3</v>
          </cell>
          <cell r="K119" t="str">
            <v>Sales Executive</v>
          </cell>
          <cell r="L119">
            <v>4</v>
          </cell>
          <cell r="M119" t="str">
            <v>Married</v>
          </cell>
          <cell r="N119">
            <v>9738</v>
          </cell>
          <cell r="O119">
            <v>0</v>
          </cell>
          <cell r="P119" t="str">
            <v>No</v>
          </cell>
          <cell r="Q119">
            <v>3</v>
          </cell>
          <cell r="R119">
            <v>10</v>
          </cell>
          <cell r="S119">
            <v>3</v>
          </cell>
          <cell r="T119">
            <v>9</v>
          </cell>
          <cell r="U119">
            <v>7</v>
          </cell>
          <cell r="V119">
            <v>2</v>
          </cell>
          <cell r="W119">
            <v>8</v>
          </cell>
          <cell r="X119">
            <v>14</v>
          </cell>
          <cell r="Y119">
            <v>0</v>
          </cell>
          <cell r="Z119" t="str">
            <v>Mid</v>
          </cell>
          <cell r="AA119" t="str">
            <v>Medium</v>
          </cell>
          <cell r="AB119" t="str">
            <v>Long</v>
          </cell>
          <cell r="AC119" t="str">
            <v>Medium</v>
          </cell>
          <cell r="AD119">
            <v>154</v>
          </cell>
        </row>
        <row r="120">
          <cell r="A120">
            <v>36</v>
          </cell>
          <cell r="B120" t="str">
            <v>No</v>
          </cell>
          <cell r="C120" t="str">
            <v>Research &amp; Development</v>
          </cell>
          <cell r="D120">
            <v>3</v>
          </cell>
          <cell r="E120">
            <v>2</v>
          </cell>
          <cell r="F120" t="str">
            <v>Life Sciences</v>
          </cell>
          <cell r="G120">
            <v>1</v>
          </cell>
          <cell r="H120" t="str">
            <v>Female</v>
          </cell>
          <cell r="I120">
            <v>3</v>
          </cell>
          <cell r="J120">
            <v>1</v>
          </cell>
          <cell r="K120" t="str">
            <v>Laboratory Technician</v>
          </cell>
          <cell r="L120">
            <v>4</v>
          </cell>
          <cell r="M120" t="str">
            <v>Divorced</v>
          </cell>
          <cell r="N120">
            <v>2835</v>
          </cell>
          <cell r="O120">
            <v>5</v>
          </cell>
          <cell r="P120" t="str">
            <v>No</v>
          </cell>
          <cell r="Q120">
            <v>1</v>
          </cell>
          <cell r="R120">
            <v>7</v>
          </cell>
          <cell r="S120">
            <v>3</v>
          </cell>
          <cell r="T120">
            <v>1</v>
          </cell>
          <cell r="U120">
            <v>0</v>
          </cell>
          <cell r="V120">
            <v>0</v>
          </cell>
          <cell r="W120">
            <v>0</v>
          </cell>
          <cell r="X120">
            <v>22</v>
          </cell>
          <cell r="Y120">
            <v>0</v>
          </cell>
          <cell r="Z120" t="str">
            <v>Mid</v>
          </cell>
          <cell r="AA120" t="str">
            <v>Low</v>
          </cell>
          <cell r="AB120" t="str">
            <v>Early</v>
          </cell>
          <cell r="AC120" t="str">
            <v>High</v>
          </cell>
          <cell r="AD120">
            <v>155</v>
          </cell>
        </row>
        <row r="121">
          <cell r="A121">
            <v>43</v>
          </cell>
          <cell r="B121" t="str">
            <v>No</v>
          </cell>
          <cell r="C121" t="str">
            <v>Sales</v>
          </cell>
          <cell r="D121">
            <v>26</v>
          </cell>
          <cell r="E121">
            <v>2</v>
          </cell>
          <cell r="F121" t="str">
            <v>Life Sciences</v>
          </cell>
          <cell r="G121">
            <v>3</v>
          </cell>
          <cell r="H121" t="str">
            <v>Male</v>
          </cell>
          <cell r="I121">
            <v>3</v>
          </cell>
          <cell r="J121">
            <v>4</v>
          </cell>
          <cell r="K121" t="str">
            <v>Manager</v>
          </cell>
          <cell r="L121">
            <v>4</v>
          </cell>
          <cell r="M121" t="str">
            <v>Married</v>
          </cell>
          <cell r="N121">
            <v>16959</v>
          </cell>
          <cell r="O121">
            <v>1</v>
          </cell>
          <cell r="P121" t="str">
            <v>Yes</v>
          </cell>
          <cell r="Q121">
            <v>4</v>
          </cell>
          <cell r="R121">
            <v>25</v>
          </cell>
          <cell r="S121">
            <v>4</v>
          </cell>
          <cell r="T121">
            <v>25</v>
          </cell>
          <cell r="U121">
            <v>12</v>
          </cell>
          <cell r="V121">
            <v>4</v>
          </cell>
          <cell r="W121">
            <v>12</v>
          </cell>
          <cell r="X121">
            <v>12</v>
          </cell>
          <cell r="Y121">
            <v>0</v>
          </cell>
          <cell r="Z121" t="str">
            <v>Mid</v>
          </cell>
          <cell r="AA121" t="str">
            <v>High</v>
          </cell>
          <cell r="AB121" t="str">
            <v>Long</v>
          </cell>
          <cell r="AC121" t="str">
            <v>Low</v>
          </cell>
          <cell r="AD121">
            <v>158</v>
          </cell>
        </row>
        <row r="122">
          <cell r="A122">
            <v>30</v>
          </cell>
          <cell r="B122" t="str">
            <v>No</v>
          </cell>
          <cell r="C122" t="str">
            <v>Research &amp; Development</v>
          </cell>
          <cell r="D122">
            <v>23</v>
          </cell>
          <cell r="E122">
            <v>3</v>
          </cell>
          <cell r="F122" t="str">
            <v>Life Sciences</v>
          </cell>
          <cell r="G122">
            <v>1</v>
          </cell>
          <cell r="H122" t="str">
            <v>Male</v>
          </cell>
          <cell r="I122">
            <v>1</v>
          </cell>
          <cell r="J122">
            <v>1</v>
          </cell>
          <cell r="K122" t="str">
            <v>Research Scientist</v>
          </cell>
          <cell r="L122">
            <v>3</v>
          </cell>
          <cell r="M122" t="str">
            <v>Divorced</v>
          </cell>
          <cell r="N122">
            <v>2613</v>
          </cell>
          <cell r="O122">
            <v>1</v>
          </cell>
          <cell r="P122" t="str">
            <v>No</v>
          </cell>
          <cell r="Q122">
            <v>3</v>
          </cell>
          <cell r="R122">
            <v>10</v>
          </cell>
          <cell r="S122">
            <v>2</v>
          </cell>
          <cell r="T122">
            <v>10</v>
          </cell>
          <cell r="U122">
            <v>7</v>
          </cell>
          <cell r="V122">
            <v>0</v>
          </cell>
          <cell r="W122">
            <v>9</v>
          </cell>
          <cell r="X122">
            <v>25</v>
          </cell>
          <cell r="Y122">
            <v>0</v>
          </cell>
          <cell r="Z122" t="str">
            <v>Mid</v>
          </cell>
          <cell r="AA122" t="str">
            <v>Low</v>
          </cell>
          <cell r="AB122" t="str">
            <v>Long</v>
          </cell>
          <cell r="AC122" t="str">
            <v>High</v>
          </cell>
          <cell r="AD122">
            <v>159</v>
          </cell>
        </row>
        <row r="123">
          <cell r="A123">
            <v>33</v>
          </cell>
          <cell r="B123" t="str">
            <v>No</v>
          </cell>
          <cell r="C123" t="str">
            <v>Sales</v>
          </cell>
          <cell r="D123">
            <v>22</v>
          </cell>
          <cell r="E123">
            <v>2</v>
          </cell>
          <cell r="F123" t="str">
            <v>Marketing</v>
          </cell>
          <cell r="G123">
            <v>3</v>
          </cell>
          <cell r="H123" t="str">
            <v>Male</v>
          </cell>
          <cell r="I123">
            <v>3</v>
          </cell>
          <cell r="J123">
            <v>2</v>
          </cell>
          <cell r="K123" t="str">
            <v>Sales Executive</v>
          </cell>
          <cell r="L123">
            <v>2</v>
          </cell>
          <cell r="M123" t="str">
            <v>Married</v>
          </cell>
          <cell r="N123">
            <v>6146</v>
          </cell>
          <cell r="O123">
            <v>0</v>
          </cell>
          <cell r="P123" t="str">
            <v>No</v>
          </cell>
          <cell r="Q123">
            <v>1</v>
          </cell>
          <cell r="R123">
            <v>8</v>
          </cell>
          <cell r="S123">
            <v>4</v>
          </cell>
          <cell r="T123">
            <v>7</v>
          </cell>
          <cell r="U123">
            <v>7</v>
          </cell>
          <cell r="V123">
            <v>0</v>
          </cell>
          <cell r="W123">
            <v>7</v>
          </cell>
          <cell r="X123">
            <v>13</v>
          </cell>
          <cell r="Y123">
            <v>0</v>
          </cell>
          <cell r="Z123" t="str">
            <v>Mid</v>
          </cell>
          <cell r="AA123" t="str">
            <v>Medium</v>
          </cell>
          <cell r="AB123" t="str">
            <v>Long</v>
          </cell>
          <cell r="AC123" t="str">
            <v>Medium</v>
          </cell>
          <cell r="AD123">
            <v>160</v>
          </cell>
        </row>
        <row r="124">
          <cell r="A124">
            <v>56</v>
          </cell>
          <cell r="B124" t="str">
            <v>Yes</v>
          </cell>
          <cell r="C124" t="str">
            <v>Research &amp; Development</v>
          </cell>
          <cell r="D124">
            <v>14</v>
          </cell>
          <cell r="E124">
            <v>4</v>
          </cell>
          <cell r="F124" t="str">
            <v>Life Sciences</v>
          </cell>
          <cell r="G124">
            <v>2</v>
          </cell>
          <cell r="H124" t="str">
            <v>Female</v>
          </cell>
          <cell r="I124">
            <v>3</v>
          </cell>
          <cell r="J124">
            <v>1</v>
          </cell>
          <cell r="K124" t="str">
            <v>Research Scientist</v>
          </cell>
          <cell r="L124">
            <v>2</v>
          </cell>
          <cell r="M124" t="str">
            <v>Married</v>
          </cell>
          <cell r="N124">
            <v>4963</v>
          </cell>
          <cell r="O124">
            <v>9</v>
          </cell>
          <cell r="P124" t="str">
            <v>Yes</v>
          </cell>
          <cell r="Q124">
            <v>1</v>
          </cell>
          <cell r="R124">
            <v>7</v>
          </cell>
          <cell r="S124">
            <v>3</v>
          </cell>
          <cell r="T124">
            <v>5</v>
          </cell>
          <cell r="U124">
            <v>4</v>
          </cell>
          <cell r="V124">
            <v>4</v>
          </cell>
          <cell r="W124">
            <v>3</v>
          </cell>
          <cell r="X124">
            <v>18</v>
          </cell>
          <cell r="Y124">
            <v>1</v>
          </cell>
          <cell r="Z124" t="str">
            <v>Senior</v>
          </cell>
          <cell r="AA124" t="str">
            <v>Low</v>
          </cell>
          <cell r="AB124" t="str">
            <v>Mid</v>
          </cell>
          <cell r="AC124" t="str">
            <v>High</v>
          </cell>
          <cell r="AD124">
            <v>161</v>
          </cell>
        </row>
        <row r="125">
          <cell r="A125">
            <v>51</v>
          </cell>
          <cell r="B125" t="str">
            <v>No</v>
          </cell>
          <cell r="C125" t="str">
            <v>Research &amp; Development</v>
          </cell>
          <cell r="D125">
            <v>6</v>
          </cell>
          <cell r="E125">
            <v>3</v>
          </cell>
          <cell r="F125" t="str">
            <v>Life Sciences</v>
          </cell>
          <cell r="G125">
            <v>1</v>
          </cell>
          <cell r="H125" t="str">
            <v>Male</v>
          </cell>
          <cell r="I125">
            <v>3</v>
          </cell>
          <cell r="J125">
            <v>5</v>
          </cell>
          <cell r="K125" t="str">
            <v>Research Director</v>
          </cell>
          <cell r="L125">
            <v>3</v>
          </cell>
          <cell r="M125" t="str">
            <v>Single</v>
          </cell>
          <cell r="N125">
            <v>19537</v>
          </cell>
          <cell r="O125">
            <v>7</v>
          </cell>
          <cell r="P125" t="str">
            <v>No</v>
          </cell>
          <cell r="Q125">
            <v>3</v>
          </cell>
          <cell r="R125">
            <v>23</v>
          </cell>
          <cell r="S125">
            <v>3</v>
          </cell>
          <cell r="T125">
            <v>20</v>
          </cell>
          <cell r="U125">
            <v>18</v>
          </cell>
          <cell r="V125">
            <v>15</v>
          </cell>
          <cell r="W125">
            <v>15</v>
          </cell>
          <cell r="X125">
            <v>13</v>
          </cell>
          <cell r="Y125">
            <v>0</v>
          </cell>
          <cell r="Z125" t="str">
            <v>Senior</v>
          </cell>
          <cell r="AA125" t="str">
            <v>High</v>
          </cell>
          <cell r="AB125" t="str">
            <v>Long</v>
          </cell>
          <cell r="AC125" t="str">
            <v>Medium</v>
          </cell>
          <cell r="AD125">
            <v>162</v>
          </cell>
        </row>
        <row r="126">
          <cell r="A126">
            <v>31</v>
          </cell>
          <cell r="B126" t="str">
            <v>Yes</v>
          </cell>
          <cell r="C126" t="str">
            <v>Sales</v>
          </cell>
          <cell r="D126">
            <v>6</v>
          </cell>
          <cell r="E126">
            <v>4</v>
          </cell>
          <cell r="F126" t="str">
            <v>Life Sciences</v>
          </cell>
          <cell r="G126">
            <v>2</v>
          </cell>
          <cell r="H126" t="str">
            <v>Male</v>
          </cell>
          <cell r="I126">
            <v>1</v>
          </cell>
          <cell r="J126">
            <v>2</v>
          </cell>
          <cell r="K126" t="str">
            <v>Sales Executive</v>
          </cell>
          <cell r="L126">
            <v>3</v>
          </cell>
          <cell r="M126" t="str">
            <v>Married</v>
          </cell>
          <cell r="N126">
            <v>6172</v>
          </cell>
          <cell r="O126">
            <v>4</v>
          </cell>
          <cell r="P126" t="str">
            <v>Yes</v>
          </cell>
          <cell r="Q126">
            <v>2</v>
          </cell>
          <cell r="R126">
            <v>12</v>
          </cell>
          <cell r="S126">
            <v>2</v>
          </cell>
          <cell r="T126">
            <v>7</v>
          </cell>
          <cell r="U126">
            <v>7</v>
          </cell>
          <cell r="V126">
            <v>7</v>
          </cell>
          <cell r="W126">
            <v>7</v>
          </cell>
          <cell r="X126">
            <v>18</v>
          </cell>
          <cell r="Y126">
            <v>1</v>
          </cell>
          <cell r="Z126" t="str">
            <v>Mid</v>
          </cell>
          <cell r="AA126" t="str">
            <v>Medium</v>
          </cell>
          <cell r="AB126" t="str">
            <v>Long</v>
          </cell>
          <cell r="AC126" t="str">
            <v>High</v>
          </cell>
          <cell r="AD126">
            <v>163</v>
          </cell>
        </row>
        <row r="127">
          <cell r="A127">
            <v>26</v>
          </cell>
          <cell r="B127" t="str">
            <v>No</v>
          </cell>
          <cell r="C127" t="str">
            <v>Research &amp; Development</v>
          </cell>
          <cell r="D127">
            <v>6</v>
          </cell>
          <cell r="E127">
            <v>3</v>
          </cell>
          <cell r="F127" t="str">
            <v>Other</v>
          </cell>
          <cell r="G127">
            <v>3</v>
          </cell>
          <cell r="H127" t="str">
            <v>Female</v>
          </cell>
          <cell r="I127">
            <v>2</v>
          </cell>
          <cell r="J127">
            <v>1</v>
          </cell>
          <cell r="K127" t="str">
            <v>Research Scientist</v>
          </cell>
          <cell r="L127">
            <v>2</v>
          </cell>
          <cell r="M127" t="str">
            <v>Married</v>
          </cell>
          <cell r="N127">
            <v>2368</v>
          </cell>
          <cell r="O127">
            <v>1</v>
          </cell>
          <cell r="P127" t="str">
            <v>No</v>
          </cell>
          <cell r="Q127">
            <v>3</v>
          </cell>
          <cell r="R127">
            <v>5</v>
          </cell>
          <cell r="S127">
            <v>2</v>
          </cell>
          <cell r="T127">
            <v>5</v>
          </cell>
          <cell r="U127">
            <v>4</v>
          </cell>
          <cell r="V127">
            <v>4</v>
          </cell>
          <cell r="W127">
            <v>3</v>
          </cell>
          <cell r="X127">
            <v>19</v>
          </cell>
          <cell r="Y127">
            <v>0</v>
          </cell>
          <cell r="Z127" t="str">
            <v>Young</v>
          </cell>
          <cell r="AA127" t="str">
            <v>Low</v>
          </cell>
          <cell r="AB127" t="str">
            <v>Mid</v>
          </cell>
          <cell r="AC127" t="str">
            <v>High</v>
          </cell>
          <cell r="AD127">
            <v>164</v>
          </cell>
        </row>
        <row r="128">
          <cell r="A128">
            <v>58</v>
          </cell>
          <cell r="B128" t="str">
            <v>Yes</v>
          </cell>
          <cell r="C128" t="str">
            <v>Research &amp; Development</v>
          </cell>
          <cell r="D128">
            <v>23</v>
          </cell>
          <cell r="E128">
            <v>4</v>
          </cell>
          <cell r="F128" t="str">
            <v>Medical</v>
          </cell>
          <cell r="G128">
            <v>4</v>
          </cell>
          <cell r="H128" t="str">
            <v>Female</v>
          </cell>
          <cell r="I128">
            <v>3</v>
          </cell>
          <cell r="J128">
            <v>3</v>
          </cell>
          <cell r="K128" t="str">
            <v>Healthcare Representative</v>
          </cell>
          <cell r="L128">
            <v>4</v>
          </cell>
          <cell r="M128" t="str">
            <v>Married</v>
          </cell>
          <cell r="N128">
            <v>10312</v>
          </cell>
          <cell r="O128">
            <v>1</v>
          </cell>
          <cell r="P128" t="str">
            <v>No</v>
          </cell>
          <cell r="Q128">
            <v>4</v>
          </cell>
          <cell r="R128">
            <v>40</v>
          </cell>
          <cell r="S128">
            <v>2</v>
          </cell>
          <cell r="T128">
            <v>40</v>
          </cell>
          <cell r="U128">
            <v>10</v>
          </cell>
          <cell r="V128">
            <v>15</v>
          </cell>
          <cell r="W128">
            <v>6</v>
          </cell>
          <cell r="X128">
            <v>12</v>
          </cell>
          <cell r="Y128">
            <v>1</v>
          </cell>
          <cell r="Z128" t="str">
            <v>Senior</v>
          </cell>
          <cell r="AA128" t="str">
            <v>High</v>
          </cell>
          <cell r="AB128" t="str">
            <v>Long</v>
          </cell>
          <cell r="AC128" t="str">
            <v>Low</v>
          </cell>
          <cell r="AD128">
            <v>165</v>
          </cell>
        </row>
        <row r="129">
          <cell r="A129">
            <v>19</v>
          </cell>
          <cell r="B129" t="str">
            <v>Yes</v>
          </cell>
          <cell r="C129" t="str">
            <v>Sales</v>
          </cell>
          <cell r="D129">
            <v>22</v>
          </cell>
          <cell r="E129">
            <v>1</v>
          </cell>
          <cell r="F129" t="str">
            <v>Marketing</v>
          </cell>
          <cell r="G129">
            <v>4</v>
          </cell>
          <cell r="H129" t="str">
            <v>Male</v>
          </cell>
          <cell r="I129">
            <v>3</v>
          </cell>
          <cell r="J129">
            <v>1</v>
          </cell>
          <cell r="K129" t="str">
            <v>Sales Representative</v>
          </cell>
          <cell r="L129">
            <v>3</v>
          </cell>
          <cell r="M129" t="str">
            <v>Single</v>
          </cell>
          <cell r="N129">
            <v>1675</v>
          </cell>
          <cell r="O129">
            <v>1</v>
          </cell>
          <cell r="P129" t="str">
            <v>Yes</v>
          </cell>
          <cell r="Q129">
            <v>4</v>
          </cell>
          <cell r="R129">
            <v>0</v>
          </cell>
          <cell r="S129">
            <v>2</v>
          </cell>
          <cell r="T129">
            <v>0</v>
          </cell>
          <cell r="U129">
            <v>0</v>
          </cell>
          <cell r="V129">
            <v>0</v>
          </cell>
          <cell r="W129">
            <v>0</v>
          </cell>
          <cell r="X129">
            <v>19</v>
          </cell>
          <cell r="Y129">
            <v>1</v>
          </cell>
          <cell r="Z129" t="str">
            <v>Young</v>
          </cell>
          <cell r="AA129" t="str">
            <v>Low</v>
          </cell>
          <cell r="AB129" t="str">
            <v>Early</v>
          </cell>
          <cell r="AC129" t="str">
            <v>High</v>
          </cell>
          <cell r="AD129">
            <v>167</v>
          </cell>
        </row>
        <row r="130">
          <cell r="A130">
            <v>22</v>
          </cell>
          <cell r="B130" t="str">
            <v>No</v>
          </cell>
          <cell r="C130" t="str">
            <v>Research &amp; Development</v>
          </cell>
          <cell r="D130">
            <v>2</v>
          </cell>
          <cell r="E130">
            <v>1</v>
          </cell>
          <cell r="F130" t="str">
            <v>Technical Degree</v>
          </cell>
          <cell r="G130">
            <v>3</v>
          </cell>
          <cell r="H130" t="str">
            <v>Male</v>
          </cell>
          <cell r="I130">
            <v>3</v>
          </cell>
          <cell r="J130">
            <v>1</v>
          </cell>
          <cell r="K130" t="str">
            <v>Laboratory Technician</v>
          </cell>
          <cell r="L130">
            <v>4</v>
          </cell>
          <cell r="M130" t="str">
            <v>Married</v>
          </cell>
          <cell r="N130">
            <v>2523</v>
          </cell>
          <cell r="O130">
            <v>0</v>
          </cell>
          <cell r="P130" t="str">
            <v>No</v>
          </cell>
          <cell r="Q130">
            <v>3</v>
          </cell>
          <cell r="R130">
            <v>3</v>
          </cell>
          <cell r="S130">
            <v>3</v>
          </cell>
          <cell r="T130">
            <v>2</v>
          </cell>
          <cell r="U130">
            <v>1</v>
          </cell>
          <cell r="V130">
            <v>2</v>
          </cell>
          <cell r="W130">
            <v>1</v>
          </cell>
          <cell r="X130">
            <v>14</v>
          </cell>
          <cell r="Y130">
            <v>0</v>
          </cell>
          <cell r="Z130" t="str">
            <v>Young</v>
          </cell>
          <cell r="AA130" t="str">
            <v>Low</v>
          </cell>
          <cell r="AB130" t="str">
            <v>Early</v>
          </cell>
          <cell r="AC130" t="str">
            <v>Medium</v>
          </cell>
          <cell r="AD130">
            <v>169</v>
          </cell>
        </row>
        <row r="131">
          <cell r="A131">
            <v>49</v>
          </cell>
          <cell r="B131" t="str">
            <v>No</v>
          </cell>
          <cell r="C131" t="str">
            <v>Research &amp; Development</v>
          </cell>
          <cell r="D131">
            <v>20</v>
          </cell>
          <cell r="E131">
            <v>4</v>
          </cell>
          <cell r="F131" t="str">
            <v>Medical</v>
          </cell>
          <cell r="G131">
            <v>3</v>
          </cell>
          <cell r="H131" t="str">
            <v>Female</v>
          </cell>
          <cell r="I131">
            <v>3</v>
          </cell>
          <cell r="J131">
            <v>2</v>
          </cell>
          <cell r="K131" t="str">
            <v>Manufacturing Director</v>
          </cell>
          <cell r="L131">
            <v>1</v>
          </cell>
          <cell r="M131" t="str">
            <v>Married</v>
          </cell>
          <cell r="N131">
            <v>6567</v>
          </cell>
          <cell r="O131">
            <v>1</v>
          </cell>
          <cell r="P131" t="str">
            <v>No</v>
          </cell>
          <cell r="Q131">
            <v>3</v>
          </cell>
          <cell r="R131">
            <v>16</v>
          </cell>
          <cell r="S131">
            <v>2</v>
          </cell>
          <cell r="T131">
            <v>15</v>
          </cell>
          <cell r="U131">
            <v>11</v>
          </cell>
          <cell r="V131">
            <v>5</v>
          </cell>
          <cell r="W131">
            <v>11</v>
          </cell>
          <cell r="X131">
            <v>14</v>
          </cell>
          <cell r="Y131">
            <v>0</v>
          </cell>
          <cell r="Z131" t="str">
            <v>Senior</v>
          </cell>
          <cell r="AA131" t="str">
            <v>Medium</v>
          </cell>
          <cell r="AB131" t="str">
            <v>Long</v>
          </cell>
          <cell r="AC131" t="str">
            <v>Medium</v>
          </cell>
          <cell r="AD131">
            <v>170</v>
          </cell>
        </row>
        <row r="132">
          <cell r="A132">
            <v>43</v>
          </cell>
          <cell r="B132" t="str">
            <v>No</v>
          </cell>
          <cell r="C132" t="str">
            <v>Research &amp; Development</v>
          </cell>
          <cell r="D132">
            <v>28</v>
          </cell>
          <cell r="E132">
            <v>3</v>
          </cell>
          <cell r="F132" t="str">
            <v>Medical</v>
          </cell>
          <cell r="G132">
            <v>2</v>
          </cell>
          <cell r="H132" t="str">
            <v>Female</v>
          </cell>
          <cell r="I132">
            <v>4</v>
          </cell>
          <cell r="J132">
            <v>1</v>
          </cell>
          <cell r="K132" t="str">
            <v>Research Scientist</v>
          </cell>
          <cell r="L132">
            <v>3</v>
          </cell>
          <cell r="M132" t="str">
            <v>Single</v>
          </cell>
          <cell r="N132">
            <v>4739</v>
          </cell>
          <cell r="O132">
            <v>4</v>
          </cell>
          <cell r="P132" t="str">
            <v>No</v>
          </cell>
          <cell r="Q132">
            <v>4</v>
          </cell>
          <cell r="R132">
            <v>18</v>
          </cell>
          <cell r="S132">
            <v>3</v>
          </cell>
          <cell r="T132">
            <v>3</v>
          </cell>
          <cell r="U132">
            <v>2</v>
          </cell>
          <cell r="V132">
            <v>1</v>
          </cell>
          <cell r="W132">
            <v>2</v>
          </cell>
          <cell r="X132">
            <v>12</v>
          </cell>
          <cell r="Y132">
            <v>0</v>
          </cell>
          <cell r="Z132" t="str">
            <v>Mid</v>
          </cell>
          <cell r="AA132" t="str">
            <v>Low</v>
          </cell>
          <cell r="AB132" t="str">
            <v>Mid</v>
          </cell>
          <cell r="AC132" t="str">
            <v>Low</v>
          </cell>
          <cell r="AD132">
            <v>171</v>
          </cell>
        </row>
        <row r="133">
          <cell r="A133">
            <v>50</v>
          </cell>
          <cell r="B133" t="str">
            <v>No</v>
          </cell>
          <cell r="C133" t="str">
            <v>Sales</v>
          </cell>
          <cell r="D133">
            <v>12</v>
          </cell>
          <cell r="E133">
            <v>3</v>
          </cell>
          <cell r="F133" t="str">
            <v>Marketing</v>
          </cell>
          <cell r="G133">
            <v>3</v>
          </cell>
          <cell r="H133" t="str">
            <v>Female</v>
          </cell>
          <cell r="I133">
            <v>3</v>
          </cell>
          <cell r="J133">
            <v>3</v>
          </cell>
          <cell r="K133" t="str">
            <v>Sales Executive</v>
          </cell>
          <cell r="L133">
            <v>4</v>
          </cell>
          <cell r="M133" t="str">
            <v>Single</v>
          </cell>
          <cell r="N133">
            <v>9208</v>
          </cell>
          <cell r="O133">
            <v>4</v>
          </cell>
          <cell r="P133" t="str">
            <v>No</v>
          </cell>
          <cell r="Q133">
            <v>4</v>
          </cell>
          <cell r="R133">
            <v>16</v>
          </cell>
          <cell r="S133">
            <v>3</v>
          </cell>
          <cell r="T133">
            <v>2</v>
          </cell>
          <cell r="U133">
            <v>2</v>
          </cell>
          <cell r="V133">
            <v>2</v>
          </cell>
          <cell r="W133">
            <v>1</v>
          </cell>
          <cell r="X133">
            <v>11</v>
          </cell>
          <cell r="Y133">
            <v>0</v>
          </cell>
          <cell r="Z133" t="str">
            <v>Senior</v>
          </cell>
          <cell r="AA133" t="str">
            <v>Medium</v>
          </cell>
          <cell r="AB133" t="str">
            <v>Early</v>
          </cell>
          <cell r="AC133" t="str">
            <v>Low</v>
          </cell>
          <cell r="AD133">
            <v>174</v>
          </cell>
        </row>
        <row r="134">
          <cell r="A134">
            <v>31</v>
          </cell>
          <cell r="B134" t="str">
            <v>Yes</v>
          </cell>
          <cell r="C134" t="str">
            <v>Sales</v>
          </cell>
          <cell r="D134">
            <v>20</v>
          </cell>
          <cell r="E134">
            <v>3</v>
          </cell>
          <cell r="F134" t="str">
            <v>Life Sciences</v>
          </cell>
          <cell r="G134">
            <v>2</v>
          </cell>
          <cell r="H134" t="str">
            <v>Female</v>
          </cell>
          <cell r="I134">
            <v>1</v>
          </cell>
          <cell r="J134">
            <v>2</v>
          </cell>
          <cell r="K134" t="str">
            <v>Sales Executive</v>
          </cell>
          <cell r="L134">
            <v>3</v>
          </cell>
          <cell r="M134" t="str">
            <v>Married</v>
          </cell>
          <cell r="N134">
            <v>4559</v>
          </cell>
          <cell r="O134">
            <v>3</v>
          </cell>
          <cell r="P134" t="str">
            <v>Yes</v>
          </cell>
          <cell r="Q134">
            <v>3</v>
          </cell>
          <cell r="R134">
            <v>4</v>
          </cell>
          <cell r="S134">
            <v>3</v>
          </cell>
          <cell r="T134">
            <v>2</v>
          </cell>
          <cell r="U134">
            <v>2</v>
          </cell>
          <cell r="V134">
            <v>2</v>
          </cell>
          <cell r="W134">
            <v>2</v>
          </cell>
          <cell r="X134">
            <v>11</v>
          </cell>
          <cell r="Y134">
            <v>1</v>
          </cell>
          <cell r="Z134" t="str">
            <v>Mid</v>
          </cell>
          <cell r="AA134" t="str">
            <v>Low</v>
          </cell>
          <cell r="AB134" t="str">
            <v>Early</v>
          </cell>
          <cell r="AC134" t="str">
            <v>Low</v>
          </cell>
          <cell r="AD134">
            <v>175</v>
          </cell>
        </row>
        <row r="135">
          <cell r="A135">
            <v>41</v>
          </cell>
          <cell r="B135" t="str">
            <v>No</v>
          </cell>
          <cell r="C135" t="str">
            <v>Sales</v>
          </cell>
          <cell r="D135">
            <v>9</v>
          </cell>
          <cell r="E135">
            <v>1</v>
          </cell>
          <cell r="F135" t="str">
            <v>Life Sciences</v>
          </cell>
          <cell r="G135">
            <v>3</v>
          </cell>
          <cell r="H135" t="str">
            <v>Male</v>
          </cell>
          <cell r="I135">
            <v>3</v>
          </cell>
          <cell r="J135">
            <v>3</v>
          </cell>
          <cell r="K135" t="str">
            <v>Sales Executive</v>
          </cell>
          <cell r="L135">
            <v>3</v>
          </cell>
          <cell r="M135" t="str">
            <v>Divorced</v>
          </cell>
          <cell r="N135">
            <v>8189</v>
          </cell>
          <cell r="O135">
            <v>3</v>
          </cell>
          <cell r="P135" t="str">
            <v>Yes</v>
          </cell>
          <cell r="Q135">
            <v>3</v>
          </cell>
          <cell r="R135">
            <v>12</v>
          </cell>
          <cell r="S135">
            <v>3</v>
          </cell>
          <cell r="T135">
            <v>9</v>
          </cell>
          <cell r="U135">
            <v>7</v>
          </cell>
          <cell r="V135">
            <v>0</v>
          </cell>
          <cell r="W135">
            <v>7</v>
          </cell>
          <cell r="X135">
            <v>13</v>
          </cell>
          <cell r="Y135">
            <v>0</v>
          </cell>
          <cell r="Z135" t="str">
            <v>Mid</v>
          </cell>
          <cell r="AA135" t="str">
            <v>Medium</v>
          </cell>
          <cell r="AB135" t="str">
            <v>Long</v>
          </cell>
          <cell r="AC135" t="str">
            <v>Medium</v>
          </cell>
          <cell r="AD135">
            <v>176</v>
          </cell>
        </row>
        <row r="136">
          <cell r="A136">
            <v>26</v>
          </cell>
          <cell r="B136" t="str">
            <v>No</v>
          </cell>
          <cell r="C136" t="str">
            <v>Human Resources</v>
          </cell>
          <cell r="D136">
            <v>25</v>
          </cell>
          <cell r="E136">
            <v>1</v>
          </cell>
          <cell r="F136" t="str">
            <v>Life Sciences</v>
          </cell>
          <cell r="G136">
            <v>3</v>
          </cell>
          <cell r="H136" t="str">
            <v>Female</v>
          </cell>
          <cell r="I136">
            <v>3</v>
          </cell>
          <cell r="J136">
            <v>1</v>
          </cell>
          <cell r="K136" t="str">
            <v>Human Resources</v>
          </cell>
          <cell r="L136">
            <v>3</v>
          </cell>
          <cell r="M136" t="str">
            <v>Married</v>
          </cell>
          <cell r="N136">
            <v>2942</v>
          </cell>
          <cell r="O136">
            <v>1</v>
          </cell>
          <cell r="P136" t="str">
            <v>No</v>
          </cell>
          <cell r="Q136">
            <v>4</v>
          </cell>
          <cell r="R136">
            <v>8</v>
          </cell>
          <cell r="S136">
            <v>3</v>
          </cell>
          <cell r="T136">
            <v>8</v>
          </cell>
          <cell r="U136">
            <v>7</v>
          </cell>
          <cell r="V136">
            <v>5</v>
          </cell>
          <cell r="W136">
            <v>7</v>
          </cell>
          <cell r="X136">
            <v>23</v>
          </cell>
          <cell r="Y136">
            <v>0</v>
          </cell>
          <cell r="Z136" t="str">
            <v>Young</v>
          </cell>
          <cell r="AA136" t="str">
            <v>Low</v>
          </cell>
          <cell r="AB136" t="str">
            <v>Long</v>
          </cell>
          <cell r="AC136" t="str">
            <v>High</v>
          </cell>
          <cell r="AD136">
            <v>177</v>
          </cell>
        </row>
        <row r="137">
          <cell r="A137">
            <v>36</v>
          </cell>
          <cell r="B137" t="str">
            <v>No</v>
          </cell>
          <cell r="C137" t="str">
            <v>Research &amp; Development</v>
          </cell>
          <cell r="D137">
            <v>6</v>
          </cell>
          <cell r="E137">
            <v>2</v>
          </cell>
          <cell r="F137" t="str">
            <v>Medical</v>
          </cell>
          <cell r="G137">
            <v>2</v>
          </cell>
          <cell r="H137" t="str">
            <v>Male</v>
          </cell>
          <cell r="I137">
            <v>3</v>
          </cell>
          <cell r="J137">
            <v>2</v>
          </cell>
          <cell r="K137" t="str">
            <v>Manufacturing Director</v>
          </cell>
          <cell r="L137">
            <v>2</v>
          </cell>
          <cell r="M137" t="str">
            <v>Divorced</v>
          </cell>
          <cell r="N137">
            <v>4941</v>
          </cell>
          <cell r="O137">
            <v>6</v>
          </cell>
          <cell r="P137" t="str">
            <v>No</v>
          </cell>
          <cell r="Q137">
            <v>4</v>
          </cell>
          <cell r="R137">
            <v>7</v>
          </cell>
          <cell r="S137">
            <v>3</v>
          </cell>
          <cell r="T137">
            <v>3</v>
          </cell>
          <cell r="U137">
            <v>2</v>
          </cell>
          <cell r="V137">
            <v>0</v>
          </cell>
          <cell r="W137">
            <v>1</v>
          </cell>
          <cell r="X137">
            <v>20</v>
          </cell>
          <cell r="Y137">
            <v>0</v>
          </cell>
          <cell r="Z137" t="str">
            <v>Mid</v>
          </cell>
          <cell r="AA137" t="str">
            <v>Low</v>
          </cell>
          <cell r="AB137" t="str">
            <v>Mid</v>
          </cell>
          <cell r="AC137" t="str">
            <v>High</v>
          </cell>
          <cell r="AD137">
            <v>178</v>
          </cell>
        </row>
        <row r="138">
          <cell r="A138">
            <v>51</v>
          </cell>
          <cell r="B138" t="str">
            <v>Yes</v>
          </cell>
          <cell r="C138" t="str">
            <v>Research &amp; Development</v>
          </cell>
          <cell r="D138">
            <v>8</v>
          </cell>
          <cell r="E138">
            <v>4</v>
          </cell>
          <cell r="F138" t="str">
            <v>Life Sciences</v>
          </cell>
          <cell r="G138">
            <v>1</v>
          </cell>
          <cell r="H138" t="str">
            <v>Male</v>
          </cell>
          <cell r="I138">
            <v>1</v>
          </cell>
          <cell r="J138">
            <v>3</v>
          </cell>
          <cell r="K138" t="str">
            <v>Manufacturing Director</v>
          </cell>
          <cell r="L138">
            <v>4</v>
          </cell>
          <cell r="M138" t="str">
            <v>Single</v>
          </cell>
          <cell r="N138">
            <v>10650</v>
          </cell>
          <cell r="O138">
            <v>2</v>
          </cell>
          <cell r="P138" t="str">
            <v>No</v>
          </cell>
          <cell r="Q138">
            <v>4</v>
          </cell>
          <cell r="R138">
            <v>18</v>
          </cell>
          <cell r="S138">
            <v>3</v>
          </cell>
          <cell r="T138">
            <v>4</v>
          </cell>
          <cell r="U138">
            <v>2</v>
          </cell>
          <cell r="V138">
            <v>0</v>
          </cell>
          <cell r="W138">
            <v>3</v>
          </cell>
          <cell r="X138">
            <v>15</v>
          </cell>
          <cell r="Y138">
            <v>1</v>
          </cell>
          <cell r="Z138" t="str">
            <v>Senior</v>
          </cell>
          <cell r="AA138" t="str">
            <v>High</v>
          </cell>
          <cell r="AB138" t="str">
            <v>Mid</v>
          </cell>
          <cell r="AC138" t="str">
            <v>Medium</v>
          </cell>
          <cell r="AD138">
            <v>179</v>
          </cell>
        </row>
        <row r="139">
          <cell r="A139">
            <v>39</v>
          </cell>
          <cell r="B139" t="str">
            <v>No</v>
          </cell>
          <cell r="C139" t="str">
            <v>Sales</v>
          </cell>
          <cell r="D139">
            <v>4</v>
          </cell>
          <cell r="E139">
            <v>4</v>
          </cell>
          <cell r="F139" t="str">
            <v>Life Sciences</v>
          </cell>
          <cell r="G139">
            <v>4</v>
          </cell>
          <cell r="H139" t="str">
            <v>Female</v>
          </cell>
          <cell r="I139">
            <v>2</v>
          </cell>
          <cell r="J139">
            <v>2</v>
          </cell>
          <cell r="K139" t="str">
            <v>Sales Executive</v>
          </cell>
          <cell r="L139">
            <v>3</v>
          </cell>
          <cell r="M139" t="str">
            <v>Married</v>
          </cell>
          <cell r="N139">
            <v>5902</v>
          </cell>
          <cell r="O139">
            <v>4</v>
          </cell>
          <cell r="P139" t="str">
            <v>No</v>
          </cell>
          <cell r="Q139">
            <v>3</v>
          </cell>
          <cell r="R139">
            <v>17</v>
          </cell>
          <cell r="S139">
            <v>4</v>
          </cell>
          <cell r="T139">
            <v>15</v>
          </cell>
          <cell r="U139">
            <v>11</v>
          </cell>
          <cell r="V139">
            <v>5</v>
          </cell>
          <cell r="W139">
            <v>9</v>
          </cell>
          <cell r="X139">
            <v>14</v>
          </cell>
          <cell r="Y139">
            <v>0</v>
          </cell>
          <cell r="Z139" t="str">
            <v>Mid</v>
          </cell>
          <cell r="AA139" t="str">
            <v>Medium</v>
          </cell>
          <cell r="AB139" t="str">
            <v>Long</v>
          </cell>
          <cell r="AC139" t="str">
            <v>Medium</v>
          </cell>
          <cell r="AD139">
            <v>182</v>
          </cell>
        </row>
        <row r="140">
          <cell r="A140">
            <v>25</v>
          </cell>
          <cell r="B140" t="str">
            <v>No</v>
          </cell>
          <cell r="C140" t="str">
            <v>Sales</v>
          </cell>
          <cell r="D140">
            <v>28</v>
          </cell>
          <cell r="E140">
            <v>3</v>
          </cell>
          <cell r="F140" t="str">
            <v>Life Sciences</v>
          </cell>
          <cell r="G140">
            <v>1</v>
          </cell>
          <cell r="H140" t="str">
            <v>Male</v>
          </cell>
          <cell r="I140">
            <v>2</v>
          </cell>
          <cell r="J140">
            <v>2</v>
          </cell>
          <cell r="K140" t="str">
            <v>Sales Executive</v>
          </cell>
          <cell r="L140">
            <v>3</v>
          </cell>
          <cell r="M140" t="str">
            <v>Married</v>
          </cell>
          <cell r="N140">
            <v>8639</v>
          </cell>
          <cell r="O140">
            <v>2</v>
          </cell>
          <cell r="P140" t="str">
            <v>No</v>
          </cell>
          <cell r="Q140">
            <v>4</v>
          </cell>
          <cell r="R140">
            <v>6</v>
          </cell>
          <cell r="S140">
            <v>3</v>
          </cell>
          <cell r="T140">
            <v>2</v>
          </cell>
          <cell r="U140">
            <v>2</v>
          </cell>
          <cell r="V140">
            <v>2</v>
          </cell>
          <cell r="W140">
            <v>2</v>
          </cell>
          <cell r="X140">
            <v>18</v>
          </cell>
          <cell r="Y140">
            <v>0</v>
          </cell>
          <cell r="Z140" t="str">
            <v>Young</v>
          </cell>
          <cell r="AA140" t="str">
            <v>Medium</v>
          </cell>
          <cell r="AB140" t="str">
            <v>Early</v>
          </cell>
          <cell r="AC140" t="str">
            <v>High</v>
          </cell>
          <cell r="AD140">
            <v>183</v>
          </cell>
        </row>
        <row r="141">
          <cell r="A141">
            <v>30</v>
          </cell>
          <cell r="B141" t="str">
            <v>No</v>
          </cell>
          <cell r="C141" t="str">
            <v>Human Resources</v>
          </cell>
          <cell r="D141">
            <v>9</v>
          </cell>
          <cell r="E141">
            <v>3</v>
          </cell>
          <cell r="F141" t="str">
            <v>Human Resources</v>
          </cell>
          <cell r="G141">
            <v>3</v>
          </cell>
          <cell r="H141" t="str">
            <v>Male</v>
          </cell>
          <cell r="I141">
            <v>3</v>
          </cell>
          <cell r="J141">
            <v>2</v>
          </cell>
          <cell r="K141" t="str">
            <v>Human Resources</v>
          </cell>
          <cell r="L141">
            <v>4</v>
          </cell>
          <cell r="M141" t="str">
            <v>Married</v>
          </cell>
          <cell r="N141">
            <v>6347</v>
          </cell>
          <cell r="O141">
            <v>0</v>
          </cell>
          <cell r="P141" t="str">
            <v>Yes</v>
          </cell>
          <cell r="Q141">
            <v>4</v>
          </cell>
          <cell r="R141">
            <v>12</v>
          </cell>
          <cell r="S141">
            <v>1</v>
          </cell>
          <cell r="T141">
            <v>11</v>
          </cell>
          <cell r="U141">
            <v>9</v>
          </cell>
          <cell r="V141">
            <v>4</v>
          </cell>
          <cell r="W141">
            <v>7</v>
          </cell>
          <cell r="X141">
            <v>19</v>
          </cell>
          <cell r="Y141">
            <v>0</v>
          </cell>
          <cell r="Z141" t="str">
            <v>Mid</v>
          </cell>
          <cell r="AA141" t="str">
            <v>Medium</v>
          </cell>
          <cell r="AB141" t="str">
            <v>Long</v>
          </cell>
          <cell r="AC141" t="str">
            <v>High</v>
          </cell>
          <cell r="AD141">
            <v>184</v>
          </cell>
        </row>
        <row r="142">
          <cell r="A142">
            <v>32</v>
          </cell>
          <cell r="B142" t="str">
            <v>Yes</v>
          </cell>
          <cell r="C142" t="str">
            <v>Research &amp; Development</v>
          </cell>
          <cell r="D142">
            <v>9</v>
          </cell>
          <cell r="E142">
            <v>3</v>
          </cell>
          <cell r="F142" t="str">
            <v>Medical</v>
          </cell>
          <cell r="G142">
            <v>1</v>
          </cell>
          <cell r="H142" t="str">
            <v>Female</v>
          </cell>
          <cell r="I142">
            <v>3</v>
          </cell>
          <cell r="J142">
            <v>1</v>
          </cell>
          <cell r="K142" t="str">
            <v>Laboratory Technician</v>
          </cell>
          <cell r="L142">
            <v>1</v>
          </cell>
          <cell r="M142" t="str">
            <v>Single</v>
          </cell>
          <cell r="N142">
            <v>4200</v>
          </cell>
          <cell r="O142">
            <v>7</v>
          </cell>
          <cell r="P142" t="str">
            <v>No</v>
          </cell>
          <cell r="Q142">
            <v>1</v>
          </cell>
          <cell r="R142">
            <v>10</v>
          </cell>
          <cell r="S142">
            <v>4</v>
          </cell>
          <cell r="T142">
            <v>5</v>
          </cell>
          <cell r="U142">
            <v>4</v>
          </cell>
          <cell r="V142">
            <v>0</v>
          </cell>
          <cell r="W142">
            <v>4</v>
          </cell>
          <cell r="X142">
            <v>22</v>
          </cell>
          <cell r="Y142">
            <v>1</v>
          </cell>
          <cell r="Z142" t="str">
            <v>Mid</v>
          </cell>
          <cell r="AA142" t="str">
            <v>Low</v>
          </cell>
          <cell r="AB142" t="str">
            <v>Mid</v>
          </cell>
          <cell r="AC142" t="str">
            <v>High</v>
          </cell>
          <cell r="AD142">
            <v>190</v>
          </cell>
        </row>
        <row r="143">
          <cell r="A143">
            <v>45</v>
          </cell>
          <cell r="B143" t="str">
            <v>No</v>
          </cell>
          <cell r="C143" t="str">
            <v>Research &amp; Development</v>
          </cell>
          <cell r="D143">
            <v>29</v>
          </cell>
          <cell r="E143">
            <v>3</v>
          </cell>
          <cell r="F143" t="str">
            <v>Medical</v>
          </cell>
          <cell r="G143">
            <v>3</v>
          </cell>
          <cell r="H143" t="str">
            <v>Male</v>
          </cell>
          <cell r="I143">
            <v>3</v>
          </cell>
          <cell r="J143">
            <v>1</v>
          </cell>
          <cell r="K143" t="str">
            <v>Research Scientist</v>
          </cell>
          <cell r="L143">
            <v>4</v>
          </cell>
          <cell r="M143" t="str">
            <v>Single</v>
          </cell>
          <cell r="N143">
            <v>3452</v>
          </cell>
          <cell r="O143">
            <v>5</v>
          </cell>
          <cell r="P143" t="str">
            <v>No</v>
          </cell>
          <cell r="Q143">
            <v>2</v>
          </cell>
          <cell r="R143">
            <v>9</v>
          </cell>
          <cell r="S143">
            <v>2</v>
          </cell>
          <cell r="T143">
            <v>6</v>
          </cell>
          <cell r="U143">
            <v>5</v>
          </cell>
          <cell r="V143">
            <v>0</v>
          </cell>
          <cell r="W143">
            <v>3</v>
          </cell>
          <cell r="X143">
            <v>13</v>
          </cell>
          <cell r="Y143">
            <v>0</v>
          </cell>
          <cell r="Z143" t="str">
            <v>Senior</v>
          </cell>
          <cell r="AA143" t="str">
            <v>Low</v>
          </cell>
          <cell r="AB143" t="str">
            <v>Mid</v>
          </cell>
          <cell r="AC143" t="str">
            <v>Medium</v>
          </cell>
          <cell r="AD143">
            <v>192</v>
          </cell>
        </row>
        <row r="144">
          <cell r="A144">
            <v>38</v>
          </cell>
          <cell r="B144" t="str">
            <v>No</v>
          </cell>
          <cell r="C144" t="str">
            <v>Research &amp; Development</v>
          </cell>
          <cell r="D144">
            <v>3</v>
          </cell>
          <cell r="E144">
            <v>5</v>
          </cell>
          <cell r="F144" t="str">
            <v>Technical Degree</v>
          </cell>
          <cell r="G144">
            <v>4</v>
          </cell>
          <cell r="H144" t="str">
            <v>Female</v>
          </cell>
          <cell r="I144">
            <v>3</v>
          </cell>
          <cell r="J144">
            <v>2</v>
          </cell>
          <cell r="K144" t="str">
            <v>Research Scientist</v>
          </cell>
          <cell r="L144">
            <v>3</v>
          </cell>
          <cell r="M144" t="str">
            <v>Single</v>
          </cell>
          <cell r="N144">
            <v>4317</v>
          </cell>
          <cell r="O144">
            <v>3</v>
          </cell>
          <cell r="P144" t="str">
            <v>Yes</v>
          </cell>
          <cell r="Q144">
            <v>2</v>
          </cell>
          <cell r="R144">
            <v>19</v>
          </cell>
          <cell r="S144">
            <v>3</v>
          </cell>
          <cell r="T144">
            <v>3</v>
          </cell>
          <cell r="U144">
            <v>2</v>
          </cell>
          <cell r="V144">
            <v>2</v>
          </cell>
          <cell r="W144">
            <v>2</v>
          </cell>
          <cell r="X144">
            <v>20</v>
          </cell>
          <cell r="Y144">
            <v>0</v>
          </cell>
          <cell r="Z144" t="str">
            <v>Mid</v>
          </cell>
          <cell r="AA144" t="str">
            <v>Low</v>
          </cell>
          <cell r="AB144" t="str">
            <v>Mid</v>
          </cell>
          <cell r="AC144" t="str">
            <v>High</v>
          </cell>
          <cell r="AD144">
            <v>193</v>
          </cell>
        </row>
        <row r="145">
          <cell r="A145">
            <v>30</v>
          </cell>
          <cell r="B145" t="str">
            <v>No</v>
          </cell>
          <cell r="C145" t="str">
            <v>Research &amp; Development</v>
          </cell>
          <cell r="D145">
            <v>18</v>
          </cell>
          <cell r="E145">
            <v>3</v>
          </cell>
          <cell r="F145" t="str">
            <v>Life Sciences</v>
          </cell>
          <cell r="G145">
            <v>1</v>
          </cell>
          <cell r="H145" t="str">
            <v>Female</v>
          </cell>
          <cell r="I145">
            <v>3</v>
          </cell>
          <cell r="J145">
            <v>1</v>
          </cell>
          <cell r="K145" t="str">
            <v>Research Scientist</v>
          </cell>
          <cell r="L145">
            <v>3</v>
          </cell>
          <cell r="M145" t="str">
            <v>Single</v>
          </cell>
          <cell r="N145">
            <v>2632</v>
          </cell>
          <cell r="O145">
            <v>1</v>
          </cell>
          <cell r="P145" t="str">
            <v>No</v>
          </cell>
          <cell r="Q145">
            <v>3</v>
          </cell>
          <cell r="R145">
            <v>5</v>
          </cell>
          <cell r="S145">
            <v>2</v>
          </cell>
          <cell r="T145">
            <v>5</v>
          </cell>
          <cell r="U145">
            <v>4</v>
          </cell>
          <cell r="V145">
            <v>0</v>
          </cell>
          <cell r="W145">
            <v>4</v>
          </cell>
          <cell r="X145">
            <v>14</v>
          </cell>
          <cell r="Y145">
            <v>0</v>
          </cell>
          <cell r="Z145" t="str">
            <v>Mid</v>
          </cell>
          <cell r="AA145" t="str">
            <v>Low</v>
          </cell>
          <cell r="AB145" t="str">
            <v>Mid</v>
          </cell>
          <cell r="AC145" t="str">
            <v>Medium</v>
          </cell>
          <cell r="AD145">
            <v>194</v>
          </cell>
        </row>
        <row r="146">
          <cell r="A146">
            <v>32</v>
          </cell>
          <cell r="B146" t="str">
            <v>No</v>
          </cell>
          <cell r="C146" t="str">
            <v>Sales</v>
          </cell>
          <cell r="D146">
            <v>9</v>
          </cell>
          <cell r="E146">
            <v>2</v>
          </cell>
          <cell r="F146" t="str">
            <v>Medical</v>
          </cell>
          <cell r="G146">
            <v>4</v>
          </cell>
          <cell r="H146" t="str">
            <v>Male</v>
          </cell>
          <cell r="I146">
            <v>1</v>
          </cell>
          <cell r="J146">
            <v>2</v>
          </cell>
          <cell r="K146" t="str">
            <v>Sales Executive</v>
          </cell>
          <cell r="L146">
            <v>4</v>
          </cell>
          <cell r="M146" t="str">
            <v>Divorced</v>
          </cell>
          <cell r="N146">
            <v>4668</v>
          </cell>
          <cell r="O146">
            <v>0</v>
          </cell>
          <cell r="P146" t="str">
            <v>No</v>
          </cell>
          <cell r="Q146">
            <v>4</v>
          </cell>
          <cell r="R146">
            <v>9</v>
          </cell>
          <cell r="S146">
            <v>4</v>
          </cell>
          <cell r="T146">
            <v>8</v>
          </cell>
          <cell r="U146">
            <v>7</v>
          </cell>
          <cell r="V146">
            <v>0</v>
          </cell>
          <cell r="W146">
            <v>7</v>
          </cell>
          <cell r="X146">
            <v>17</v>
          </cell>
          <cell r="Y146">
            <v>0</v>
          </cell>
          <cell r="Z146" t="str">
            <v>Mid</v>
          </cell>
          <cell r="AA146" t="str">
            <v>Low</v>
          </cell>
          <cell r="AB146" t="str">
            <v>Long</v>
          </cell>
          <cell r="AC146" t="str">
            <v>Medium</v>
          </cell>
          <cell r="AD146">
            <v>195</v>
          </cell>
        </row>
        <row r="147">
          <cell r="A147">
            <v>30</v>
          </cell>
          <cell r="B147" t="str">
            <v>No</v>
          </cell>
          <cell r="C147" t="str">
            <v>Research &amp; Development</v>
          </cell>
          <cell r="D147">
            <v>5</v>
          </cell>
          <cell r="E147">
            <v>3</v>
          </cell>
          <cell r="F147" t="str">
            <v>Technical Degree</v>
          </cell>
          <cell r="G147">
            <v>4</v>
          </cell>
          <cell r="H147" t="str">
            <v>Female</v>
          </cell>
          <cell r="I147">
            <v>3</v>
          </cell>
          <cell r="J147">
            <v>1</v>
          </cell>
          <cell r="K147" t="str">
            <v>Research Scientist</v>
          </cell>
          <cell r="L147">
            <v>1</v>
          </cell>
          <cell r="M147" t="str">
            <v>Divorced</v>
          </cell>
          <cell r="N147">
            <v>3204</v>
          </cell>
          <cell r="O147">
            <v>5</v>
          </cell>
          <cell r="P147" t="str">
            <v>No</v>
          </cell>
          <cell r="Q147">
            <v>4</v>
          </cell>
          <cell r="R147">
            <v>8</v>
          </cell>
          <cell r="S147">
            <v>3</v>
          </cell>
          <cell r="T147">
            <v>3</v>
          </cell>
          <cell r="U147">
            <v>2</v>
          </cell>
          <cell r="V147">
            <v>2</v>
          </cell>
          <cell r="W147">
            <v>2</v>
          </cell>
          <cell r="X147">
            <v>14</v>
          </cell>
          <cell r="Y147">
            <v>0</v>
          </cell>
          <cell r="Z147" t="str">
            <v>Mid</v>
          </cell>
          <cell r="AA147" t="str">
            <v>Low</v>
          </cell>
          <cell r="AB147" t="str">
            <v>Mid</v>
          </cell>
          <cell r="AC147" t="str">
            <v>Medium</v>
          </cell>
          <cell r="AD147">
            <v>197</v>
          </cell>
        </row>
        <row r="148">
          <cell r="A148">
            <v>30</v>
          </cell>
          <cell r="B148" t="str">
            <v>No</v>
          </cell>
          <cell r="C148" t="str">
            <v>Research &amp; Development</v>
          </cell>
          <cell r="D148">
            <v>2</v>
          </cell>
          <cell r="E148">
            <v>1</v>
          </cell>
          <cell r="F148" t="str">
            <v>Medical</v>
          </cell>
          <cell r="G148">
            <v>2</v>
          </cell>
          <cell r="H148" t="str">
            <v>Male</v>
          </cell>
          <cell r="I148">
            <v>2</v>
          </cell>
          <cell r="J148">
            <v>1</v>
          </cell>
          <cell r="K148" t="str">
            <v>Laboratory Technician</v>
          </cell>
          <cell r="L148">
            <v>4</v>
          </cell>
          <cell r="M148" t="str">
            <v>Single</v>
          </cell>
          <cell r="N148">
            <v>2720</v>
          </cell>
          <cell r="O148">
            <v>0</v>
          </cell>
          <cell r="P148" t="str">
            <v>No</v>
          </cell>
          <cell r="Q148">
            <v>4</v>
          </cell>
          <cell r="R148">
            <v>6</v>
          </cell>
          <cell r="S148">
            <v>3</v>
          </cell>
          <cell r="T148">
            <v>5</v>
          </cell>
          <cell r="U148">
            <v>3</v>
          </cell>
          <cell r="V148">
            <v>1</v>
          </cell>
          <cell r="W148">
            <v>2</v>
          </cell>
          <cell r="X148">
            <v>13</v>
          </cell>
          <cell r="Y148">
            <v>0</v>
          </cell>
          <cell r="Z148" t="str">
            <v>Mid</v>
          </cell>
          <cell r="AA148" t="str">
            <v>Low</v>
          </cell>
          <cell r="AB148" t="str">
            <v>Mid</v>
          </cell>
          <cell r="AC148" t="str">
            <v>Medium</v>
          </cell>
          <cell r="AD148">
            <v>198</v>
          </cell>
        </row>
        <row r="149">
          <cell r="A149">
            <v>41</v>
          </cell>
          <cell r="B149" t="str">
            <v>No</v>
          </cell>
          <cell r="C149" t="str">
            <v>Research &amp; Development</v>
          </cell>
          <cell r="D149">
            <v>10</v>
          </cell>
          <cell r="E149">
            <v>3</v>
          </cell>
          <cell r="F149" t="str">
            <v>Life Sciences</v>
          </cell>
          <cell r="G149">
            <v>4</v>
          </cell>
          <cell r="H149" t="str">
            <v>Male</v>
          </cell>
          <cell r="I149">
            <v>2</v>
          </cell>
          <cell r="J149">
            <v>4</v>
          </cell>
          <cell r="K149" t="str">
            <v>Manager</v>
          </cell>
          <cell r="L149">
            <v>1</v>
          </cell>
          <cell r="M149" t="str">
            <v>Divorced</v>
          </cell>
          <cell r="N149">
            <v>17181</v>
          </cell>
          <cell r="O149">
            <v>4</v>
          </cell>
          <cell r="P149" t="str">
            <v>No</v>
          </cell>
          <cell r="Q149">
            <v>2</v>
          </cell>
          <cell r="R149">
            <v>21</v>
          </cell>
          <cell r="S149">
            <v>2</v>
          </cell>
          <cell r="T149">
            <v>7</v>
          </cell>
          <cell r="U149">
            <v>6</v>
          </cell>
          <cell r="V149">
            <v>7</v>
          </cell>
          <cell r="W149">
            <v>7</v>
          </cell>
          <cell r="X149">
            <v>13</v>
          </cell>
          <cell r="Y149">
            <v>0</v>
          </cell>
          <cell r="Z149" t="str">
            <v>Mid</v>
          </cell>
          <cell r="AA149" t="str">
            <v>High</v>
          </cell>
          <cell r="AB149" t="str">
            <v>Long</v>
          </cell>
          <cell r="AC149" t="str">
            <v>Medium</v>
          </cell>
          <cell r="AD149">
            <v>199</v>
          </cell>
        </row>
        <row r="150">
          <cell r="A150">
            <v>41</v>
          </cell>
          <cell r="B150" t="str">
            <v>No</v>
          </cell>
          <cell r="C150" t="str">
            <v>Research &amp; Development</v>
          </cell>
          <cell r="D150">
            <v>9</v>
          </cell>
          <cell r="E150">
            <v>4</v>
          </cell>
          <cell r="F150" t="str">
            <v>Life Sciences</v>
          </cell>
          <cell r="G150">
            <v>3</v>
          </cell>
          <cell r="H150" t="str">
            <v>Male</v>
          </cell>
          <cell r="I150">
            <v>3</v>
          </cell>
          <cell r="J150">
            <v>1</v>
          </cell>
          <cell r="K150" t="str">
            <v>Laboratory Technician</v>
          </cell>
          <cell r="L150">
            <v>1</v>
          </cell>
          <cell r="M150" t="str">
            <v>Married</v>
          </cell>
          <cell r="N150">
            <v>2238</v>
          </cell>
          <cell r="O150">
            <v>2</v>
          </cell>
          <cell r="P150" t="str">
            <v>No</v>
          </cell>
          <cell r="Q150">
            <v>4</v>
          </cell>
          <cell r="R150">
            <v>7</v>
          </cell>
          <cell r="S150">
            <v>3</v>
          </cell>
          <cell r="T150">
            <v>5</v>
          </cell>
          <cell r="U150">
            <v>0</v>
          </cell>
          <cell r="V150">
            <v>1</v>
          </cell>
          <cell r="W150">
            <v>4</v>
          </cell>
          <cell r="X150">
            <v>21</v>
          </cell>
          <cell r="Y150">
            <v>0</v>
          </cell>
          <cell r="Z150" t="str">
            <v>Mid</v>
          </cell>
          <cell r="AA150" t="str">
            <v>Low</v>
          </cell>
          <cell r="AB150" t="str">
            <v>Mid</v>
          </cell>
          <cell r="AC150" t="str">
            <v>High</v>
          </cell>
          <cell r="AD150">
            <v>200</v>
          </cell>
        </row>
        <row r="151">
          <cell r="A151">
            <v>19</v>
          </cell>
          <cell r="B151" t="str">
            <v>No</v>
          </cell>
          <cell r="C151" t="str">
            <v>Research &amp; Development</v>
          </cell>
          <cell r="D151">
            <v>3</v>
          </cell>
          <cell r="E151">
            <v>1</v>
          </cell>
          <cell r="F151" t="str">
            <v>Medical</v>
          </cell>
          <cell r="G151">
            <v>2</v>
          </cell>
          <cell r="H151" t="str">
            <v>Female</v>
          </cell>
          <cell r="I151">
            <v>3</v>
          </cell>
          <cell r="J151">
            <v>1</v>
          </cell>
          <cell r="K151" t="str">
            <v>Laboratory Technician</v>
          </cell>
          <cell r="L151">
            <v>2</v>
          </cell>
          <cell r="M151" t="str">
            <v>Single</v>
          </cell>
          <cell r="N151">
            <v>1483</v>
          </cell>
          <cell r="O151">
            <v>1</v>
          </cell>
          <cell r="P151" t="str">
            <v>No</v>
          </cell>
          <cell r="Q151">
            <v>4</v>
          </cell>
          <cell r="R151">
            <v>1</v>
          </cell>
          <cell r="S151">
            <v>3</v>
          </cell>
          <cell r="T151">
            <v>1</v>
          </cell>
          <cell r="U151">
            <v>0</v>
          </cell>
          <cell r="V151">
            <v>0</v>
          </cell>
          <cell r="W151">
            <v>0</v>
          </cell>
          <cell r="X151">
            <v>14</v>
          </cell>
          <cell r="Y151">
            <v>0</v>
          </cell>
          <cell r="Z151" t="str">
            <v>Young</v>
          </cell>
          <cell r="AA151" t="str">
            <v>Low</v>
          </cell>
          <cell r="AB151" t="str">
            <v>Early</v>
          </cell>
          <cell r="AC151" t="str">
            <v>Medium</v>
          </cell>
          <cell r="AD151">
            <v>201</v>
          </cell>
        </row>
        <row r="152">
          <cell r="A152">
            <v>40</v>
          </cell>
          <cell r="B152" t="str">
            <v>No</v>
          </cell>
          <cell r="C152" t="str">
            <v>Research &amp; Development</v>
          </cell>
          <cell r="D152">
            <v>26</v>
          </cell>
          <cell r="E152">
            <v>3</v>
          </cell>
          <cell r="F152" t="str">
            <v>Medical</v>
          </cell>
          <cell r="G152">
            <v>2</v>
          </cell>
          <cell r="H152" t="str">
            <v>Female</v>
          </cell>
          <cell r="I152">
            <v>3</v>
          </cell>
          <cell r="J152">
            <v>2</v>
          </cell>
          <cell r="K152" t="str">
            <v>Research Scientist</v>
          </cell>
          <cell r="L152">
            <v>2</v>
          </cell>
          <cell r="M152" t="str">
            <v>Divorced</v>
          </cell>
          <cell r="N152">
            <v>5605</v>
          </cell>
          <cell r="O152">
            <v>1</v>
          </cell>
          <cell r="P152" t="str">
            <v>No</v>
          </cell>
          <cell r="Q152">
            <v>1</v>
          </cell>
          <cell r="R152">
            <v>20</v>
          </cell>
          <cell r="S152">
            <v>3</v>
          </cell>
          <cell r="T152">
            <v>20</v>
          </cell>
          <cell r="U152">
            <v>7</v>
          </cell>
          <cell r="V152">
            <v>2</v>
          </cell>
          <cell r="W152">
            <v>13</v>
          </cell>
          <cell r="X152">
            <v>11</v>
          </cell>
          <cell r="Y152">
            <v>0</v>
          </cell>
          <cell r="Z152" t="str">
            <v>Mid</v>
          </cell>
          <cell r="AA152" t="str">
            <v>Medium</v>
          </cell>
          <cell r="AB152" t="str">
            <v>Long</v>
          </cell>
          <cell r="AC152" t="str">
            <v>Low</v>
          </cell>
          <cell r="AD152">
            <v>202</v>
          </cell>
        </row>
        <row r="153">
          <cell r="A153">
            <v>35</v>
          </cell>
          <cell r="B153" t="str">
            <v>No</v>
          </cell>
          <cell r="C153" t="str">
            <v>Sales</v>
          </cell>
          <cell r="D153">
            <v>1</v>
          </cell>
          <cell r="E153">
            <v>5</v>
          </cell>
          <cell r="F153" t="str">
            <v>Marketing</v>
          </cell>
          <cell r="G153">
            <v>3</v>
          </cell>
          <cell r="H153" t="str">
            <v>Male</v>
          </cell>
          <cell r="I153">
            <v>3</v>
          </cell>
          <cell r="J153">
            <v>3</v>
          </cell>
          <cell r="K153" t="str">
            <v>Sales Executive</v>
          </cell>
          <cell r="L153">
            <v>2</v>
          </cell>
          <cell r="M153" t="str">
            <v>Married</v>
          </cell>
          <cell r="N153">
            <v>7295</v>
          </cell>
          <cell r="O153">
            <v>1</v>
          </cell>
          <cell r="P153" t="str">
            <v>No</v>
          </cell>
          <cell r="Q153">
            <v>1</v>
          </cell>
          <cell r="R153">
            <v>10</v>
          </cell>
          <cell r="S153">
            <v>3</v>
          </cell>
          <cell r="T153">
            <v>10</v>
          </cell>
          <cell r="U153">
            <v>8</v>
          </cell>
          <cell r="V153">
            <v>0</v>
          </cell>
          <cell r="W153">
            <v>6</v>
          </cell>
          <cell r="X153">
            <v>13</v>
          </cell>
          <cell r="Y153">
            <v>0</v>
          </cell>
          <cell r="Z153" t="str">
            <v>Mid</v>
          </cell>
          <cell r="AA153" t="str">
            <v>Medium</v>
          </cell>
          <cell r="AB153" t="str">
            <v>Long</v>
          </cell>
          <cell r="AC153" t="str">
            <v>Medium</v>
          </cell>
          <cell r="AD153">
            <v>204</v>
          </cell>
        </row>
        <row r="154">
          <cell r="A154">
            <v>53</v>
          </cell>
          <cell r="B154" t="str">
            <v>No</v>
          </cell>
          <cell r="C154" t="str">
            <v>Sales</v>
          </cell>
          <cell r="D154">
            <v>6</v>
          </cell>
          <cell r="E154">
            <v>2</v>
          </cell>
          <cell r="F154" t="str">
            <v>Marketing</v>
          </cell>
          <cell r="G154">
            <v>2</v>
          </cell>
          <cell r="H154" t="str">
            <v>Male</v>
          </cell>
          <cell r="I154">
            <v>3</v>
          </cell>
          <cell r="J154">
            <v>2</v>
          </cell>
          <cell r="K154" t="str">
            <v>Sales Representative</v>
          </cell>
          <cell r="L154">
            <v>3</v>
          </cell>
          <cell r="M154" t="str">
            <v>Married</v>
          </cell>
          <cell r="N154">
            <v>2306</v>
          </cell>
          <cell r="O154">
            <v>2</v>
          </cell>
          <cell r="P154" t="str">
            <v>Yes</v>
          </cell>
          <cell r="Q154">
            <v>4</v>
          </cell>
          <cell r="R154">
            <v>13</v>
          </cell>
          <cell r="S154">
            <v>1</v>
          </cell>
          <cell r="T154">
            <v>7</v>
          </cell>
          <cell r="U154">
            <v>7</v>
          </cell>
          <cell r="V154">
            <v>4</v>
          </cell>
          <cell r="W154">
            <v>5</v>
          </cell>
          <cell r="X154">
            <v>20</v>
          </cell>
          <cell r="Y154">
            <v>0</v>
          </cell>
          <cell r="Z154" t="str">
            <v>Senior</v>
          </cell>
          <cell r="AA154" t="str">
            <v>Low</v>
          </cell>
          <cell r="AB154" t="str">
            <v>Long</v>
          </cell>
          <cell r="AC154" t="str">
            <v>High</v>
          </cell>
          <cell r="AD154">
            <v>205</v>
          </cell>
        </row>
        <row r="155">
          <cell r="A155">
            <v>45</v>
          </cell>
          <cell r="B155" t="str">
            <v>No</v>
          </cell>
          <cell r="C155" t="str">
            <v>Research &amp; Development</v>
          </cell>
          <cell r="D155">
            <v>9</v>
          </cell>
          <cell r="E155">
            <v>3</v>
          </cell>
          <cell r="F155" t="str">
            <v>Life Sciences</v>
          </cell>
          <cell r="G155">
            <v>2</v>
          </cell>
          <cell r="H155" t="str">
            <v>Male</v>
          </cell>
          <cell r="I155">
            <v>3</v>
          </cell>
          <cell r="J155">
            <v>2</v>
          </cell>
          <cell r="K155" t="str">
            <v>Laboratory Technician</v>
          </cell>
          <cell r="L155">
            <v>2</v>
          </cell>
          <cell r="M155" t="str">
            <v>Divorced</v>
          </cell>
          <cell r="N155">
            <v>2348</v>
          </cell>
          <cell r="O155">
            <v>8</v>
          </cell>
          <cell r="P155" t="str">
            <v>No</v>
          </cell>
          <cell r="Q155">
            <v>3</v>
          </cell>
          <cell r="R155">
            <v>20</v>
          </cell>
          <cell r="S155">
            <v>1</v>
          </cell>
          <cell r="T155">
            <v>17</v>
          </cell>
          <cell r="U155">
            <v>9</v>
          </cell>
          <cell r="V155">
            <v>0</v>
          </cell>
          <cell r="W155">
            <v>15</v>
          </cell>
          <cell r="X155">
            <v>18</v>
          </cell>
          <cell r="Y155">
            <v>0</v>
          </cell>
          <cell r="Z155" t="str">
            <v>Senior</v>
          </cell>
          <cell r="AA155" t="str">
            <v>Low</v>
          </cell>
          <cell r="AB155" t="str">
            <v>Long</v>
          </cell>
          <cell r="AC155" t="str">
            <v>High</v>
          </cell>
          <cell r="AD155">
            <v>206</v>
          </cell>
        </row>
        <row r="156">
          <cell r="A156">
            <v>32</v>
          </cell>
          <cell r="B156" t="str">
            <v>No</v>
          </cell>
          <cell r="C156" t="str">
            <v>Sales</v>
          </cell>
          <cell r="D156">
            <v>8</v>
          </cell>
          <cell r="E156">
            <v>3</v>
          </cell>
          <cell r="F156" t="str">
            <v>Marketing</v>
          </cell>
          <cell r="G156">
            <v>2</v>
          </cell>
          <cell r="H156" t="str">
            <v>Female</v>
          </cell>
          <cell r="I156">
            <v>3</v>
          </cell>
          <cell r="J156">
            <v>3</v>
          </cell>
          <cell r="K156" t="str">
            <v>Sales Executive</v>
          </cell>
          <cell r="L156">
            <v>4</v>
          </cell>
          <cell r="M156" t="str">
            <v>Single</v>
          </cell>
          <cell r="N156">
            <v>8998</v>
          </cell>
          <cell r="O156">
            <v>1</v>
          </cell>
          <cell r="P156" t="str">
            <v>No</v>
          </cell>
          <cell r="Q156">
            <v>4</v>
          </cell>
          <cell r="R156">
            <v>9</v>
          </cell>
          <cell r="S156">
            <v>3</v>
          </cell>
          <cell r="T156">
            <v>9</v>
          </cell>
          <cell r="U156">
            <v>8</v>
          </cell>
          <cell r="V156">
            <v>3</v>
          </cell>
          <cell r="W156">
            <v>7</v>
          </cell>
          <cell r="X156">
            <v>14</v>
          </cell>
          <cell r="Y156">
            <v>0</v>
          </cell>
          <cell r="Z156" t="str">
            <v>Mid</v>
          </cell>
          <cell r="AA156" t="str">
            <v>Medium</v>
          </cell>
          <cell r="AB156" t="str">
            <v>Long</v>
          </cell>
          <cell r="AC156" t="str">
            <v>Medium</v>
          </cell>
          <cell r="AD156">
            <v>207</v>
          </cell>
        </row>
        <row r="157">
          <cell r="A157">
            <v>29</v>
          </cell>
          <cell r="B157" t="str">
            <v>No</v>
          </cell>
          <cell r="C157" t="str">
            <v>Research &amp; Development</v>
          </cell>
          <cell r="D157">
            <v>1</v>
          </cell>
          <cell r="E157">
            <v>1</v>
          </cell>
          <cell r="F157" t="str">
            <v>Technical Degree</v>
          </cell>
          <cell r="G157">
            <v>4</v>
          </cell>
          <cell r="H157" t="str">
            <v>Male</v>
          </cell>
          <cell r="I157">
            <v>3</v>
          </cell>
          <cell r="J157">
            <v>2</v>
          </cell>
          <cell r="K157" t="str">
            <v>Manufacturing Director</v>
          </cell>
          <cell r="L157">
            <v>3</v>
          </cell>
          <cell r="M157" t="str">
            <v>Married</v>
          </cell>
          <cell r="N157">
            <v>4319</v>
          </cell>
          <cell r="O157">
            <v>1</v>
          </cell>
          <cell r="P157" t="str">
            <v>No</v>
          </cell>
          <cell r="Q157">
            <v>1</v>
          </cell>
          <cell r="R157">
            <v>10</v>
          </cell>
          <cell r="S157">
            <v>3</v>
          </cell>
          <cell r="T157">
            <v>10</v>
          </cell>
          <cell r="U157">
            <v>7</v>
          </cell>
          <cell r="V157">
            <v>0</v>
          </cell>
          <cell r="W157">
            <v>9</v>
          </cell>
          <cell r="X157">
            <v>13</v>
          </cell>
          <cell r="Y157">
            <v>0</v>
          </cell>
          <cell r="Z157" t="str">
            <v>Young</v>
          </cell>
          <cell r="AA157" t="str">
            <v>Low</v>
          </cell>
          <cell r="AB157" t="str">
            <v>Long</v>
          </cell>
          <cell r="AC157" t="str">
            <v>Medium</v>
          </cell>
          <cell r="AD157">
            <v>208</v>
          </cell>
        </row>
        <row r="158">
          <cell r="A158">
            <v>51</v>
          </cell>
          <cell r="B158" t="str">
            <v>No</v>
          </cell>
          <cell r="C158" t="str">
            <v>Research &amp; Development</v>
          </cell>
          <cell r="D158">
            <v>7</v>
          </cell>
          <cell r="E158">
            <v>4</v>
          </cell>
          <cell r="F158" t="str">
            <v>Medical</v>
          </cell>
          <cell r="G158">
            <v>2</v>
          </cell>
          <cell r="H158" t="str">
            <v>Male</v>
          </cell>
          <cell r="I158">
            <v>2</v>
          </cell>
          <cell r="J158">
            <v>2</v>
          </cell>
          <cell r="K158" t="str">
            <v>Manufacturing Director</v>
          </cell>
          <cell r="L158">
            <v>3</v>
          </cell>
          <cell r="M158" t="str">
            <v>Married</v>
          </cell>
          <cell r="N158">
            <v>6132</v>
          </cell>
          <cell r="O158">
            <v>2</v>
          </cell>
          <cell r="P158" t="str">
            <v>No</v>
          </cell>
          <cell r="Q158">
            <v>3</v>
          </cell>
          <cell r="R158">
            <v>10</v>
          </cell>
          <cell r="S158">
            <v>3</v>
          </cell>
          <cell r="T158">
            <v>1</v>
          </cell>
          <cell r="U158">
            <v>0</v>
          </cell>
          <cell r="V158">
            <v>0</v>
          </cell>
          <cell r="W158">
            <v>0</v>
          </cell>
          <cell r="X158">
            <v>17</v>
          </cell>
          <cell r="Y158">
            <v>0</v>
          </cell>
          <cell r="Z158" t="str">
            <v>Senior</v>
          </cell>
          <cell r="AA158" t="str">
            <v>Medium</v>
          </cell>
          <cell r="AB158" t="str">
            <v>Early</v>
          </cell>
          <cell r="AC158" t="str">
            <v>Medium</v>
          </cell>
          <cell r="AD158">
            <v>211</v>
          </cell>
        </row>
        <row r="159">
          <cell r="A159">
            <v>58</v>
          </cell>
          <cell r="B159" t="str">
            <v>No</v>
          </cell>
          <cell r="C159" t="str">
            <v>Research &amp; Development</v>
          </cell>
          <cell r="D159">
            <v>9</v>
          </cell>
          <cell r="E159">
            <v>3</v>
          </cell>
          <cell r="F159" t="str">
            <v>Medical</v>
          </cell>
          <cell r="G159">
            <v>2</v>
          </cell>
          <cell r="H159" t="str">
            <v>Female</v>
          </cell>
          <cell r="I159">
            <v>2</v>
          </cell>
          <cell r="J159">
            <v>1</v>
          </cell>
          <cell r="K159" t="str">
            <v>Research Scientist</v>
          </cell>
          <cell r="L159">
            <v>2</v>
          </cell>
          <cell r="M159" t="str">
            <v>Married</v>
          </cell>
          <cell r="N159">
            <v>3346</v>
          </cell>
          <cell r="O159">
            <v>4</v>
          </cell>
          <cell r="P159" t="str">
            <v>Yes</v>
          </cell>
          <cell r="Q159">
            <v>2</v>
          </cell>
          <cell r="R159">
            <v>9</v>
          </cell>
          <cell r="S159">
            <v>2</v>
          </cell>
          <cell r="T159">
            <v>1</v>
          </cell>
          <cell r="U159">
            <v>0</v>
          </cell>
          <cell r="V159">
            <v>0</v>
          </cell>
          <cell r="W159">
            <v>0</v>
          </cell>
          <cell r="X159">
            <v>20</v>
          </cell>
          <cell r="Y159">
            <v>0</v>
          </cell>
          <cell r="Z159" t="str">
            <v>Senior</v>
          </cell>
          <cell r="AA159" t="str">
            <v>Low</v>
          </cell>
          <cell r="AB159" t="str">
            <v>Early</v>
          </cell>
          <cell r="AC159" t="str">
            <v>High</v>
          </cell>
          <cell r="AD159">
            <v>214</v>
          </cell>
        </row>
        <row r="160">
          <cell r="A160">
            <v>40</v>
          </cell>
          <cell r="B160" t="str">
            <v>No</v>
          </cell>
          <cell r="C160" t="str">
            <v>Sales</v>
          </cell>
          <cell r="D160">
            <v>4</v>
          </cell>
          <cell r="E160">
            <v>4</v>
          </cell>
          <cell r="F160" t="str">
            <v>Marketing</v>
          </cell>
          <cell r="G160">
            <v>3</v>
          </cell>
          <cell r="H160" t="str">
            <v>Male</v>
          </cell>
          <cell r="I160">
            <v>2</v>
          </cell>
          <cell r="J160">
            <v>3</v>
          </cell>
          <cell r="K160" t="str">
            <v>Sales Executive</v>
          </cell>
          <cell r="L160">
            <v>4</v>
          </cell>
          <cell r="M160" t="str">
            <v>Married</v>
          </cell>
          <cell r="N160">
            <v>10855</v>
          </cell>
          <cell r="O160">
            <v>7</v>
          </cell>
          <cell r="P160" t="str">
            <v>No</v>
          </cell>
          <cell r="Q160">
            <v>1</v>
          </cell>
          <cell r="R160">
            <v>15</v>
          </cell>
          <cell r="S160">
            <v>2</v>
          </cell>
          <cell r="T160">
            <v>12</v>
          </cell>
          <cell r="U160">
            <v>11</v>
          </cell>
          <cell r="V160">
            <v>2</v>
          </cell>
          <cell r="W160">
            <v>11</v>
          </cell>
          <cell r="X160">
            <v>11</v>
          </cell>
          <cell r="Y160">
            <v>0</v>
          </cell>
          <cell r="Z160" t="str">
            <v>Mid</v>
          </cell>
          <cell r="AA160" t="str">
            <v>High</v>
          </cell>
          <cell r="AB160" t="str">
            <v>Long</v>
          </cell>
          <cell r="AC160" t="str">
            <v>Low</v>
          </cell>
          <cell r="AD160">
            <v>215</v>
          </cell>
        </row>
        <row r="161">
          <cell r="A161">
            <v>34</v>
          </cell>
          <cell r="B161" t="str">
            <v>No</v>
          </cell>
          <cell r="C161" t="str">
            <v>Sales</v>
          </cell>
          <cell r="D161">
            <v>2</v>
          </cell>
          <cell r="E161">
            <v>4</v>
          </cell>
          <cell r="F161" t="str">
            <v>Marketing</v>
          </cell>
          <cell r="G161">
            <v>3</v>
          </cell>
          <cell r="H161" t="str">
            <v>Female</v>
          </cell>
          <cell r="I161">
            <v>3</v>
          </cell>
          <cell r="J161">
            <v>1</v>
          </cell>
          <cell r="K161" t="str">
            <v>Sales Representative</v>
          </cell>
          <cell r="L161">
            <v>3</v>
          </cell>
          <cell r="M161" t="str">
            <v>Married</v>
          </cell>
          <cell r="N161">
            <v>2231</v>
          </cell>
          <cell r="O161">
            <v>6</v>
          </cell>
          <cell r="P161" t="str">
            <v>No</v>
          </cell>
          <cell r="Q161">
            <v>4</v>
          </cell>
          <cell r="R161">
            <v>6</v>
          </cell>
          <cell r="S161">
            <v>3</v>
          </cell>
          <cell r="T161">
            <v>4</v>
          </cell>
          <cell r="U161">
            <v>3</v>
          </cell>
          <cell r="V161">
            <v>1</v>
          </cell>
          <cell r="W161">
            <v>2</v>
          </cell>
          <cell r="X161">
            <v>18</v>
          </cell>
          <cell r="Y161">
            <v>0</v>
          </cell>
          <cell r="Z161" t="str">
            <v>Mid</v>
          </cell>
          <cell r="AA161" t="str">
            <v>Low</v>
          </cell>
          <cell r="AB161" t="str">
            <v>Mid</v>
          </cell>
          <cell r="AC161" t="str">
            <v>High</v>
          </cell>
          <cell r="AD161">
            <v>216</v>
          </cell>
        </row>
        <row r="162">
          <cell r="A162">
            <v>22</v>
          </cell>
          <cell r="B162" t="str">
            <v>No</v>
          </cell>
          <cell r="C162" t="str">
            <v>Research &amp; Development</v>
          </cell>
          <cell r="D162">
            <v>19</v>
          </cell>
          <cell r="E162">
            <v>1</v>
          </cell>
          <cell r="F162" t="str">
            <v>Medical</v>
          </cell>
          <cell r="G162">
            <v>3</v>
          </cell>
          <cell r="H162" t="str">
            <v>Male</v>
          </cell>
          <cell r="I162">
            <v>3</v>
          </cell>
          <cell r="J162">
            <v>1</v>
          </cell>
          <cell r="K162" t="str">
            <v>Research Scientist</v>
          </cell>
          <cell r="L162">
            <v>4</v>
          </cell>
          <cell r="M162" t="str">
            <v>Married</v>
          </cell>
          <cell r="N162">
            <v>2323</v>
          </cell>
          <cell r="O162">
            <v>1</v>
          </cell>
          <cell r="P162" t="str">
            <v>No</v>
          </cell>
          <cell r="Q162">
            <v>1</v>
          </cell>
          <cell r="R162">
            <v>2</v>
          </cell>
          <cell r="S162">
            <v>3</v>
          </cell>
          <cell r="T162">
            <v>2</v>
          </cell>
          <cell r="U162">
            <v>2</v>
          </cell>
          <cell r="V162">
            <v>2</v>
          </cell>
          <cell r="W162">
            <v>2</v>
          </cell>
          <cell r="X162">
            <v>24</v>
          </cell>
          <cell r="Y162">
            <v>0</v>
          </cell>
          <cell r="Z162" t="str">
            <v>Young</v>
          </cell>
          <cell r="AA162" t="str">
            <v>Low</v>
          </cell>
          <cell r="AB162" t="str">
            <v>Early</v>
          </cell>
          <cell r="AC162" t="str">
            <v>High</v>
          </cell>
          <cell r="AD162">
            <v>217</v>
          </cell>
        </row>
        <row r="163">
          <cell r="A163">
            <v>27</v>
          </cell>
          <cell r="B163" t="str">
            <v>No</v>
          </cell>
          <cell r="C163" t="str">
            <v>Research &amp; Development</v>
          </cell>
          <cell r="D163">
            <v>9</v>
          </cell>
          <cell r="E163">
            <v>3</v>
          </cell>
          <cell r="F163" t="str">
            <v>Medical</v>
          </cell>
          <cell r="G163">
            <v>4</v>
          </cell>
          <cell r="H163" t="str">
            <v>Male</v>
          </cell>
          <cell r="I163">
            <v>3</v>
          </cell>
          <cell r="J163">
            <v>1</v>
          </cell>
          <cell r="K163" t="str">
            <v>Research Scientist</v>
          </cell>
          <cell r="L163">
            <v>2</v>
          </cell>
          <cell r="M163" t="str">
            <v>Divorced</v>
          </cell>
          <cell r="N163">
            <v>2024</v>
          </cell>
          <cell r="O163">
            <v>6</v>
          </cell>
          <cell r="P163" t="str">
            <v>No</v>
          </cell>
          <cell r="Q163">
            <v>4</v>
          </cell>
          <cell r="R163">
            <v>6</v>
          </cell>
          <cell r="S163">
            <v>1</v>
          </cell>
          <cell r="T163">
            <v>2</v>
          </cell>
          <cell r="U163">
            <v>2</v>
          </cell>
          <cell r="V163">
            <v>2</v>
          </cell>
          <cell r="W163">
            <v>2</v>
          </cell>
          <cell r="X163">
            <v>18</v>
          </cell>
          <cell r="Y163">
            <v>0</v>
          </cell>
          <cell r="Z163" t="str">
            <v>Young</v>
          </cell>
          <cell r="AA163" t="str">
            <v>Low</v>
          </cell>
          <cell r="AB163" t="str">
            <v>Early</v>
          </cell>
          <cell r="AC163" t="str">
            <v>High</v>
          </cell>
          <cell r="AD163">
            <v>218</v>
          </cell>
        </row>
        <row r="164">
          <cell r="A164">
            <v>28</v>
          </cell>
          <cell r="B164" t="str">
            <v>No</v>
          </cell>
          <cell r="C164" t="str">
            <v>Research &amp; Development</v>
          </cell>
          <cell r="D164">
            <v>21</v>
          </cell>
          <cell r="E164">
            <v>3</v>
          </cell>
          <cell r="F164" t="str">
            <v>Medical</v>
          </cell>
          <cell r="G164">
            <v>3</v>
          </cell>
          <cell r="H164" t="str">
            <v>Male</v>
          </cell>
          <cell r="I164">
            <v>3</v>
          </cell>
          <cell r="J164">
            <v>1</v>
          </cell>
          <cell r="K164" t="str">
            <v>Research Scientist</v>
          </cell>
          <cell r="L164">
            <v>4</v>
          </cell>
          <cell r="M164" t="str">
            <v>Married</v>
          </cell>
          <cell r="N164">
            <v>2713</v>
          </cell>
          <cell r="O164">
            <v>1</v>
          </cell>
          <cell r="P164" t="str">
            <v>No</v>
          </cell>
          <cell r="Q164">
            <v>3</v>
          </cell>
          <cell r="R164">
            <v>5</v>
          </cell>
          <cell r="S164">
            <v>1</v>
          </cell>
          <cell r="T164">
            <v>5</v>
          </cell>
          <cell r="U164">
            <v>2</v>
          </cell>
          <cell r="V164">
            <v>0</v>
          </cell>
          <cell r="W164">
            <v>2</v>
          </cell>
          <cell r="X164">
            <v>11</v>
          </cell>
          <cell r="Y164">
            <v>0</v>
          </cell>
          <cell r="Z164" t="str">
            <v>Young</v>
          </cell>
          <cell r="AA164" t="str">
            <v>Low</v>
          </cell>
          <cell r="AB164" t="str">
            <v>Mid</v>
          </cell>
          <cell r="AC164" t="str">
            <v>Low</v>
          </cell>
          <cell r="AD164">
            <v>221</v>
          </cell>
        </row>
        <row r="165">
          <cell r="A165">
            <v>57</v>
          </cell>
          <cell r="B165" t="str">
            <v>No</v>
          </cell>
          <cell r="C165" t="str">
            <v>Research &amp; Development</v>
          </cell>
          <cell r="D165">
            <v>24</v>
          </cell>
          <cell r="E165">
            <v>2</v>
          </cell>
          <cell r="F165" t="str">
            <v>Life Sciences</v>
          </cell>
          <cell r="G165">
            <v>3</v>
          </cell>
          <cell r="H165" t="str">
            <v>Male</v>
          </cell>
          <cell r="I165">
            <v>4</v>
          </cell>
          <cell r="J165">
            <v>3</v>
          </cell>
          <cell r="K165" t="str">
            <v>Healthcare Representative</v>
          </cell>
          <cell r="L165">
            <v>4</v>
          </cell>
          <cell r="M165" t="str">
            <v>Divorced</v>
          </cell>
          <cell r="N165">
            <v>9439</v>
          </cell>
          <cell r="O165">
            <v>3</v>
          </cell>
          <cell r="P165" t="str">
            <v>Yes</v>
          </cell>
          <cell r="Q165">
            <v>2</v>
          </cell>
          <cell r="R165">
            <v>12</v>
          </cell>
          <cell r="S165">
            <v>1</v>
          </cell>
          <cell r="T165">
            <v>5</v>
          </cell>
          <cell r="U165">
            <v>3</v>
          </cell>
          <cell r="V165">
            <v>1</v>
          </cell>
          <cell r="W165">
            <v>4</v>
          </cell>
          <cell r="X165">
            <v>16</v>
          </cell>
          <cell r="Y165">
            <v>0</v>
          </cell>
          <cell r="Z165" t="str">
            <v>Senior</v>
          </cell>
          <cell r="AA165" t="str">
            <v>Medium</v>
          </cell>
          <cell r="AB165" t="str">
            <v>Mid</v>
          </cell>
          <cell r="AC165" t="str">
            <v>Medium</v>
          </cell>
          <cell r="AD165">
            <v>223</v>
          </cell>
        </row>
        <row r="166">
          <cell r="A166">
            <v>27</v>
          </cell>
          <cell r="B166" t="str">
            <v>No</v>
          </cell>
          <cell r="C166" t="str">
            <v>Research &amp; Development</v>
          </cell>
          <cell r="D166">
            <v>3</v>
          </cell>
          <cell r="E166">
            <v>3</v>
          </cell>
          <cell r="F166" t="str">
            <v>Medical</v>
          </cell>
          <cell r="G166">
            <v>3</v>
          </cell>
          <cell r="H166" t="str">
            <v>Male</v>
          </cell>
          <cell r="I166">
            <v>2</v>
          </cell>
          <cell r="J166">
            <v>1</v>
          </cell>
          <cell r="K166" t="str">
            <v>Research Scientist</v>
          </cell>
          <cell r="L166">
            <v>3</v>
          </cell>
          <cell r="M166" t="str">
            <v>Divorced</v>
          </cell>
          <cell r="N166">
            <v>2566</v>
          </cell>
          <cell r="O166">
            <v>1</v>
          </cell>
          <cell r="P166" t="str">
            <v>Yes</v>
          </cell>
          <cell r="Q166">
            <v>4</v>
          </cell>
          <cell r="R166">
            <v>1</v>
          </cell>
          <cell r="S166">
            <v>2</v>
          </cell>
          <cell r="T166">
            <v>1</v>
          </cell>
          <cell r="U166">
            <v>1</v>
          </cell>
          <cell r="V166">
            <v>0</v>
          </cell>
          <cell r="W166">
            <v>1</v>
          </cell>
          <cell r="X166">
            <v>15</v>
          </cell>
          <cell r="Y166">
            <v>0</v>
          </cell>
          <cell r="Z166" t="str">
            <v>Young</v>
          </cell>
          <cell r="AA166" t="str">
            <v>Low</v>
          </cell>
          <cell r="AB166" t="str">
            <v>Early</v>
          </cell>
          <cell r="AC166" t="str">
            <v>Medium</v>
          </cell>
          <cell r="AD166">
            <v>224</v>
          </cell>
        </row>
        <row r="167">
          <cell r="A167">
            <v>50</v>
          </cell>
          <cell r="B167" t="str">
            <v>No</v>
          </cell>
          <cell r="C167" t="str">
            <v>Research &amp; Development</v>
          </cell>
          <cell r="D167">
            <v>11</v>
          </cell>
          <cell r="E167">
            <v>3</v>
          </cell>
          <cell r="F167" t="str">
            <v>Life Sciences</v>
          </cell>
          <cell r="G167">
            <v>3</v>
          </cell>
          <cell r="H167" t="str">
            <v>Female</v>
          </cell>
          <cell r="I167">
            <v>3</v>
          </cell>
          <cell r="J167">
            <v>5</v>
          </cell>
          <cell r="K167" t="str">
            <v>Manager</v>
          </cell>
          <cell r="L167">
            <v>2</v>
          </cell>
          <cell r="M167" t="str">
            <v>Single</v>
          </cell>
          <cell r="N167">
            <v>19926</v>
          </cell>
          <cell r="O167">
            <v>3</v>
          </cell>
          <cell r="P167" t="str">
            <v>No</v>
          </cell>
          <cell r="Q167">
            <v>2</v>
          </cell>
          <cell r="R167">
            <v>21</v>
          </cell>
          <cell r="S167">
            <v>3</v>
          </cell>
          <cell r="T167">
            <v>5</v>
          </cell>
          <cell r="U167">
            <v>4</v>
          </cell>
          <cell r="V167">
            <v>4</v>
          </cell>
          <cell r="W167">
            <v>4</v>
          </cell>
          <cell r="X167">
            <v>15</v>
          </cell>
          <cell r="Y167">
            <v>0</v>
          </cell>
          <cell r="Z167" t="str">
            <v>Senior</v>
          </cell>
          <cell r="AA167" t="str">
            <v>High</v>
          </cell>
          <cell r="AB167" t="str">
            <v>Mid</v>
          </cell>
          <cell r="AC167" t="str">
            <v>Medium</v>
          </cell>
          <cell r="AD167">
            <v>226</v>
          </cell>
        </row>
        <row r="168">
          <cell r="A168">
            <v>41</v>
          </cell>
          <cell r="B168" t="str">
            <v>No</v>
          </cell>
          <cell r="C168" t="str">
            <v>Research &amp; Development</v>
          </cell>
          <cell r="D168">
            <v>14</v>
          </cell>
          <cell r="E168">
            <v>3</v>
          </cell>
          <cell r="F168" t="str">
            <v>Life Sciences</v>
          </cell>
          <cell r="G168">
            <v>1</v>
          </cell>
          <cell r="H168" t="str">
            <v>Male</v>
          </cell>
          <cell r="I168">
            <v>3</v>
          </cell>
          <cell r="J168">
            <v>1</v>
          </cell>
          <cell r="K168" t="str">
            <v>Research Scientist</v>
          </cell>
          <cell r="L168">
            <v>3</v>
          </cell>
          <cell r="M168" t="str">
            <v>Divorced</v>
          </cell>
          <cell r="N168">
            <v>2451</v>
          </cell>
          <cell r="O168">
            <v>4</v>
          </cell>
          <cell r="P168" t="str">
            <v>No</v>
          </cell>
          <cell r="Q168">
            <v>1</v>
          </cell>
          <cell r="R168">
            <v>13</v>
          </cell>
          <cell r="S168">
            <v>3</v>
          </cell>
          <cell r="T168">
            <v>9</v>
          </cell>
          <cell r="U168">
            <v>8</v>
          </cell>
          <cell r="V168">
            <v>1</v>
          </cell>
          <cell r="W168">
            <v>8</v>
          </cell>
          <cell r="X168">
            <v>12</v>
          </cell>
          <cell r="Y168">
            <v>0</v>
          </cell>
          <cell r="Z168" t="str">
            <v>Mid</v>
          </cell>
          <cell r="AA168" t="str">
            <v>Low</v>
          </cell>
          <cell r="AB168" t="str">
            <v>Long</v>
          </cell>
          <cell r="AC168" t="str">
            <v>Low</v>
          </cell>
          <cell r="AD168">
            <v>227</v>
          </cell>
        </row>
        <row r="169">
          <cell r="A169">
            <v>30</v>
          </cell>
          <cell r="B169" t="str">
            <v>No</v>
          </cell>
          <cell r="C169" t="str">
            <v>Sales</v>
          </cell>
          <cell r="D169">
            <v>5</v>
          </cell>
          <cell r="E169">
            <v>3</v>
          </cell>
          <cell r="F169" t="str">
            <v>Life Sciences</v>
          </cell>
          <cell r="G169">
            <v>2</v>
          </cell>
          <cell r="H169" t="str">
            <v>Female</v>
          </cell>
          <cell r="I169">
            <v>3</v>
          </cell>
          <cell r="J169">
            <v>3</v>
          </cell>
          <cell r="K169" t="str">
            <v>Sales Executive</v>
          </cell>
          <cell r="L169">
            <v>4</v>
          </cell>
          <cell r="M169" t="str">
            <v>Married</v>
          </cell>
          <cell r="N169">
            <v>9419</v>
          </cell>
          <cell r="O169">
            <v>2</v>
          </cell>
          <cell r="P169" t="str">
            <v>No</v>
          </cell>
          <cell r="Q169">
            <v>3</v>
          </cell>
          <cell r="R169">
            <v>12</v>
          </cell>
          <cell r="S169">
            <v>3</v>
          </cell>
          <cell r="T169">
            <v>10</v>
          </cell>
          <cell r="U169">
            <v>9</v>
          </cell>
          <cell r="V169">
            <v>7</v>
          </cell>
          <cell r="W169">
            <v>4</v>
          </cell>
          <cell r="X169">
            <v>12</v>
          </cell>
          <cell r="Y169">
            <v>0</v>
          </cell>
          <cell r="Z169" t="str">
            <v>Mid</v>
          </cell>
          <cell r="AA169" t="str">
            <v>Medium</v>
          </cell>
          <cell r="AB169" t="str">
            <v>Long</v>
          </cell>
          <cell r="AC169" t="str">
            <v>Low</v>
          </cell>
          <cell r="AD169">
            <v>228</v>
          </cell>
        </row>
        <row r="170">
          <cell r="A170">
            <v>38</v>
          </cell>
          <cell r="B170" t="str">
            <v>No</v>
          </cell>
          <cell r="C170" t="str">
            <v>Sales</v>
          </cell>
          <cell r="D170">
            <v>1</v>
          </cell>
          <cell r="E170">
            <v>4</v>
          </cell>
          <cell r="F170" t="str">
            <v>Life Sciences</v>
          </cell>
          <cell r="G170">
            <v>1</v>
          </cell>
          <cell r="H170" t="str">
            <v>Female</v>
          </cell>
          <cell r="I170">
            <v>2</v>
          </cell>
          <cell r="J170">
            <v>2</v>
          </cell>
          <cell r="K170" t="str">
            <v>Sales Executive</v>
          </cell>
          <cell r="L170">
            <v>4</v>
          </cell>
          <cell r="M170" t="str">
            <v>Single</v>
          </cell>
          <cell r="N170">
            <v>8686</v>
          </cell>
          <cell r="O170">
            <v>4</v>
          </cell>
          <cell r="P170" t="str">
            <v>No</v>
          </cell>
          <cell r="Q170">
            <v>3</v>
          </cell>
          <cell r="R170">
            <v>12</v>
          </cell>
          <cell r="S170">
            <v>4</v>
          </cell>
          <cell r="T170">
            <v>8</v>
          </cell>
          <cell r="U170">
            <v>3</v>
          </cell>
          <cell r="V170">
            <v>0</v>
          </cell>
          <cell r="W170">
            <v>7</v>
          </cell>
          <cell r="X170">
            <v>22</v>
          </cell>
          <cell r="Y170">
            <v>0</v>
          </cell>
          <cell r="Z170" t="str">
            <v>Mid</v>
          </cell>
          <cell r="AA170" t="str">
            <v>Medium</v>
          </cell>
          <cell r="AB170" t="str">
            <v>Long</v>
          </cell>
          <cell r="AC170" t="str">
            <v>High</v>
          </cell>
          <cell r="AD170">
            <v>230</v>
          </cell>
        </row>
        <row r="171">
          <cell r="A171">
            <v>32</v>
          </cell>
          <cell r="B171" t="str">
            <v>No</v>
          </cell>
          <cell r="C171" t="str">
            <v>Research &amp; Development</v>
          </cell>
          <cell r="D171">
            <v>6</v>
          </cell>
          <cell r="E171">
            <v>5</v>
          </cell>
          <cell r="F171" t="str">
            <v>Life Sciences</v>
          </cell>
          <cell r="G171">
            <v>3</v>
          </cell>
          <cell r="H171" t="str">
            <v>Male</v>
          </cell>
          <cell r="I171">
            <v>3</v>
          </cell>
          <cell r="J171">
            <v>1</v>
          </cell>
          <cell r="K171" t="str">
            <v>Research Scientist</v>
          </cell>
          <cell r="L171">
            <v>3</v>
          </cell>
          <cell r="M171" t="str">
            <v>Single</v>
          </cell>
          <cell r="N171">
            <v>3038</v>
          </cell>
          <cell r="O171">
            <v>3</v>
          </cell>
          <cell r="P171" t="str">
            <v>No</v>
          </cell>
          <cell r="Q171">
            <v>1</v>
          </cell>
          <cell r="R171">
            <v>8</v>
          </cell>
          <cell r="S171">
            <v>3</v>
          </cell>
          <cell r="T171">
            <v>5</v>
          </cell>
          <cell r="U171">
            <v>4</v>
          </cell>
          <cell r="V171">
            <v>1</v>
          </cell>
          <cell r="W171">
            <v>4</v>
          </cell>
          <cell r="X171">
            <v>20</v>
          </cell>
          <cell r="Y171">
            <v>0</v>
          </cell>
          <cell r="Z171" t="str">
            <v>Mid</v>
          </cell>
          <cell r="AA171" t="str">
            <v>Low</v>
          </cell>
          <cell r="AB171" t="str">
            <v>Mid</v>
          </cell>
          <cell r="AC171" t="str">
            <v>High</v>
          </cell>
          <cell r="AD171">
            <v>231</v>
          </cell>
        </row>
        <row r="172">
          <cell r="A172">
            <v>27</v>
          </cell>
          <cell r="B172" t="str">
            <v>No</v>
          </cell>
          <cell r="C172" t="str">
            <v>Research &amp; Development</v>
          </cell>
          <cell r="D172">
            <v>17</v>
          </cell>
          <cell r="E172">
            <v>3</v>
          </cell>
          <cell r="F172" t="str">
            <v>Technical Degree</v>
          </cell>
          <cell r="G172">
            <v>3</v>
          </cell>
          <cell r="H172" t="str">
            <v>Male</v>
          </cell>
          <cell r="I172">
            <v>3</v>
          </cell>
          <cell r="J172">
            <v>1</v>
          </cell>
          <cell r="K172" t="str">
            <v>Research Scientist</v>
          </cell>
          <cell r="L172">
            <v>2</v>
          </cell>
          <cell r="M172" t="str">
            <v>Married</v>
          </cell>
          <cell r="N172">
            <v>3058</v>
          </cell>
          <cell r="O172">
            <v>0</v>
          </cell>
          <cell r="P172" t="str">
            <v>Yes</v>
          </cell>
          <cell r="Q172">
            <v>4</v>
          </cell>
          <cell r="R172">
            <v>6</v>
          </cell>
          <cell r="S172">
            <v>2</v>
          </cell>
          <cell r="T172">
            <v>5</v>
          </cell>
          <cell r="U172">
            <v>2</v>
          </cell>
          <cell r="V172">
            <v>1</v>
          </cell>
          <cell r="W172">
            <v>1</v>
          </cell>
          <cell r="X172">
            <v>16</v>
          </cell>
          <cell r="Y172">
            <v>0</v>
          </cell>
          <cell r="Z172" t="str">
            <v>Young</v>
          </cell>
          <cell r="AA172" t="str">
            <v>Low</v>
          </cell>
          <cell r="AB172" t="str">
            <v>Mid</v>
          </cell>
          <cell r="AC172" t="str">
            <v>Medium</v>
          </cell>
          <cell r="AD172">
            <v>233</v>
          </cell>
        </row>
        <row r="173">
          <cell r="A173">
            <v>19</v>
          </cell>
          <cell r="B173" t="str">
            <v>Yes</v>
          </cell>
          <cell r="C173" t="str">
            <v>Sales</v>
          </cell>
          <cell r="D173">
            <v>1</v>
          </cell>
          <cell r="E173">
            <v>1</v>
          </cell>
          <cell r="F173" t="str">
            <v>Technical Degree</v>
          </cell>
          <cell r="G173">
            <v>3</v>
          </cell>
          <cell r="H173" t="str">
            <v>Female</v>
          </cell>
          <cell r="I173">
            <v>1</v>
          </cell>
          <cell r="J173">
            <v>1</v>
          </cell>
          <cell r="K173" t="str">
            <v>Sales Representative</v>
          </cell>
          <cell r="L173">
            <v>1</v>
          </cell>
          <cell r="M173" t="str">
            <v>Single</v>
          </cell>
          <cell r="N173">
            <v>2325</v>
          </cell>
          <cell r="O173">
            <v>0</v>
          </cell>
          <cell r="P173" t="str">
            <v>No</v>
          </cell>
          <cell r="Q173">
            <v>1</v>
          </cell>
          <cell r="R173">
            <v>1</v>
          </cell>
          <cell r="S173">
            <v>4</v>
          </cell>
          <cell r="T173">
            <v>0</v>
          </cell>
          <cell r="U173">
            <v>0</v>
          </cell>
          <cell r="V173">
            <v>0</v>
          </cell>
          <cell r="W173">
            <v>0</v>
          </cell>
          <cell r="X173">
            <v>21</v>
          </cell>
          <cell r="Y173">
            <v>1</v>
          </cell>
          <cell r="Z173" t="str">
            <v>Young</v>
          </cell>
          <cell r="AA173" t="str">
            <v>Low</v>
          </cell>
          <cell r="AB173" t="str">
            <v>Early</v>
          </cell>
          <cell r="AC173" t="str">
            <v>High</v>
          </cell>
          <cell r="AD173">
            <v>235</v>
          </cell>
        </row>
        <row r="174">
          <cell r="A174">
            <v>36</v>
          </cell>
          <cell r="B174" t="str">
            <v>No</v>
          </cell>
          <cell r="C174" t="str">
            <v>Research &amp; Development</v>
          </cell>
          <cell r="D174">
            <v>3</v>
          </cell>
          <cell r="E174">
            <v>2</v>
          </cell>
          <cell r="F174" t="str">
            <v>Medical</v>
          </cell>
          <cell r="G174">
            <v>4</v>
          </cell>
          <cell r="H174" t="str">
            <v>Male</v>
          </cell>
          <cell r="I174">
            <v>3</v>
          </cell>
          <cell r="J174">
            <v>1</v>
          </cell>
          <cell r="K174" t="str">
            <v>Laboratory Technician</v>
          </cell>
          <cell r="L174">
            <v>2</v>
          </cell>
          <cell r="M174" t="str">
            <v>Single</v>
          </cell>
          <cell r="N174">
            <v>2088</v>
          </cell>
          <cell r="O174">
            <v>4</v>
          </cell>
          <cell r="P174" t="str">
            <v>No</v>
          </cell>
          <cell r="Q174">
            <v>3</v>
          </cell>
          <cell r="R174">
            <v>13</v>
          </cell>
          <cell r="S174">
            <v>2</v>
          </cell>
          <cell r="T174">
            <v>8</v>
          </cell>
          <cell r="U174">
            <v>7</v>
          </cell>
          <cell r="V174">
            <v>7</v>
          </cell>
          <cell r="W174">
            <v>2</v>
          </cell>
          <cell r="X174">
            <v>12</v>
          </cell>
          <cell r="Y174">
            <v>0</v>
          </cell>
          <cell r="Z174" t="str">
            <v>Mid</v>
          </cell>
          <cell r="AA174" t="str">
            <v>Low</v>
          </cell>
          <cell r="AB174" t="str">
            <v>Long</v>
          </cell>
          <cell r="AC174" t="str">
            <v>Low</v>
          </cell>
          <cell r="AD174">
            <v>238</v>
          </cell>
        </row>
        <row r="175">
          <cell r="A175">
            <v>30</v>
          </cell>
          <cell r="B175" t="str">
            <v>No</v>
          </cell>
          <cell r="C175" t="str">
            <v>Research &amp; Development</v>
          </cell>
          <cell r="D175">
            <v>9</v>
          </cell>
          <cell r="E175">
            <v>3</v>
          </cell>
          <cell r="F175" t="str">
            <v>Medical</v>
          </cell>
          <cell r="G175">
            <v>3</v>
          </cell>
          <cell r="H175" t="str">
            <v>Male</v>
          </cell>
          <cell r="I175">
            <v>3</v>
          </cell>
          <cell r="J175">
            <v>2</v>
          </cell>
          <cell r="K175" t="str">
            <v>Laboratory Technician</v>
          </cell>
          <cell r="L175">
            <v>1</v>
          </cell>
          <cell r="M175" t="str">
            <v>Divorced</v>
          </cell>
          <cell r="N175">
            <v>3072</v>
          </cell>
          <cell r="O175">
            <v>1</v>
          </cell>
          <cell r="P175" t="str">
            <v>No</v>
          </cell>
          <cell r="Q175">
            <v>3</v>
          </cell>
          <cell r="R175">
            <v>12</v>
          </cell>
          <cell r="S175">
            <v>3</v>
          </cell>
          <cell r="T175">
            <v>12</v>
          </cell>
          <cell r="U175">
            <v>9</v>
          </cell>
          <cell r="V175">
            <v>6</v>
          </cell>
          <cell r="W175">
            <v>10</v>
          </cell>
          <cell r="X175">
            <v>11</v>
          </cell>
          <cell r="Y175">
            <v>0</v>
          </cell>
          <cell r="Z175" t="str">
            <v>Mid</v>
          </cell>
          <cell r="AA175" t="str">
            <v>Low</v>
          </cell>
          <cell r="AB175" t="str">
            <v>Long</v>
          </cell>
          <cell r="AC175" t="str">
            <v>Low</v>
          </cell>
          <cell r="AD175">
            <v>239</v>
          </cell>
        </row>
        <row r="176">
          <cell r="A176">
            <v>45</v>
          </cell>
          <cell r="B176" t="str">
            <v>No</v>
          </cell>
          <cell r="C176" t="str">
            <v>Sales</v>
          </cell>
          <cell r="D176">
            <v>4</v>
          </cell>
          <cell r="E176">
            <v>2</v>
          </cell>
          <cell r="F176" t="str">
            <v>Life Sciences</v>
          </cell>
          <cell r="G176">
            <v>3</v>
          </cell>
          <cell r="H176" t="str">
            <v>Female</v>
          </cell>
          <cell r="I176">
            <v>3</v>
          </cell>
          <cell r="J176">
            <v>2</v>
          </cell>
          <cell r="K176" t="str">
            <v>Sales Executive</v>
          </cell>
          <cell r="L176">
            <v>1</v>
          </cell>
          <cell r="M176" t="str">
            <v>Divorced</v>
          </cell>
          <cell r="N176">
            <v>5006</v>
          </cell>
          <cell r="O176">
            <v>4</v>
          </cell>
          <cell r="P176" t="str">
            <v>Yes</v>
          </cell>
          <cell r="Q176">
            <v>1</v>
          </cell>
          <cell r="R176">
            <v>9</v>
          </cell>
          <cell r="S176">
            <v>4</v>
          </cell>
          <cell r="T176">
            <v>5</v>
          </cell>
          <cell r="U176">
            <v>4</v>
          </cell>
          <cell r="V176">
            <v>0</v>
          </cell>
          <cell r="W176">
            <v>3</v>
          </cell>
          <cell r="X176">
            <v>11</v>
          </cell>
          <cell r="Y176">
            <v>0</v>
          </cell>
          <cell r="Z176" t="str">
            <v>Senior</v>
          </cell>
          <cell r="AA176" t="str">
            <v>Medium</v>
          </cell>
          <cell r="AB176" t="str">
            <v>Mid</v>
          </cell>
          <cell r="AC176" t="str">
            <v>Low</v>
          </cell>
          <cell r="AD176">
            <v>240</v>
          </cell>
        </row>
        <row r="177">
          <cell r="A177">
            <v>56</v>
          </cell>
          <cell r="B177" t="str">
            <v>No</v>
          </cell>
          <cell r="C177" t="str">
            <v>Research &amp; Development</v>
          </cell>
          <cell r="D177">
            <v>8</v>
          </cell>
          <cell r="E177">
            <v>3</v>
          </cell>
          <cell r="F177" t="str">
            <v>Life Sciences</v>
          </cell>
          <cell r="G177">
            <v>3</v>
          </cell>
          <cell r="H177" t="str">
            <v>Female</v>
          </cell>
          <cell r="I177">
            <v>3</v>
          </cell>
          <cell r="J177">
            <v>1</v>
          </cell>
          <cell r="K177" t="str">
            <v>Research Scientist</v>
          </cell>
          <cell r="L177">
            <v>1</v>
          </cell>
          <cell r="M177" t="str">
            <v>Divorced</v>
          </cell>
          <cell r="N177">
            <v>4257</v>
          </cell>
          <cell r="O177">
            <v>4</v>
          </cell>
          <cell r="P177" t="str">
            <v>Yes</v>
          </cell>
          <cell r="Q177">
            <v>3</v>
          </cell>
          <cell r="R177">
            <v>19</v>
          </cell>
          <cell r="S177">
            <v>3</v>
          </cell>
          <cell r="T177">
            <v>2</v>
          </cell>
          <cell r="U177">
            <v>2</v>
          </cell>
          <cell r="V177">
            <v>2</v>
          </cell>
          <cell r="W177">
            <v>2</v>
          </cell>
          <cell r="X177">
            <v>18</v>
          </cell>
          <cell r="Y177">
            <v>0</v>
          </cell>
          <cell r="Z177" t="str">
            <v>Senior</v>
          </cell>
          <cell r="AA177" t="str">
            <v>Low</v>
          </cell>
          <cell r="AB177" t="str">
            <v>Early</v>
          </cell>
          <cell r="AC177" t="str">
            <v>High</v>
          </cell>
          <cell r="AD177">
            <v>241</v>
          </cell>
        </row>
        <row r="178">
          <cell r="A178">
            <v>33</v>
          </cell>
          <cell r="B178" t="str">
            <v>No</v>
          </cell>
          <cell r="C178" t="str">
            <v>Research &amp; Development</v>
          </cell>
          <cell r="D178">
            <v>2</v>
          </cell>
          <cell r="E178">
            <v>3</v>
          </cell>
          <cell r="F178" t="str">
            <v>Life Sciences</v>
          </cell>
          <cell r="G178">
            <v>3</v>
          </cell>
          <cell r="H178" t="str">
            <v>Male</v>
          </cell>
          <cell r="I178">
            <v>3</v>
          </cell>
          <cell r="J178">
            <v>1</v>
          </cell>
          <cell r="K178" t="str">
            <v>Research Scientist</v>
          </cell>
          <cell r="L178">
            <v>4</v>
          </cell>
          <cell r="M178" t="str">
            <v>Single</v>
          </cell>
          <cell r="N178">
            <v>2500</v>
          </cell>
          <cell r="O178">
            <v>0</v>
          </cell>
          <cell r="P178" t="str">
            <v>No</v>
          </cell>
          <cell r="Q178">
            <v>1</v>
          </cell>
          <cell r="R178">
            <v>4</v>
          </cell>
          <cell r="S178">
            <v>4</v>
          </cell>
          <cell r="T178">
            <v>3</v>
          </cell>
          <cell r="U178">
            <v>1</v>
          </cell>
          <cell r="V178">
            <v>0</v>
          </cell>
          <cell r="W178">
            <v>2</v>
          </cell>
          <cell r="X178">
            <v>14</v>
          </cell>
          <cell r="Y178">
            <v>0</v>
          </cell>
          <cell r="Z178" t="str">
            <v>Mid</v>
          </cell>
          <cell r="AA178" t="str">
            <v>Low</v>
          </cell>
          <cell r="AB178" t="str">
            <v>Mid</v>
          </cell>
          <cell r="AC178" t="str">
            <v>Medium</v>
          </cell>
          <cell r="AD178">
            <v>242</v>
          </cell>
        </row>
        <row r="179">
          <cell r="A179">
            <v>19</v>
          </cell>
          <cell r="B179" t="str">
            <v>Yes</v>
          </cell>
          <cell r="C179" t="str">
            <v>Research &amp; Development</v>
          </cell>
          <cell r="D179">
            <v>2</v>
          </cell>
          <cell r="E179">
            <v>3</v>
          </cell>
          <cell r="F179" t="str">
            <v>Life Sciences</v>
          </cell>
          <cell r="G179">
            <v>2</v>
          </cell>
          <cell r="H179" t="str">
            <v>Male</v>
          </cell>
          <cell r="I179">
            <v>2</v>
          </cell>
          <cell r="J179">
            <v>1</v>
          </cell>
          <cell r="K179" t="str">
            <v>Laboratory Technician</v>
          </cell>
          <cell r="L179">
            <v>4</v>
          </cell>
          <cell r="M179" t="str">
            <v>Single</v>
          </cell>
          <cell r="N179">
            <v>1102</v>
          </cell>
          <cell r="O179">
            <v>1</v>
          </cell>
          <cell r="P179" t="str">
            <v>No</v>
          </cell>
          <cell r="Q179">
            <v>3</v>
          </cell>
          <cell r="R179">
            <v>1</v>
          </cell>
          <cell r="S179">
            <v>2</v>
          </cell>
          <cell r="T179">
            <v>1</v>
          </cell>
          <cell r="U179">
            <v>0</v>
          </cell>
          <cell r="V179">
            <v>1</v>
          </cell>
          <cell r="W179">
            <v>0</v>
          </cell>
          <cell r="X179">
            <v>22</v>
          </cell>
          <cell r="Y179">
            <v>1</v>
          </cell>
          <cell r="Z179" t="str">
            <v>Young</v>
          </cell>
          <cell r="AA179" t="str">
            <v>Low</v>
          </cell>
          <cell r="AB179" t="str">
            <v>Early</v>
          </cell>
          <cell r="AC179" t="str">
            <v>High</v>
          </cell>
          <cell r="AD179">
            <v>243</v>
          </cell>
        </row>
        <row r="180">
          <cell r="A180">
            <v>46</v>
          </cell>
          <cell r="B180" t="str">
            <v>No</v>
          </cell>
          <cell r="C180" t="str">
            <v>Sales</v>
          </cell>
          <cell r="D180">
            <v>1</v>
          </cell>
          <cell r="E180">
            <v>2</v>
          </cell>
          <cell r="F180" t="str">
            <v>Marketing</v>
          </cell>
          <cell r="G180">
            <v>2</v>
          </cell>
          <cell r="H180" t="str">
            <v>Female</v>
          </cell>
          <cell r="I180">
            <v>3</v>
          </cell>
          <cell r="J180">
            <v>3</v>
          </cell>
          <cell r="K180" t="str">
            <v>Sales Executive</v>
          </cell>
          <cell r="L180">
            <v>1</v>
          </cell>
          <cell r="M180" t="str">
            <v>Divorced</v>
          </cell>
          <cell r="N180">
            <v>10453</v>
          </cell>
          <cell r="O180">
            <v>1</v>
          </cell>
          <cell r="P180" t="str">
            <v>No</v>
          </cell>
          <cell r="Q180">
            <v>3</v>
          </cell>
          <cell r="R180">
            <v>24</v>
          </cell>
          <cell r="S180">
            <v>3</v>
          </cell>
          <cell r="T180">
            <v>24</v>
          </cell>
          <cell r="U180">
            <v>13</v>
          </cell>
          <cell r="V180">
            <v>15</v>
          </cell>
          <cell r="W180">
            <v>7</v>
          </cell>
          <cell r="X180">
            <v>25</v>
          </cell>
          <cell r="Y180">
            <v>0</v>
          </cell>
          <cell r="Z180" t="str">
            <v>Senior</v>
          </cell>
          <cell r="AA180" t="str">
            <v>High</v>
          </cell>
          <cell r="AB180" t="str">
            <v>Long</v>
          </cell>
          <cell r="AC180" t="str">
            <v>High</v>
          </cell>
          <cell r="AD180">
            <v>244</v>
          </cell>
        </row>
        <row r="181">
          <cell r="A181">
            <v>38</v>
          </cell>
          <cell r="B181" t="str">
            <v>No</v>
          </cell>
          <cell r="C181" t="str">
            <v>Research &amp; Development</v>
          </cell>
          <cell r="D181">
            <v>9</v>
          </cell>
          <cell r="E181">
            <v>2</v>
          </cell>
          <cell r="F181" t="str">
            <v>Life Sciences</v>
          </cell>
          <cell r="G181">
            <v>3</v>
          </cell>
          <cell r="H181" t="str">
            <v>Female</v>
          </cell>
          <cell r="I181">
            <v>3</v>
          </cell>
          <cell r="J181">
            <v>1</v>
          </cell>
          <cell r="K181" t="str">
            <v>Laboratory Technician</v>
          </cell>
          <cell r="L181">
            <v>4</v>
          </cell>
          <cell r="M181" t="str">
            <v>Single</v>
          </cell>
          <cell r="N181">
            <v>2288</v>
          </cell>
          <cell r="O181">
            <v>1</v>
          </cell>
          <cell r="P181" t="str">
            <v>No</v>
          </cell>
          <cell r="Q181">
            <v>3</v>
          </cell>
          <cell r="R181">
            <v>2</v>
          </cell>
          <cell r="S181">
            <v>3</v>
          </cell>
          <cell r="T181">
            <v>2</v>
          </cell>
          <cell r="U181">
            <v>2</v>
          </cell>
          <cell r="V181">
            <v>2</v>
          </cell>
          <cell r="W181">
            <v>1</v>
          </cell>
          <cell r="X181">
            <v>12</v>
          </cell>
          <cell r="Y181">
            <v>0</v>
          </cell>
          <cell r="Z181" t="str">
            <v>Mid</v>
          </cell>
          <cell r="AA181" t="str">
            <v>Low</v>
          </cell>
          <cell r="AB181" t="str">
            <v>Early</v>
          </cell>
          <cell r="AC181" t="str">
            <v>Low</v>
          </cell>
          <cell r="AD181">
            <v>245</v>
          </cell>
        </row>
        <row r="182">
          <cell r="A182">
            <v>31</v>
          </cell>
          <cell r="B182" t="str">
            <v>No</v>
          </cell>
          <cell r="C182" t="str">
            <v>Research &amp; Development</v>
          </cell>
          <cell r="D182">
            <v>12</v>
          </cell>
          <cell r="E182">
            <v>1</v>
          </cell>
          <cell r="F182" t="str">
            <v>Medical</v>
          </cell>
          <cell r="G182">
            <v>3</v>
          </cell>
          <cell r="H182" t="str">
            <v>Female</v>
          </cell>
          <cell r="I182">
            <v>3</v>
          </cell>
          <cell r="J182">
            <v>1</v>
          </cell>
          <cell r="K182" t="str">
            <v>Research Scientist</v>
          </cell>
          <cell r="L182">
            <v>4</v>
          </cell>
          <cell r="M182" t="str">
            <v>Married</v>
          </cell>
          <cell r="N182">
            <v>3929</v>
          </cell>
          <cell r="O182">
            <v>8</v>
          </cell>
          <cell r="P182" t="str">
            <v>Yes</v>
          </cell>
          <cell r="Q182">
            <v>3</v>
          </cell>
          <cell r="R182">
            <v>7</v>
          </cell>
          <cell r="S182">
            <v>3</v>
          </cell>
          <cell r="T182">
            <v>4</v>
          </cell>
          <cell r="U182">
            <v>2</v>
          </cell>
          <cell r="V182">
            <v>0</v>
          </cell>
          <cell r="W182">
            <v>2</v>
          </cell>
          <cell r="X182">
            <v>23</v>
          </cell>
          <cell r="Y182">
            <v>0</v>
          </cell>
          <cell r="Z182" t="str">
            <v>Mid</v>
          </cell>
          <cell r="AA182" t="str">
            <v>Low</v>
          </cell>
          <cell r="AB182" t="str">
            <v>Mid</v>
          </cell>
          <cell r="AC182" t="str">
            <v>High</v>
          </cell>
          <cell r="AD182">
            <v>246</v>
          </cell>
        </row>
        <row r="183">
          <cell r="A183">
            <v>34</v>
          </cell>
          <cell r="B183" t="str">
            <v>No</v>
          </cell>
          <cell r="C183" t="str">
            <v>Research &amp; Development</v>
          </cell>
          <cell r="D183">
            <v>27</v>
          </cell>
          <cell r="E183">
            <v>2</v>
          </cell>
          <cell r="F183" t="str">
            <v>Medical</v>
          </cell>
          <cell r="G183">
            <v>4</v>
          </cell>
          <cell r="H183" t="str">
            <v>Female</v>
          </cell>
          <cell r="I183">
            <v>3</v>
          </cell>
          <cell r="J183">
            <v>1</v>
          </cell>
          <cell r="K183" t="str">
            <v>Research Scientist</v>
          </cell>
          <cell r="L183">
            <v>2</v>
          </cell>
          <cell r="M183" t="str">
            <v>Single</v>
          </cell>
          <cell r="N183">
            <v>2311</v>
          </cell>
          <cell r="O183">
            <v>2</v>
          </cell>
          <cell r="P183" t="str">
            <v>No</v>
          </cell>
          <cell r="Q183">
            <v>4</v>
          </cell>
          <cell r="R183">
            <v>9</v>
          </cell>
          <cell r="S183">
            <v>3</v>
          </cell>
          <cell r="T183">
            <v>3</v>
          </cell>
          <cell r="U183">
            <v>2</v>
          </cell>
          <cell r="V183">
            <v>1</v>
          </cell>
          <cell r="W183">
            <v>2</v>
          </cell>
          <cell r="X183">
            <v>15</v>
          </cell>
          <cell r="Y183">
            <v>0</v>
          </cell>
          <cell r="Z183" t="str">
            <v>Mid</v>
          </cell>
          <cell r="AA183" t="str">
            <v>Low</v>
          </cell>
          <cell r="AB183" t="str">
            <v>Mid</v>
          </cell>
          <cell r="AC183" t="str">
            <v>Medium</v>
          </cell>
          <cell r="AD183">
            <v>247</v>
          </cell>
        </row>
        <row r="184">
          <cell r="A184">
            <v>41</v>
          </cell>
          <cell r="B184" t="str">
            <v>Yes</v>
          </cell>
          <cell r="C184" t="str">
            <v>Sales</v>
          </cell>
          <cell r="D184">
            <v>20</v>
          </cell>
          <cell r="E184">
            <v>2</v>
          </cell>
          <cell r="F184" t="str">
            <v>Marketing</v>
          </cell>
          <cell r="G184">
            <v>2</v>
          </cell>
          <cell r="H184" t="str">
            <v>Female</v>
          </cell>
          <cell r="I184">
            <v>3</v>
          </cell>
          <cell r="J184">
            <v>1</v>
          </cell>
          <cell r="K184" t="str">
            <v>Sales Representative</v>
          </cell>
          <cell r="L184">
            <v>2</v>
          </cell>
          <cell r="M184" t="str">
            <v>Single</v>
          </cell>
          <cell r="N184">
            <v>3140</v>
          </cell>
          <cell r="O184">
            <v>1</v>
          </cell>
          <cell r="P184" t="str">
            <v>Yes</v>
          </cell>
          <cell r="Q184">
            <v>4</v>
          </cell>
          <cell r="R184">
            <v>4</v>
          </cell>
          <cell r="S184">
            <v>2</v>
          </cell>
          <cell r="T184">
            <v>4</v>
          </cell>
          <cell r="U184">
            <v>3</v>
          </cell>
          <cell r="V184">
            <v>0</v>
          </cell>
          <cell r="W184">
            <v>2</v>
          </cell>
          <cell r="X184">
            <v>22</v>
          </cell>
          <cell r="Y184">
            <v>1</v>
          </cell>
          <cell r="Z184" t="str">
            <v>Mid</v>
          </cell>
          <cell r="AA184" t="str">
            <v>Low</v>
          </cell>
          <cell r="AB184" t="str">
            <v>Mid</v>
          </cell>
          <cell r="AC184" t="str">
            <v>High</v>
          </cell>
          <cell r="AD184">
            <v>248</v>
          </cell>
        </row>
        <row r="185">
          <cell r="A185">
            <v>50</v>
          </cell>
          <cell r="B185" t="str">
            <v>No</v>
          </cell>
          <cell r="C185" t="str">
            <v>Research &amp; Development</v>
          </cell>
          <cell r="D185">
            <v>1</v>
          </cell>
          <cell r="E185">
            <v>3</v>
          </cell>
          <cell r="F185" t="str">
            <v>Medical</v>
          </cell>
          <cell r="G185">
            <v>3</v>
          </cell>
          <cell r="H185" t="str">
            <v>Male</v>
          </cell>
          <cell r="I185">
            <v>2</v>
          </cell>
          <cell r="J185">
            <v>1</v>
          </cell>
          <cell r="K185" t="str">
            <v>Laboratory Technician</v>
          </cell>
          <cell r="L185">
            <v>3</v>
          </cell>
          <cell r="M185" t="str">
            <v>Married</v>
          </cell>
          <cell r="N185">
            <v>3690</v>
          </cell>
          <cell r="O185">
            <v>2</v>
          </cell>
          <cell r="P185" t="str">
            <v>No</v>
          </cell>
          <cell r="Q185">
            <v>4</v>
          </cell>
          <cell r="R185">
            <v>5</v>
          </cell>
          <cell r="S185">
            <v>2</v>
          </cell>
          <cell r="T185">
            <v>3</v>
          </cell>
          <cell r="U185">
            <v>2</v>
          </cell>
          <cell r="V185">
            <v>0</v>
          </cell>
          <cell r="W185">
            <v>2</v>
          </cell>
          <cell r="X185">
            <v>15</v>
          </cell>
          <cell r="Y185">
            <v>0</v>
          </cell>
          <cell r="Z185" t="str">
            <v>Senior</v>
          </cell>
          <cell r="AA185" t="str">
            <v>Low</v>
          </cell>
          <cell r="AB185" t="str">
            <v>Mid</v>
          </cell>
          <cell r="AC185" t="str">
            <v>Medium</v>
          </cell>
          <cell r="AD185">
            <v>249</v>
          </cell>
        </row>
        <row r="186">
          <cell r="A186">
            <v>53</v>
          </cell>
          <cell r="B186" t="str">
            <v>No</v>
          </cell>
          <cell r="C186" t="str">
            <v>Research &amp; Development</v>
          </cell>
          <cell r="D186">
            <v>13</v>
          </cell>
          <cell r="E186">
            <v>2</v>
          </cell>
          <cell r="F186" t="str">
            <v>Medical</v>
          </cell>
          <cell r="G186">
            <v>4</v>
          </cell>
          <cell r="H186" t="str">
            <v>Female</v>
          </cell>
          <cell r="I186">
            <v>4</v>
          </cell>
          <cell r="J186">
            <v>2</v>
          </cell>
          <cell r="K186" t="str">
            <v>Manufacturing Director</v>
          </cell>
          <cell r="L186">
            <v>1</v>
          </cell>
          <cell r="M186" t="str">
            <v>Divorced</v>
          </cell>
          <cell r="N186">
            <v>4450</v>
          </cell>
          <cell r="O186">
            <v>1</v>
          </cell>
          <cell r="P186" t="str">
            <v>No</v>
          </cell>
          <cell r="Q186">
            <v>3</v>
          </cell>
          <cell r="R186">
            <v>5</v>
          </cell>
          <cell r="S186">
            <v>3</v>
          </cell>
          <cell r="T186">
            <v>4</v>
          </cell>
          <cell r="U186">
            <v>2</v>
          </cell>
          <cell r="V186">
            <v>1</v>
          </cell>
          <cell r="W186">
            <v>3</v>
          </cell>
          <cell r="X186">
            <v>11</v>
          </cell>
          <cell r="Y186">
            <v>0</v>
          </cell>
          <cell r="Z186" t="str">
            <v>Senior</v>
          </cell>
          <cell r="AA186" t="str">
            <v>Low</v>
          </cell>
          <cell r="AB186" t="str">
            <v>Mid</v>
          </cell>
          <cell r="AC186" t="str">
            <v>Low</v>
          </cell>
          <cell r="AD186">
            <v>250</v>
          </cell>
        </row>
        <row r="187">
          <cell r="A187">
            <v>33</v>
          </cell>
          <cell r="B187" t="str">
            <v>No</v>
          </cell>
          <cell r="C187" t="str">
            <v>Research &amp; Development</v>
          </cell>
          <cell r="D187">
            <v>14</v>
          </cell>
          <cell r="E187">
            <v>3</v>
          </cell>
          <cell r="F187" t="str">
            <v>Medical</v>
          </cell>
          <cell r="G187">
            <v>4</v>
          </cell>
          <cell r="H187" t="str">
            <v>Female</v>
          </cell>
          <cell r="I187">
            <v>3</v>
          </cell>
          <cell r="J187">
            <v>1</v>
          </cell>
          <cell r="K187" t="str">
            <v>Research Scientist</v>
          </cell>
          <cell r="L187">
            <v>2</v>
          </cell>
          <cell r="M187" t="str">
            <v>Married</v>
          </cell>
          <cell r="N187">
            <v>2756</v>
          </cell>
          <cell r="O187">
            <v>1</v>
          </cell>
          <cell r="P187" t="str">
            <v>No</v>
          </cell>
          <cell r="Q187">
            <v>4</v>
          </cell>
          <cell r="R187">
            <v>8</v>
          </cell>
          <cell r="S187">
            <v>3</v>
          </cell>
          <cell r="T187">
            <v>8</v>
          </cell>
          <cell r="U187">
            <v>7</v>
          </cell>
          <cell r="V187">
            <v>1</v>
          </cell>
          <cell r="W187">
            <v>6</v>
          </cell>
          <cell r="X187">
            <v>13</v>
          </cell>
          <cell r="Y187">
            <v>0</v>
          </cell>
          <cell r="Z187" t="str">
            <v>Mid</v>
          </cell>
          <cell r="AA187" t="str">
            <v>Low</v>
          </cell>
          <cell r="AB187" t="str">
            <v>Long</v>
          </cell>
          <cell r="AC187" t="str">
            <v>Medium</v>
          </cell>
          <cell r="AD187">
            <v>252</v>
          </cell>
        </row>
        <row r="188">
          <cell r="A188">
            <v>40</v>
          </cell>
          <cell r="B188" t="str">
            <v>No</v>
          </cell>
          <cell r="C188" t="str">
            <v>Research &amp; Development</v>
          </cell>
          <cell r="D188">
            <v>4</v>
          </cell>
          <cell r="E188">
            <v>1</v>
          </cell>
          <cell r="F188" t="str">
            <v>Medical</v>
          </cell>
          <cell r="G188">
            <v>4</v>
          </cell>
          <cell r="H188" t="str">
            <v>Female</v>
          </cell>
          <cell r="I188">
            <v>3</v>
          </cell>
          <cell r="J188">
            <v>5</v>
          </cell>
          <cell r="K188" t="str">
            <v>Manager</v>
          </cell>
          <cell r="L188">
            <v>3</v>
          </cell>
          <cell r="M188" t="str">
            <v>Married</v>
          </cell>
          <cell r="N188">
            <v>19033</v>
          </cell>
          <cell r="O188">
            <v>1</v>
          </cell>
          <cell r="P188" t="str">
            <v>No</v>
          </cell>
          <cell r="Q188">
            <v>2</v>
          </cell>
          <cell r="R188">
            <v>21</v>
          </cell>
          <cell r="S188">
            <v>3</v>
          </cell>
          <cell r="T188">
            <v>20</v>
          </cell>
          <cell r="U188">
            <v>8</v>
          </cell>
          <cell r="V188">
            <v>9</v>
          </cell>
          <cell r="W188">
            <v>9</v>
          </cell>
          <cell r="X188">
            <v>14</v>
          </cell>
          <cell r="Y188">
            <v>0</v>
          </cell>
          <cell r="Z188" t="str">
            <v>Mid</v>
          </cell>
          <cell r="AA188" t="str">
            <v>High</v>
          </cell>
          <cell r="AB188" t="str">
            <v>Long</v>
          </cell>
          <cell r="AC188" t="str">
            <v>Medium</v>
          </cell>
          <cell r="AD188">
            <v>253</v>
          </cell>
        </row>
        <row r="189">
          <cell r="A189">
            <v>55</v>
          </cell>
          <cell r="B189" t="str">
            <v>No</v>
          </cell>
          <cell r="C189" t="str">
            <v>Research &amp; Development</v>
          </cell>
          <cell r="D189">
            <v>14</v>
          </cell>
          <cell r="E189">
            <v>4</v>
          </cell>
          <cell r="F189" t="str">
            <v>Medical</v>
          </cell>
          <cell r="G189">
            <v>3</v>
          </cell>
          <cell r="H189" t="str">
            <v>Male</v>
          </cell>
          <cell r="I189">
            <v>4</v>
          </cell>
          <cell r="J189">
            <v>5</v>
          </cell>
          <cell r="K189" t="str">
            <v>Research Director</v>
          </cell>
          <cell r="L189">
            <v>2</v>
          </cell>
          <cell r="M189" t="str">
            <v>Single</v>
          </cell>
          <cell r="N189">
            <v>18722</v>
          </cell>
          <cell r="O189">
            <v>8</v>
          </cell>
          <cell r="P189" t="str">
            <v>No</v>
          </cell>
          <cell r="Q189">
            <v>4</v>
          </cell>
          <cell r="R189">
            <v>36</v>
          </cell>
          <cell r="S189">
            <v>3</v>
          </cell>
          <cell r="T189">
            <v>24</v>
          </cell>
          <cell r="U189">
            <v>15</v>
          </cell>
          <cell r="V189">
            <v>2</v>
          </cell>
          <cell r="W189">
            <v>15</v>
          </cell>
          <cell r="X189">
            <v>11</v>
          </cell>
          <cell r="Y189">
            <v>0</v>
          </cell>
          <cell r="Z189" t="str">
            <v>Senior</v>
          </cell>
          <cell r="AA189" t="str">
            <v>High</v>
          </cell>
          <cell r="AB189" t="str">
            <v>Long</v>
          </cell>
          <cell r="AC189" t="str">
            <v>Low</v>
          </cell>
          <cell r="AD189">
            <v>254</v>
          </cell>
        </row>
        <row r="190">
          <cell r="A190">
            <v>34</v>
          </cell>
          <cell r="B190" t="str">
            <v>No</v>
          </cell>
          <cell r="C190" t="str">
            <v>Research &amp; Development</v>
          </cell>
          <cell r="D190">
            <v>2</v>
          </cell>
          <cell r="E190">
            <v>1</v>
          </cell>
          <cell r="F190" t="str">
            <v>Life Sciences</v>
          </cell>
          <cell r="G190">
            <v>4</v>
          </cell>
          <cell r="H190" t="str">
            <v>Male</v>
          </cell>
          <cell r="I190">
            <v>2</v>
          </cell>
          <cell r="J190">
            <v>2</v>
          </cell>
          <cell r="K190" t="str">
            <v>Manufacturing Director</v>
          </cell>
          <cell r="L190">
            <v>3</v>
          </cell>
          <cell r="M190" t="str">
            <v>Married</v>
          </cell>
          <cell r="N190">
            <v>9547</v>
          </cell>
          <cell r="O190">
            <v>1</v>
          </cell>
          <cell r="P190" t="str">
            <v>No</v>
          </cell>
          <cell r="Q190">
            <v>3</v>
          </cell>
          <cell r="R190">
            <v>10</v>
          </cell>
          <cell r="S190">
            <v>2</v>
          </cell>
          <cell r="T190">
            <v>10</v>
          </cell>
          <cell r="U190">
            <v>9</v>
          </cell>
          <cell r="V190">
            <v>1</v>
          </cell>
          <cell r="W190">
            <v>9</v>
          </cell>
          <cell r="X190">
            <v>17</v>
          </cell>
          <cell r="Y190">
            <v>0</v>
          </cell>
          <cell r="Z190" t="str">
            <v>Mid</v>
          </cell>
          <cell r="AA190" t="str">
            <v>Medium</v>
          </cell>
          <cell r="AB190" t="str">
            <v>Long</v>
          </cell>
          <cell r="AC190" t="str">
            <v>Medium</v>
          </cell>
          <cell r="AD190">
            <v>256</v>
          </cell>
        </row>
        <row r="191">
          <cell r="A191">
            <v>51</v>
          </cell>
          <cell r="B191" t="str">
            <v>No</v>
          </cell>
          <cell r="C191" t="str">
            <v>Research &amp; Development</v>
          </cell>
          <cell r="D191">
            <v>3</v>
          </cell>
          <cell r="E191">
            <v>3</v>
          </cell>
          <cell r="F191" t="str">
            <v>Medical</v>
          </cell>
          <cell r="G191">
            <v>4</v>
          </cell>
          <cell r="H191" t="str">
            <v>Female</v>
          </cell>
          <cell r="I191">
            <v>3</v>
          </cell>
          <cell r="J191">
            <v>4</v>
          </cell>
          <cell r="K191" t="str">
            <v>Healthcare Representative</v>
          </cell>
          <cell r="L191">
            <v>2</v>
          </cell>
          <cell r="M191" t="str">
            <v>Single</v>
          </cell>
          <cell r="N191">
            <v>13734</v>
          </cell>
          <cell r="O191">
            <v>3</v>
          </cell>
          <cell r="P191" t="str">
            <v>No</v>
          </cell>
          <cell r="Q191">
            <v>3</v>
          </cell>
          <cell r="R191">
            <v>21</v>
          </cell>
          <cell r="S191">
            <v>3</v>
          </cell>
          <cell r="T191">
            <v>7</v>
          </cell>
          <cell r="U191">
            <v>7</v>
          </cell>
          <cell r="V191">
            <v>1</v>
          </cell>
          <cell r="W191">
            <v>0</v>
          </cell>
          <cell r="X191">
            <v>18</v>
          </cell>
          <cell r="Y191">
            <v>0</v>
          </cell>
          <cell r="Z191" t="str">
            <v>Senior</v>
          </cell>
          <cell r="AA191" t="str">
            <v>High</v>
          </cell>
          <cell r="AB191" t="str">
            <v>Long</v>
          </cell>
          <cell r="AC191" t="str">
            <v>High</v>
          </cell>
          <cell r="AD191">
            <v>258</v>
          </cell>
        </row>
        <row r="192">
          <cell r="A192">
            <v>52</v>
          </cell>
          <cell r="B192" t="str">
            <v>No</v>
          </cell>
          <cell r="C192" t="str">
            <v>Research &amp; Development</v>
          </cell>
          <cell r="D192">
            <v>1</v>
          </cell>
          <cell r="E192">
            <v>4</v>
          </cell>
          <cell r="F192" t="str">
            <v>Life Sciences</v>
          </cell>
          <cell r="G192">
            <v>3</v>
          </cell>
          <cell r="H192" t="str">
            <v>Male</v>
          </cell>
          <cell r="I192">
            <v>2</v>
          </cell>
          <cell r="J192">
            <v>5</v>
          </cell>
          <cell r="K192" t="str">
            <v>Manager</v>
          </cell>
          <cell r="L192">
            <v>3</v>
          </cell>
          <cell r="M192" t="str">
            <v>Married</v>
          </cell>
          <cell r="N192">
            <v>19999</v>
          </cell>
          <cell r="O192">
            <v>0</v>
          </cell>
          <cell r="P192" t="str">
            <v>No</v>
          </cell>
          <cell r="Q192">
            <v>1</v>
          </cell>
          <cell r="R192">
            <v>34</v>
          </cell>
          <cell r="S192">
            <v>3</v>
          </cell>
          <cell r="T192">
            <v>33</v>
          </cell>
          <cell r="U192">
            <v>18</v>
          </cell>
          <cell r="V192">
            <v>11</v>
          </cell>
          <cell r="W192">
            <v>9</v>
          </cell>
          <cell r="X192">
            <v>14</v>
          </cell>
          <cell r="Y192">
            <v>0</v>
          </cell>
          <cell r="Z192" t="str">
            <v>Senior</v>
          </cell>
          <cell r="AA192" t="str">
            <v>High</v>
          </cell>
          <cell r="AB192" t="str">
            <v>Long</v>
          </cell>
          <cell r="AC192" t="str">
            <v>Medium</v>
          </cell>
          <cell r="AD192">
            <v>259</v>
          </cell>
        </row>
        <row r="193">
          <cell r="A193">
            <v>27</v>
          </cell>
          <cell r="B193" t="str">
            <v>No</v>
          </cell>
          <cell r="C193" t="str">
            <v>Research &amp; Development</v>
          </cell>
          <cell r="D193">
            <v>9</v>
          </cell>
          <cell r="E193">
            <v>3</v>
          </cell>
          <cell r="F193" t="str">
            <v>Medical</v>
          </cell>
          <cell r="G193">
            <v>4</v>
          </cell>
          <cell r="H193" t="str">
            <v>Female</v>
          </cell>
          <cell r="I193">
            <v>3</v>
          </cell>
          <cell r="J193">
            <v>1</v>
          </cell>
          <cell r="K193" t="str">
            <v>Research Scientist</v>
          </cell>
          <cell r="L193">
            <v>2</v>
          </cell>
          <cell r="M193" t="str">
            <v>Single</v>
          </cell>
          <cell r="N193">
            <v>2279</v>
          </cell>
          <cell r="O193">
            <v>1</v>
          </cell>
          <cell r="P193" t="str">
            <v>No</v>
          </cell>
          <cell r="Q193">
            <v>4</v>
          </cell>
          <cell r="R193">
            <v>7</v>
          </cell>
          <cell r="S193">
            <v>2</v>
          </cell>
          <cell r="T193">
            <v>7</v>
          </cell>
          <cell r="U193">
            <v>7</v>
          </cell>
          <cell r="V193">
            <v>0</v>
          </cell>
          <cell r="W193">
            <v>3</v>
          </cell>
          <cell r="X193">
            <v>16</v>
          </cell>
          <cell r="Y193">
            <v>0</v>
          </cell>
          <cell r="Z193" t="str">
            <v>Young</v>
          </cell>
          <cell r="AA193" t="str">
            <v>Low</v>
          </cell>
          <cell r="AB193" t="str">
            <v>Long</v>
          </cell>
          <cell r="AC193" t="str">
            <v>Medium</v>
          </cell>
          <cell r="AD193">
            <v>260</v>
          </cell>
        </row>
        <row r="194">
          <cell r="A194">
            <v>35</v>
          </cell>
          <cell r="B194" t="str">
            <v>Yes</v>
          </cell>
          <cell r="C194" t="str">
            <v>Research &amp; Development</v>
          </cell>
          <cell r="D194">
            <v>23</v>
          </cell>
          <cell r="E194">
            <v>2</v>
          </cell>
          <cell r="F194" t="str">
            <v>Life Sciences</v>
          </cell>
          <cell r="G194">
            <v>2</v>
          </cell>
          <cell r="H194" t="str">
            <v>Male</v>
          </cell>
          <cell r="I194">
            <v>2</v>
          </cell>
          <cell r="J194">
            <v>2</v>
          </cell>
          <cell r="K194" t="str">
            <v>Manufacturing Director</v>
          </cell>
          <cell r="L194">
            <v>3</v>
          </cell>
          <cell r="M194" t="str">
            <v>Married</v>
          </cell>
          <cell r="N194">
            <v>5916</v>
          </cell>
          <cell r="O194">
            <v>3</v>
          </cell>
          <cell r="P194" t="str">
            <v>Yes</v>
          </cell>
          <cell r="Q194">
            <v>1</v>
          </cell>
          <cell r="R194">
            <v>8</v>
          </cell>
          <cell r="S194">
            <v>3</v>
          </cell>
          <cell r="T194">
            <v>1</v>
          </cell>
          <cell r="U194">
            <v>0</v>
          </cell>
          <cell r="V194">
            <v>0</v>
          </cell>
          <cell r="W194">
            <v>1</v>
          </cell>
          <cell r="X194">
            <v>13</v>
          </cell>
          <cell r="Y194">
            <v>1</v>
          </cell>
          <cell r="Z194" t="str">
            <v>Mid</v>
          </cell>
          <cell r="AA194" t="str">
            <v>Medium</v>
          </cell>
          <cell r="AB194" t="str">
            <v>Early</v>
          </cell>
          <cell r="AC194" t="str">
            <v>Medium</v>
          </cell>
          <cell r="AD194">
            <v>261</v>
          </cell>
        </row>
        <row r="195">
          <cell r="A195">
            <v>43</v>
          </cell>
          <cell r="B195" t="str">
            <v>No</v>
          </cell>
          <cell r="C195" t="str">
            <v>Research &amp; Development</v>
          </cell>
          <cell r="D195">
            <v>7</v>
          </cell>
          <cell r="E195">
            <v>3</v>
          </cell>
          <cell r="F195" t="str">
            <v>Medical</v>
          </cell>
          <cell r="G195">
            <v>4</v>
          </cell>
          <cell r="H195" t="str">
            <v>Male</v>
          </cell>
          <cell r="I195">
            <v>4</v>
          </cell>
          <cell r="J195">
            <v>1</v>
          </cell>
          <cell r="K195" t="str">
            <v>Research Scientist</v>
          </cell>
          <cell r="L195">
            <v>4</v>
          </cell>
          <cell r="M195" t="str">
            <v>Divorced</v>
          </cell>
          <cell r="N195">
            <v>2089</v>
          </cell>
          <cell r="O195">
            <v>4</v>
          </cell>
          <cell r="P195" t="str">
            <v>No</v>
          </cell>
          <cell r="Q195">
            <v>4</v>
          </cell>
          <cell r="R195">
            <v>7</v>
          </cell>
          <cell r="S195">
            <v>4</v>
          </cell>
          <cell r="T195">
            <v>5</v>
          </cell>
          <cell r="U195">
            <v>4</v>
          </cell>
          <cell r="V195">
            <v>2</v>
          </cell>
          <cell r="W195">
            <v>2</v>
          </cell>
          <cell r="X195">
            <v>14</v>
          </cell>
          <cell r="Y195">
            <v>0</v>
          </cell>
          <cell r="Z195" t="str">
            <v>Mid</v>
          </cell>
          <cell r="AA195" t="str">
            <v>Low</v>
          </cell>
          <cell r="AB195" t="str">
            <v>Mid</v>
          </cell>
          <cell r="AC195" t="str">
            <v>Medium</v>
          </cell>
          <cell r="AD195">
            <v>262</v>
          </cell>
        </row>
        <row r="196">
          <cell r="A196">
            <v>45</v>
          </cell>
          <cell r="B196" t="str">
            <v>No</v>
          </cell>
          <cell r="C196" t="str">
            <v>Research &amp; Development</v>
          </cell>
          <cell r="D196">
            <v>2</v>
          </cell>
          <cell r="E196">
            <v>2</v>
          </cell>
          <cell r="F196" t="str">
            <v>Medical</v>
          </cell>
          <cell r="G196">
            <v>1</v>
          </cell>
          <cell r="H196" t="str">
            <v>Male</v>
          </cell>
          <cell r="I196">
            <v>2</v>
          </cell>
          <cell r="J196">
            <v>4</v>
          </cell>
          <cell r="K196" t="str">
            <v>Manager</v>
          </cell>
          <cell r="L196">
            <v>4</v>
          </cell>
          <cell r="M196" t="str">
            <v>Married</v>
          </cell>
          <cell r="N196">
            <v>16792</v>
          </cell>
          <cell r="O196">
            <v>9</v>
          </cell>
          <cell r="P196" t="str">
            <v>No</v>
          </cell>
          <cell r="Q196">
            <v>4</v>
          </cell>
          <cell r="R196">
            <v>22</v>
          </cell>
          <cell r="S196">
            <v>3</v>
          </cell>
          <cell r="T196">
            <v>20</v>
          </cell>
          <cell r="U196">
            <v>8</v>
          </cell>
          <cell r="V196">
            <v>11</v>
          </cell>
          <cell r="W196">
            <v>8</v>
          </cell>
          <cell r="X196">
            <v>23</v>
          </cell>
          <cell r="Y196">
            <v>0</v>
          </cell>
          <cell r="Z196" t="str">
            <v>Senior</v>
          </cell>
          <cell r="AA196" t="str">
            <v>High</v>
          </cell>
          <cell r="AB196" t="str">
            <v>Long</v>
          </cell>
          <cell r="AC196" t="str">
            <v>High</v>
          </cell>
          <cell r="AD196">
            <v>264</v>
          </cell>
        </row>
        <row r="197">
          <cell r="A197">
            <v>37</v>
          </cell>
          <cell r="B197" t="str">
            <v>No</v>
          </cell>
          <cell r="C197" t="str">
            <v>Research &amp; Development</v>
          </cell>
          <cell r="D197">
            <v>21</v>
          </cell>
          <cell r="E197">
            <v>3</v>
          </cell>
          <cell r="F197" t="str">
            <v>Life Sciences</v>
          </cell>
          <cell r="G197">
            <v>2</v>
          </cell>
          <cell r="H197" t="str">
            <v>Male</v>
          </cell>
          <cell r="I197">
            <v>4</v>
          </cell>
          <cell r="J197">
            <v>1</v>
          </cell>
          <cell r="K197" t="str">
            <v>Research Scientist</v>
          </cell>
          <cell r="L197">
            <v>1</v>
          </cell>
          <cell r="M197" t="str">
            <v>Married</v>
          </cell>
          <cell r="N197">
            <v>3564</v>
          </cell>
          <cell r="O197">
            <v>1</v>
          </cell>
          <cell r="P197" t="str">
            <v>Yes</v>
          </cell>
          <cell r="Q197">
            <v>1</v>
          </cell>
          <cell r="R197">
            <v>8</v>
          </cell>
          <cell r="S197">
            <v>2</v>
          </cell>
          <cell r="T197">
            <v>8</v>
          </cell>
          <cell r="U197">
            <v>7</v>
          </cell>
          <cell r="V197">
            <v>1</v>
          </cell>
          <cell r="W197">
            <v>7</v>
          </cell>
          <cell r="X197">
            <v>12</v>
          </cell>
          <cell r="Y197">
            <v>0</v>
          </cell>
          <cell r="Z197" t="str">
            <v>Mid</v>
          </cell>
          <cell r="AA197" t="str">
            <v>Low</v>
          </cell>
          <cell r="AB197" t="str">
            <v>Long</v>
          </cell>
          <cell r="AC197" t="str">
            <v>Low</v>
          </cell>
          <cell r="AD197">
            <v>267</v>
          </cell>
        </row>
        <row r="198">
          <cell r="A198">
            <v>35</v>
          </cell>
          <cell r="B198" t="str">
            <v>No</v>
          </cell>
          <cell r="C198" t="str">
            <v>Research &amp; Development</v>
          </cell>
          <cell r="D198">
            <v>2</v>
          </cell>
          <cell r="E198">
            <v>3</v>
          </cell>
          <cell r="F198" t="str">
            <v>Medical</v>
          </cell>
          <cell r="G198">
            <v>2</v>
          </cell>
          <cell r="H198" t="str">
            <v>Female</v>
          </cell>
          <cell r="I198">
            <v>3</v>
          </cell>
          <cell r="J198">
            <v>2</v>
          </cell>
          <cell r="K198" t="str">
            <v>Laboratory Technician</v>
          </cell>
          <cell r="L198">
            <v>2</v>
          </cell>
          <cell r="M198" t="str">
            <v>Single</v>
          </cell>
          <cell r="N198">
            <v>4425</v>
          </cell>
          <cell r="O198">
            <v>5</v>
          </cell>
          <cell r="P198" t="str">
            <v>No</v>
          </cell>
          <cell r="Q198">
            <v>4</v>
          </cell>
          <cell r="R198">
            <v>10</v>
          </cell>
          <cell r="S198">
            <v>3</v>
          </cell>
          <cell r="T198">
            <v>6</v>
          </cell>
          <cell r="U198">
            <v>2</v>
          </cell>
          <cell r="V198">
            <v>1</v>
          </cell>
          <cell r="W198">
            <v>2</v>
          </cell>
          <cell r="X198">
            <v>11</v>
          </cell>
          <cell r="Y198">
            <v>0</v>
          </cell>
          <cell r="Z198" t="str">
            <v>Mid</v>
          </cell>
          <cell r="AA198" t="str">
            <v>Low</v>
          </cell>
          <cell r="AB198" t="str">
            <v>Mid</v>
          </cell>
          <cell r="AC198" t="str">
            <v>Low</v>
          </cell>
          <cell r="AD198">
            <v>269</v>
          </cell>
        </row>
        <row r="199">
          <cell r="A199">
            <v>42</v>
          </cell>
          <cell r="B199" t="str">
            <v>No</v>
          </cell>
          <cell r="C199" t="str">
            <v>Research &amp; Development</v>
          </cell>
          <cell r="D199">
            <v>21</v>
          </cell>
          <cell r="E199">
            <v>2</v>
          </cell>
          <cell r="F199" t="str">
            <v>Medical</v>
          </cell>
          <cell r="G199">
            <v>3</v>
          </cell>
          <cell r="H199" t="str">
            <v>Female</v>
          </cell>
          <cell r="I199">
            <v>3</v>
          </cell>
          <cell r="J199">
            <v>2</v>
          </cell>
          <cell r="K199" t="str">
            <v>Manufacturing Director</v>
          </cell>
          <cell r="L199">
            <v>3</v>
          </cell>
          <cell r="M199" t="str">
            <v>Divorced</v>
          </cell>
          <cell r="N199">
            <v>5265</v>
          </cell>
          <cell r="O199">
            <v>2</v>
          </cell>
          <cell r="P199" t="str">
            <v>No</v>
          </cell>
          <cell r="Q199">
            <v>2</v>
          </cell>
          <cell r="R199">
            <v>11</v>
          </cell>
          <cell r="S199">
            <v>3</v>
          </cell>
          <cell r="T199">
            <v>5</v>
          </cell>
          <cell r="U199">
            <v>3</v>
          </cell>
          <cell r="V199">
            <v>0</v>
          </cell>
          <cell r="W199">
            <v>2</v>
          </cell>
          <cell r="X199">
            <v>16</v>
          </cell>
          <cell r="Y199">
            <v>0</v>
          </cell>
          <cell r="Z199" t="str">
            <v>Mid</v>
          </cell>
          <cell r="AA199" t="str">
            <v>Medium</v>
          </cell>
          <cell r="AB199" t="str">
            <v>Mid</v>
          </cell>
          <cell r="AC199" t="str">
            <v>Medium</v>
          </cell>
          <cell r="AD199">
            <v>270</v>
          </cell>
        </row>
        <row r="200">
          <cell r="A200">
            <v>38</v>
          </cell>
          <cell r="B200" t="str">
            <v>No</v>
          </cell>
          <cell r="C200" t="str">
            <v>Research &amp; Development</v>
          </cell>
          <cell r="D200">
            <v>2</v>
          </cell>
          <cell r="E200">
            <v>4</v>
          </cell>
          <cell r="F200" t="str">
            <v>Life Sciences</v>
          </cell>
          <cell r="G200">
            <v>4</v>
          </cell>
          <cell r="H200" t="str">
            <v>Male</v>
          </cell>
          <cell r="I200">
            <v>3</v>
          </cell>
          <cell r="J200">
            <v>2</v>
          </cell>
          <cell r="K200" t="str">
            <v>Manufacturing Director</v>
          </cell>
          <cell r="L200">
            <v>3</v>
          </cell>
          <cell r="M200" t="str">
            <v>Married</v>
          </cell>
          <cell r="N200">
            <v>6553</v>
          </cell>
          <cell r="O200">
            <v>9</v>
          </cell>
          <cell r="P200" t="str">
            <v>No</v>
          </cell>
          <cell r="Q200">
            <v>2</v>
          </cell>
          <cell r="R200">
            <v>14</v>
          </cell>
          <cell r="S200">
            <v>3</v>
          </cell>
          <cell r="T200">
            <v>1</v>
          </cell>
          <cell r="U200">
            <v>0</v>
          </cell>
          <cell r="V200">
            <v>0</v>
          </cell>
          <cell r="W200">
            <v>0</v>
          </cell>
          <cell r="X200">
            <v>14</v>
          </cell>
          <cell r="Y200">
            <v>0</v>
          </cell>
          <cell r="Z200" t="str">
            <v>Mid</v>
          </cell>
          <cell r="AA200" t="str">
            <v>Medium</v>
          </cell>
          <cell r="AB200" t="str">
            <v>Early</v>
          </cell>
          <cell r="AC200" t="str">
            <v>Medium</v>
          </cell>
          <cell r="AD200">
            <v>271</v>
          </cell>
        </row>
        <row r="201">
          <cell r="A201">
            <v>38</v>
          </cell>
          <cell r="B201" t="str">
            <v>No</v>
          </cell>
          <cell r="C201" t="str">
            <v>Research &amp; Development</v>
          </cell>
          <cell r="D201">
            <v>29</v>
          </cell>
          <cell r="E201">
            <v>3</v>
          </cell>
          <cell r="F201" t="str">
            <v>Technical Degree</v>
          </cell>
          <cell r="G201">
            <v>4</v>
          </cell>
          <cell r="H201" t="str">
            <v>Male</v>
          </cell>
          <cell r="I201">
            <v>3</v>
          </cell>
          <cell r="J201">
            <v>2</v>
          </cell>
          <cell r="K201" t="str">
            <v>Manufacturing Director</v>
          </cell>
          <cell r="L201">
            <v>4</v>
          </cell>
          <cell r="M201" t="str">
            <v>Married</v>
          </cell>
          <cell r="N201">
            <v>6261</v>
          </cell>
          <cell r="O201">
            <v>3</v>
          </cell>
          <cell r="P201" t="str">
            <v>No</v>
          </cell>
          <cell r="Q201">
            <v>1</v>
          </cell>
          <cell r="R201">
            <v>9</v>
          </cell>
          <cell r="S201">
            <v>1</v>
          </cell>
          <cell r="T201">
            <v>7</v>
          </cell>
          <cell r="U201">
            <v>7</v>
          </cell>
          <cell r="V201">
            <v>1</v>
          </cell>
          <cell r="W201">
            <v>7</v>
          </cell>
          <cell r="X201">
            <v>18</v>
          </cell>
          <cell r="Y201">
            <v>0</v>
          </cell>
          <cell r="Z201" t="str">
            <v>Mid</v>
          </cell>
          <cell r="AA201" t="str">
            <v>Medium</v>
          </cell>
          <cell r="AB201" t="str">
            <v>Long</v>
          </cell>
          <cell r="AC201" t="str">
            <v>High</v>
          </cell>
          <cell r="AD201">
            <v>273</v>
          </cell>
        </row>
        <row r="202">
          <cell r="A202">
            <v>27</v>
          </cell>
          <cell r="B202" t="str">
            <v>No</v>
          </cell>
          <cell r="C202" t="str">
            <v>Research &amp; Development</v>
          </cell>
          <cell r="D202">
            <v>1</v>
          </cell>
          <cell r="E202">
            <v>1</v>
          </cell>
          <cell r="F202" t="str">
            <v>Technical Degree</v>
          </cell>
          <cell r="G202">
            <v>3</v>
          </cell>
          <cell r="H202" t="str">
            <v>Male</v>
          </cell>
          <cell r="I202">
            <v>2</v>
          </cell>
          <cell r="J202">
            <v>2</v>
          </cell>
          <cell r="K202" t="str">
            <v>Manufacturing Director</v>
          </cell>
          <cell r="L202">
            <v>1</v>
          </cell>
          <cell r="M202" t="str">
            <v>Married</v>
          </cell>
          <cell r="N202">
            <v>4298</v>
          </cell>
          <cell r="O202">
            <v>5</v>
          </cell>
          <cell r="P202" t="str">
            <v>No</v>
          </cell>
          <cell r="Q202">
            <v>3</v>
          </cell>
          <cell r="R202">
            <v>6</v>
          </cell>
          <cell r="S202">
            <v>3</v>
          </cell>
          <cell r="T202">
            <v>2</v>
          </cell>
          <cell r="U202">
            <v>2</v>
          </cell>
          <cell r="V202">
            <v>2</v>
          </cell>
          <cell r="W202">
            <v>0</v>
          </cell>
          <cell r="X202">
            <v>19</v>
          </cell>
          <cell r="Y202">
            <v>0</v>
          </cell>
          <cell r="Z202" t="str">
            <v>Young</v>
          </cell>
          <cell r="AA202" t="str">
            <v>Low</v>
          </cell>
          <cell r="AB202" t="str">
            <v>Early</v>
          </cell>
          <cell r="AC202" t="str">
            <v>High</v>
          </cell>
          <cell r="AD202">
            <v>274</v>
          </cell>
        </row>
        <row r="203">
          <cell r="A203">
            <v>49</v>
          </cell>
          <cell r="B203" t="str">
            <v>No</v>
          </cell>
          <cell r="C203" t="str">
            <v>Research &amp; Development</v>
          </cell>
          <cell r="D203">
            <v>18</v>
          </cell>
          <cell r="E203">
            <v>4</v>
          </cell>
          <cell r="F203" t="str">
            <v>Life Sciences</v>
          </cell>
          <cell r="G203">
            <v>4</v>
          </cell>
          <cell r="H203" t="str">
            <v>Male</v>
          </cell>
          <cell r="I203">
            <v>3</v>
          </cell>
          <cell r="J203">
            <v>2</v>
          </cell>
          <cell r="K203" t="str">
            <v>Manufacturing Director</v>
          </cell>
          <cell r="L203">
            <v>4</v>
          </cell>
          <cell r="M203" t="str">
            <v>Divorced</v>
          </cell>
          <cell r="N203">
            <v>6804</v>
          </cell>
          <cell r="O203">
            <v>1</v>
          </cell>
          <cell r="P203" t="str">
            <v>Yes</v>
          </cell>
          <cell r="Q203">
            <v>1</v>
          </cell>
          <cell r="R203">
            <v>7</v>
          </cell>
          <cell r="S203">
            <v>3</v>
          </cell>
          <cell r="T203">
            <v>7</v>
          </cell>
          <cell r="U203">
            <v>7</v>
          </cell>
          <cell r="V203">
            <v>1</v>
          </cell>
          <cell r="W203">
            <v>7</v>
          </cell>
          <cell r="X203">
            <v>15</v>
          </cell>
          <cell r="Y203">
            <v>0</v>
          </cell>
          <cell r="Z203" t="str">
            <v>Senior</v>
          </cell>
          <cell r="AA203" t="str">
            <v>Medium</v>
          </cell>
          <cell r="AB203" t="str">
            <v>Long</v>
          </cell>
          <cell r="AC203" t="str">
            <v>Medium</v>
          </cell>
          <cell r="AD203">
            <v>275</v>
          </cell>
        </row>
        <row r="204">
          <cell r="A204">
            <v>34</v>
          </cell>
          <cell r="B204" t="str">
            <v>No</v>
          </cell>
          <cell r="C204" t="str">
            <v>Research &amp; Development</v>
          </cell>
          <cell r="D204">
            <v>10</v>
          </cell>
          <cell r="E204">
            <v>4</v>
          </cell>
          <cell r="F204" t="str">
            <v>Medical</v>
          </cell>
          <cell r="G204">
            <v>4</v>
          </cell>
          <cell r="H204" t="str">
            <v>Male</v>
          </cell>
          <cell r="I204">
            <v>3</v>
          </cell>
          <cell r="J204">
            <v>1</v>
          </cell>
          <cell r="K204" t="str">
            <v>Research Scientist</v>
          </cell>
          <cell r="L204">
            <v>3</v>
          </cell>
          <cell r="M204" t="str">
            <v>Divorced</v>
          </cell>
          <cell r="N204">
            <v>3815</v>
          </cell>
          <cell r="O204">
            <v>1</v>
          </cell>
          <cell r="P204" t="str">
            <v>Yes</v>
          </cell>
          <cell r="Q204">
            <v>4</v>
          </cell>
          <cell r="R204">
            <v>5</v>
          </cell>
          <cell r="S204">
            <v>4</v>
          </cell>
          <cell r="T204">
            <v>5</v>
          </cell>
          <cell r="U204">
            <v>3</v>
          </cell>
          <cell r="V204">
            <v>2</v>
          </cell>
          <cell r="W204">
            <v>0</v>
          </cell>
          <cell r="X204">
            <v>17</v>
          </cell>
          <cell r="Y204">
            <v>0</v>
          </cell>
          <cell r="Z204" t="str">
            <v>Mid</v>
          </cell>
          <cell r="AA204" t="str">
            <v>Low</v>
          </cell>
          <cell r="AB204" t="str">
            <v>Mid</v>
          </cell>
          <cell r="AC204" t="str">
            <v>Medium</v>
          </cell>
          <cell r="AD204">
            <v>277</v>
          </cell>
        </row>
        <row r="205">
          <cell r="A205">
            <v>40</v>
          </cell>
          <cell r="B205" t="str">
            <v>No</v>
          </cell>
          <cell r="C205" t="str">
            <v>Research &amp; Development</v>
          </cell>
          <cell r="D205">
            <v>19</v>
          </cell>
          <cell r="E205">
            <v>2</v>
          </cell>
          <cell r="F205" t="str">
            <v>Medical</v>
          </cell>
          <cell r="G205">
            <v>3</v>
          </cell>
          <cell r="H205" t="str">
            <v>Male</v>
          </cell>
          <cell r="I205">
            <v>3</v>
          </cell>
          <cell r="J205">
            <v>2</v>
          </cell>
          <cell r="K205" t="str">
            <v>Laboratory Technician</v>
          </cell>
          <cell r="L205">
            <v>4</v>
          </cell>
          <cell r="M205" t="str">
            <v>Married</v>
          </cell>
          <cell r="N205">
            <v>2741</v>
          </cell>
          <cell r="O205">
            <v>8</v>
          </cell>
          <cell r="P205" t="str">
            <v>Yes</v>
          </cell>
          <cell r="Q205">
            <v>3</v>
          </cell>
          <cell r="R205">
            <v>15</v>
          </cell>
          <cell r="S205">
            <v>4</v>
          </cell>
          <cell r="T205">
            <v>7</v>
          </cell>
          <cell r="U205">
            <v>2</v>
          </cell>
          <cell r="V205">
            <v>3</v>
          </cell>
          <cell r="W205">
            <v>7</v>
          </cell>
          <cell r="X205">
            <v>15</v>
          </cell>
          <cell r="Y205">
            <v>0</v>
          </cell>
          <cell r="Z205" t="str">
            <v>Mid</v>
          </cell>
          <cell r="AA205" t="str">
            <v>Low</v>
          </cell>
          <cell r="AB205" t="str">
            <v>Long</v>
          </cell>
          <cell r="AC205" t="str">
            <v>Medium</v>
          </cell>
          <cell r="AD205">
            <v>281</v>
          </cell>
        </row>
        <row r="206">
          <cell r="A206">
            <v>38</v>
          </cell>
          <cell r="B206" t="str">
            <v>Yes</v>
          </cell>
          <cell r="C206" t="str">
            <v>Research &amp; Development</v>
          </cell>
          <cell r="D206">
            <v>29</v>
          </cell>
          <cell r="E206">
            <v>1</v>
          </cell>
          <cell r="F206" t="str">
            <v>Medical</v>
          </cell>
          <cell r="G206">
            <v>2</v>
          </cell>
          <cell r="H206" t="str">
            <v>Male</v>
          </cell>
          <cell r="I206">
            <v>3</v>
          </cell>
          <cell r="J206">
            <v>2</v>
          </cell>
          <cell r="K206" t="str">
            <v>Healthcare Representative</v>
          </cell>
          <cell r="L206">
            <v>1</v>
          </cell>
          <cell r="M206" t="str">
            <v>Married</v>
          </cell>
          <cell r="N206">
            <v>6673</v>
          </cell>
          <cell r="O206">
            <v>7</v>
          </cell>
          <cell r="P206" t="str">
            <v>Yes</v>
          </cell>
          <cell r="Q206">
            <v>2</v>
          </cell>
          <cell r="R206">
            <v>17</v>
          </cell>
          <cell r="S206">
            <v>3</v>
          </cell>
          <cell r="T206">
            <v>1</v>
          </cell>
          <cell r="U206">
            <v>0</v>
          </cell>
          <cell r="V206">
            <v>0</v>
          </cell>
          <cell r="W206">
            <v>0</v>
          </cell>
          <cell r="X206">
            <v>19</v>
          </cell>
          <cell r="Y206">
            <v>1</v>
          </cell>
          <cell r="Z206" t="str">
            <v>Mid</v>
          </cell>
          <cell r="AA206" t="str">
            <v>Medium</v>
          </cell>
          <cell r="AB206" t="str">
            <v>Early</v>
          </cell>
          <cell r="AC206" t="str">
            <v>High</v>
          </cell>
          <cell r="AD206">
            <v>282</v>
          </cell>
        </row>
        <row r="207">
          <cell r="A207">
            <v>29</v>
          </cell>
          <cell r="B207" t="str">
            <v>Yes</v>
          </cell>
          <cell r="C207" t="str">
            <v>Sales</v>
          </cell>
          <cell r="D207">
            <v>27</v>
          </cell>
          <cell r="E207">
            <v>3</v>
          </cell>
          <cell r="F207" t="str">
            <v>Marketing</v>
          </cell>
          <cell r="G207">
            <v>2</v>
          </cell>
          <cell r="H207" t="str">
            <v>Female</v>
          </cell>
          <cell r="I207">
            <v>3</v>
          </cell>
          <cell r="J207">
            <v>3</v>
          </cell>
          <cell r="K207" t="str">
            <v>Sales Executive</v>
          </cell>
          <cell r="L207">
            <v>4</v>
          </cell>
          <cell r="M207" t="str">
            <v>Married</v>
          </cell>
          <cell r="N207">
            <v>7639</v>
          </cell>
          <cell r="O207">
            <v>1</v>
          </cell>
          <cell r="P207" t="str">
            <v>No</v>
          </cell>
          <cell r="Q207">
            <v>4</v>
          </cell>
          <cell r="R207">
            <v>10</v>
          </cell>
          <cell r="S207">
            <v>2</v>
          </cell>
          <cell r="T207">
            <v>10</v>
          </cell>
          <cell r="U207">
            <v>4</v>
          </cell>
          <cell r="V207">
            <v>1</v>
          </cell>
          <cell r="W207">
            <v>9</v>
          </cell>
          <cell r="X207">
            <v>22</v>
          </cell>
          <cell r="Y207">
            <v>1</v>
          </cell>
          <cell r="Z207" t="str">
            <v>Young</v>
          </cell>
          <cell r="AA207" t="str">
            <v>Medium</v>
          </cell>
          <cell r="AB207" t="str">
            <v>Long</v>
          </cell>
          <cell r="AC207" t="str">
            <v>High</v>
          </cell>
          <cell r="AD207">
            <v>283</v>
          </cell>
        </row>
        <row r="208">
          <cell r="A208">
            <v>22</v>
          </cell>
          <cell r="B208" t="str">
            <v>No</v>
          </cell>
          <cell r="C208" t="str">
            <v>Research &amp; Development</v>
          </cell>
          <cell r="D208">
            <v>5</v>
          </cell>
          <cell r="E208">
            <v>3</v>
          </cell>
          <cell r="F208" t="str">
            <v>Life Sciences</v>
          </cell>
          <cell r="G208">
            <v>4</v>
          </cell>
          <cell r="H208" t="str">
            <v>Male</v>
          </cell>
          <cell r="I208">
            <v>4</v>
          </cell>
          <cell r="J208">
            <v>1</v>
          </cell>
          <cell r="K208" t="str">
            <v>Research Scientist</v>
          </cell>
          <cell r="L208">
            <v>2</v>
          </cell>
          <cell r="M208" t="str">
            <v>Divorced</v>
          </cell>
          <cell r="N208">
            <v>2328</v>
          </cell>
          <cell r="O208">
            <v>1</v>
          </cell>
          <cell r="P208" t="str">
            <v>Yes</v>
          </cell>
          <cell r="Q208">
            <v>1</v>
          </cell>
          <cell r="R208">
            <v>4</v>
          </cell>
          <cell r="S208">
            <v>2</v>
          </cell>
          <cell r="T208">
            <v>4</v>
          </cell>
          <cell r="U208">
            <v>2</v>
          </cell>
          <cell r="V208">
            <v>2</v>
          </cell>
          <cell r="W208">
            <v>2</v>
          </cell>
          <cell r="X208">
            <v>16</v>
          </cell>
          <cell r="Y208">
            <v>0</v>
          </cell>
          <cell r="Z208" t="str">
            <v>Young</v>
          </cell>
          <cell r="AA208" t="str">
            <v>Low</v>
          </cell>
          <cell r="AB208" t="str">
            <v>Mid</v>
          </cell>
          <cell r="AC208" t="str">
            <v>Medium</v>
          </cell>
          <cell r="AD208">
            <v>284</v>
          </cell>
        </row>
        <row r="209">
          <cell r="A209">
            <v>36</v>
          </cell>
          <cell r="B209" t="str">
            <v>No</v>
          </cell>
          <cell r="C209" t="str">
            <v>Research &amp; Development</v>
          </cell>
          <cell r="D209">
            <v>18</v>
          </cell>
          <cell r="E209">
            <v>1</v>
          </cell>
          <cell r="F209" t="str">
            <v>Medical</v>
          </cell>
          <cell r="G209">
            <v>2</v>
          </cell>
          <cell r="H209" t="str">
            <v>Female</v>
          </cell>
          <cell r="I209">
            <v>3</v>
          </cell>
          <cell r="J209">
            <v>1</v>
          </cell>
          <cell r="K209" t="str">
            <v>Laboratory Technician</v>
          </cell>
          <cell r="L209">
            <v>4</v>
          </cell>
          <cell r="M209" t="str">
            <v>Single</v>
          </cell>
          <cell r="N209">
            <v>2153</v>
          </cell>
          <cell r="O209">
            <v>1</v>
          </cell>
          <cell r="P209" t="str">
            <v>No</v>
          </cell>
          <cell r="Q209">
            <v>1</v>
          </cell>
          <cell r="R209">
            <v>8</v>
          </cell>
          <cell r="S209">
            <v>3</v>
          </cell>
          <cell r="T209">
            <v>8</v>
          </cell>
          <cell r="U209">
            <v>1</v>
          </cell>
          <cell r="V209">
            <v>1</v>
          </cell>
          <cell r="W209">
            <v>7</v>
          </cell>
          <cell r="X209">
            <v>13</v>
          </cell>
          <cell r="Y209">
            <v>0</v>
          </cell>
          <cell r="Z209" t="str">
            <v>Mid</v>
          </cell>
          <cell r="AA209" t="str">
            <v>Low</v>
          </cell>
          <cell r="AB209" t="str">
            <v>Long</v>
          </cell>
          <cell r="AC209" t="str">
            <v>Medium</v>
          </cell>
          <cell r="AD209">
            <v>286</v>
          </cell>
        </row>
        <row r="210">
          <cell r="A210">
            <v>40</v>
          </cell>
          <cell r="B210" t="str">
            <v>No</v>
          </cell>
          <cell r="C210" t="str">
            <v>Research &amp; Development</v>
          </cell>
          <cell r="D210">
            <v>9</v>
          </cell>
          <cell r="E210">
            <v>5</v>
          </cell>
          <cell r="F210" t="str">
            <v>Life Sciences</v>
          </cell>
          <cell r="G210">
            <v>4</v>
          </cell>
          <cell r="H210" t="str">
            <v>Male</v>
          </cell>
          <cell r="I210">
            <v>2</v>
          </cell>
          <cell r="J210">
            <v>2</v>
          </cell>
          <cell r="K210" t="str">
            <v>Healthcare Representative</v>
          </cell>
          <cell r="L210">
            <v>4</v>
          </cell>
          <cell r="M210" t="str">
            <v>Married</v>
          </cell>
          <cell r="N210">
            <v>4876</v>
          </cell>
          <cell r="O210">
            <v>9</v>
          </cell>
          <cell r="P210" t="str">
            <v>No</v>
          </cell>
          <cell r="Q210">
            <v>4</v>
          </cell>
          <cell r="R210">
            <v>5</v>
          </cell>
          <cell r="S210">
            <v>1</v>
          </cell>
          <cell r="T210">
            <v>3</v>
          </cell>
          <cell r="U210">
            <v>2</v>
          </cell>
          <cell r="V210">
            <v>0</v>
          </cell>
          <cell r="W210">
            <v>2</v>
          </cell>
          <cell r="X210">
            <v>14</v>
          </cell>
          <cell r="Y210">
            <v>0</v>
          </cell>
          <cell r="Z210" t="str">
            <v>Mid</v>
          </cell>
          <cell r="AA210" t="str">
            <v>Low</v>
          </cell>
          <cell r="AB210" t="str">
            <v>Mid</v>
          </cell>
          <cell r="AC210" t="str">
            <v>Medium</v>
          </cell>
          <cell r="AD210">
            <v>287</v>
          </cell>
        </row>
        <row r="211">
          <cell r="A211">
            <v>46</v>
          </cell>
          <cell r="B211" t="str">
            <v>No</v>
          </cell>
          <cell r="C211" t="str">
            <v>Research &amp; Development</v>
          </cell>
          <cell r="D211">
            <v>1</v>
          </cell>
          <cell r="E211">
            <v>4</v>
          </cell>
          <cell r="F211" t="str">
            <v>Medical</v>
          </cell>
          <cell r="G211">
            <v>4</v>
          </cell>
          <cell r="H211" t="str">
            <v>Male</v>
          </cell>
          <cell r="I211">
            <v>3</v>
          </cell>
          <cell r="J211">
            <v>3</v>
          </cell>
          <cell r="K211" t="str">
            <v>Healthcare Representative</v>
          </cell>
          <cell r="L211">
            <v>1</v>
          </cell>
          <cell r="M211" t="str">
            <v>Divorced</v>
          </cell>
          <cell r="N211">
            <v>9396</v>
          </cell>
          <cell r="O211">
            <v>7</v>
          </cell>
          <cell r="P211" t="str">
            <v>No</v>
          </cell>
          <cell r="Q211">
            <v>3</v>
          </cell>
          <cell r="R211">
            <v>17</v>
          </cell>
          <cell r="S211">
            <v>3</v>
          </cell>
          <cell r="T211">
            <v>4</v>
          </cell>
          <cell r="U211">
            <v>2</v>
          </cell>
          <cell r="V211">
            <v>0</v>
          </cell>
          <cell r="W211">
            <v>3</v>
          </cell>
          <cell r="X211">
            <v>16</v>
          </cell>
          <cell r="Y211">
            <v>0</v>
          </cell>
          <cell r="Z211" t="str">
            <v>Senior</v>
          </cell>
          <cell r="AA211" t="str">
            <v>Medium</v>
          </cell>
          <cell r="AB211" t="str">
            <v>Mid</v>
          </cell>
          <cell r="AC211" t="str">
            <v>Medium</v>
          </cell>
          <cell r="AD211">
            <v>288</v>
          </cell>
        </row>
        <row r="212">
          <cell r="A212">
            <v>32</v>
          </cell>
          <cell r="B212" t="str">
            <v>Yes</v>
          </cell>
          <cell r="C212" t="str">
            <v>Sales</v>
          </cell>
          <cell r="D212">
            <v>4</v>
          </cell>
          <cell r="E212">
            <v>4</v>
          </cell>
          <cell r="F212" t="str">
            <v>Medical</v>
          </cell>
          <cell r="G212">
            <v>4</v>
          </cell>
          <cell r="H212" t="str">
            <v>Male</v>
          </cell>
          <cell r="I212">
            <v>1</v>
          </cell>
          <cell r="J212">
            <v>3</v>
          </cell>
          <cell r="K212" t="str">
            <v>Sales Executive</v>
          </cell>
          <cell r="L212">
            <v>4</v>
          </cell>
          <cell r="M212" t="str">
            <v>Married</v>
          </cell>
          <cell r="N212">
            <v>10400</v>
          </cell>
          <cell r="O212">
            <v>1</v>
          </cell>
          <cell r="P212" t="str">
            <v>No</v>
          </cell>
          <cell r="Q212">
            <v>3</v>
          </cell>
          <cell r="R212">
            <v>14</v>
          </cell>
          <cell r="S212">
            <v>2</v>
          </cell>
          <cell r="T212">
            <v>14</v>
          </cell>
          <cell r="U212">
            <v>8</v>
          </cell>
          <cell r="V212">
            <v>9</v>
          </cell>
          <cell r="W212">
            <v>8</v>
          </cell>
          <cell r="X212">
            <v>11</v>
          </cell>
          <cell r="Y212">
            <v>1</v>
          </cell>
          <cell r="Z212" t="str">
            <v>Mid</v>
          </cell>
          <cell r="AA212" t="str">
            <v>High</v>
          </cell>
          <cell r="AB212" t="str">
            <v>Long</v>
          </cell>
          <cell r="AC212" t="str">
            <v>Low</v>
          </cell>
          <cell r="AD212">
            <v>291</v>
          </cell>
        </row>
        <row r="213">
          <cell r="A213">
            <v>30</v>
          </cell>
          <cell r="B213" t="str">
            <v>No</v>
          </cell>
          <cell r="C213" t="str">
            <v>Research &amp; Development</v>
          </cell>
          <cell r="D213">
            <v>1</v>
          </cell>
          <cell r="E213">
            <v>1</v>
          </cell>
          <cell r="F213" t="str">
            <v>Life Sciences</v>
          </cell>
          <cell r="G213">
            <v>3</v>
          </cell>
          <cell r="H213" t="str">
            <v>Male</v>
          </cell>
          <cell r="I213">
            <v>2</v>
          </cell>
          <cell r="J213">
            <v>3</v>
          </cell>
          <cell r="K213" t="str">
            <v>Manufacturing Director</v>
          </cell>
          <cell r="L213">
            <v>3</v>
          </cell>
          <cell r="M213" t="str">
            <v>Single</v>
          </cell>
          <cell r="N213">
            <v>8474</v>
          </cell>
          <cell r="O213">
            <v>1</v>
          </cell>
          <cell r="P213" t="str">
            <v>No</v>
          </cell>
          <cell r="Q213">
            <v>3</v>
          </cell>
          <cell r="R213">
            <v>12</v>
          </cell>
          <cell r="S213">
            <v>3</v>
          </cell>
          <cell r="T213">
            <v>11</v>
          </cell>
          <cell r="U213">
            <v>8</v>
          </cell>
          <cell r="V213">
            <v>5</v>
          </cell>
          <cell r="W213">
            <v>8</v>
          </cell>
          <cell r="X213">
            <v>22</v>
          </cell>
          <cell r="Y213">
            <v>0</v>
          </cell>
          <cell r="Z213" t="str">
            <v>Mid</v>
          </cell>
          <cell r="AA213" t="str">
            <v>Medium</v>
          </cell>
          <cell r="AB213" t="str">
            <v>Long</v>
          </cell>
          <cell r="AC213" t="str">
            <v>High</v>
          </cell>
          <cell r="AD213">
            <v>292</v>
          </cell>
        </row>
        <row r="214">
          <cell r="A214">
            <v>27</v>
          </cell>
          <cell r="B214" t="str">
            <v>No</v>
          </cell>
          <cell r="C214" t="str">
            <v>Sales</v>
          </cell>
          <cell r="D214">
            <v>20</v>
          </cell>
          <cell r="E214">
            <v>3</v>
          </cell>
          <cell r="F214" t="str">
            <v>Life Sciences</v>
          </cell>
          <cell r="G214">
            <v>4</v>
          </cell>
          <cell r="H214" t="str">
            <v>Female</v>
          </cell>
          <cell r="I214">
            <v>3</v>
          </cell>
          <cell r="J214">
            <v>2</v>
          </cell>
          <cell r="K214" t="str">
            <v>Sales Executive</v>
          </cell>
          <cell r="L214">
            <v>3</v>
          </cell>
          <cell r="M214" t="str">
            <v>Single</v>
          </cell>
          <cell r="N214">
            <v>9981</v>
          </cell>
          <cell r="O214">
            <v>1</v>
          </cell>
          <cell r="P214" t="str">
            <v>No</v>
          </cell>
          <cell r="Q214">
            <v>4</v>
          </cell>
          <cell r="R214">
            <v>7</v>
          </cell>
          <cell r="S214">
            <v>3</v>
          </cell>
          <cell r="T214">
            <v>7</v>
          </cell>
          <cell r="U214">
            <v>7</v>
          </cell>
          <cell r="V214">
            <v>0</v>
          </cell>
          <cell r="W214">
            <v>7</v>
          </cell>
          <cell r="X214">
            <v>14</v>
          </cell>
          <cell r="Y214">
            <v>0</v>
          </cell>
          <cell r="Z214" t="str">
            <v>Young</v>
          </cell>
          <cell r="AA214" t="str">
            <v>Medium</v>
          </cell>
          <cell r="AB214" t="str">
            <v>Long</v>
          </cell>
          <cell r="AC214" t="str">
            <v>Medium</v>
          </cell>
          <cell r="AD214">
            <v>293</v>
          </cell>
        </row>
        <row r="215">
          <cell r="A215">
            <v>51</v>
          </cell>
          <cell r="B215" t="str">
            <v>No</v>
          </cell>
          <cell r="C215" t="str">
            <v>Research &amp; Development</v>
          </cell>
          <cell r="D215">
            <v>8</v>
          </cell>
          <cell r="E215">
            <v>4</v>
          </cell>
          <cell r="F215" t="str">
            <v>Life Sciences</v>
          </cell>
          <cell r="G215">
            <v>2</v>
          </cell>
          <cell r="H215" t="str">
            <v>Male</v>
          </cell>
          <cell r="I215">
            <v>2</v>
          </cell>
          <cell r="J215">
            <v>3</v>
          </cell>
          <cell r="K215" t="str">
            <v>Research Director</v>
          </cell>
          <cell r="L215">
            <v>2</v>
          </cell>
          <cell r="M215" t="str">
            <v>Married</v>
          </cell>
          <cell r="N215">
            <v>12490</v>
          </cell>
          <cell r="O215">
            <v>5</v>
          </cell>
          <cell r="P215" t="str">
            <v>No</v>
          </cell>
          <cell r="Q215">
            <v>4</v>
          </cell>
          <cell r="R215">
            <v>16</v>
          </cell>
          <cell r="S215">
            <v>1</v>
          </cell>
          <cell r="T215">
            <v>10</v>
          </cell>
          <cell r="U215">
            <v>9</v>
          </cell>
          <cell r="V215">
            <v>4</v>
          </cell>
          <cell r="W215">
            <v>7</v>
          </cell>
          <cell r="X215">
            <v>16</v>
          </cell>
          <cell r="Y215">
            <v>0</v>
          </cell>
          <cell r="Z215" t="str">
            <v>Senior</v>
          </cell>
          <cell r="AA215" t="str">
            <v>High</v>
          </cell>
          <cell r="AB215" t="str">
            <v>Long</v>
          </cell>
          <cell r="AC215" t="str">
            <v>Medium</v>
          </cell>
          <cell r="AD215">
            <v>296</v>
          </cell>
        </row>
        <row r="216">
          <cell r="A216">
            <v>30</v>
          </cell>
          <cell r="B216" t="str">
            <v>Yes</v>
          </cell>
          <cell r="C216" t="str">
            <v>Research &amp; Development</v>
          </cell>
          <cell r="D216">
            <v>3</v>
          </cell>
          <cell r="E216">
            <v>3</v>
          </cell>
          <cell r="F216" t="str">
            <v>Technical Degree</v>
          </cell>
          <cell r="G216">
            <v>4</v>
          </cell>
          <cell r="H216" t="str">
            <v>Female</v>
          </cell>
          <cell r="I216">
            <v>3</v>
          </cell>
          <cell r="J216">
            <v>1</v>
          </cell>
          <cell r="K216" t="str">
            <v>Research Scientist</v>
          </cell>
          <cell r="L216">
            <v>1</v>
          </cell>
          <cell r="M216" t="str">
            <v>Single</v>
          </cell>
          <cell r="N216">
            <v>2657</v>
          </cell>
          <cell r="O216">
            <v>5</v>
          </cell>
          <cell r="P216" t="str">
            <v>Yes</v>
          </cell>
          <cell r="Q216">
            <v>3</v>
          </cell>
          <cell r="R216">
            <v>8</v>
          </cell>
          <cell r="S216">
            <v>3</v>
          </cell>
          <cell r="T216">
            <v>5</v>
          </cell>
          <cell r="U216">
            <v>2</v>
          </cell>
          <cell r="V216">
            <v>0</v>
          </cell>
          <cell r="W216">
            <v>4</v>
          </cell>
          <cell r="X216">
            <v>11</v>
          </cell>
          <cell r="Y216">
            <v>1</v>
          </cell>
          <cell r="Z216" t="str">
            <v>Mid</v>
          </cell>
          <cell r="AA216" t="str">
            <v>Low</v>
          </cell>
          <cell r="AB216" t="str">
            <v>Mid</v>
          </cell>
          <cell r="AC216" t="str">
            <v>Low</v>
          </cell>
          <cell r="AD216">
            <v>297</v>
          </cell>
        </row>
        <row r="217">
          <cell r="A217">
            <v>41</v>
          </cell>
          <cell r="B217" t="str">
            <v>No</v>
          </cell>
          <cell r="C217" t="str">
            <v>Sales</v>
          </cell>
          <cell r="D217">
            <v>6</v>
          </cell>
          <cell r="E217">
            <v>3</v>
          </cell>
          <cell r="F217" t="str">
            <v>Life Sciences</v>
          </cell>
          <cell r="G217">
            <v>4</v>
          </cell>
          <cell r="H217" t="str">
            <v>Female</v>
          </cell>
          <cell r="I217">
            <v>3</v>
          </cell>
          <cell r="J217">
            <v>3</v>
          </cell>
          <cell r="K217" t="str">
            <v>Manager</v>
          </cell>
          <cell r="L217">
            <v>4</v>
          </cell>
          <cell r="M217" t="str">
            <v>Single</v>
          </cell>
          <cell r="N217">
            <v>13591</v>
          </cell>
          <cell r="O217">
            <v>3</v>
          </cell>
          <cell r="P217" t="str">
            <v>Yes</v>
          </cell>
          <cell r="Q217">
            <v>3</v>
          </cell>
          <cell r="R217">
            <v>16</v>
          </cell>
          <cell r="S217">
            <v>3</v>
          </cell>
          <cell r="T217">
            <v>1</v>
          </cell>
          <cell r="U217">
            <v>0</v>
          </cell>
          <cell r="V217">
            <v>0</v>
          </cell>
          <cell r="W217">
            <v>0</v>
          </cell>
          <cell r="X217">
            <v>18</v>
          </cell>
          <cell r="Y217">
            <v>0</v>
          </cell>
          <cell r="Z217" t="str">
            <v>Mid</v>
          </cell>
          <cell r="AA217" t="str">
            <v>High</v>
          </cell>
          <cell r="AB217" t="str">
            <v>Early</v>
          </cell>
          <cell r="AC217" t="str">
            <v>High</v>
          </cell>
          <cell r="AD217">
            <v>298</v>
          </cell>
        </row>
        <row r="218">
          <cell r="A218">
            <v>30</v>
          </cell>
          <cell r="B218" t="str">
            <v>Yes</v>
          </cell>
          <cell r="C218" t="str">
            <v>Sales</v>
          </cell>
          <cell r="D218">
            <v>26</v>
          </cell>
          <cell r="E218">
            <v>4</v>
          </cell>
          <cell r="F218" t="str">
            <v>Marketing</v>
          </cell>
          <cell r="G218">
            <v>3</v>
          </cell>
          <cell r="H218" t="str">
            <v>Female</v>
          </cell>
          <cell r="I218">
            <v>2</v>
          </cell>
          <cell r="J218">
            <v>2</v>
          </cell>
          <cell r="K218" t="str">
            <v>Sales Executive</v>
          </cell>
          <cell r="L218">
            <v>1</v>
          </cell>
          <cell r="M218" t="str">
            <v>Single</v>
          </cell>
          <cell r="N218">
            <v>6696</v>
          </cell>
          <cell r="O218">
            <v>5</v>
          </cell>
          <cell r="P218" t="str">
            <v>No</v>
          </cell>
          <cell r="Q218">
            <v>3</v>
          </cell>
          <cell r="R218">
            <v>9</v>
          </cell>
          <cell r="S218">
            <v>2</v>
          </cell>
          <cell r="T218">
            <v>6</v>
          </cell>
          <cell r="U218">
            <v>3</v>
          </cell>
          <cell r="V218">
            <v>0</v>
          </cell>
          <cell r="W218">
            <v>1</v>
          </cell>
          <cell r="X218">
            <v>15</v>
          </cell>
          <cell r="Y218">
            <v>1</v>
          </cell>
          <cell r="Z218" t="str">
            <v>Mid</v>
          </cell>
          <cell r="AA218" t="str">
            <v>Medium</v>
          </cell>
          <cell r="AB218" t="str">
            <v>Mid</v>
          </cell>
          <cell r="AC218" t="str">
            <v>Medium</v>
          </cell>
          <cell r="AD218">
            <v>299</v>
          </cell>
        </row>
        <row r="219">
          <cell r="A219">
            <v>29</v>
          </cell>
          <cell r="B219" t="str">
            <v>Yes</v>
          </cell>
          <cell r="C219" t="str">
            <v>Research &amp; Development</v>
          </cell>
          <cell r="D219">
            <v>1</v>
          </cell>
          <cell r="E219">
            <v>3</v>
          </cell>
          <cell r="F219" t="str">
            <v>Technical Degree</v>
          </cell>
          <cell r="G219">
            <v>3</v>
          </cell>
          <cell r="H219" t="str">
            <v>Male</v>
          </cell>
          <cell r="I219">
            <v>3</v>
          </cell>
          <cell r="J219">
            <v>1</v>
          </cell>
          <cell r="K219" t="str">
            <v>Research Scientist</v>
          </cell>
          <cell r="L219">
            <v>3</v>
          </cell>
          <cell r="M219" t="str">
            <v>Single</v>
          </cell>
          <cell r="N219">
            <v>2058</v>
          </cell>
          <cell r="O219">
            <v>0</v>
          </cell>
          <cell r="P219" t="str">
            <v>No</v>
          </cell>
          <cell r="Q219">
            <v>4</v>
          </cell>
          <cell r="R219">
            <v>7</v>
          </cell>
          <cell r="S219">
            <v>2</v>
          </cell>
          <cell r="T219">
            <v>6</v>
          </cell>
          <cell r="U219">
            <v>2</v>
          </cell>
          <cell r="V219">
            <v>1</v>
          </cell>
          <cell r="W219">
            <v>5</v>
          </cell>
          <cell r="X219">
            <v>14</v>
          </cell>
          <cell r="Y219">
            <v>1</v>
          </cell>
          <cell r="Z219" t="str">
            <v>Young</v>
          </cell>
          <cell r="AA219" t="str">
            <v>Low</v>
          </cell>
          <cell r="AB219" t="str">
            <v>Mid</v>
          </cell>
          <cell r="AC219" t="str">
            <v>Medium</v>
          </cell>
          <cell r="AD219">
            <v>300</v>
          </cell>
        </row>
        <row r="220">
          <cell r="A220">
            <v>45</v>
          </cell>
          <cell r="B220" t="str">
            <v>No</v>
          </cell>
          <cell r="C220" t="str">
            <v>Sales</v>
          </cell>
          <cell r="D220">
            <v>6</v>
          </cell>
          <cell r="E220">
            <v>3</v>
          </cell>
          <cell r="F220" t="str">
            <v>Medical</v>
          </cell>
          <cell r="G220">
            <v>4</v>
          </cell>
          <cell r="H220" t="str">
            <v>Female</v>
          </cell>
          <cell r="I220">
            <v>2</v>
          </cell>
          <cell r="J220">
            <v>3</v>
          </cell>
          <cell r="K220" t="str">
            <v>Sales Executive</v>
          </cell>
          <cell r="L220">
            <v>4</v>
          </cell>
          <cell r="M220" t="str">
            <v>Single</v>
          </cell>
          <cell r="N220">
            <v>8865</v>
          </cell>
          <cell r="O220">
            <v>6</v>
          </cell>
          <cell r="P220" t="str">
            <v>No</v>
          </cell>
          <cell r="Q220">
            <v>4</v>
          </cell>
          <cell r="R220">
            <v>23</v>
          </cell>
          <cell r="S220">
            <v>3</v>
          </cell>
          <cell r="T220">
            <v>19</v>
          </cell>
          <cell r="U220">
            <v>7</v>
          </cell>
          <cell r="V220">
            <v>12</v>
          </cell>
          <cell r="W220">
            <v>8</v>
          </cell>
          <cell r="X220">
            <v>12</v>
          </cell>
          <cell r="Y220">
            <v>0</v>
          </cell>
          <cell r="Z220" t="str">
            <v>Senior</v>
          </cell>
          <cell r="AA220" t="str">
            <v>Medium</v>
          </cell>
          <cell r="AB220" t="str">
            <v>Long</v>
          </cell>
          <cell r="AC220" t="str">
            <v>Low</v>
          </cell>
          <cell r="AD220">
            <v>302</v>
          </cell>
        </row>
        <row r="221">
          <cell r="A221">
            <v>54</v>
          </cell>
          <cell r="B221" t="str">
            <v>No</v>
          </cell>
          <cell r="C221" t="str">
            <v>Sales</v>
          </cell>
          <cell r="D221">
            <v>3</v>
          </cell>
          <cell r="E221">
            <v>3</v>
          </cell>
          <cell r="F221" t="str">
            <v>Marketing</v>
          </cell>
          <cell r="G221">
            <v>4</v>
          </cell>
          <cell r="H221" t="str">
            <v>Female</v>
          </cell>
          <cell r="I221">
            <v>3</v>
          </cell>
          <cell r="J221">
            <v>2</v>
          </cell>
          <cell r="K221" t="str">
            <v>Sales Executive</v>
          </cell>
          <cell r="L221">
            <v>1</v>
          </cell>
          <cell r="M221" t="str">
            <v>Married</v>
          </cell>
          <cell r="N221">
            <v>5940</v>
          </cell>
          <cell r="O221">
            <v>2</v>
          </cell>
          <cell r="P221" t="str">
            <v>No</v>
          </cell>
          <cell r="Q221">
            <v>4</v>
          </cell>
          <cell r="R221">
            <v>16</v>
          </cell>
          <cell r="S221">
            <v>3</v>
          </cell>
          <cell r="T221">
            <v>6</v>
          </cell>
          <cell r="U221">
            <v>2</v>
          </cell>
          <cell r="V221">
            <v>0</v>
          </cell>
          <cell r="W221">
            <v>5</v>
          </cell>
          <cell r="X221">
            <v>14</v>
          </cell>
          <cell r="Y221">
            <v>0</v>
          </cell>
          <cell r="Z221" t="str">
            <v>Senior</v>
          </cell>
          <cell r="AA221" t="str">
            <v>Medium</v>
          </cell>
          <cell r="AB221" t="str">
            <v>Mid</v>
          </cell>
          <cell r="AC221" t="str">
            <v>Medium</v>
          </cell>
          <cell r="AD221">
            <v>303</v>
          </cell>
        </row>
        <row r="222">
          <cell r="A222">
            <v>36</v>
          </cell>
          <cell r="B222" t="str">
            <v>No</v>
          </cell>
          <cell r="C222" t="str">
            <v>Research &amp; Development</v>
          </cell>
          <cell r="D222">
            <v>5</v>
          </cell>
          <cell r="E222">
            <v>2</v>
          </cell>
          <cell r="F222" t="str">
            <v>Life Sciences</v>
          </cell>
          <cell r="G222">
            <v>4</v>
          </cell>
          <cell r="H222" t="str">
            <v>Male</v>
          </cell>
          <cell r="I222">
            <v>3</v>
          </cell>
          <cell r="J222">
            <v>2</v>
          </cell>
          <cell r="K222" t="str">
            <v>Laboratory Technician</v>
          </cell>
          <cell r="L222">
            <v>2</v>
          </cell>
          <cell r="M222" t="str">
            <v>Single</v>
          </cell>
          <cell r="N222">
            <v>5914</v>
          </cell>
          <cell r="O222">
            <v>8</v>
          </cell>
          <cell r="P222" t="str">
            <v>No</v>
          </cell>
          <cell r="Q222">
            <v>4</v>
          </cell>
          <cell r="R222">
            <v>16</v>
          </cell>
          <cell r="S222">
            <v>4</v>
          </cell>
          <cell r="T222">
            <v>13</v>
          </cell>
          <cell r="U222">
            <v>11</v>
          </cell>
          <cell r="V222">
            <v>3</v>
          </cell>
          <cell r="W222">
            <v>7</v>
          </cell>
          <cell r="X222">
            <v>16</v>
          </cell>
          <cell r="Y222">
            <v>0</v>
          </cell>
          <cell r="Z222" t="str">
            <v>Mid</v>
          </cell>
          <cell r="AA222" t="str">
            <v>Medium</v>
          </cell>
          <cell r="AB222" t="str">
            <v>Long</v>
          </cell>
          <cell r="AC222" t="str">
            <v>Medium</v>
          </cell>
          <cell r="AD222">
            <v>304</v>
          </cell>
        </row>
        <row r="223">
          <cell r="A223">
            <v>33</v>
          </cell>
          <cell r="B223" t="str">
            <v>No</v>
          </cell>
          <cell r="C223" t="str">
            <v>Research &amp; Development</v>
          </cell>
          <cell r="D223">
            <v>4</v>
          </cell>
          <cell r="E223">
            <v>4</v>
          </cell>
          <cell r="F223" t="str">
            <v>Medical</v>
          </cell>
          <cell r="G223">
            <v>3</v>
          </cell>
          <cell r="H223" t="str">
            <v>Female</v>
          </cell>
          <cell r="I223">
            <v>2</v>
          </cell>
          <cell r="J223">
            <v>1</v>
          </cell>
          <cell r="K223" t="str">
            <v>Research Scientist</v>
          </cell>
          <cell r="L223">
            <v>2</v>
          </cell>
          <cell r="M223" t="str">
            <v>Married</v>
          </cell>
          <cell r="N223">
            <v>2622</v>
          </cell>
          <cell r="O223">
            <v>6</v>
          </cell>
          <cell r="P223" t="str">
            <v>No</v>
          </cell>
          <cell r="Q223">
            <v>4</v>
          </cell>
          <cell r="R223">
            <v>7</v>
          </cell>
          <cell r="S223">
            <v>3</v>
          </cell>
          <cell r="T223">
            <v>3</v>
          </cell>
          <cell r="U223">
            <v>2</v>
          </cell>
          <cell r="V223">
            <v>1</v>
          </cell>
          <cell r="W223">
            <v>1</v>
          </cell>
          <cell r="X223">
            <v>21</v>
          </cell>
          <cell r="Y223">
            <v>0</v>
          </cell>
          <cell r="Z223" t="str">
            <v>Mid</v>
          </cell>
          <cell r="AA223" t="str">
            <v>Low</v>
          </cell>
          <cell r="AB223" t="str">
            <v>Mid</v>
          </cell>
          <cell r="AC223" t="str">
            <v>High</v>
          </cell>
          <cell r="AD223">
            <v>305</v>
          </cell>
        </row>
        <row r="224">
          <cell r="A224">
            <v>37</v>
          </cell>
          <cell r="B224" t="str">
            <v>No</v>
          </cell>
          <cell r="C224" t="str">
            <v>Research &amp; Development</v>
          </cell>
          <cell r="D224">
            <v>11</v>
          </cell>
          <cell r="E224">
            <v>3</v>
          </cell>
          <cell r="F224" t="str">
            <v>Other</v>
          </cell>
          <cell r="G224">
            <v>2</v>
          </cell>
          <cell r="H224" t="str">
            <v>Male</v>
          </cell>
          <cell r="I224">
            <v>3</v>
          </cell>
          <cell r="J224">
            <v>3</v>
          </cell>
          <cell r="K224" t="str">
            <v>Research Director</v>
          </cell>
          <cell r="L224">
            <v>4</v>
          </cell>
          <cell r="M224" t="str">
            <v>Divorced</v>
          </cell>
          <cell r="N224">
            <v>12185</v>
          </cell>
          <cell r="O224">
            <v>1</v>
          </cell>
          <cell r="P224" t="str">
            <v>Yes</v>
          </cell>
          <cell r="Q224">
            <v>3</v>
          </cell>
          <cell r="R224">
            <v>10</v>
          </cell>
          <cell r="S224">
            <v>3</v>
          </cell>
          <cell r="T224">
            <v>10</v>
          </cell>
          <cell r="U224">
            <v>8</v>
          </cell>
          <cell r="V224">
            <v>0</v>
          </cell>
          <cell r="W224">
            <v>7</v>
          </cell>
          <cell r="X224">
            <v>14</v>
          </cell>
          <cell r="Y224">
            <v>0</v>
          </cell>
          <cell r="Z224" t="str">
            <v>Mid</v>
          </cell>
          <cell r="AA224" t="str">
            <v>High</v>
          </cell>
          <cell r="AB224" t="str">
            <v>Long</v>
          </cell>
          <cell r="AC224" t="str">
            <v>Medium</v>
          </cell>
          <cell r="AD224">
            <v>306</v>
          </cell>
        </row>
        <row r="225">
          <cell r="A225">
            <v>38</v>
          </cell>
          <cell r="B225" t="str">
            <v>No</v>
          </cell>
          <cell r="C225" t="str">
            <v>Sales</v>
          </cell>
          <cell r="D225">
            <v>3</v>
          </cell>
          <cell r="E225">
            <v>3</v>
          </cell>
          <cell r="F225" t="str">
            <v>Life Sciences</v>
          </cell>
          <cell r="G225">
            <v>1</v>
          </cell>
          <cell r="H225" t="str">
            <v>Male</v>
          </cell>
          <cell r="I225">
            <v>3</v>
          </cell>
          <cell r="J225">
            <v>3</v>
          </cell>
          <cell r="K225" t="str">
            <v>Sales Executive</v>
          </cell>
          <cell r="L225">
            <v>3</v>
          </cell>
          <cell r="M225" t="str">
            <v>Divorced</v>
          </cell>
          <cell r="N225">
            <v>10609</v>
          </cell>
          <cell r="O225">
            <v>0</v>
          </cell>
          <cell r="P225" t="str">
            <v>No</v>
          </cell>
          <cell r="Q225">
            <v>3</v>
          </cell>
          <cell r="R225">
            <v>17</v>
          </cell>
          <cell r="S225">
            <v>2</v>
          </cell>
          <cell r="T225">
            <v>16</v>
          </cell>
          <cell r="U225">
            <v>10</v>
          </cell>
          <cell r="V225">
            <v>5</v>
          </cell>
          <cell r="W225">
            <v>13</v>
          </cell>
          <cell r="X225">
            <v>12</v>
          </cell>
          <cell r="Y225">
            <v>0</v>
          </cell>
          <cell r="Z225" t="str">
            <v>Mid</v>
          </cell>
          <cell r="AA225" t="str">
            <v>High</v>
          </cell>
          <cell r="AB225" t="str">
            <v>Long</v>
          </cell>
          <cell r="AC225" t="str">
            <v>Low</v>
          </cell>
          <cell r="AD225">
            <v>307</v>
          </cell>
        </row>
        <row r="226">
          <cell r="A226">
            <v>31</v>
          </cell>
          <cell r="B226" t="str">
            <v>No</v>
          </cell>
          <cell r="C226" t="str">
            <v>Research &amp; Development</v>
          </cell>
          <cell r="D226">
            <v>1</v>
          </cell>
          <cell r="E226">
            <v>4</v>
          </cell>
          <cell r="F226" t="str">
            <v>Medical</v>
          </cell>
          <cell r="G226">
            <v>3</v>
          </cell>
          <cell r="H226" t="str">
            <v>Male</v>
          </cell>
          <cell r="I226">
            <v>1</v>
          </cell>
          <cell r="J226">
            <v>2</v>
          </cell>
          <cell r="K226" t="str">
            <v>Manufacturing Director</v>
          </cell>
          <cell r="L226">
            <v>3</v>
          </cell>
          <cell r="M226" t="str">
            <v>Married</v>
          </cell>
          <cell r="N226">
            <v>4345</v>
          </cell>
          <cell r="O226">
            <v>0</v>
          </cell>
          <cell r="P226" t="str">
            <v>No</v>
          </cell>
          <cell r="Q226">
            <v>4</v>
          </cell>
          <cell r="R226">
            <v>6</v>
          </cell>
          <cell r="S226">
            <v>3</v>
          </cell>
          <cell r="T226">
            <v>5</v>
          </cell>
          <cell r="U226">
            <v>4</v>
          </cell>
          <cell r="V226">
            <v>1</v>
          </cell>
          <cell r="W226">
            <v>4</v>
          </cell>
          <cell r="X226">
            <v>12</v>
          </cell>
          <cell r="Y226">
            <v>0</v>
          </cell>
          <cell r="Z226" t="str">
            <v>Mid</v>
          </cell>
          <cell r="AA226" t="str">
            <v>Low</v>
          </cell>
          <cell r="AB226" t="str">
            <v>Mid</v>
          </cell>
          <cell r="AC226" t="str">
            <v>Low</v>
          </cell>
          <cell r="AD226">
            <v>308</v>
          </cell>
        </row>
        <row r="227">
          <cell r="A227">
            <v>59</v>
          </cell>
          <cell r="B227" t="str">
            <v>No</v>
          </cell>
          <cell r="C227" t="str">
            <v>Research &amp; Development</v>
          </cell>
          <cell r="D227">
            <v>3</v>
          </cell>
          <cell r="E227">
            <v>3</v>
          </cell>
          <cell r="F227" t="str">
            <v>Life Sciences</v>
          </cell>
          <cell r="G227">
            <v>3</v>
          </cell>
          <cell r="H227" t="str">
            <v>Male</v>
          </cell>
          <cell r="I227">
            <v>2</v>
          </cell>
          <cell r="J227">
            <v>1</v>
          </cell>
          <cell r="K227" t="str">
            <v>Research Scientist</v>
          </cell>
          <cell r="L227">
            <v>4</v>
          </cell>
          <cell r="M227" t="str">
            <v>Married</v>
          </cell>
          <cell r="N227">
            <v>2177</v>
          </cell>
          <cell r="O227">
            <v>3</v>
          </cell>
          <cell r="P227" t="str">
            <v>No</v>
          </cell>
          <cell r="Q227">
            <v>1</v>
          </cell>
          <cell r="R227">
            <v>7</v>
          </cell>
          <cell r="S227">
            <v>3</v>
          </cell>
          <cell r="T227">
            <v>1</v>
          </cell>
          <cell r="U227">
            <v>0</v>
          </cell>
          <cell r="V227">
            <v>0</v>
          </cell>
          <cell r="W227">
            <v>0</v>
          </cell>
          <cell r="X227">
            <v>17</v>
          </cell>
          <cell r="Y227">
            <v>0</v>
          </cell>
          <cell r="Z227" t="str">
            <v>Senior</v>
          </cell>
          <cell r="AA227" t="str">
            <v>Low</v>
          </cell>
          <cell r="AB227" t="str">
            <v>Early</v>
          </cell>
          <cell r="AC227" t="str">
            <v>Medium</v>
          </cell>
          <cell r="AD227">
            <v>309</v>
          </cell>
        </row>
        <row r="228">
          <cell r="A228">
            <v>37</v>
          </cell>
          <cell r="B228" t="str">
            <v>No</v>
          </cell>
          <cell r="C228" t="str">
            <v>Sales</v>
          </cell>
          <cell r="D228">
            <v>4</v>
          </cell>
          <cell r="E228">
            <v>4</v>
          </cell>
          <cell r="F228" t="str">
            <v>Marketing</v>
          </cell>
          <cell r="G228">
            <v>1</v>
          </cell>
          <cell r="H228" t="str">
            <v>Male</v>
          </cell>
          <cell r="I228">
            <v>3</v>
          </cell>
          <cell r="J228">
            <v>1</v>
          </cell>
          <cell r="K228" t="str">
            <v>Sales Representative</v>
          </cell>
          <cell r="L228">
            <v>4</v>
          </cell>
          <cell r="M228" t="str">
            <v>Divorced</v>
          </cell>
          <cell r="N228">
            <v>2793</v>
          </cell>
          <cell r="O228">
            <v>4</v>
          </cell>
          <cell r="P228" t="str">
            <v>No</v>
          </cell>
          <cell r="Q228">
            <v>3</v>
          </cell>
          <cell r="R228">
            <v>13</v>
          </cell>
          <cell r="S228">
            <v>3</v>
          </cell>
          <cell r="T228">
            <v>9</v>
          </cell>
          <cell r="U228">
            <v>8</v>
          </cell>
          <cell r="V228">
            <v>5</v>
          </cell>
          <cell r="W228">
            <v>8</v>
          </cell>
          <cell r="X228">
            <v>17</v>
          </cell>
          <cell r="Y228">
            <v>0</v>
          </cell>
          <cell r="Z228" t="str">
            <v>Mid</v>
          </cell>
          <cell r="AA228" t="str">
            <v>Low</v>
          </cell>
          <cell r="AB228" t="str">
            <v>Long</v>
          </cell>
          <cell r="AC228" t="str">
            <v>Medium</v>
          </cell>
          <cell r="AD228">
            <v>311</v>
          </cell>
        </row>
        <row r="229">
          <cell r="A229">
            <v>29</v>
          </cell>
          <cell r="B229" t="str">
            <v>No</v>
          </cell>
          <cell r="C229" t="str">
            <v>Sales</v>
          </cell>
          <cell r="D229">
            <v>1</v>
          </cell>
          <cell r="E229">
            <v>1</v>
          </cell>
          <cell r="F229" t="str">
            <v>Medical</v>
          </cell>
          <cell r="G229">
            <v>2</v>
          </cell>
          <cell r="H229" t="str">
            <v>Female</v>
          </cell>
          <cell r="I229">
            <v>3</v>
          </cell>
          <cell r="J229">
            <v>3</v>
          </cell>
          <cell r="K229" t="str">
            <v>Sales Executive</v>
          </cell>
          <cell r="L229">
            <v>4</v>
          </cell>
          <cell r="M229" t="str">
            <v>Married</v>
          </cell>
          <cell r="N229">
            <v>7918</v>
          </cell>
          <cell r="O229">
            <v>1</v>
          </cell>
          <cell r="P229" t="str">
            <v>No</v>
          </cell>
          <cell r="Q229">
            <v>4</v>
          </cell>
          <cell r="R229">
            <v>11</v>
          </cell>
          <cell r="S229">
            <v>3</v>
          </cell>
          <cell r="T229">
            <v>11</v>
          </cell>
          <cell r="U229">
            <v>10</v>
          </cell>
          <cell r="V229">
            <v>4</v>
          </cell>
          <cell r="W229">
            <v>1</v>
          </cell>
          <cell r="X229">
            <v>14</v>
          </cell>
          <cell r="Y229">
            <v>0</v>
          </cell>
          <cell r="Z229" t="str">
            <v>Young</v>
          </cell>
          <cell r="AA229" t="str">
            <v>Medium</v>
          </cell>
          <cell r="AB229" t="str">
            <v>Long</v>
          </cell>
          <cell r="AC229" t="str">
            <v>Medium</v>
          </cell>
          <cell r="AD229">
            <v>312</v>
          </cell>
        </row>
        <row r="230">
          <cell r="A230">
            <v>35</v>
          </cell>
          <cell r="B230" t="str">
            <v>No</v>
          </cell>
          <cell r="C230" t="str">
            <v>Sales</v>
          </cell>
          <cell r="D230">
            <v>1</v>
          </cell>
          <cell r="E230">
            <v>3</v>
          </cell>
          <cell r="F230" t="str">
            <v>Marketing</v>
          </cell>
          <cell r="G230">
            <v>3</v>
          </cell>
          <cell r="H230" t="str">
            <v>Female</v>
          </cell>
          <cell r="I230">
            <v>3</v>
          </cell>
          <cell r="J230">
            <v>3</v>
          </cell>
          <cell r="K230" t="str">
            <v>Sales Executive</v>
          </cell>
          <cell r="L230">
            <v>3</v>
          </cell>
          <cell r="M230" t="str">
            <v>Single</v>
          </cell>
          <cell r="N230">
            <v>8789</v>
          </cell>
          <cell r="O230">
            <v>1</v>
          </cell>
          <cell r="P230" t="str">
            <v>No</v>
          </cell>
          <cell r="Q230">
            <v>1</v>
          </cell>
          <cell r="R230">
            <v>10</v>
          </cell>
          <cell r="S230">
            <v>4</v>
          </cell>
          <cell r="T230">
            <v>10</v>
          </cell>
          <cell r="U230">
            <v>7</v>
          </cell>
          <cell r="V230">
            <v>0</v>
          </cell>
          <cell r="W230">
            <v>8</v>
          </cell>
          <cell r="X230">
            <v>14</v>
          </cell>
          <cell r="Y230">
            <v>0</v>
          </cell>
          <cell r="Z230" t="str">
            <v>Mid</v>
          </cell>
          <cell r="AA230" t="str">
            <v>Medium</v>
          </cell>
          <cell r="AB230" t="str">
            <v>Long</v>
          </cell>
          <cell r="AC230" t="str">
            <v>Medium</v>
          </cell>
          <cell r="AD230">
            <v>314</v>
          </cell>
        </row>
        <row r="231">
          <cell r="A231">
            <v>29</v>
          </cell>
          <cell r="B231" t="str">
            <v>Yes</v>
          </cell>
          <cell r="C231" t="str">
            <v>Research &amp; Development</v>
          </cell>
          <cell r="D231">
            <v>18</v>
          </cell>
          <cell r="E231">
            <v>1</v>
          </cell>
          <cell r="F231" t="str">
            <v>Medical</v>
          </cell>
          <cell r="G231">
            <v>3</v>
          </cell>
          <cell r="H231" t="str">
            <v>Male</v>
          </cell>
          <cell r="I231">
            <v>2</v>
          </cell>
          <cell r="J231">
            <v>1</v>
          </cell>
          <cell r="K231" t="str">
            <v>Research Scientist</v>
          </cell>
          <cell r="L231">
            <v>4</v>
          </cell>
          <cell r="M231" t="str">
            <v>Single</v>
          </cell>
          <cell r="N231">
            <v>2389</v>
          </cell>
          <cell r="O231">
            <v>1</v>
          </cell>
          <cell r="P231" t="str">
            <v>Yes</v>
          </cell>
          <cell r="Q231">
            <v>3</v>
          </cell>
          <cell r="R231">
            <v>4</v>
          </cell>
          <cell r="S231">
            <v>2</v>
          </cell>
          <cell r="T231">
            <v>4</v>
          </cell>
          <cell r="U231">
            <v>3</v>
          </cell>
          <cell r="V231">
            <v>0</v>
          </cell>
          <cell r="W231">
            <v>1</v>
          </cell>
          <cell r="X231">
            <v>13</v>
          </cell>
          <cell r="Y231">
            <v>1</v>
          </cell>
          <cell r="Z231" t="str">
            <v>Young</v>
          </cell>
          <cell r="AA231" t="str">
            <v>Low</v>
          </cell>
          <cell r="AB231" t="str">
            <v>Mid</v>
          </cell>
          <cell r="AC231" t="str">
            <v>Medium</v>
          </cell>
          <cell r="AD231">
            <v>315</v>
          </cell>
        </row>
        <row r="232">
          <cell r="A232">
            <v>52</v>
          </cell>
          <cell r="B232" t="str">
            <v>No</v>
          </cell>
          <cell r="C232" t="str">
            <v>Research &amp; Development</v>
          </cell>
          <cell r="D232">
            <v>2</v>
          </cell>
          <cell r="E232">
            <v>3</v>
          </cell>
          <cell r="F232" t="str">
            <v>Life Sciences</v>
          </cell>
          <cell r="G232">
            <v>3</v>
          </cell>
          <cell r="H232" t="str">
            <v>Female</v>
          </cell>
          <cell r="I232">
            <v>2</v>
          </cell>
          <cell r="J232">
            <v>1</v>
          </cell>
          <cell r="K232" t="str">
            <v>Laboratory Technician</v>
          </cell>
          <cell r="L232">
            <v>4</v>
          </cell>
          <cell r="M232" t="str">
            <v>Single</v>
          </cell>
          <cell r="N232">
            <v>3212</v>
          </cell>
          <cell r="O232">
            <v>7</v>
          </cell>
          <cell r="P232" t="str">
            <v>No</v>
          </cell>
          <cell r="Q232">
            <v>2</v>
          </cell>
          <cell r="R232">
            <v>6</v>
          </cell>
          <cell r="S232">
            <v>2</v>
          </cell>
          <cell r="T232">
            <v>2</v>
          </cell>
          <cell r="U232">
            <v>2</v>
          </cell>
          <cell r="V232">
            <v>2</v>
          </cell>
          <cell r="W232">
            <v>2</v>
          </cell>
          <cell r="X232">
            <v>15</v>
          </cell>
          <cell r="Y232">
            <v>0</v>
          </cell>
          <cell r="Z232" t="str">
            <v>Senior</v>
          </cell>
          <cell r="AA232" t="str">
            <v>Low</v>
          </cell>
          <cell r="AB232" t="str">
            <v>Early</v>
          </cell>
          <cell r="AC232" t="str">
            <v>Medium</v>
          </cell>
          <cell r="AD232">
            <v>316</v>
          </cell>
        </row>
        <row r="233">
          <cell r="A233">
            <v>42</v>
          </cell>
          <cell r="B233" t="str">
            <v>No</v>
          </cell>
          <cell r="C233" t="str">
            <v>Research &amp; Development</v>
          </cell>
          <cell r="D233">
            <v>4</v>
          </cell>
          <cell r="E233">
            <v>2</v>
          </cell>
          <cell r="F233" t="str">
            <v>Technical Degree</v>
          </cell>
          <cell r="G233">
            <v>3</v>
          </cell>
          <cell r="H233" t="str">
            <v>Male</v>
          </cell>
          <cell r="I233">
            <v>3</v>
          </cell>
          <cell r="J233">
            <v>5</v>
          </cell>
          <cell r="K233" t="str">
            <v>Manager</v>
          </cell>
          <cell r="L233">
            <v>4</v>
          </cell>
          <cell r="M233" t="str">
            <v>Married</v>
          </cell>
          <cell r="N233">
            <v>19232</v>
          </cell>
          <cell r="O233">
            <v>1</v>
          </cell>
          <cell r="P233" t="str">
            <v>No</v>
          </cell>
          <cell r="Q233">
            <v>4</v>
          </cell>
          <cell r="R233">
            <v>22</v>
          </cell>
          <cell r="S233">
            <v>3</v>
          </cell>
          <cell r="T233">
            <v>22</v>
          </cell>
          <cell r="U233">
            <v>17</v>
          </cell>
          <cell r="V233">
            <v>11</v>
          </cell>
          <cell r="W233">
            <v>15</v>
          </cell>
          <cell r="X233">
            <v>11</v>
          </cell>
          <cell r="Y233">
            <v>0</v>
          </cell>
          <cell r="Z233" t="str">
            <v>Mid</v>
          </cell>
          <cell r="AA233" t="str">
            <v>High</v>
          </cell>
          <cell r="AB233" t="str">
            <v>Long</v>
          </cell>
          <cell r="AC233" t="str">
            <v>Low</v>
          </cell>
          <cell r="AD233">
            <v>319</v>
          </cell>
        </row>
        <row r="234">
          <cell r="A234">
            <v>59</v>
          </cell>
          <cell r="B234" t="str">
            <v>No</v>
          </cell>
          <cell r="C234" t="str">
            <v>Human Resources</v>
          </cell>
          <cell r="D234">
            <v>6</v>
          </cell>
          <cell r="E234">
            <v>2</v>
          </cell>
          <cell r="F234" t="str">
            <v>Medical</v>
          </cell>
          <cell r="G234">
            <v>2</v>
          </cell>
          <cell r="H234" t="str">
            <v>Male</v>
          </cell>
          <cell r="I234">
            <v>3</v>
          </cell>
          <cell r="J234">
            <v>1</v>
          </cell>
          <cell r="K234" t="str">
            <v>Human Resources</v>
          </cell>
          <cell r="L234">
            <v>3</v>
          </cell>
          <cell r="M234" t="str">
            <v>Married</v>
          </cell>
          <cell r="N234">
            <v>2267</v>
          </cell>
          <cell r="O234">
            <v>8</v>
          </cell>
          <cell r="P234" t="str">
            <v>No</v>
          </cell>
          <cell r="Q234">
            <v>4</v>
          </cell>
          <cell r="R234">
            <v>7</v>
          </cell>
          <cell r="S234">
            <v>2</v>
          </cell>
          <cell r="T234">
            <v>2</v>
          </cell>
          <cell r="U234">
            <v>2</v>
          </cell>
          <cell r="V234">
            <v>2</v>
          </cell>
          <cell r="W234">
            <v>2</v>
          </cell>
          <cell r="X234">
            <v>17</v>
          </cell>
          <cell r="Y234">
            <v>0</v>
          </cell>
          <cell r="Z234" t="str">
            <v>Senior</v>
          </cell>
          <cell r="AA234" t="str">
            <v>Low</v>
          </cell>
          <cell r="AB234" t="str">
            <v>Early</v>
          </cell>
          <cell r="AC234" t="str">
            <v>Medium</v>
          </cell>
          <cell r="AD234">
            <v>321</v>
          </cell>
        </row>
        <row r="235">
          <cell r="A235">
            <v>50</v>
          </cell>
          <cell r="B235" t="str">
            <v>No</v>
          </cell>
          <cell r="C235" t="str">
            <v>Sales</v>
          </cell>
          <cell r="D235">
            <v>1</v>
          </cell>
          <cell r="E235">
            <v>4</v>
          </cell>
          <cell r="F235" t="str">
            <v>Medical</v>
          </cell>
          <cell r="G235">
            <v>4</v>
          </cell>
          <cell r="H235" t="str">
            <v>Female</v>
          </cell>
          <cell r="I235">
            <v>3</v>
          </cell>
          <cell r="J235">
            <v>5</v>
          </cell>
          <cell r="K235" t="str">
            <v>Manager</v>
          </cell>
          <cell r="L235">
            <v>4</v>
          </cell>
          <cell r="M235" t="str">
            <v>Divorced</v>
          </cell>
          <cell r="N235">
            <v>19517</v>
          </cell>
          <cell r="O235">
            <v>3</v>
          </cell>
          <cell r="P235" t="str">
            <v>No</v>
          </cell>
          <cell r="Q235">
            <v>3</v>
          </cell>
          <cell r="R235">
            <v>32</v>
          </cell>
          <cell r="S235">
            <v>2</v>
          </cell>
          <cell r="T235">
            <v>7</v>
          </cell>
          <cell r="U235">
            <v>0</v>
          </cell>
          <cell r="V235">
            <v>0</v>
          </cell>
          <cell r="W235">
            <v>6</v>
          </cell>
          <cell r="X235">
            <v>11</v>
          </cell>
          <cell r="Y235">
            <v>0</v>
          </cell>
          <cell r="Z235" t="str">
            <v>Senior</v>
          </cell>
          <cell r="AA235" t="str">
            <v>High</v>
          </cell>
          <cell r="AB235" t="str">
            <v>Long</v>
          </cell>
          <cell r="AC235" t="str">
            <v>Low</v>
          </cell>
          <cell r="AD235">
            <v>323</v>
          </cell>
        </row>
        <row r="236">
          <cell r="A236">
            <v>33</v>
          </cell>
          <cell r="B236" t="str">
            <v>Yes</v>
          </cell>
          <cell r="C236" t="str">
            <v>Research &amp; Development</v>
          </cell>
          <cell r="D236">
            <v>14</v>
          </cell>
          <cell r="E236">
            <v>3</v>
          </cell>
          <cell r="F236" t="str">
            <v>Medical</v>
          </cell>
          <cell r="G236">
            <v>3</v>
          </cell>
          <cell r="H236" t="str">
            <v>Male</v>
          </cell>
          <cell r="I236">
            <v>3</v>
          </cell>
          <cell r="J236">
            <v>1</v>
          </cell>
          <cell r="K236" t="str">
            <v>Laboratory Technician</v>
          </cell>
          <cell r="L236">
            <v>4</v>
          </cell>
          <cell r="M236" t="str">
            <v>Married</v>
          </cell>
          <cell r="N236">
            <v>2436</v>
          </cell>
          <cell r="O236">
            <v>5</v>
          </cell>
          <cell r="P236" t="str">
            <v>Yes</v>
          </cell>
          <cell r="Q236">
            <v>3</v>
          </cell>
          <cell r="R236">
            <v>8</v>
          </cell>
          <cell r="S236">
            <v>1</v>
          </cell>
          <cell r="T236">
            <v>5</v>
          </cell>
          <cell r="U236">
            <v>4</v>
          </cell>
          <cell r="V236">
            <v>0</v>
          </cell>
          <cell r="W236">
            <v>4</v>
          </cell>
          <cell r="X236">
            <v>13</v>
          </cell>
          <cell r="Y236">
            <v>1</v>
          </cell>
          <cell r="Z236" t="str">
            <v>Mid</v>
          </cell>
          <cell r="AA236" t="str">
            <v>Low</v>
          </cell>
          <cell r="AB236" t="str">
            <v>Mid</v>
          </cell>
          <cell r="AC236" t="str">
            <v>Medium</v>
          </cell>
          <cell r="AD236">
            <v>325</v>
          </cell>
        </row>
        <row r="237">
          <cell r="A237">
            <v>43</v>
          </cell>
          <cell r="B237" t="str">
            <v>No</v>
          </cell>
          <cell r="C237" t="str">
            <v>Sales</v>
          </cell>
          <cell r="D237">
            <v>16</v>
          </cell>
          <cell r="E237">
            <v>3</v>
          </cell>
          <cell r="F237" t="str">
            <v>Marketing</v>
          </cell>
          <cell r="G237">
            <v>4</v>
          </cell>
          <cell r="H237" t="str">
            <v>Female</v>
          </cell>
          <cell r="I237">
            <v>3</v>
          </cell>
          <cell r="J237">
            <v>4</v>
          </cell>
          <cell r="K237" t="str">
            <v>Manager</v>
          </cell>
          <cell r="L237">
            <v>4</v>
          </cell>
          <cell r="M237" t="str">
            <v>Married</v>
          </cell>
          <cell r="N237">
            <v>16064</v>
          </cell>
          <cell r="O237">
            <v>5</v>
          </cell>
          <cell r="P237" t="str">
            <v>Yes</v>
          </cell>
          <cell r="Q237">
            <v>3</v>
          </cell>
          <cell r="R237">
            <v>22</v>
          </cell>
          <cell r="S237">
            <v>3</v>
          </cell>
          <cell r="T237">
            <v>17</v>
          </cell>
          <cell r="U237">
            <v>13</v>
          </cell>
          <cell r="V237">
            <v>1</v>
          </cell>
          <cell r="W237">
            <v>9</v>
          </cell>
          <cell r="X237">
            <v>22</v>
          </cell>
          <cell r="Y237">
            <v>0</v>
          </cell>
          <cell r="Z237" t="str">
            <v>Mid</v>
          </cell>
          <cell r="AA237" t="str">
            <v>High</v>
          </cell>
          <cell r="AB237" t="str">
            <v>Long</v>
          </cell>
          <cell r="AC237" t="str">
            <v>High</v>
          </cell>
          <cell r="AD237">
            <v>327</v>
          </cell>
        </row>
        <row r="238">
          <cell r="A238">
            <v>33</v>
          </cell>
          <cell r="B238" t="str">
            <v>Yes</v>
          </cell>
          <cell r="C238" t="str">
            <v>Research &amp; Development</v>
          </cell>
          <cell r="D238">
            <v>2</v>
          </cell>
          <cell r="E238">
            <v>2</v>
          </cell>
          <cell r="F238" t="str">
            <v>Life Sciences</v>
          </cell>
          <cell r="G238">
            <v>1</v>
          </cell>
          <cell r="H238" t="str">
            <v>Female</v>
          </cell>
          <cell r="I238">
            <v>3</v>
          </cell>
          <cell r="J238">
            <v>1</v>
          </cell>
          <cell r="K238" t="str">
            <v>Laboratory Technician</v>
          </cell>
          <cell r="L238">
            <v>1</v>
          </cell>
          <cell r="M238" t="str">
            <v>Married</v>
          </cell>
          <cell r="N238">
            <v>2707</v>
          </cell>
          <cell r="O238">
            <v>7</v>
          </cell>
          <cell r="P238" t="str">
            <v>No</v>
          </cell>
          <cell r="Q238">
            <v>1</v>
          </cell>
          <cell r="R238">
            <v>13</v>
          </cell>
          <cell r="S238">
            <v>4</v>
          </cell>
          <cell r="T238">
            <v>9</v>
          </cell>
          <cell r="U238">
            <v>7</v>
          </cell>
          <cell r="V238">
            <v>1</v>
          </cell>
          <cell r="W238">
            <v>7</v>
          </cell>
          <cell r="X238">
            <v>20</v>
          </cell>
          <cell r="Y238">
            <v>1</v>
          </cell>
          <cell r="Z238" t="str">
            <v>Mid</v>
          </cell>
          <cell r="AA238" t="str">
            <v>Low</v>
          </cell>
          <cell r="AB238" t="str">
            <v>Long</v>
          </cell>
          <cell r="AC238" t="str">
            <v>High</v>
          </cell>
          <cell r="AD238">
            <v>328</v>
          </cell>
        </row>
        <row r="239">
          <cell r="A239">
            <v>52</v>
          </cell>
          <cell r="B239" t="str">
            <v>No</v>
          </cell>
          <cell r="C239" t="str">
            <v>Sales</v>
          </cell>
          <cell r="D239">
            <v>2</v>
          </cell>
          <cell r="E239">
            <v>4</v>
          </cell>
          <cell r="F239" t="str">
            <v>Life Sciences</v>
          </cell>
          <cell r="G239">
            <v>1</v>
          </cell>
          <cell r="H239" t="str">
            <v>Male</v>
          </cell>
          <cell r="I239">
            <v>2</v>
          </cell>
          <cell r="J239">
            <v>5</v>
          </cell>
          <cell r="K239" t="str">
            <v>Manager</v>
          </cell>
          <cell r="L239">
            <v>3</v>
          </cell>
          <cell r="M239" t="str">
            <v>Single</v>
          </cell>
          <cell r="N239">
            <v>19068</v>
          </cell>
          <cell r="O239">
            <v>1</v>
          </cell>
          <cell r="P239" t="str">
            <v>Yes</v>
          </cell>
          <cell r="Q239">
            <v>4</v>
          </cell>
          <cell r="R239">
            <v>33</v>
          </cell>
          <cell r="S239">
            <v>4</v>
          </cell>
          <cell r="T239">
            <v>33</v>
          </cell>
          <cell r="U239">
            <v>7</v>
          </cell>
          <cell r="V239">
            <v>15</v>
          </cell>
          <cell r="W239">
            <v>12</v>
          </cell>
          <cell r="X239">
            <v>18</v>
          </cell>
          <cell r="Y239">
            <v>0</v>
          </cell>
          <cell r="Z239" t="str">
            <v>Senior</v>
          </cell>
          <cell r="AA239" t="str">
            <v>High</v>
          </cell>
          <cell r="AB239" t="str">
            <v>Long</v>
          </cell>
          <cell r="AC239" t="str">
            <v>High</v>
          </cell>
          <cell r="AD239">
            <v>329</v>
          </cell>
        </row>
        <row r="240">
          <cell r="A240">
            <v>32</v>
          </cell>
          <cell r="B240" t="str">
            <v>No</v>
          </cell>
          <cell r="C240" t="str">
            <v>Sales</v>
          </cell>
          <cell r="D240">
            <v>4</v>
          </cell>
          <cell r="E240">
            <v>2</v>
          </cell>
          <cell r="F240" t="str">
            <v>Life Sciences</v>
          </cell>
          <cell r="G240">
            <v>3</v>
          </cell>
          <cell r="H240" t="str">
            <v>Female</v>
          </cell>
          <cell r="I240">
            <v>3</v>
          </cell>
          <cell r="J240">
            <v>1</v>
          </cell>
          <cell r="K240" t="str">
            <v>Sales Representative</v>
          </cell>
          <cell r="L240">
            <v>2</v>
          </cell>
          <cell r="M240" t="str">
            <v>Married</v>
          </cell>
          <cell r="N240">
            <v>3931</v>
          </cell>
          <cell r="O240">
            <v>2</v>
          </cell>
          <cell r="P240" t="str">
            <v>No</v>
          </cell>
          <cell r="Q240">
            <v>1</v>
          </cell>
          <cell r="R240">
            <v>6</v>
          </cell>
          <cell r="S240">
            <v>3</v>
          </cell>
          <cell r="T240">
            <v>4</v>
          </cell>
          <cell r="U240">
            <v>3</v>
          </cell>
          <cell r="V240">
            <v>1</v>
          </cell>
          <cell r="W240">
            <v>2</v>
          </cell>
          <cell r="X240">
            <v>11</v>
          </cell>
          <cell r="Y240">
            <v>0</v>
          </cell>
          <cell r="Z240" t="str">
            <v>Mid</v>
          </cell>
          <cell r="AA240" t="str">
            <v>Low</v>
          </cell>
          <cell r="AB240" t="str">
            <v>Mid</v>
          </cell>
          <cell r="AC240" t="str">
            <v>Low</v>
          </cell>
          <cell r="AD240">
            <v>330</v>
          </cell>
        </row>
        <row r="241">
          <cell r="A241">
            <v>32</v>
          </cell>
          <cell r="B241" t="str">
            <v>Yes</v>
          </cell>
          <cell r="C241" t="str">
            <v>Research &amp; Development</v>
          </cell>
          <cell r="D241">
            <v>1</v>
          </cell>
          <cell r="E241">
            <v>3</v>
          </cell>
          <cell r="F241" t="str">
            <v>Life Sciences</v>
          </cell>
          <cell r="G241">
            <v>4</v>
          </cell>
          <cell r="H241" t="str">
            <v>Male</v>
          </cell>
          <cell r="I241">
            <v>2</v>
          </cell>
          <cell r="J241">
            <v>1</v>
          </cell>
          <cell r="K241" t="str">
            <v>Laboratory Technician</v>
          </cell>
          <cell r="L241">
            <v>3</v>
          </cell>
          <cell r="M241" t="str">
            <v>Single</v>
          </cell>
          <cell r="N241">
            <v>3730</v>
          </cell>
          <cell r="O241">
            <v>0</v>
          </cell>
          <cell r="P241" t="str">
            <v>Yes</v>
          </cell>
          <cell r="Q241">
            <v>4</v>
          </cell>
          <cell r="R241">
            <v>4</v>
          </cell>
          <cell r="S241">
            <v>1</v>
          </cell>
          <cell r="T241">
            <v>3</v>
          </cell>
          <cell r="U241">
            <v>2</v>
          </cell>
          <cell r="V241">
            <v>1</v>
          </cell>
          <cell r="W241">
            <v>2</v>
          </cell>
          <cell r="X241">
            <v>14</v>
          </cell>
          <cell r="Y241">
            <v>1</v>
          </cell>
          <cell r="Z241" t="str">
            <v>Mid</v>
          </cell>
          <cell r="AA241" t="str">
            <v>Low</v>
          </cell>
          <cell r="AB241" t="str">
            <v>Mid</v>
          </cell>
          <cell r="AC241" t="str">
            <v>Medium</v>
          </cell>
          <cell r="AD241">
            <v>331</v>
          </cell>
        </row>
        <row r="242">
          <cell r="A242">
            <v>39</v>
          </cell>
          <cell r="B242" t="str">
            <v>No</v>
          </cell>
          <cell r="C242" t="str">
            <v>Research &amp; Development</v>
          </cell>
          <cell r="D242">
            <v>1</v>
          </cell>
          <cell r="E242">
            <v>4</v>
          </cell>
          <cell r="F242" t="str">
            <v>Medical</v>
          </cell>
          <cell r="G242">
            <v>3</v>
          </cell>
          <cell r="H242" t="str">
            <v>Female</v>
          </cell>
          <cell r="I242">
            <v>3</v>
          </cell>
          <cell r="J242">
            <v>1</v>
          </cell>
          <cell r="K242" t="str">
            <v>Laboratory Technician</v>
          </cell>
          <cell r="L242">
            <v>3</v>
          </cell>
          <cell r="M242" t="str">
            <v>Divorced</v>
          </cell>
          <cell r="N242">
            <v>2232</v>
          </cell>
          <cell r="O242">
            <v>7</v>
          </cell>
          <cell r="P242" t="str">
            <v>No</v>
          </cell>
          <cell r="Q242">
            <v>3</v>
          </cell>
          <cell r="R242">
            <v>7</v>
          </cell>
          <cell r="S242">
            <v>3</v>
          </cell>
          <cell r="T242">
            <v>3</v>
          </cell>
          <cell r="U242">
            <v>2</v>
          </cell>
          <cell r="V242">
            <v>1</v>
          </cell>
          <cell r="W242">
            <v>2</v>
          </cell>
          <cell r="X242">
            <v>14</v>
          </cell>
          <cell r="Y242">
            <v>0</v>
          </cell>
          <cell r="Z242" t="str">
            <v>Mid</v>
          </cell>
          <cell r="AA242" t="str">
            <v>Low</v>
          </cell>
          <cell r="AB242" t="str">
            <v>Mid</v>
          </cell>
          <cell r="AC242" t="str">
            <v>Medium</v>
          </cell>
          <cell r="AD242">
            <v>332</v>
          </cell>
        </row>
        <row r="243">
          <cell r="A243">
            <v>32</v>
          </cell>
          <cell r="B243" t="str">
            <v>No</v>
          </cell>
          <cell r="C243" t="str">
            <v>Sales</v>
          </cell>
          <cell r="D243">
            <v>26</v>
          </cell>
          <cell r="E243">
            <v>4</v>
          </cell>
          <cell r="F243" t="str">
            <v>Marketing</v>
          </cell>
          <cell r="G243">
            <v>3</v>
          </cell>
          <cell r="H243" t="str">
            <v>Male</v>
          </cell>
          <cell r="I243">
            <v>3</v>
          </cell>
          <cell r="J243">
            <v>2</v>
          </cell>
          <cell r="K243" t="str">
            <v>Sales Executive</v>
          </cell>
          <cell r="L243">
            <v>4</v>
          </cell>
          <cell r="M243" t="str">
            <v>Married</v>
          </cell>
          <cell r="N243">
            <v>4465</v>
          </cell>
          <cell r="O243">
            <v>0</v>
          </cell>
          <cell r="P243" t="str">
            <v>No</v>
          </cell>
          <cell r="Q243">
            <v>1</v>
          </cell>
          <cell r="R243">
            <v>4</v>
          </cell>
          <cell r="S243">
            <v>3</v>
          </cell>
          <cell r="T243">
            <v>3</v>
          </cell>
          <cell r="U243">
            <v>2</v>
          </cell>
          <cell r="V243">
            <v>2</v>
          </cell>
          <cell r="W243">
            <v>2</v>
          </cell>
          <cell r="X243">
            <v>18</v>
          </cell>
          <cell r="Y243">
            <v>0</v>
          </cell>
          <cell r="Z243" t="str">
            <v>Mid</v>
          </cell>
          <cell r="AA243" t="str">
            <v>Low</v>
          </cell>
          <cell r="AB243" t="str">
            <v>Mid</v>
          </cell>
          <cell r="AC243" t="str">
            <v>High</v>
          </cell>
          <cell r="AD243">
            <v>333</v>
          </cell>
        </row>
        <row r="244">
          <cell r="A244">
            <v>41</v>
          </cell>
          <cell r="B244" t="str">
            <v>No</v>
          </cell>
          <cell r="C244" t="str">
            <v>Research &amp; Development</v>
          </cell>
          <cell r="D244">
            <v>19</v>
          </cell>
          <cell r="E244">
            <v>2</v>
          </cell>
          <cell r="F244" t="str">
            <v>Life Sciences</v>
          </cell>
          <cell r="G244">
            <v>3</v>
          </cell>
          <cell r="H244" t="str">
            <v>Male</v>
          </cell>
          <cell r="I244">
            <v>3</v>
          </cell>
          <cell r="J244">
            <v>2</v>
          </cell>
          <cell r="K244" t="str">
            <v>Research Scientist</v>
          </cell>
          <cell r="L244">
            <v>1</v>
          </cell>
          <cell r="M244" t="str">
            <v>Divorced</v>
          </cell>
          <cell r="N244">
            <v>3072</v>
          </cell>
          <cell r="O244">
            <v>2</v>
          </cell>
          <cell r="P244" t="str">
            <v>No</v>
          </cell>
          <cell r="Q244">
            <v>1</v>
          </cell>
          <cell r="R244">
            <v>17</v>
          </cell>
          <cell r="S244">
            <v>2</v>
          </cell>
          <cell r="T244">
            <v>1</v>
          </cell>
          <cell r="U244">
            <v>0</v>
          </cell>
          <cell r="V244">
            <v>0</v>
          </cell>
          <cell r="W244">
            <v>0</v>
          </cell>
          <cell r="X244">
            <v>16</v>
          </cell>
          <cell r="Y244">
            <v>0</v>
          </cell>
          <cell r="Z244" t="str">
            <v>Mid</v>
          </cell>
          <cell r="AA244" t="str">
            <v>Low</v>
          </cell>
          <cell r="AB244" t="str">
            <v>Early</v>
          </cell>
          <cell r="AC244" t="str">
            <v>Medium</v>
          </cell>
          <cell r="AD244">
            <v>334</v>
          </cell>
        </row>
        <row r="245">
          <cell r="A245">
            <v>40</v>
          </cell>
          <cell r="B245" t="str">
            <v>No</v>
          </cell>
          <cell r="C245" t="str">
            <v>Research &amp; Development</v>
          </cell>
          <cell r="D245">
            <v>24</v>
          </cell>
          <cell r="E245">
            <v>2</v>
          </cell>
          <cell r="F245" t="str">
            <v>Technical Degree</v>
          </cell>
          <cell r="G245">
            <v>1</v>
          </cell>
          <cell r="H245" t="str">
            <v>Male</v>
          </cell>
          <cell r="I245">
            <v>3</v>
          </cell>
          <cell r="J245">
            <v>2</v>
          </cell>
          <cell r="K245" t="str">
            <v>Research Scientist</v>
          </cell>
          <cell r="L245">
            <v>4</v>
          </cell>
          <cell r="M245" t="str">
            <v>Divorced</v>
          </cell>
          <cell r="N245">
            <v>3319</v>
          </cell>
          <cell r="O245">
            <v>1</v>
          </cell>
          <cell r="P245" t="str">
            <v>No</v>
          </cell>
          <cell r="Q245">
            <v>1</v>
          </cell>
          <cell r="R245">
            <v>9</v>
          </cell>
          <cell r="S245">
            <v>3</v>
          </cell>
          <cell r="T245">
            <v>9</v>
          </cell>
          <cell r="U245">
            <v>8</v>
          </cell>
          <cell r="V245">
            <v>4</v>
          </cell>
          <cell r="W245">
            <v>7</v>
          </cell>
          <cell r="X245">
            <v>17</v>
          </cell>
          <cell r="Y245">
            <v>0</v>
          </cell>
          <cell r="Z245" t="str">
            <v>Mid</v>
          </cell>
          <cell r="AA245" t="str">
            <v>Low</v>
          </cell>
          <cell r="AB245" t="str">
            <v>Long</v>
          </cell>
          <cell r="AC245" t="str">
            <v>Medium</v>
          </cell>
          <cell r="AD245">
            <v>335</v>
          </cell>
        </row>
        <row r="246">
          <cell r="A246">
            <v>45</v>
          </cell>
          <cell r="B246" t="str">
            <v>No</v>
          </cell>
          <cell r="C246" t="str">
            <v>Research &amp; Development</v>
          </cell>
          <cell r="D246">
            <v>1</v>
          </cell>
          <cell r="E246">
            <v>3</v>
          </cell>
          <cell r="F246" t="str">
            <v>Other</v>
          </cell>
          <cell r="G246">
            <v>3</v>
          </cell>
          <cell r="H246" t="str">
            <v>Male</v>
          </cell>
          <cell r="I246">
            <v>4</v>
          </cell>
          <cell r="J246">
            <v>5</v>
          </cell>
          <cell r="K246" t="str">
            <v>Manager</v>
          </cell>
          <cell r="L246">
            <v>4</v>
          </cell>
          <cell r="M246" t="str">
            <v>Married</v>
          </cell>
          <cell r="N246">
            <v>19202</v>
          </cell>
          <cell r="O246">
            <v>0</v>
          </cell>
          <cell r="P246" t="str">
            <v>No</v>
          </cell>
          <cell r="Q246">
            <v>3</v>
          </cell>
          <cell r="R246">
            <v>25</v>
          </cell>
          <cell r="S246">
            <v>3</v>
          </cell>
          <cell r="T246">
            <v>24</v>
          </cell>
          <cell r="U246">
            <v>0</v>
          </cell>
          <cell r="V246">
            <v>1</v>
          </cell>
          <cell r="W246">
            <v>7</v>
          </cell>
          <cell r="X246">
            <v>11</v>
          </cell>
          <cell r="Y246">
            <v>0</v>
          </cell>
          <cell r="Z246" t="str">
            <v>Senior</v>
          </cell>
          <cell r="AA246" t="str">
            <v>High</v>
          </cell>
          <cell r="AB246" t="str">
            <v>Long</v>
          </cell>
          <cell r="AC246" t="str">
            <v>Low</v>
          </cell>
          <cell r="AD246">
            <v>336</v>
          </cell>
        </row>
        <row r="247">
          <cell r="A247">
            <v>31</v>
          </cell>
          <cell r="B247" t="str">
            <v>No</v>
          </cell>
          <cell r="C247" t="str">
            <v>Research &amp; Development</v>
          </cell>
          <cell r="D247">
            <v>3</v>
          </cell>
          <cell r="E247">
            <v>4</v>
          </cell>
          <cell r="F247" t="str">
            <v>Medical</v>
          </cell>
          <cell r="G247">
            <v>2</v>
          </cell>
          <cell r="H247" t="str">
            <v>Male</v>
          </cell>
          <cell r="I247">
            <v>3</v>
          </cell>
          <cell r="J247">
            <v>3</v>
          </cell>
          <cell r="K247" t="str">
            <v>Research Director</v>
          </cell>
          <cell r="L247">
            <v>3</v>
          </cell>
          <cell r="M247" t="str">
            <v>Divorced</v>
          </cell>
          <cell r="N247">
            <v>13675</v>
          </cell>
          <cell r="O247">
            <v>9</v>
          </cell>
          <cell r="P247" t="str">
            <v>No</v>
          </cell>
          <cell r="Q247">
            <v>1</v>
          </cell>
          <cell r="R247">
            <v>9</v>
          </cell>
          <cell r="S247">
            <v>3</v>
          </cell>
          <cell r="T247">
            <v>2</v>
          </cell>
          <cell r="U247">
            <v>2</v>
          </cell>
          <cell r="V247">
            <v>2</v>
          </cell>
          <cell r="W247">
            <v>2</v>
          </cell>
          <cell r="X247">
            <v>12</v>
          </cell>
          <cell r="Y247">
            <v>0</v>
          </cell>
          <cell r="Z247" t="str">
            <v>Mid</v>
          </cell>
          <cell r="AA247" t="str">
            <v>High</v>
          </cell>
          <cell r="AB247" t="str">
            <v>Early</v>
          </cell>
          <cell r="AC247" t="str">
            <v>Low</v>
          </cell>
          <cell r="AD247">
            <v>337</v>
          </cell>
        </row>
        <row r="248">
          <cell r="A248">
            <v>33</v>
          </cell>
          <cell r="B248" t="str">
            <v>No</v>
          </cell>
          <cell r="C248" t="str">
            <v>Research &amp; Development</v>
          </cell>
          <cell r="D248">
            <v>5</v>
          </cell>
          <cell r="E248">
            <v>4</v>
          </cell>
          <cell r="F248" t="str">
            <v>Life Sciences</v>
          </cell>
          <cell r="G248">
            <v>3</v>
          </cell>
          <cell r="H248" t="str">
            <v>Female</v>
          </cell>
          <cell r="I248">
            <v>2</v>
          </cell>
          <cell r="J248">
            <v>1</v>
          </cell>
          <cell r="K248" t="str">
            <v>Research Scientist</v>
          </cell>
          <cell r="L248">
            <v>4</v>
          </cell>
          <cell r="M248" t="str">
            <v>Married</v>
          </cell>
          <cell r="N248">
            <v>2911</v>
          </cell>
          <cell r="O248">
            <v>1</v>
          </cell>
          <cell r="P248" t="str">
            <v>No</v>
          </cell>
          <cell r="Q248">
            <v>3</v>
          </cell>
          <cell r="R248">
            <v>2</v>
          </cell>
          <cell r="S248">
            <v>2</v>
          </cell>
          <cell r="T248">
            <v>2</v>
          </cell>
          <cell r="U248">
            <v>2</v>
          </cell>
          <cell r="V248">
            <v>0</v>
          </cell>
          <cell r="W248">
            <v>2</v>
          </cell>
          <cell r="X248">
            <v>13</v>
          </cell>
          <cell r="Y248">
            <v>0</v>
          </cell>
          <cell r="Z248" t="str">
            <v>Mid</v>
          </cell>
          <cell r="AA248" t="str">
            <v>Low</v>
          </cell>
          <cell r="AB248" t="str">
            <v>Early</v>
          </cell>
          <cell r="AC248" t="str">
            <v>Medium</v>
          </cell>
          <cell r="AD248">
            <v>338</v>
          </cell>
        </row>
        <row r="249">
          <cell r="A249">
            <v>34</v>
          </cell>
          <cell r="B249" t="str">
            <v>No</v>
          </cell>
          <cell r="C249" t="str">
            <v>Research &amp; Development</v>
          </cell>
          <cell r="D249">
            <v>2</v>
          </cell>
          <cell r="E249">
            <v>4</v>
          </cell>
          <cell r="F249" t="str">
            <v>Life Sciences</v>
          </cell>
          <cell r="G249">
            <v>4</v>
          </cell>
          <cell r="H249" t="str">
            <v>Male</v>
          </cell>
          <cell r="I249">
            <v>2</v>
          </cell>
          <cell r="J249">
            <v>2</v>
          </cell>
          <cell r="K249" t="str">
            <v>Manufacturing Director</v>
          </cell>
          <cell r="L249">
            <v>1</v>
          </cell>
          <cell r="M249" t="str">
            <v>Married</v>
          </cell>
          <cell r="N249">
            <v>5957</v>
          </cell>
          <cell r="O249">
            <v>6</v>
          </cell>
          <cell r="P249" t="str">
            <v>No</v>
          </cell>
          <cell r="Q249">
            <v>2</v>
          </cell>
          <cell r="R249">
            <v>13</v>
          </cell>
          <cell r="S249">
            <v>3</v>
          </cell>
          <cell r="T249">
            <v>11</v>
          </cell>
          <cell r="U249">
            <v>9</v>
          </cell>
          <cell r="V249">
            <v>5</v>
          </cell>
          <cell r="W249">
            <v>9</v>
          </cell>
          <cell r="X249">
            <v>13</v>
          </cell>
          <cell r="Y249">
            <v>0</v>
          </cell>
          <cell r="Z249" t="str">
            <v>Mid</v>
          </cell>
          <cell r="AA249" t="str">
            <v>Medium</v>
          </cell>
          <cell r="AB249" t="str">
            <v>Long</v>
          </cell>
          <cell r="AC249" t="str">
            <v>Medium</v>
          </cell>
          <cell r="AD249">
            <v>339</v>
          </cell>
        </row>
        <row r="250">
          <cell r="A250">
            <v>37</v>
          </cell>
          <cell r="B250" t="str">
            <v>No</v>
          </cell>
          <cell r="C250" t="str">
            <v>Research &amp; Development</v>
          </cell>
          <cell r="D250">
            <v>1</v>
          </cell>
          <cell r="E250">
            <v>2</v>
          </cell>
          <cell r="F250" t="str">
            <v>Medical</v>
          </cell>
          <cell r="G250">
            <v>3</v>
          </cell>
          <cell r="H250" t="str">
            <v>Female</v>
          </cell>
          <cell r="I250">
            <v>2</v>
          </cell>
          <cell r="J250">
            <v>1</v>
          </cell>
          <cell r="K250" t="str">
            <v>Research Scientist</v>
          </cell>
          <cell r="L250">
            <v>1</v>
          </cell>
          <cell r="M250" t="str">
            <v>Married</v>
          </cell>
          <cell r="N250">
            <v>3920</v>
          </cell>
          <cell r="O250">
            <v>2</v>
          </cell>
          <cell r="P250" t="str">
            <v>No</v>
          </cell>
          <cell r="Q250">
            <v>1</v>
          </cell>
          <cell r="R250">
            <v>17</v>
          </cell>
          <cell r="S250">
            <v>2</v>
          </cell>
          <cell r="T250">
            <v>3</v>
          </cell>
          <cell r="U250">
            <v>1</v>
          </cell>
          <cell r="V250">
            <v>0</v>
          </cell>
          <cell r="W250">
            <v>2</v>
          </cell>
          <cell r="X250">
            <v>14</v>
          </cell>
          <cell r="Y250">
            <v>0</v>
          </cell>
          <cell r="Z250" t="str">
            <v>Mid</v>
          </cell>
          <cell r="AA250" t="str">
            <v>Low</v>
          </cell>
          <cell r="AB250" t="str">
            <v>Mid</v>
          </cell>
          <cell r="AC250" t="str">
            <v>Medium</v>
          </cell>
          <cell r="AD250">
            <v>340</v>
          </cell>
        </row>
        <row r="251">
          <cell r="A251">
            <v>45</v>
          </cell>
          <cell r="B251" t="str">
            <v>No</v>
          </cell>
          <cell r="C251" t="str">
            <v>Research &amp; Development</v>
          </cell>
          <cell r="D251">
            <v>7</v>
          </cell>
          <cell r="E251">
            <v>4</v>
          </cell>
          <cell r="F251" t="str">
            <v>Life Sciences</v>
          </cell>
          <cell r="G251">
            <v>1</v>
          </cell>
          <cell r="H251" t="str">
            <v>Male</v>
          </cell>
          <cell r="I251">
            <v>4</v>
          </cell>
          <cell r="J251">
            <v>2</v>
          </cell>
          <cell r="K251" t="str">
            <v>Manufacturing Director</v>
          </cell>
          <cell r="L251">
            <v>3</v>
          </cell>
          <cell r="M251" t="str">
            <v>Married</v>
          </cell>
          <cell r="N251">
            <v>6434</v>
          </cell>
          <cell r="O251">
            <v>4</v>
          </cell>
          <cell r="P251" t="str">
            <v>No</v>
          </cell>
          <cell r="Q251">
            <v>4</v>
          </cell>
          <cell r="R251">
            <v>9</v>
          </cell>
          <cell r="S251">
            <v>3</v>
          </cell>
          <cell r="T251">
            <v>3</v>
          </cell>
          <cell r="U251">
            <v>2</v>
          </cell>
          <cell r="V251">
            <v>0</v>
          </cell>
          <cell r="W251">
            <v>2</v>
          </cell>
          <cell r="X251">
            <v>17</v>
          </cell>
          <cell r="Y251">
            <v>0</v>
          </cell>
          <cell r="Z251" t="str">
            <v>Senior</v>
          </cell>
          <cell r="AA251" t="str">
            <v>Medium</v>
          </cell>
          <cell r="AB251" t="str">
            <v>Mid</v>
          </cell>
          <cell r="AC251" t="str">
            <v>Medium</v>
          </cell>
          <cell r="AD251">
            <v>341</v>
          </cell>
        </row>
        <row r="252">
          <cell r="A252">
            <v>37</v>
          </cell>
          <cell r="B252" t="str">
            <v>Yes</v>
          </cell>
          <cell r="C252" t="str">
            <v>Research &amp; Development</v>
          </cell>
          <cell r="D252">
            <v>10</v>
          </cell>
          <cell r="E252">
            <v>3</v>
          </cell>
          <cell r="F252" t="str">
            <v>Medical</v>
          </cell>
          <cell r="G252">
            <v>1</v>
          </cell>
          <cell r="H252" t="str">
            <v>Male</v>
          </cell>
          <cell r="I252">
            <v>3</v>
          </cell>
          <cell r="J252">
            <v>3</v>
          </cell>
          <cell r="K252" t="str">
            <v>Manufacturing Director</v>
          </cell>
          <cell r="L252">
            <v>3</v>
          </cell>
          <cell r="M252" t="str">
            <v>Divorced</v>
          </cell>
          <cell r="N252">
            <v>10048</v>
          </cell>
          <cell r="O252">
            <v>6</v>
          </cell>
          <cell r="P252" t="str">
            <v>No</v>
          </cell>
          <cell r="Q252">
            <v>2</v>
          </cell>
          <cell r="R252">
            <v>17</v>
          </cell>
          <cell r="S252">
            <v>3</v>
          </cell>
          <cell r="T252">
            <v>1</v>
          </cell>
          <cell r="U252">
            <v>0</v>
          </cell>
          <cell r="V252">
            <v>0</v>
          </cell>
          <cell r="W252">
            <v>0</v>
          </cell>
          <cell r="X252">
            <v>11</v>
          </cell>
          <cell r="Y252">
            <v>1</v>
          </cell>
          <cell r="Z252" t="str">
            <v>Mid</v>
          </cell>
          <cell r="AA252" t="str">
            <v>High</v>
          </cell>
          <cell r="AB252" t="str">
            <v>Early</v>
          </cell>
          <cell r="AC252" t="str">
            <v>Low</v>
          </cell>
          <cell r="AD252">
            <v>342</v>
          </cell>
        </row>
        <row r="253">
          <cell r="A253">
            <v>39</v>
          </cell>
          <cell r="B253" t="str">
            <v>No</v>
          </cell>
          <cell r="C253" t="str">
            <v>Research &amp; Development</v>
          </cell>
          <cell r="D253">
            <v>2</v>
          </cell>
          <cell r="E253">
            <v>4</v>
          </cell>
          <cell r="F253" t="str">
            <v>Technical Degree</v>
          </cell>
          <cell r="G253">
            <v>3</v>
          </cell>
          <cell r="H253" t="str">
            <v>Female</v>
          </cell>
          <cell r="I253">
            <v>3</v>
          </cell>
          <cell r="J253">
            <v>3</v>
          </cell>
          <cell r="K253" t="str">
            <v>Healthcare Representative</v>
          </cell>
          <cell r="L253">
            <v>3</v>
          </cell>
          <cell r="M253" t="str">
            <v>Single</v>
          </cell>
          <cell r="N253">
            <v>10938</v>
          </cell>
          <cell r="O253">
            <v>0</v>
          </cell>
          <cell r="P253" t="str">
            <v>No</v>
          </cell>
          <cell r="Q253">
            <v>4</v>
          </cell>
          <cell r="R253">
            <v>20</v>
          </cell>
          <cell r="S253">
            <v>3</v>
          </cell>
          <cell r="T253">
            <v>19</v>
          </cell>
          <cell r="U253">
            <v>6</v>
          </cell>
          <cell r="V253">
            <v>11</v>
          </cell>
          <cell r="W253">
            <v>8</v>
          </cell>
          <cell r="X253">
            <v>25</v>
          </cell>
          <cell r="Y253">
            <v>0</v>
          </cell>
          <cell r="Z253" t="str">
            <v>Mid</v>
          </cell>
          <cell r="AA253" t="str">
            <v>High</v>
          </cell>
          <cell r="AB253" t="str">
            <v>Long</v>
          </cell>
          <cell r="AC253" t="str">
            <v>High</v>
          </cell>
          <cell r="AD253">
            <v>343</v>
          </cell>
        </row>
        <row r="254">
          <cell r="A254">
            <v>29</v>
          </cell>
          <cell r="B254" t="str">
            <v>No</v>
          </cell>
          <cell r="C254" t="str">
            <v>Research &amp; Development</v>
          </cell>
          <cell r="D254">
            <v>15</v>
          </cell>
          <cell r="E254">
            <v>3</v>
          </cell>
          <cell r="F254" t="str">
            <v>Life Sciences</v>
          </cell>
          <cell r="G254">
            <v>3</v>
          </cell>
          <cell r="H254" t="str">
            <v>Male</v>
          </cell>
          <cell r="I254">
            <v>3</v>
          </cell>
          <cell r="J254">
            <v>1</v>
          </cell>
          <cell r="K254" t="str">
            <v>Research Scientist</v>
          </cell>
          <cell r="L254">
            <v>4</v>
          </cell>
          <cell r="M254" t="str">
            <v>Single</v>
          </cell>
          <cell r="N254">
            <v>2340</v>
          </cell>
          <cell r="O254">
            <v>1</v>
          </cell>
          <cell r="P254" t="str">
            <v>No</v>
          </cell>
          <cell r="Q254">
            <v>1</v>
          </cell>
          <cell r="R254">
            <v>6</v>
          </cell>
          <cell r="S254">
            <v>3</v>
          </cell>
          <cell r="T254">
            <v>6</v>
          </cell>
          <cell r="U254">
            <v>5</v>
          </cell>
          <cell r="V254">
            <v>1</v>
          </cell>
          <cell r="W254">
            <v>5</v>
          </cell>
          <cell r="X254">
            <v>19</v>
          </cell>
          <cell r="Y254">
            <v>0</v>
          </cell>
          <cell r="Z254" t="str">
            <v>Young</v>
          </cell>
          <cell r="AA254" t="str">
            <v>Low</v>
          </cell>
          <cell r="AB254" t="str">
            <v>Mid</v>
          </cell>
          <cell r="AC254" t="str">
            <v>High</v>
          </cell>
          <cell r="AD254">
            <v>346</v>
          </cell>
        </row>
        <row r="255">
          <cell r="A255">
            <v>42</v>
          </cell>
          <cell r="B255" t="str">
            <v>No</v>
          </cell>
          <cell r="C255" t="str">
            <v>Research &amp; Development</v>
          </cell>
          <cell r="D255">
            <v>17</v>
          </cell>
          <cell r="E255">
            <v>2</v>
          </cell>
          <cell r="F255" t="str">
            <v>Life Sciences</v>
          </cell>
          <cell r="G255">
            <v>4</v>
          </cell>
          <cell r="H255" t="str">
            <v>Female</v>
          </cell>
          <cell r="I255">
            <v>4</v>
          </cell>
          <cell r="J255">
            <v>2</v>
          </cell>
          <cell r="K255" t="str">
            <v>Research Scientist</v>
          </cell>
          <cell r="L255">
            <v>1</v>
          </cell>
          <cell r="M255" t="str">
            <v>Single</v>
          </cell>
          <cell r="N255">
            <v>6545</v>
          </cell>
          <cell r="O255">
            <v>3</v>
          </cell>
          <cell r="P255" t="str">
            <v>Yes</v>
          </cell>
          <cell r="Q255">
            <v>3</v>
          </cell>
          <cell r="R255">
            <v>10</v>
          </cell>
          <cell r="S255">
            <v>3</v>
          </cell>
          <cell r="T255">
            <v>3</v>
          </cell>
          <cell r="U255">
            <v>2</v>
          </cell>
          <cell r="V255">
            <v>0</v>
          </cell>
          <cell r="W255">
            <v>2</v>
          </cell>
          <cell r="X255">
            <v>13</v>
          </cell>
          <cell r="Y255">
            <v>0</v>
          </cell>
          <cell r="Z255" t="str">
            <v>Mid</v>
          </cell>
          <cell r="AA255" t="str">
            <v>Medium</v>
          </cell>
          <cell r="AB255" t="str">
            <v>Mid</v>
          </cell>
          <cell r="AC255" t="str">
            <v>Medium</v>
          </cell>
          <cell r="AD255">
            <v>347</v>
          </cell>
        </row>
        <row r="256">
          <cell r="A256">
            <v>29</v>
          </cell>
          <cell r="B256" t="str">
            <v>No</v>
          </cell>
          <cell r="C256" t="str">
            <v>Sales</v>
          </cell>
          <cell r="D256">
            <v>20</v>
          </cell>
          <cell r="E256">
            <v>2</v>
          </cell>
          <cell r="F256" t="str">
            <v>Marketing</v>
          </cell>
          <cell r="G256">
            <v>4</v>
          </cell>
          <cell r="H256" t="str">
            <v>Male</v>
          </cell>
          <cell r="I256">
            <v>3</v>
          </cell>
          <cell r="J256">
            <v>2</v>
          </cell>
          <cell r="K256" t="str">
            <v>Sales Executive</v>
          </cell>
          <cell r="L256">
            <v>4</v>
          </cell>
          <cell r="M256" t="str">
            <v>Divorced</v>
          </cell>
          <cell r="N256">
            <v>6931</v>
          </cell>
          <cell r="O256">
            <v>2</v>
          </cell>
          <cell r="P256" t="str">
            <v>No</v>
          </cell>
          <cell r="Q256">
            <v>4</v>
          </cell>
          <cell r="R256">
            <v>10</v>
          </cell>
          <cell r="S256">
            <v>3</v>
          </cell>
          <cell r="T256">
            <v>3</v>
          </cell>
          <cell r="U256">
            <v>2</v>
          </cell>
          <cell r="V256">
            <v>0</v>
          </cell>
          <cell r="W256">
            <v>2</v>
          </cell>
          <cell r="X256">
            <v>14</v>
          </cell>
          <cell r="Y256">
            <v>0</v>
          </cell>
          <cell r="Z256" t="str">
            <v>Young</v>
          </cell>
          <cell r="AA256" t="str">
            <v>Medium</v>
          </cell>
          <cell r="AB256" t="str">
            <v>Mid</v>
          </cell>
          <cell r="AC256" t="str">
            <v>Medium</v>
          </cell>
          <cell r="AD256">
            <v>349</v>
          </cell>
        </row>
        <row r="257">
          <cell r="A257">
            <v>25</v>
          </cell>
          <cell r="B257" t="str">
            <v>No</v>
          </cell>
          <cell r="C257" t="str">
            <v>Research &amp; Development</v>
          </cell>
          <cell r="D257">
            <v>1</v>
          </cell>
          <cell r="E257">
            <v>3</v>
          </cell>
          <cell r="F257" t="str">
            <v>Life Sciences</v>
          </cell>
          <cell r="G257">
            <v>1</v>
          </cell>
          <cell r="H257" t="str">
            <v>Female</v>
          </cell>
          <cell r="I257">
            <v>3</v>
          </cell>
          <cell r="J257">
            <v>2</v>
          </cell>
          <cell r="K257" t="str">
            <v>Manufacturing Director</v>
          </cell>
          <cell r="L257">
            <v>3</v>
          </cell>
          <cell r="M257" t="str">
            <v>Married</v>
          </cell>
          <cell r="N257">
            <v>4898</v>
          </cell>
          <cell r="O257">
            <v>0</v>
          </cell>
          <cell r="P257" t="str">
            <v>No</v>
          </cell>
          <cell r="Q257">
            <v>4</v>
          </cell>
          <cell r="R257">
            <v>5</v>
          </cell>
          <cell r="S257">
            <v>3</v>
          </cell>
          <cell r="T257">
            <v>4</v>
          </cell>
          <cell r="U257">
            <v>2</v>
          </cell>
          <cell r="V257">
            <v>1</v>
          </cell>
          <cell r="W257">
            <v>2</v>
          </cell>
          <cell r="X257">
            <v>12</v>
          </cell>
          <cell r="Y257">
            <v>0</v>
          </cell>
          <cell r="Z257" t="str">
            <v>Young</v>
          </cell>
          <cell r="AA257" t="str">
            <v>Low</v>
          </cell>
          <cell r="AB257" t="str">
            <v>Mid</v>
          </cell>
          <cell r="AC257" t="str">
            <v>Low</v>
          </cell>
          <cell r="AD257">
            <v>350</v>
          </cell>
        </row>
        <row r="258">
          <cell r="A258">
            <v>42</v>
          </cell>
          <cell r="B258" t="str">
            <v>No</v>
          </cell>
          <cell r="C258" t="str">
            <v>Research &amp; Development</v>
          </cell>
          <cell r="D258">
            <v>2</v>
          </cell>
          <cell r="E258">
            <v>3</v>
          </cell>
          <cell r="F258" t="str">
            <v>Medical</v>
          </cell>
          <cell r="G258">
            <v>4</v>
          </cell>
          <cell r="H258" t="str">
            <v>Female</v>
          </cell>
          <cell r="I258">
            <v>2</v>
          </cell>
          <cell r="J258">
            <v>1</v>
          </cell>
          <cell r="K258" t="str">
            <v>Laboratory Technician</v>
          </cell>
          <cell r="L258">
            <v>1</v>
          </cell>
          <cell r="M258" t="str">
            <v>Divorced</v>
          </cell>
          <cell r="N258">
            <v>2593</v>
          </cell>
          <cell r="O258">
            <v>0</v>
          </cell>
          <cell r="P258" t="str">
            <v>Yes</v>
          </cell>
          <cell r="Q258">
            <v>3</v>
          </cell>
          <cell r="R258">
            <v>10</v>
          </cell>
          <cell r="S258">
            <v>3</v>
          </cell>
          <cell r="T258">
            <v>9</v>
          </cell>
          <cell r="U258">
            <v>6</v>
          </cell>
          <cell r="V258">
            <v>7</v>
          </cell>
          <cell r="W258">
            <v>8</v>
          </cell>
          <cell r="X258">
            <v>11</v>
          </cell>
          <cell r="Y258">
            <v>0</v>
          </cell>
          <cell r="Z258" t="str">
            <v>Mid</v>
          </cell>
          <cell r="AA258" t="str">
            <v>Low</v>
          </cell>
          <cell r="AB258" t="str">
            <v>Long</v>
          </cell>
          <cell r="AC258" t="str">
            <v>Low</v>
          </cell>
          <cell r="AD258">
            <v>351</v>
          </cell>
        </row>
        <row r="259">
          <cell r="A259">
            <v>40</v>
          </cell>
          <cell r="B259" t="str">
            <v>No</v>
          </cell>
          <cell r="C259" t="str">
            <v>Research &amp; Development</v>
          </cell>
          <cell r="D259">
            <v>2</v>
          </cell>
          <cell r="E259">
            <v>2</v>
          </cell>
          <cell r="F259" t="str">
            <v>Medical</v>
          </cell>
          <cell r="G259">
            <v>1</v>
          </cell>
          <cell r="H259" t="str">
            <v>Male</v>
          </cell>
          <cell r="I259">
            <v>3</v>
          </cell>
          <cell r="J259">
            <v>5</v>
          </cell>
          <cell r="K259" t="str">
            <v>Research Director</v>
          </cell>
          <cell r="L259">
            <v>3</v>
          </cell>
          <cell r="M259" t="str">
            <v>Divorced</v>
          </cell>
          <cell r="N259">
            <v>19436</v>
          </cell>
          <cell r="O259">
            <v>0</v>
          </cell>
          <cell r="P259" t="str">
            <v>No</v>
          </cell>
          <cell r="Q259">
            <v>4</v>
          </cell>
          <cell r="R259">
            <v>22</v>
          </cell>
          <cell r="S259">
            <v>3</v>
          </cell>
          <cell r="T259">
            <v>21</v>
          </cell>
          <cell r="U259">
            <v>7</v>
          </cell>
          <cell r="V259">
            <v>3</v>
          </cell>
          <cell r="W259">
            <v>9</v>
          </cell>
          <cell r="X259">
            <v>19</v>
          </cell>
          <cell r="Y259">
            <v>0</v>
          </cell>
          <cell r="Z259" t="str">
            <v>Mid</v>
          </cell>
          <cell r="AA259" t="str">
            <v>High</v>
          </cell>
          <cell r="AB259" t="str">
            <v>Long</v>
          </cell>
          <cell r="AC259" t="str">
            <v>High</v>
          </cell>
          <cell r="AD259">
            <v>352</v>
          </cell>
        </row>
        <row r="260">
          <cell r="A260">
            <v>51</v>
          </cell>
          <cell r="B260" t="str">
            <v>No</v>
          </cell>
          <cell r="C260" t="str">
            <v>Research &amp; Development</v>
          </cell>
          <cell r="D260">
            <v>1</v>
          </cell>
          <cell r="E260">
            <v>3</v>
          </cell>
          <cell r="F260" t="str">
            <v>Life Sciences</v>
          </cell>
          <cell r="G260">
            <v>3</v>
          </cell>
          <cell r="H260" t="str">
            <v>Male</v>
          </cell>
          <cell r="I260">
            <v>3</v>
          </cell>
          <cell r="J260">
            <v>1</v>
          </cell>
          <cell r="K260" t="str">
            <v>Research Scientist</v>
          </cell>
          <cell r="L260">
            <v>4</v>
          </cell>
          <cell r="M260" t="str">
            <v>Married</v>
          </cell>
          <cell r="N260">
            <v>2723</v>
          </cell>
          <cell r="O260">
            <v>1</v>
          </cell>
          <cell r="P260" t="str">
            <v>No</v>
          </cell>
          <cell r="Q260">
            <v>2</v>
          </cell>
          <cell r="R260">
            <v>1</v>
          </cell>
          <cell r="S260">
            <v>2</v>
          </cell>
          <cell r="T260">
            <v>1</v>
          </cell>
          <cell r="U260">
            <v>0</v>
          </cell>
          <cell r="V260">
            <v>0</v>
          </cell>
          <cell r="W260">
            <v>0</v>
          </cell>
          <cell r="X260">
            <v>11</v>
          </cell>
          <cell r="Y260">
            <v>0</v>
          </cell>
          <cell r="Z260" t="str">
            <v>Senior</v>
          </cell>
          <cell r="AA260" t="str">
            <v>Low</v>
          </cell>
          <cell r="AB260" t="str">
            <v>Early</v>
          </cell>
          <cell r="AC260" t="str">
            <v>Low</v>
          </cell>
          <cell r="AD260">
            <v>353</v>
          </cell>
        </row>
        <row r="261">
          <cell r="A261">
            <v>31</v>
          </cell>
          <cell r="B261" t="str">
            <v>Yes</v>
          </cell>
          <cell r="C261" t="str">
            <v>Research &amp; Development</v>
          </cell>
          <cell r="D261">
            <v>29</v>
          </cell>
          <cell r="E261">
            <v>2</v>
          </cell>
          <cell r="F261" t="str">
            <v>Medical</v>
          </cell>
          <cell r="G261">
            <v>3</v>
          </cell>
          <cell r="H261" t="str">
            <v>Male</v>
          </cell>
          <cell r="I261">
            <v>2</v>
          </cell>
          <cell r="J261">
            <v>1</v>
          </cell>
          <cell r="K261" t="str">
            <v>Laboratory Technician</v>
          </cell>
          <cell r="L261">
            <v>2</v>
          </cell>
          <cell r="M261" t="str">
            <v>Single</v>
          </cell>
          <cell r="N261">
            <v>3479</v>
          </cell>
          <cell r="O261">
            <v>0</v>
          </cell>
          <cell r="P261" t="str">
            <v>No</v>
          </cell>
          <cell r="Q261">
            <v>2</v>
          </cell>
          <cell r="R261">
            <v>6</v>
          </cell>
          <cell r="S261">
            <v>4</v>
          </cell>
          <cell r="T261">
            <v>5</v>
          </cell>
          <cell r="U261">
            <v>4</v>
          </cell>
          <cell r="V261">
            <v>1</v>
          </cell>
          <cell r="W261">
            <v>4</v>
          </cell>
          <cell r="X261">
            <v>11</v>
          </cell>
          <cell r="Y261">
            <v>1</v>
          </cell>
          <cell r="Z261" t="str">
            <v>Mid</v>
          </cell>
          <cell r="AA261" t="str">
            <v>Low</v>
          </cell>
          <cell r="AB261" t="str">
            <v>Mid</v>
          </cell>
          <cell r="AC261" t="str">
            <v>Low</v>
          </cell>
          <cell r="AD261">
            <v>355</v>
          </cell>
        </row>
        <row r="262">
          <cell r="A262">
            <v>32</v>
          </cell>
          <cell r="B262" t="str">
            <v>No</v>
          </cell>
          <cell r="C262" t="str">
            <v>Research &amp; Development</v>
          </cell>
          <cell r="D262">
            <v>7</v>
          </cell>
          <cell r="E262">
            <v>3</v>
          </cell>
          <cell r="F262" t="str">
            <v>Life Sciences</v>
          </cell>
          <cell r="G262">
            <v>2</v>
          </cell>
          <cell r="H262" t="str">
            <v>Male</v>
          </cell>
          <cell r="I262">
            <v>4</v>
          </cell>
          <cell r="J262">
            <v>1</v>
          </cell>
          <cell r="K262" t="str">
            <v>Laboratory Technician</v>
          </cell>
          <cell r="L262">
            <v>2</v>
          </cell>
          <cell r="M262" t="str">
            <v>Married</v>
          </cell>
          <cell r="N262">
            <v>2794</v>
          </cell>
          <cell r="O262">
            <v>1</v>
          </cell>
          <cell r="P262" t="str">
            <v>No</v>
          </cell>
          <cell r="Q262">
            <v>3</v>
          </cell>
          <cell r="R262">
            <v>5</v>
          </cell>
          <cell r="S262">
            <v>1</v>
          </cell>
          <cell r="T262">
            <v>5</v>
          </cell>
          <cell r="U262">
            <v>1</v>
          </cell>
          <cell r="V262">
            <v>0</v>
          </cell>
          <cell r="W262">
            <v>3</v>
          </cell>
          <cell r="X262">
            <v>20</v>
          </cell>
          <cell r="Y262">
            <v>0</v>
          </cell>
          <cell r="Z262" t="str">
            <v>Mid</v>
          </cell>
          <cell r="AA262" t="str">
            <v>Low</v>
          </cell>
          <cell r="AB262" t="str">
            <v>Mid</v>
          </cell>
          <cell r="AC262" t="str">
            <v>High</v>
          </cell>
          <cell r="AD262">
            <v>359</v>
          </cell>
        </row>
        <row r="263">
          <cell r="A263">
            <v>38</v>
          </cell>
          <cell r="B263" t="str">
            <v>No</v>
          </cell>
          <cell r="C263" t="str">
            <v>Sales</v>
          </cell>
          <cell r="D263">
            <v>2</v>
          </cell>
          <cell r="E263">
            <v>2</v>
          </cell>
          <cell r="F263" t="str">
            <v>Life Sciences</v>
          </cell>
          <cell r="G263">
            <v>4</v>
          </cell>
          <cell r="H263" t="str">
            <v>Male</v>
          </cell>
          <cell r="I263">
            <v>2</v>
          </cell>
          <cell r="J263">
            <v>2</v>
          </cell>
          <cell r="K263" t="str">
            <v>Sales Executive</v>
          </cell>
          <cell r="L263">
            <v>4</v>
          </cell>
          <cell r="M263" t="str">
            <v>Married</v>
          </cell>
          <cell r="N263">
            <v>5249</v>
          </cell>
          <cell r="O263">
            <v>3</v>
          </cell>
          <cell r="P263" t="str">
            <v>No</v>
          </cell>
          <cell r="Q263">
            <v>4</v>
          </cell>
          <cell r="R263">
            <v>13</v>
          </cell>
          <cell r="S263">
            <v>3</v>
          </cell>
          <cell r="T263">
            <v>8</v>
          </cell>
          <cell r="U263">
            <v>7</v>
          </cell>
          <cell r="V263">
            <v>7</v>
          </cell>
          <cell r="W263">
            <v>5</v>
          </cell>
          <cell r="X263">
            <v>18</v>
          </cell>
          <cell r="Y263">
            <v>0</v>
          </cell>
          <cell r="Z263" t="str">
            <v>Mid</v>
          </cell>
          <cell r="AA263" t="str">
            <v>Medium</v>
          </cell>
          <cell r="AB263" t="str">
            <v>Long</v>
          </cell>
          <cell r="AC263" t="str">
            <v>High</v>
          </cell>
          <cell r="AD263">
            <v>361</v>
          </cell>
        </row>
        <row r="264">
          <cell r="A264">
            <v>32</v>
          </cell>
          <cell r="B264" t="str">
            <v>No</v>
          </cell>
          <cell r="C264" t="str">
            <v>Research &amp; Development</v>
          </cell>
          <cell r="D264">
            <v>2</v>
          </cell>
          <cell r="E264">
            <v>1</v>
          </cell>
          <cell r="F264" t="str">
            <v>Technical Degree</v>
          </cell>
          <cell r="G264">
            <v>4</v>
          </cell>
          <cell r="H264" t="str">
            <v>Male</v>
          </cell>
          <cell r="I264">
            <v>2</v>
          </cell>
          <cell r="J264">
            <v>2</v>
          </cell>
          <cell r="K264" t="str">
            <v>Laboratory Technician</v>
          </cell>
          <cell r="L264">
            <v>1</v>
          </cell>
          <cell r="M264" t="str">
            <v>Single</v>
          </cell>
          <cell r="N264">
            <v>2176</v>
          </cell>
          <cell r="O264">
            <v>4</v>
          </cell>
          <cell r="P264" t="str">
            <v>No</v>
          </cell>
          <cell r="Q264">
            <v>4</v>
          </cell>
          <cell r="R264">
            <v>9</v>
          </cell>
          <cell r="S264">
            <v>3</v>
          </cell>
          <cell r="T264">
            <v>6</v>
          </cell>
          <cell r="U264">
            <v>2</v>
          </cell>
          <cell r="V264">
            <v>0</v>
          </cell>
          <cell r="W264">
            <v>4</v>
          </cell>
          <cell r="X264">
            <v>13</v>
          </cell>
          <cell r="Y264">
            <v>0</v>
          </cell>
          <cell r="Z264" t="str">
            <v>Mid</v>
          </cell>
          <cell r="AA264" t="str">
            <v>Low</v>
          </cell>
          <cell r="AB264" t="str">
            <v>Mid</v>
          </cell>
          <cell r="AC264" t="str">
            <v>Medium</v>
          </cell>
          <cell r="AD264">
            <v>362</v>
          </cell>
        </row>
        <row r="265">
          <cell r="A265">
            <v>46</v>
          </cell>
          <cell r="B265" t="str">
            <v>No</v>
          </cell>
          <cell r="C265" t="str">
            <v>Sales</v>
          </cell>
          <cell r="D265">
            <v>2</v>
          </cell>
          <cell r="E265">
            <v>3</v>
          </cell>
          <cell r="F265" t="str">
            <v>Technical Degree</v>
          </cell>
          <cell r="G265">
            <v>3</v>
          </cell>
          <cell r="H265" t="str">
            <v>Female</v>
          </cell>
          <cell r="I265">
            <v>1</v>
          </cell>
          <cell r="J265">
            <v>4</v>
          </cell>
          <cell r="K265" t="str">
            <v>Manager</v>
          </cell>
          <cell r="L265">
            <v>2</v>
          </cell>
          <cell r="M265" t="str">
            <v>Married</v>
          </cell>
          <cell r="N265">
            <v>16872</v>
          </cell>
          <cell r="O265">
            <v>3</v>
          </cell>
          <cell r="P265" t="str">
            <v>Yes</v>
          </cell>
          <cell r="Q265">
            <v>2</v>
          </cell>
          <cell r="R265">
            <v>28</v>
          </cell>
          <cell r="S265">
            <v>2</v>
          </cell>
          <cell r="T265">
            <v>7</v>
          </cell>
          <cell r="U265">
            <v>7</v>
          </cell>
          <cell r="V265">
            <v>7</v>
          </cell>
          <cell r="W265">
            <v>7</v>
          </cell>
          <cell r="X265">
            <v>12</v>
          </cell>
          <cell r="Y265">
            <v>0</v>
          </cell>
          <cell r="Z265" t="str">
            <v>Senior</v>
          </cell>
          <cell r="AA265" t="str">
            <v>High</v>
          </cell>
          <cell r="AB265" t="str">
            <v>Long</v>
          </cell>
          <cell r="AC265" t="str">
            <v>Low</v>
          </cell>
          <cell r="AD265">
            <v>363</v>
          </cell>
        </row>
        <row r="266">
          <cell r="A266">
            <v>28</v>
          </cell>
          <cell r="B266" t="str">
            <v>Yes</v>
          </cell>
          <cell r="C266" t="str">
            <v>Research &amp; Development</v>
          </cell>
          <cell r="D266">
            <v>2</v>
          </cell>
          <cell r="E266">
            <v>4</v>
          </cell>
          <cell r="F266" t="str">
            <v>Life Sciences</v>
          </cell>
          <cell r="G266">
            <v>1</v>
          </cell>
          <cell r="H266" t="str">
            <v>Male</v>
          </cell>
          <cell r="I266">
            <v>3</v>
          </cell>
          <cell r="J266">
            <v>1</v>
          </cell>
          <cell r="K266" t="str">
            <v>Laboratory Technician</v>
          </cell>
          <cell r="L266">
            <v>3</v>
          </cell>
          <cell r="M266" t="str">
            <v>Single</v>
          </cell>
          <cell r="N266">
            <v>3485</v>
          </cell>
          <cell r="O266">
            <v>2</v>
          </cell>
          <cell r="P266" t="str">
            <v>No</v>
          </cell>
          <cell r="Q266">
            <v>3</v>
          </cell>
          <cell r="R266">
            <v>5</v>
          </cell>
          <cell r="S266">
            <v>1</v>
          </cell>
          <cell r="T266">
            <v>0</v>
          </cell>
          <cell r="U266">
            <v>0</v>
          </cell>
          <cell r="V266">
            <v>0</v>
          </cell>
          <cell r="W266">
            <v>0</v>
          </cell>
          <cell r="X266">
            <v>11</v>
          </cell>
          <cell r="Y266">
            <v>1</v>
          </cell>
          <cell r="Z266" t="str">
            <v>Young</v>
          </cell>
          <cell r="AA266" t="str">
            <v>Low</v>
          </cell>
          <cell r="AB266" t="str">
            <v>Early</v>
          </cell>
          <cell r="AC266" t="str">
            <v>Low</v>
          </cell>
          <cell r="AD266">
            <v>364</v>
          </cell>
        </row>
        <row r="267">
          <cell r="A267">
            <v>29</v>
          </cell>
          <cell r="B267" t="str">
            <v>No</v>
          </cell>
          <cell r="C267" t="str">
            <v>Sales</v>
          </cell>
          <cell r="D267">
            <v>2</v>
          </cell>
          <cell r="E267">
            <v>3</v>
          </cell>
          <cell r="F267" t="str">
            <v>Medical</v>
          </cell>
          <cell r="G267">
            <v>1</v>
          </cell>
          <cell r="H267" t="str">
            <v>Male</v>
          </cell>
          <cell r="I267">
            <v>2</v>
          </cell>
          <cell r="J267">
            <v>2</v>
          </cell>
          <cell r="K267" t="str">
            <v>Sales Executive</v>
          </cell>
          <cell r="L267">
            <v>2</v>
          </cell>
          <cell r="M267" t="str">
            <v>Married</v>
          </cell>
          <cell r="N267">
            <v>6644</v>
          </cell>
          <cell r="O267">
            <v>2</v>
          </cell>
          <cell r="P267" t="str">
            <v>No</v>
          </cell>
          <cell r="Q267">
            <v>2</v>
          </cell>
          <cell r="R267">
            <v>10</v>
          </cell>
          <cell r="S267">
            <v>3</v>
          </cell>
          <cell r="T267">
            <v>0</v>
          </cell>
          <cell r="U267">
            <v>0</v>
          </cell>
          <cell r="V267">
            <v>0</v>
          </cell>
          <cell r="W267">
            <v>0</v>
          </cell>
          <cell r="X267">
            <v>19</v>
          </cell>
          <cell r="Y267">
            <v>0</v>
          </cell>
          <cell r="Z267" t="str">
            <v>Young</v>
          </cell>
          <cell r="AA267" t="str">
            <v>Medium</v>
          </cell>
          <cell r="AB267" t="str">
            <v>Early</v>
          </cell>
          <cell r="AC267" t="str">
            <v>High</v>
          </cell>
          <cell r="AD267">
            <v>366</v>
          </cell>
        </row>
        <row r="268">
          <cell r="A268">
            <v>31</v>
          </cell>
          <cell r="B268" t="str">
            <v>No</v>
          </cell>
          <cell r="C268" t="str">
            <v>Research &amp; Development</v>
          </cell>
          <cell r="D268">
            <v>23</v>
          </cell>
          <cell r="E268">
            <v>3</v>
          </cell>
          <cell r="F268" t="str">
            <v>Medical</v>
          </cell>
          <cell r="G268">
            <v>2</v>
          </cell>
          <cell r="H268" t="str">
            <v>Male</v>
          </cell>
          <cell r="I268">
            <v>2</v>
          </cell>
          <cell r="J268">
            <v>2</v>
          </cell>
          <cell r="K268" t="str">
            <v>Healthcare Representative</v>
          </cell>
          <cell r="L268">
            <v>4</v>
          </cell>
          <cell r="M268" t="str">
            <v>Married</v>
          </cell>
          <cell r="N268">
            <v>5582</v>
          </cell>
          <cell r="O268">
            <v>0</v>
          </cell>
          <cell r="P268" t="str">
            <v>No</v>
          </cell>
          <cell r="Q268">
            <v>2</v>
          </cell>
          <cell r="R268">
            <v>10</v>
          </cell>
          <cell r="S268">
            <v>3</v>
          </cell>
          <cell r="T268">
            <v>9</v>
          </cell>
          <cell r="U268">
            <v>0</v>
          </cell>
          <cell r="V268">
            <v>7</v>
          </cell>
          <cell r="W268">
            <v>8</v>
          </cell>
          <cell r="X268">
            <v>21</v>
          </cell>
          <cell r="Y268">
            <v>0</v>
          </cell>
          <cell r="Z268" t="str">
            <v>Mid</v>
          </cell>
          <cell r="AA268" t="str">
            <v>Medium</v>
          </cell>
          <cell r="AB268" t="str">
            <v>Long</v>
          </cell>
          <cell r="AC268" t="str">
            <v>High</v>
          </cell>
          <cell r="AD268">
            <v>367</v>
          </cell>
        </row>
        <row r="269">
          <cell r="A269">
            <v>25</v>
          </cell>
          <cell r="B269" t="str">
            <v>No</v>
          </cell>
          <cell r="C269" t="str">
            <v>Research &amp; Development</v>
          </cell>
          <cell r="D269">
            <v>5</v>
          </cell>
          <cell r="E269">
            <v>2</v>
          </cell>
          <cell r="F269" t="str">
            <v>Life Sciences</v>
          </cell>
          <cell r="G269">
            <v>2</v>
          </cell>
          <cell r="H269" t="str">
            <v>Male</v>
          </cell>
          <cell r="I269">
            <v>4</v>
          </cell>
          <cell r="J269">
            <v>2</v>
          </cell>
          <cell r="K269" t="str">
            <v>Healthcare Representative</v>
          </cell>
          <cell r="L269">
            <v>1</v>
          </cell>
          <cell r="M269" t="str">
            <v>Divorced</v>
          </cell>
          <cell r="N269">
            <v>4000</v>
          </cell>
          <cell r="O269">
            <v>1</v>
          </cell>
          <cell r="P269" t="str">
            <v>No</v>
          </cell>
          <cell r="Q269">
            <v>4</v>
          </cell>
          <cell r="R269">
            <v>6</v>
          </cell>
          <cell r="S269">
            <v>3</v>
          </cell>
          <cell r="T269">
            <v>6</v>
          </cell>
          <cell r="U269">
            <v>3</v>
          </cell>
          <cell r="V269">
            <v>1</v>
          </cell>
          <cell r="W269">
            <v>5</v>
          </cell>
          <cell r="X269">
            <v>12</v>
          </cell>
          <cell r="Y269">
            <v>0</v>
          </cell>
          <cell r="Z269" t="str">
            <v>Young</v>
          </cell>
          <cell r="AA269" t="str">
            <v>Low</v>
          </cell>
          <cell r="AB269" t="str">
            <v>Mid</v>
          </cell>
          <cell r="AC269" t="str">
            <v>Low</v>
          </cell>
          <cell r="AD269">
            <v>369</v>
          </cell>
        </row>
        <row r="270">
          <cell r="A270">
            <v>45</v>
          </cell>
          <cell r="B270" t="str">
            <v>No</v>
          </cell>
          <cell r="C270" t="str">
            <v>Research &amp; Development</v>
          </cell>
          <cell r="D270">
            <v>20</v>
          </cell>
          <cell r="E270">
            <v>2</v>
          </cell>
          <cell r="F270" t="str">
            <v>Medical</v>
          </cell>
          <cell r="G270">
            <v>3</v>
          </cell>
          <cell r="H270" t="str">
            <v>Male</v>
          </cell>
          <cell r="I270">
            <v>3</v>
          </cell>
          <cell r="J270">
            <v>4</v>
          </cell>
          <cell r="K270" t="str">
            <v>Healthcare Representative</v>
          </cell>
          <cell r="L270">
            <v>4</v>
          </cell>
          <cell r="M270" t="str">
            <v>Married</v>
          </cell>
          <cell r="N270">
            <v>13496</v>
          </cell>
          <cell r="O270">
            <v>0</v>
          </cell>
          <cell r="P270" t="str">
            <v>Yes</v>
          </cell>
          <cell r="Q270">
            <v>2</v>
          </cell>
          <cell r="R270">
            <v>21</v>
          </cell>
          <cell r="S270">
            <v>3</v>
          </cell>
          <cell r="T270">
            <v>20</v>
          </cell>
          <cell r="U270">
            <v>7</v>
          </cell>
          <cell r="V270">
            <v>4</v>
          </cell>
          <cell r="W270">
            <v>10</v>
          </cell>
          <cell r="X270">
            <v>14</v>
          </cell>
          <cell r="Y270">
            <v>0</v>
          </cell>
          <cell r="Z270" t="str">
            <v>Senior</v>
          </cell>
          <cell r="AA270" t="str">
            <v>High</v>
          </cell>
          <cell r="AB270" t="str">
            <v>Long</v>
          </cell>
          <cell r="AC270" t="str">
            <v>Medium</v>
          </cell>
          <cell r="AD270">
            <v>372</v>
          </cell>
        </row>
        <row r="271">
          <cell r="A271">
            <v>36</v>
          </cell>
          <cell r="B271" t="str">
            <v>No</v>
          </cell>
          <cell r="C271" t="str">
            <v>Research &amp; Development</v>
          </cell>
          <cell r="D271">
            <v>6</v>
          </cell>
          <cell r="E271">
            <v>3</v>
          </cell>
          <cell r="F271" t="str">
            <v>Life Sciences</v>
          </cell>
          <cell r="G271">
            <v>4</v>
          </cell>
          <cell r="H271" t="str">
            <v>Male</v>
          </cell>
          <cell r="I271">
            <v>3</v>
          </cell>
          <cell r="J271">
            <v>1</v>
          </cell>
          <cell r="K271" t="str">
            <v>Laboratory Technician</v>
          </cell>
          <cell r="L271">
            <v>4</v>
          </cell>
          <cell r="M271" t="str">
            <v>Married</v>
          </cell>
          <cell r="N271">
            <v>3210</v>
          </cell>
          <cell r="O271">
            <v>0</v>
          </cell>
          <cell r="P271" t="str">
            <v>No</v>
          </cell>
          <cell r="Q271">
            <v>3</v>
          </cell>
          <cell r="R271">
            <v>16</v>
          </cell>
          <cell r="S271">
            <v>3</v>
          </cell>
          <cell r="T271">
            <v>15</v>
          </cell>
          <cell r="U271">
            <v>13</v>
          </cell>
          <cell r="V271">
            <v>10</v>
          </cell>
          <cell r="W271">
            <v>11</v>
          </cell>
          <cell r="X271">
            <v>11</v>
          </cell>
          <cell r="Y271">
            <v>0</v>
          </cell>
          <cell r="Z271" t="str">
            <v>Mid</v>
          </cell>
          <cell r="AA271" t="str">
            <v>Low</v>
          </cell>
          <cell r="AB271" t="str">
            <v>Long</v>
          </cell>
          <cell r="AC271" t="str">
            <v>Low</v>
          </cell>
          <cell r="AD271">
            <v>373</v>
          </cell>
        </row>
        <row r="272">
          <cell r="A272">
            <v>55</v>
          </cell>
          <cell r="B272" t="str">
            <v>No</v>
          </cell>
          <cell r="C272" t="str">
            <v>Research &amp; Development</v>
          </cell>
          <cell r="D272">
            <v>1</v>
          </cell>
          <cell r="E272">
            <v>3</v>
          </cell>
          <cell r="F272" t="str">
            <v>Medical</v>
          </cell>
          <cell r="G272">
            <v>4</v>
          </cell>
          <cell r="H272" t="str">
            <v>Male</v>
          </cell>
          <cell r="I272">
            <v>3</v>
          </cell>
          <cell r="J272">
            <v>5</v>
          </cell>
          <cell r="K272" t="str">
            <v>Manager</v>
          </cell>
          <cell r="L272">
            <v>1</v>
          </cell>
          <cell r="M272" t="str">
            <v>Single</v>
          </cell>
          <cell r="N272">
            <v>19045</v>
          </cell>
          <cell r="O272">
            <v>0</v>
          </cell>
          <cell r="P272" t="str">
            <v>Yes</v>
          </cell>
          <cell r="Q272">
            <v>3</v>
          </cell>
          <cell r="R272">
            <v>37</v>
          </cell>
          <cell r="S272">
            <v>3</v>
          </cell>
          <cell r="T272">
            <v>36</v>
          </cell>
          <cell r="U272">
            <v>10</v>
          </cell>
          <cell r="V272">
            <v>4</v>
          </cell>
          <cell r="W272">
            <v>13</v>
          </cell>
          <cell r="X272">
            <v>14</v>
          </cell>
          <cell r="Y272">
            <v>0</v>
          </cell>
          <cell r="Z272" t="str">
            <v>Senior</v>
          </cell>
          <cell r="AA272" t="str">
            <v>High</v>
          </cell>
          <cell r="AB272" t="str">
            <v>Long</v>
          </cell>
          <cell r="AC272" t="str">
            <v>Medium</v>
          </cell>
          <cell r="AD272">
            <v>374</v>
          </cell>
        </row>
        <row r="273">
          <cell r="A273">
            <v>47</v>
          </cell>
          <cell r="B273" t="str">
            <v>Yes</v>
          </cell>
          <cell r="C273" t="str">
            <v>Research &amp; Development</v>
          </cell>
          <cell r="D273">
            <v>29</v>
          </cell>
          <cell r="E273">
            <v>4</v>
          </cell>
          <cell r="F273" t="str">
            <v>Life Sciences</v>
          </cell>
          <cell r="G273">
            <v>1</v>
          </cell>
          <cell r="H273" t="str">
            <v>Male</v>
          </cell>
          <cell r="I273">
            <v>3</v>
          </cell>
          <cell r="J273">
            <v>3</v>
          </cell>
          <cell r="K273" t="str">
            <v>Manager</v>
          </cell>
          <cell r="L273">
            <v>2</v>
          </cell>
          <cell r="M273" t="str">
            <v>Married</v>
          </cell>
          <cell r="N273">
            <v>11849</v>
          </cell>
          <cell r="O273">
            <v>1</v>
          </cell>
          <cell r="P273" t="str">
            <v>Yes</v>
          </cell>
          <cell r="Q273">
            <v>4</v>
          </cell>
          <cell r="R273">
            <v>10</v>
          </cell>
          <cell r="S273">
            <v>2</v>
          </cell>
          <cell r="T273">
            <v>10</v>
          </cell>
          <cell r="U273">
            <v>7</v>
          </cell>
          <cell r="V273">
            <v>9</v>
          </cell>
          <cell r="W273">
            <v>9</v>
          </cell>
          <cell r="X273">
            <v>12</v>
          </cell>
          <cell r="Y273">
            <v>1</v>
          </cell>
          <cell r="Z273" t="str">
            <v>Senior</v>
          </cell>
          <cell r="AA273" t="str">
            <v>High</v>
          </cell>
          <cell r="AB273" t="str">
            <v>Long</v>
          </cell>
          <cell r="AC273" t="str">
            <v>Low</v>
          </cell>
          <cell r="AD273">
            <v>376</v>
          </cell>
        </row>
        <row r="274">
          <cell r="A274">
            <v>28</v>
          </cell>
          <cell r="B274" t="str">
            <v>No</v>
          </cell>
          <cell r="C274" t="str">
            <v>Research &amp; Development</v>
          </cell>
          <cell r="D274">
            <v>9</v>
          </cell>
          <cell r="E274">
            <v>3</v>
          </cell>
          <cell r="F274" t="str">
            <v>Medical</v>
          </cell>
          <cell r="G274">
            <v>4</v>
          </cell>
          <cell r="H274" t="str">
            <v>Male</v>
          </cell>
          <cell r="I274">
            <v>3</v>
          </cell>
          <cell r="J274">
            <v>1</v>
          </cell>
          <cell r="K274" t="str">
            <v>Research Scientist</v>
          </cell>
          <cell r="L274">
            <v>4</v>
          </cell>
          <cell r="M274" t="str">
            <v>Married</v>
          </cell>
          <cell r="N274">
            <v>2070</v>
          </cell>
          <cell r="O274">
            <v>1</v>
          </cell>
          <cell r="P274" t="str">
            <v>No</v>
          </cell>
          <cell r="Q274">
            <v>4</v>
          </cell>
          <cell r="R274">
            <v>5</v>
          </cell>
          <cell r="S274">
            <v>2</v>
          </cell>
          <cell r="T274">
            <v>5</v>
          </cell>
          <cell r="U274">
            <v>2</v>
          </cell>
          <cell r="V274">
            <v>0</v>
          </cell>
          <cell r="W274">
            <v>4</v>
          </cell>
          <cell r="X274">
            <v>23</v>
          </cell>
          <cell r="Y274">
            <v>0</v>
          </cell>
          <cell r="Z274" t="str">
            <v>Young</v>
          </cell>
          <cell r="AA274" t="str">
            <v>Low</v>
          </cell>
          <cell r="AB274" t="str">
            <v>Mid</v>
          </cell>
          <cell r="AC274" t="str">
            <v>High</v>
          </cell>
          <cell r="AD274">
            <v>377</v>
          </cell>
        </row>
        <row r="275">
          <cell r="A275">
            <v>37</v>
          </cell>
          <cell r="B275" t="str">
            <v>No</v>
          </cell>
          <cell r="C275" t="str">
            <v>Sales</v>
          </cell>
          <cell r="D275">
            <v>6</v>
          </cell>
          <cell r="E275">
            <v>4</v>
          </cell>
          <cell r="F275" t="str">
            <v>Medical</v>
          </cell>
          <cell r="G275">
            <v>3</v>
          </cell>
          <cell r="H275" t="str">
            <v>Male</v>
          </cell>
          <cell r="I275">
            <v>3</v>
          </cell>
          <cell r="J275">
            <v>2</v>
          </cell>
          <cell r="K275" t="str">
            <v>Sales Executive</v>
          </cell>
          <cell r="L275">
            <v>4</v>
          </cell>
          <cell r="M275" t="str">
            <v>Married</v>
          </cell>
          <cell r="N275">
            <v>6502</v>
          </cell>
          <cell r="O275">
            <v>4</v>
          </cell>
          <cell r="P275" t="str">
            <v>No</v>
          </cell>
          <cell r="Q275">
            <v>2</v>
          </cell>
          <cell r="R275">
            <v>7</v>
          </cell>
          <cell r="S275">
            <v>4</v>
          </cell>
          <cell r="T275">
            <v>5</v>
          </cell>
          <cell r="U275">
            <v>4</v>
          </cell>
          <cell r="V275">
            <v>0</v>
          </cell>
          <cell r="W275">
            <v>1</v>
          </cell>
          <cell r="X275">
            <v>14</v>
          </cell>
          <cell r="Y275">
            <v>0</v>
          </cell>
          <cell r="Z275" t="str">
            <v>Mid</v>
          </cell>
          <cell r="AA275" t="str">
            <v>Medium</v>
          </cell>
          <cell r="AB275" t="str">
            <v>Mid</v>
          </cell>
          <cell r="AC275" t="str">
            <v>Medium</v>
          </cell>
          <cell r="AD275">
            <v>378</v>
          </cell>
        </row>
        <row r="276">
          <cell r="A276">
            <v>21</v>
          </cell>
          <cell r="B276" t="str">
            <v>No</v>
          </cell>
          <cell r="C276" t="str">
            <v>Research &amp; Development</v>
          </cell>
          <cell r="D276">
            <v>3</v>
          </cell>
          <cell r="E276">
            <v>2</v>
          </cell>
          <cell r="F276" t="str">
            <v>Medical</v>
          </cell>
          <cell r="G276">
            <v>4</v>
          </cell>
          <cell r="H276" t="str">
            <v>Male</v>
          </cell>
          <cell r="I276">
            <v>2</v>
          </cell>
          <cell r="J276">
            <v>1</v>
          </cell>
          <cell r="K276" t="str">
            <v>Research Scientist</v>
          </cell>
          <cell r="L276">
            <v>3</v>
          </cell>
          <cell r="M276" t="str">
            <v>Single</v>
          </cell>
          <cell r="N276">
            <v>3230</v>
          </cell>
          <cell r="O276">
            <v>1</v>
          </cell>
          <cell r="P276" t="str">
            <v>No</v>
          </cell>
          <cell r="Q276">
            <v>1</v>
          </cell>
          <cell r="R276">
            <v>3</v>
          </cell>
          <cell r="S276">
            <v>4</v>
          </cell>
          <cell r="T276">
            <v>3</v>
          </cell>
          <cell r="U276">
            <v>2</v>
          </cell>
          <cell r="V276">
            <v>1</v>
          </cell>
          <cell r="W276">
            <v>0</v>
          </cell>
          <cell r="X276">
            <v>17</v>
          </cell>
          <cell r="Y276">
            <v>0</v>
          </cell>
          <cell r="Z276" t="str">
            <v>Young</v>
          </cell>
          <cell r="AA276" t="str">
            <v>Low</v>
          </cell>
          <cell r="AB276" t="str">
            <v>Mid</v>
          </cell>
          <cell r="AC276" t="str">
            <v>Medium</v>
          </cell>
          <cell r="AD276">
            <v>379</v>
          </cell>
        </row>
        <row r="277">
          <cell r="A277">
            <v>37</v>
          </cell>
          <cell r="B277" t="str">
            <v>No</v>
          </cell>
          <cell r="C277" t="str">
            <v>Research &amp; Development</v>
          </cell>
          <cell r="D277">
            <v>1</v>
          </cell>
          <cell r="E277">
            <v>4</v>
          </cell>
          <cell r="F277" t="str">
            <v>Medical</v>
          </cell>
          <cell r="G277">
            <v>1</v>
          </cell>
          <cell r="H277" t="str">
            <v>Female</v>
          </cell>
          <cell r="I277">
            <v>3</v>
          </cell>
          <cell r="J277">
            <v>3</v>
          </cell>
          <cell r="K277" t="str">
            <v>Research Director</v>
          </cell>
          <cell r="L277">
            <v>4</v>
          </cell>
          <cell r="M277" t="str">
            <v>Divorced</v>
          </cell>
          <cell r="N277">
            <v>13603</v>
          </cell>
          <cell r="O277">
            <v>2</v>
          </cell>
          <cell r="P277" t="str">
            <v>Yes</v>
          </cell>
          <cell r="Q277">
            <v>1</v>
          </cell>
          <cell r="R277">
            <v>15</v>
          </cell>
          <cell r="S277">
            <v>3</v>
          </cell>
          <cell r="T277">
            <v>5</v>
          </cell>
          <cell r="U277">
            <v>2</v>
          </cell>
          <cell r="V277">
            <v>0</v>
          </cell>
          <cell r="W277">
            <v>2</v>
          </cell>
          <cell r="X277">
            <v>18</v>
          </cell>
          <cell r="Y277">
            <v>0</v>
          </cell>
          <cell r="Z277" t="str">
            <v>Mid</v>
          </cell>
          <cell r="AA277" t="str">
            <v>High</v>
          </cell>
          <cell r="AB277" t="str">
            <v>Mid</v>
          </cell>
          <cell r="AC277" t="str">
            <v>High</v>
          </cell>
          <cell r="AD277">
            <v>380</v>
          </cell>
        </row>
        <row r="278">
          <cell r="A278">
            <v>35</v>
          </cell>
          <cell r="B278" t="str">
            <v>No</v>
          </cell>
          <cell r="C278" t="str">
            <v>Research &amp; Development</v>
          </cell>
          <cell r="D278">
            <v>22</v>
          </cell>
          <cell r="E278">
            <v>3</v>
          </cell>
          <cell r="F278" t="str">
            <v>Life Sciences</v>
          </cell>
          <cell r="G278">
            <v>2</v>
          </cell>
          <cell r="H278" t="str">
            <v>Female</v>
          </cell>
          <cell r="I278">
            <v>4</v>
          </cell>
          <cell r="J278">
            <v>3</v>
          </cell>
          <cell r="K278" t="str">
            <v>Manager</v>
          </cell>
          <cell r="L278">
            <v>2</v>
          </cell>
          <cell r="M278" t="str">
            <v>Divorced</v>
          </cell>
          <cell r="N278">
            <v>11996</v>
          </cell>
          <cell r="O278">
            <v>7</v>
          </cell>
          <cell r="P278" t="str">
            <v>No</v>
          </cell>
          <cell r="Q278">
            <v>2</v>
          </cell>
          <cell r="R278">
            <v>10</v>
          </cell>
          <cell r="S278">
            <v>2</v>
          </cell>
          <cell r="T278">
            <v>7</v>
          </cell>
          <cell r="U278">
            <v>7</v>
          </cell>
          <cell r="V278">
            <v>6</v>
          </cell>
          <cell r="W278">
            <v>2</v>
          </cell>
          <cell r="X278">
            <v>18</v>
          </cell>
          <cell r="Y278">
            <v>0</v>
          </cell>
          <cell r="Z278" t="str">
            <v>Mid</v>
          </cell>
          <cell r="AA278" t="str">
            <v>High</v>
          </cell>
          <cell r="AB278" t="str">
            <v>Long</v>
          </cell>
          <cell r="AC278" t="str">
            <v>High</v>
          </cell>
          <cell r="AD278">
            <v>381</v>
          </cell>
        </row>
        <row r="279">
          <cell r="A279">
            <v>38</v>
          </cell>
          <cell r="B279" t="str">
            <v>No</v>
          </cell>
          <cell r="C279" t="str">
            <v>Sales</v>
          </cell>
          <cell r="D279">
            <v>7</v>
          </cell>
          <cell r="E279">
            <v>2</v>
          </cell>
          <cell r="F279" t="str">
            <v>Medical</v>
          </cell>
          <cell r="G279">
            <v>1</v>
          </cell>
          <cell r="H279" t="str">
            <v>Female</v>
          </cell>
          <cell r="I279">
            <v>4</v>
          </cell>
          <cell r="J279">
            <v>2</v>
          </cell>
          <cell r="K279" t="str">
            <v>Sales Executive</v>
          </cell>
          <cell r="L279">
            <v>1</v>
          </cell>
          <cell r="M279" t="str">
            <v>Divorced</v>
          </cell>
          <cell r="N279">
            <v>5605</v>
          </cell>
          <cell r="O279">
            <v>1</v>
          </cell>
          <cell r="P279" t="str">
            <v>Yes</v>
          </cell>
          <cell r="Q279">
            <v>3</v>
          </cell>
          <cell r="R279">
            <v>8</v>
          </cell>
          <cell r="S279">
            <v>3</v>
          </cell>
          <cell r="T279">
            <v>8</v>
          </cell>
          <cell r="U279">
            <v>0</v>
          </cell>
          <cell r="V279">
            <v>7</v>
          </cell>
          <cell r="W279">
            <v>7</v>
          </cell>
          <cell r="X279">
            <v>24</v>
          </cell>
          <cell r="Y279">
            <v>0</v>
          </cell>
          <cell r="Z279" t="str">
            <v>Mid</v>
          </cell>
          <cell r="AA279" t="str">
            <v>Medium</v>
          </cell>
          <cell r="AB279" t="str">
            <v>Long</v>
          </cell>
          <cell r="AC279" t="str">
            <v>High</v>
          </cell>
          <cell r="AD279">
            <v>382</v>
          </cell>
        </row>
        <row r="280">
          <cell r="A280">
            <v>26</v>
          </cell>
          <cell r="B280" t="str">
            <v>No</v>
          </cell>
          <cell r="C280" t="str">
            <v>Research &amp; Development</v>
          </cell>
          <cell r="D280">
            <v>1</v>
          </cell>
          <cell r="E280">
            <v>3</v>
          </cell>
          <cell r="F280" t="str">
            <v>Life Sciences</v>
          </cell>
          <cell r="G280">
            <v>3</v>
          </cell>
          <cell r="H280" t="str">
            <v>Female</v>
          </cell>
          <cell r="I280">
            <v>3</v>
          </cell>
          <cell r="J280">
            <v>2</v>
          </cell>
          <cell r="K280" t="str">
            <v>Manufacturing Director</v>
          </cell>
          <cell r="L280">
            <v>2</v>
          </cell>
          <cell r="M280" t="str">
            <v>Divorced</v>
          </cell>
          <cell r="N280">
            <v>6397</v>
          </cell>
          <cell r="O280">
            <v>1</v>
          </cell>
          <cell r="P280" t="str">
            <v>No</v>
          </cell>
          <cell r="Q280">
            <v>1</v>
          </cell>
          <cell r="R280">
            <v>6</v>
          </cell>
          <cell r="S280">
            <v>1</v>
          </cell>
          <cell r="T280">
            <v>6</v>
          </cell>
          <cell r="U280">
            <v>5</v>
          </cell>
          <cell r="V280">
            <v>1</v>
          </cell>
          <cell r="W280">
            <v>4</v>
          </cell>
          <cell r="X280">
            <v>20</v>
          </cell>
          <cell r="Y280">
            <v>0</v>
          </cell>
          <cell r="Z280" t="str">
            <v>Young</v>
          </cell>
          <cell r="AA280" t="str">
            <v>Medium</v>
          </cell>
          <cell r="AB280" t="str">
            <v>Mid</v>
          </cell>
          <cell r="AC280" t="str">
            <v>High</v>
          </cell>
          <cell r="AD280">
            <v>384</v>
          </cell>
        </row>
        <row r="281">
          <cell r="A281">
            <v>50</v>
          </cell>
          <cell r="B281" t="str">
            <v>No</v>
          </cell>
          <cell r="C281" t="str">
            <v>Research &amp; Development</v>
          </cell>
          <cell r="D281">
            <v>4</v>
          </cell>
          <cell r="E281">
            <v>1</v>
          </cell>
          <cell r="F281" t="str">
            <v>Life Sciences</v>
          </cell>
          <cell r="G281">
            <v>1</v>
          </cell>
          <cell r="H281" t="str">
            <v>Male</v>
          </cell>
          <cell r="I281">
            <v>3</v>
          </cell>
          <cell r="J281">
            <v>5</v>
          </cell>
          <cell r="K281" t="str">
            <v>Research Director</v>
          </cell>
          <cell r="L281">
            <v>2</v>
          </cell>
          <cell r="M281" t="str">
            <v>Divorced</v>
          </cell>
          <cell r="N281">
            <v>19144</v>
          </cell>
          <cell r="O281">
            <v>3</v>
          </cell>
          <cell r="P281" t="str">
            <v>No</v>
          </cell>
          <cell r="Q281">
            <v>1</v>
          </cell>
          <cell r="R281">
            <v>28</v>
          </cell>
          <cell r="S281">
            <v>2</v>
          </cell>
          <cell r="T281">
            <v>10</v>
          </cell>
          <cell r="U281">
            <v>4</v>
          </cell>
          <cell r="V281">
            <v>1</v>
          </cell>
          <cell r="W281">
            <v>6</v>
          </cell>
          <cell r="X281">
            <v>14</v>
          </cell>
          <cell r="Y281">
            <v>0</v>
          </cell>
          <cell r="Z281" t="str">
            <v>Senior</v>
          </cell>
          <cell r="AA281" t="str">
            <v>High</v>
          </cell>
          <cell r="AB281" t="str">
            <v>Long</v>
          </cell>
          <cell r="AC281" t="str">
            <v>Medium</v>
          </cell>
          <cell r="AD281">
            <v>385</v>
          </cell>
        </row>
        <row r="282">
          <cell r="A282">
            <v>53</v>
          </cell>
          <cell r="B282" t="str">
            <v>No</v>
          </cell>
          <cell r="C282" t="str">
            <v>Research &amp; Development</v>
          </cell>
          <cell r="D282">
            <v>3</v>
          </cell>
          <cell r="E282">
            <v>4</v>
          </cell>
          <cell r="F282" t="str">
            <v>Medical</v>
          </cell>
          <cell r="G282">
            <v>3</v>
          </cell>
          <cell r="H282" t="str">
            <v>Male</v>
          </cell>
          <cell r="I282">
            <v>3</v>
          </cell>
          <cell r="J282">
            <v>4</v>
          </cell>
          <cell r="K282" t="str">
            <v>Research Director</v>
          </cell>
          <cell r="L282">
            <v>3</v>
          </cell>
          <cell r="M282" t="str">
            <v>Married</v>
          </cell>
          <cell r="N282">
            <v>17584</v>
          </cell>
          <cell r="O282">
            <v>3</v>
          </cell>
          <cell r="P282" t="str">
            <v>Yes</v>
          </cell>
          <cell r="Q282">
            <v>4</v>
          </cell>
          <cell r="R282">
            <v>21</v>
          </cell>
          <cell r="S282">
            <v>2</v>
          </cell>
          <cell r="T282">
            <v>5</v>
          </cell>
          <cell r="U282">
            <v>3</v>
          </cell>
          <cell r="V282">
            <v>1</v>
          </cell>
          <cell r="W282">
            <v>3</v>
          </cell>
          <cell r="X282">
            <v>16</v>
          </cell>
          <cell r="Y282">
            <v>0</v>
          </cell>
          <cell r="Z282" t="str">
            <v>Senior</v>
          </cell>
          <cell r="AA282" t="str">
            <v>High</v>
          </cell>
          <cell r="AB282" t="str">
            <v>Mid</v>
          </cell>
          <cell r="AC282" t="str">
            <v>Medium</v>
          </cell>
          <cell r="AD282">
            <v>386</v>
          </cell>
        </row>
        <row r="283">
          <cell r="A283">
            <v>42</v>
          </cell>
          <cell r="B283" t="str">
            <v>No</v>
          </cell>
          <cell r="C283" t="str">
            <v>Sales</v>
          </cell>
          <cell r="D283">
            <v>1</v>
          </cell>
          <cell r="E283">
            <v>1</v>
          </cell>
          <cell r="F283" t="str">
            <v>Life Sciences</v>
          </cell>
          <cell r="G283">
            <v>2</v>
          </cell>
          <cell r="H283" t="str">
            <v>Male</v>
          </cell>
          <cell r="I283">
            <v>3</v>
          </cell>
          <cell r="J283">
            <v>2</v>
          </cell>
          <cell r="K283" t="str">
            <v>Sales Executive</v>
          </cell>
          <cell r="L283">
            <v>3</v>
          </cell>
          <cell r="M283" t="str">
            <v>Married</v>
          </cell>
          <cell r="N283">
            <v>4907</v>
          </cell>
          <cell r="O283">
            <v>1</v>
          </cell>
          <cell r="P283" t="str">
            <v>No</v>
          </cell>
          <cell r="Q283">
            <v>3</v>
          </cell>
          <cell r="R283">
            <v>20</v>
          </cell>
          <cell r="S283">
            <v>3</v>
          </cell>
          <cell r="T283">
            <v>20</v>
          </cell>
          <cell r="U283">
            <v>16</v>
          </cell>
          <cell r="V283">
            <v>11</v>
          </cell>
          <cell r="W283">
            <v>6</v>
          </cell>
          <cell r="X283">
            <v>25</v>
          </cell>
          <cell r="Y283">
            <v>0</v>
          </cell>
          <cell r="Z283" t="str">
            <v>Mid</v>
          </cell>
          <cell r="AA283" t="str">
            <v>Low</v>
          </cell>
          <cell r="AB283" t="str">
            <v>Long</v>
          </cell>
          <cell r="AC283" t="str">
            <v>High</v>
          </cell>
          <cell r="AD283">
            <v>387</v>
          </cell>
        </row>
        <row r="284">
          <cell r="A284">
            <v>29</v>
          </cell>
          <cell r="B284" t="str">
            <v>No</v>
          </cell>
          <cell r="C284" t="str">
            <v>Sales</v>
          </cell>
          <cell r="D284">
            <v>2</v>
          </cell>
          <cell r="E284">
            <v>2</v>
          </cell>
          <cell r="F284" t="str">
            <v>Life Sciences</v>
          </cell>
          <cell r="G284">
            <v>2</v>
          </cell>
          <cell r="H284" t="str">
            <v>Male</v>
          </cell>
          <cell r="I284">
            <v>3</v>
          </cell>
          <cell r="J284">
            <v>2</v>
          </cell>
          <cell r="K284" t="str">
            <v>Sales Executive</v>
          </cell>
          <cell r="L284">
            <v>4</v>
          </cell>
          <cell r="M284" t="str">
            <v>Single</v>
          </cell>
          <cell r="N284">
            <v>4554</v>
          </cell>
          <cell r="O284">
            <v>1</v>
          </cell>
          <cell r="P284" t="str">
            <v>No</v>
          </cell>
          <cell r="Q284">
            <v>1</v>
          </cell>
          <cell r="R284">
            <v>10</v>
          </cell>
          <cell r="S284">
            <v>2</v>
          </cell>
          <cell r="T284">
            <v>10</v>
          </cell>
          <cell r="U284">
            <v>7</v>
          </cell>
          <cell r="V284">
            <v>0</v>
          </cell>
          <cell r="W284">
            <v>9</v>
          </cell>
          <cell r="X284">
            <v>18</v>
          </cell>
          <cell r="Y284">
            <v>0</v>
          </cell>
          <cell r="Z284" t="str">
            <v>Young</v>
          </cell>
          <cell r="AA284" t="str">
            <v>Low</v>
          </cell>
          <cell r="AB284" t="str">
            <v>Long</v>
          </cell>
          <cell r="AC284" t="str">
            <v>High</v>
          </cell>
          <cell r="AD284">
            <v>388</v>
          </cell>
        </row>
        <row r="285">
          <cell r="A285">
            <v>55</v>
          </cell>
          <cell r="B285" t="str">
            <v>No</v>
          </cell>
          <cell r="C285" t="str">
            <v>Research &amp; Development</v>
          </cell>
          <cell r="D285">
            <v>20</v>
          </cell>
          <cell r="E285">
            <v>2</v>
          </cell>
          <cell r="F285" t="str">
            <v>Technical Degree</v>
          </cell>
          <cell r="G285">
            <v>2</v>
          </cell>
          <cell r="H285" t="str">
            <v>Male</v>
          </cell>
          <cell r="I285">
            <v>3</v>
          </cell>
          <cell r="J285">
            <v>2</v>
          </cell>
          <cell r="K285" t="str">
            <v>Laboratory Technician</v>
          </cell>
          <cell r="L285">
            <v>4</v>
          </cell>
          <cell r="M285" t="str">
            <v>Married</v>
          </cell>
          <cell r="N285">
            <v>5415</v>
          </cell>
          <cell r="O285">
            <v>3</v>
          </cell>
          <cell r="P285" t="str">
            <v>Yes</v>
          </cell>
          <cell r="Q285">
            <v>4</v>
          </cell>
          <cell r="R285">
            <v>12</v>
          </cell>
          <cell r="S285">
            <v>3</v>
          </cell>
          <cell r="T285">
            <v>10</v>
          </cell>
          <cell r="U285">
            <v>7</v>
          </cell>
          <cell r="V285">
            <v>0</v>
          </cell>
          <cell r="W285">
            <v>8</v>
          </cell>
          <cell r="X285">
            <v>19</v>
          </cell>
          <cell r="Y285">
            <v>0</v>
          </cell>
          <cell r="Z285" t="str">
            <v>Senior</v>
          </cell>
          <cell r="AA285" t="str">
            <v>Medium</v>
          </cell>
          <cell r="AB285" t="str">
            <v>Long</v>
          </cell>
          <cell r="AC285" t="str">
            <v>High</v>
          </cell>
          <cell r="AD285">
            <v>389</v>
          </cell>
        </row>
        <row r="286">
          <cell r="A286">
            <v>26</v>
          </cell>
          <cell r="B286" t="str">
            <v>No</v>
          </cell>
          <cell r="C286" t="str">
            <v>Research &amp; Development</v>
          </cell>
          <cell r="D286">
            <v>11</v>
          </cell>
          <cell r="E286">
            <v>2</v>
          </cell>
          <cell r="F286" t="str">
            <v>Medical</v>
          </cell>
          <cell r="G286">
            <v>1</v>
          </cell>
          <cell r="H286" t="str">
            <v>Male</v>
          </cell>
          <cell r="I286">
            <v>3</v>
          </cell>
          <cell r="J286">
            <v>2</v>
          </cell>
          <cell r="K286" t="str">
            <v>Healthcare Representative</v>
          </cell>
          <cell r="L286">
            <v>1</v>
          </cell>
          <cell r="M286" t="str">
            <v>Married</v>
          </cell>
          <cell r="N286">
            <v>4741</v>
          </cell>
          <cell r="O286">
            <v>1</v>
          </cell>
          <cell r="P286" t="str">
            <v>Yes</v>
          </cell>
          <cell r="Q286">
            <v>3</v>
          </cell>
          <cell r="R286">
            <v>5</v>
          </cell>
          <cell r="S286">
            <v>3</v>
          </cell>
          <cell r="T286">
            <v>5</v>
          </cell>
          <cell r="U286">
            <v>3</v>
          </cell>
          <cell r="V286">
            <v>3</v>
          </cell>
          <cell r="W286">
            <v>3</v>
          </cell>
          <cell r="X286">
            <v>13</v>
          </cell>
          <cell r="Y286">
            <v>0</v>
          </cell>
          <cell r="Z286" t="str">
            <v>Young</v>
          </cell>
          <cell r="AA286" t="str">
            <v>Low</v>
          </cell>
          <cell r="AB286" t="str">
            <v>Mid</v>
          </cell>
          <cell r="AC286" t="str">
            <v>Medium</v>
          </cell>
          <cell r="AD286">
            <v>390</v>
          </cell>
        </row>
        <row r="287">
          <cell r="A287">
            <v>37</v>
          </cell>
          <cell r="B287" t="str">
            <v>No</v>
          </cell>
          <cell r="C287" t="str">
            <v>Research &amp; Development</v>
          </cell>
          <cell r="D287">
            <v>1</v>
          </cell>
          <cell r="E287">
            <v>3</v>
          </cell>
          <cell r="F287" t="str">
            <v>Life Sciences</v>
          </cell>
          <cell r="G287">
            <v>4</v>
          </cell>
          <cell r="H287" t="str">
            <v>Female</v>
          </cell>
          <cell r="I287">
            <v>3</v>
          </cell>
          <cell r="J287">
            <v>1</v>
          </cell>
          <cell r="K287" t="str">
            <v>Research Scientist</v>
          </cell>
          <cell r="L287">
            <v>4</v>
          </cell>
          <cell r="M287" t="str">
            <v>Single</v>
          </cell>
          <cell r="N287">
            <v>2115</v>
          </cell>
          <cell r="O287">
            <v>1</v>
          </cell>
          <cell r="P287" t="str">
            <v>No</v>
          </cell>
          <cell r="Q287">
            <v>2</v>
          </cell>
          <cell r="R287">
            <v>17</v>
          </cell>
          <cell r="S287">
            <v>3</v>
          </cell>
          <cell r="T287">
            <v>17</v>
          </cell>
          <cell r="U287">
            <v>12</v>
          </cell>
          <cell r="V287">
            <v>5</v>
          </cell>
          <cell r="W287">
            <v>7</v>
          </cell>
          <cell r="X287">
            <v>12</v>
          </cell>
          <cell r="Y287">
            <v>0</v>
          </cell>
          <cell r="Z287" t="str">
            <v>Mid</v>
          </cell>
          <cell r="AA287" t="str">
            <v>Low</v>
          </cell>
          <cell r="AB287" t="str">
            <v>Long</v>
          </cell>
          <cell r="AC287" t="str">
            <v>Low</v>
          </cell>
          <cell r="AD287">
            <v>391</v>
          </cell>
        </row>
        <row r="288">
          <cell r="A288">
            <v>44</v>
          </cell>
          <cell r="B288" t="str">
            <v>Yes</v>
          </cell>
          <cell r="C288" t="str">
            <v>Research &amp; Development</v>
          </cell>
          <cell r="D288">
            <v>24</v>
          </cell>
          <cell r="E288">
            <v>3</v>
          </cell>
          <cell r="F288" t="str">
            <v>Life Sciences</v>
          </cell>
          <cell r="G288">
            <v>4</v>
          </cell>
          <cell r="H288" t="str">
            <v>Male</v>
          </cell>
          <cell r="I288">
            <v>3</v>
          </cell>
          <cell r="J288">
            <v>1</v>
          </cell>
          <cell r="K288" t="str">
            <v>Laboratory Technician</v>
          </cell>
          <cell r="L288">
            <v>3</v>
          </cell>
          <cell r="M288" t="str">
            <v>Divorced</v>
          </cell>
          <cell r="N288">
            <v>3161</v>
          </cell>
          <cell r="O288">
            <v>3</v>
          </cell>
          <cell r="P288" t="str">
            <v>Yes</v>
          </cell>
          <cell r="Q288">
            <v>4</v>
          </cell>
          <cell r="R288">
            <v>19</v>
          </cell>
          <cell r="S288">
            <v>1</v>
          </cell>
          <cell r="T288">
            <v>1</v>
          </cell>
          <cell r="U288">
            <v>0</v>
          </cell>
          <cell r="V288">
            <v>0</v>
          </cell>
          <cell r="W288">
            <v>0</v>
          </cell>
          <cell r="X288">
            <v>22</v>
          </cell>
          <cell r="Y288">
            <v>1</v>
          </cell>
          <cell r="Z288" t="str">
            <v>Mid</v>
          </cell>
          <cell r="AA288" t="str">
            <v>Low</v>
          </cell>
          <cell r="AB288" t="str">
            <v>Early</v>
          </cell>
          <cell r="AC288" t="str">
            <v>High</v>
          </cell>
          <cell r="AD288">
            <v>392</v>
          </cell>
        </row>
        <row r="289">
          <cell r="A289">
            <v>38</v>
          </cell>
          <cell r="B289" t="str">
            <v>No</v>
          </cell>
          <cell r="C289" t="str">
            <v>Research &amp; Development</v>
          </cell>
          <cell r="D289">
            <v>23</v>
          </cell>
          <cell r="E289">
            <v>4</v>
          </cell>
          <cell r="F289" t="str">
            <v>Life Sciences</v>
          </cell>
          <cell r="G289">
            <v>4</v>
          </cell>
          <cell r="H289" t="str">
            <v>Male</v>
          </cell>
          <cell r="I289">
            <v>3</v>
          </cell>
          <cell r="J289">
            <v>2</v>
          </cell>
          <cell r="K289" t="str">
            <v>Healthcare Representative</v>
          </cell>
          <cell r="L289">
            <v>4</v>
          </cell>
          <cell r="M289" t="str">
            <v>Divorced</v>
          </cell>
          <cell r="N289">
            <v>5745</v>
          </cell>
          <cell r="O289">
            <v>9</v>
          </cell>
          <cell r="P289" t="str">
            <v>No</v>
          </cell>
          <cell r="Q289">
            <v>2</v>
          </cell>
          <cell r="R289">
            <v>10</v>
          </cell>
          <cell r="S289">
            <v>3</v>
          </cell>
          <cell r="T289">
            <v>2</v>
          </cell>
          <cell r="U289">
            <v>2</v>
          </cell>
          <cell r="V289">
            <v>1</v>
          </cell>
          <cell r="W289">
            <v>2</v>
          </cell>
          <cell r="X289">
            <v>14</v>
          </cell>
          <cell r="Y289">
            <v>0</v>
          </cell>
          <cell r="Z289" t="str">
            <v>Mid</v>
          </cell>
          <cell r="AA289" t="str">
            <v>Medium</v>
          </cell>
          <cell r="AB289" t="str">
            <v>Early</v>
          </cell>
          <cell r="AC289" t="str">
            <v>Medium</v>
          </cell>
          <cell r="AD289">
            <v>393</v>
          </cell>
        </row>
        <row r="290">
          <cell r="A290">
            <v>26</v>
          </cell>
          <cell r="B290" t="str">
            <v>Yes</v>
          </cell>
          <cell r="C290" t="str">
            <v>Research &amp; Development</v>
          </cell>
          <cell r="D290">
            <v>16</v>
          </cell>
          <cell r="E290">
            <v>4</v>
          </cell>
          <cell r="F290" t="str">
            <v>Medical</v>
          </cell>
          <cell r="G290">
            <v>1</v>
          </cell>
          <cell r="H290" t="str">
            <v>Male</v>
          </cell>
          <cell r="I290">
            <v>3</v>
          </cell>
          <cell r="J290">
            <v>1</v>
          </cell>
          <cell r="K290" t="str">
            <v>Laboratory Technician</v>
          </cell>
          <cell r="L290">
            <v>2</v>
          </cell>
          <cell r="M290" t="str">
            <v>Divorced</v>
          </cell>
          <cell r="N290">
            <v>2373</v>
          </cell>
          <cell r="O290">
            <v>2</v>
          </cell>
          <cell r="P290" t="str">
            <v>Yes</v>
          </cell>
          <cell r="Q290">
            <v>4</v>
          </cell>
          <cell r="R290">
            <v>5</v>
          </cell>
          <cell r="S290">
            <v>3</v>
          </cell>
          <cell r="T290">
            <v>3</v>
          </cell>
          <cell r="U290">
            <v>2</v>
          </cell>
          <cell r="V290">
            <v>0</v>
          </cell>
          <cell r="W290">
            <v>2</v>
          </cell>
          <cell r="X290">
            <v>13</v>
          </cell>
          <cell r="Y290">
            <v>1</v>
          </cell>
          <cell r="Z290" t="str">
            <v>Young</v>
          </cell>
          <cell r="AA290" t="str">
            <v>Low</v>
          </cell>
          <cell r="AB290" t="str">
            <v>Mid</v>
          </cell>
          <cell r="AC290" t="str">
            <v>Medium</v>
          </cell>
          <cell r="AD290">
            <v>394</v>
          </cell>
        </row>
        <row r="291">
          <cell r="A291">
            <v>28</v>
          </cell>
          <cell r="B291" t="str">
            <v>No</v>
          </cell>
          <cell r="C291" t="str">
            <v>Research &amp; Development</v>
          </cell>
          <cell r="D291">
            <v>8</v>
          </cell>
          <cell r="E291">
            <v>2</v>
          </cell>
          <cell r="F291" t="str">
            <v>Life Sciences</v>
          </cell>
          <cell r="G291">
            <v>4</v>
          </cell>
          <cell r="H291" t="str">
            <v>Female</v>
          </cell>
          <cell r="I291">
            <v>3</v>
          </cell>
          <cell r="J291">
            <v>1</v>
          </cell>
          <cell r="K291" t="str">
            <v>Research Scientist</v>
          </cell>
          <cell r="L291">
            <v>4</v>
          </cell>
          <cell r="M291" t="str">
            <v>Single</v>
          </cell>
          <cell r="N291">
            <v>3310</v>
          </cell>
          <cell r="O291">
            <v>1</v>
          </cell>
          <cell r="P291" t="str">
            <v>No</v>
          </cell>
          <cell r="Q291">
            <v>4</v>
          </cell>
          <cell r="R291">
            <v>5</v>
          </cell>
          <cell r="S291">
            <v>3</v>
          </cell>
          <cell r="T291">
            <v>5</v>
          </cell>
          <cell r="U291">
            <v>3</v>
          </cell>
          <cell r="V291">
            <v>0</v>
          </cell>
          <cell r="W291">
            <v>2</v>
          </cell>
          <cell r="X291">
            <v>21</v>
          </cell>
          <cell r="Y291">
            <v>0</v>
          </cell>
          <cell r="Z291" t="str">
            <v>Young</v>
          </cell>
          <cell r="AA291" t="str">
            <v>Low</v>
          </cell>
          <cell r="AB291" t="str">
            <v>Mid</v>
          </cell>
          <cell r="AC291" t="str">
            <v>High</v>
          </cell>
          <cell r="AD291">
            <v>395</v>
          </cell>
        </row>
        <row r="292">
          <cell r="A292">
            <v>49</v>
          </cell>
          <cell r="B292" t="str">
            <v>No</v>
          </cell>
          <cell r="C292" t="str">
            <v>Research &amp; Development</v>
          </cell>
          <cell r="D292">
            <v>10</v>
          </cell>
          <cell r="E292">
            <v>4</v>
          </cell>
          <cell r="F292" t="str">
            <v>Life Sciences</v>
          </cell>
          <cell r="G292">
            <v>3</v>
          </cell>
          <cell r="H292" t="str">
            <v>Female</v>
          </cell>
          <cell r="I292">
            <v>3</v>
          </cell>
          <cell r="J292">
            <v>5</v>
          </cell>
          <cell r="K292" t="str">
            <v>Research Director</v>
          </cell>
          <cell r="L292">
            <v>1</v>
          </cell>
          <cell r="M292" t="str">
            <v>Single</v>
          </cell>
          <cell r="N292">
            <v>18665</v>
          </cell>
          <cell r="O292">
            <v>9</v>
          </cell>
          <cell r="P292" t="str">
            <v>Yes</v>
          </cell>
          <cell r="Q292">
            <v>4</v>
          </cell>
          <cell r="R292">
            <v>22</v>
          </cell>
          <cell r="S292">
            <v>3</v>
          </cell>
          <cell r="T292">
            <v>3</v>
          </cell>
          <cell r="U292">
            <v>2</v>
          </cell>
          <cell r="V292">
            <v>1</v>
          </cell>
          <cell r="W292">
            <v>2</v>
          </cell>
          <cell r="X292">
            <v>11</v>
          </cell>
          <cell r="Y292">
            <v>0</v>
          </cell>
          <cell r="Z292" t="str">
            <v>Senior</v>
          </cell>
          <cell r="AA292" t="str">
            <v>High</v>
          </cell>
          <cell r="AB292" t="str">
            <v>Mid</v>
          </cell>
          <cell r="AC292" t="str">
            <v>Low</v>
          </cell>
          <cell r="AD292">
            <v>396</v>
          </cell>
        </row>
        <row r="293">
          <cell r="A293">
            <v>36</v>
          </cell>
          <cell r="B293" t="str">
            <v>No</v>
          </cell>
          <cell r="C293" t="str">
            <v>Research &amp; Development</v>
          </cell>
          <cell r="D293">
            <v>3</v>
          </cell>
          <cell r="E293">
            <v>3</v>
          </cell>
          <cell r="F293" t="str">
            <v>Technical Degree</v>
          </cell>
          <cell r="G293">
            <v>3</v>
          </cell>
          <cell r="H293" t="str">
            <v>Male</v>
          </cell>
          <cell r="I293">
            <v>3</v>
          </cell>
          <cell r="J293">
            <v>2</v>
          </cell>
          <cell r="K293" t="str">
            <v>Research Scientist</v>
          </cell>
          <cell r="L293">
            <v>2</v>
          </cell>
          <cell r="M293" t="str">
            <v>Single</v>
          </cell>
          <cell r="N293">
            <v>4485</v>
          </cell>
          <cell r="O293">
            <v>4</v>
          </cell>
          <cell r="P293" t="str">
            <v>No</v>
          </cell>
          <cell r="Q293">
            <v>4</v>
          </cell>
          <cell r="R293">
            <v>10</v>
          </cell>
          <cell r="S293">
            <v>3</v>
          </cell>
          <cell r="T293">
            <v>8</v>
          </cell>
          <cell r="U293">
            <v>0</v>
          </cell>
          <cell r="V293">
            <v>7</v>
          </cell>
          <cell r="W293">
            <v>7</v>
          </cell>
          <cell r="X293">
            <v>12</v>
          </cell>
          <cell r="Y293">
            <v>0</v>
          </cell>
          <cell r="Z293" t="str">
            <v>Mid</v>
          </cell>
          <cell r="AA293" t="str">
            <v>Low</v>
          </cell>
          <cell r="AB293" t="str">
            <v>Long</v>
          </cell>
          <cell r="AC293" t="str">
            <v>Low</v>
          </cell>
          <cell r="AD293">
            <v>397</v>
          </cell>
        </row>
        <row r="294">
          <cell r="A294">
            <v>31</v>
          </cell>
          <cell r="B294" t="str">
            <v>No</v>
          </cell>
          <cell r="C294" t="str">
            <v>Sales</v>
          </cell>
          <cell r="D294">
            <v>5</v>
          </cell>
          <cell r="E294">
            <v>3</v>
          </cell>
          <cell r="F294" t="str">
            <v>Marketing</v>
          </cell>
          <cell r="G294">
            <v>4</v>
          </cell>
          <cell r="H294" t="str">
            <v>Female</v>
          </cell>
          <cell r="I294">
            <v>3</v>
          </cell>
          <cell r="J294">
            <v>1</v>
          </cell>
          <cell r="K294" t="str">
            <v>Sales Representative</v>
          </cell>
          <cell r="L294">
            <v>2</v>
          </cell>
          <cell r="M294" t="str">
            <v>Divorced</v>
          </cell>
          <cell r="N294">
            <v>2789</v>
          </cell>
          <cell r="O294">
            <v>1</v>
          </cell>
          <cell r="P294" t="str">
            <v>No</v>
          </cell>
          <cell r="Q294">
            <v>3</v>
          </cell>
          <cell r="R294">
            <v>2</v>
          </cell>
          <cell r="S294">
            <v>2</v>
          </cell>
          <cell r="T294">
            <v>2</v>
          </cell>
          <cell r="U294">
            <v>2</v>
          </cell>
          <cell r="V294">
            <v>2</v>
          </cell>
          <cell r="W294">
            <v>2</v>
          </cell>
          <cell r="X294">
            <v>11</v>
          </cell>
          <cell r="Y294">
            <v>0</v>
          </cell>
          <cell r="Z294" t="str">
            <v>Mid</v>
          </cell>
          <cell r="AA294" t="str">
            <v>Low</v>
          </cell>
          <cell r="AB294" t="str">
            <v>Early</v>
          </cell>
          <cell r="AC294" t="str">
            <v>Low</v>
          </cell>
          <cell r="AD294">
            <v>399</v>
          </cell>
        </row>
        <row r="295">
          <cell r="A295">
            <v>26</v>
          </cell>
          <cell r="B295" t="str">
            <v>Yes</v>
          </cell>
          <cell r="C295" t="str">
            <v>Sales</v>
          </cell>
          <cell r="D295">
            <v>4</v>
          </cell>
          <cell r="E295">
            <v>4</v>
          </cell>
          <cell r="F295" t="str">
            <v>Marketing</v>
          </cell>
          <cell r="G295">
            <v>4</v>
          </cell>
          <cell r="H295" t="str">
            <v>Male</v>
          </cell>
          <cell r="I295">
            <v>2</v>
          </cell>
          <cell r="J295">
            <v>2</v>
          </cell>
          <cell r="K295" t="str">
            <v>Sales Executive</v>
          </cell>
          <cell r="L295">
            <v>4</v>
          </cell>
          <cell r="M295" t="str">
            <v>Single</v>
          </cell>
          <cell r="N295">
            <v>5828</v>
          </cell>
          <cell r="O295">
            <v>1</v>
          </cell>
          <cell r="P295" t="str">
            <v>Yes</v>
          </cell>
          <cell r="Q295">
            <v>2</v>
          </cell>
          <cell r="R295">
            <v>8</v>
          </cell>
          <cell r="S295">
            <v>3</v>
          </cell>
          <cell r="T295">
            <v>8</v>
          </cell>
          <cell r="U295">
            <v>7</v>
          </cell>
          <cell r="V295">
            <v>7</v>
          </cell>
          <cell r="W295">
            <v>4</v>
          </cell>
          <cell r="X295">
            <v>12</v>
          </cell>
          <cell r="Y295">
            <v>1</v>
          </cell>
          <cell r="Z295" t="str">
            <v>Young</v>
          </cell>
          <cell r="AA295" t="str">
            <v>Medium</v>
          </cell>
          <cell r="AB295" t="str">
            <v>Long</v>
          </cell>
          <cell r="AC295" t="str">
            <v>Low</v>
          </cell>
          <cell r="AD295">
            <v>401</v>
          </cell>
        </row>
        <row r="296">
          <cell r="A296">
            <v>37</v>
          </cell>
          <cell r="B296" t="str">
            <v>No</v>
          </cell>
          <cell r="C296" t="str">
            <v>Research &amp; Development</v>
          </cell>
          <cell r="D296">
            <v>9</v>
          </cell>
          <cell r="E296">
            <v>3</v>
          </cell>
          <cell r="F296" t="str">
            <v>Medical</v>
          </cell>
          <cell r="G296">
            <v>2</v>
          </cell>
          <cell r="H296" t="str">
            <v>Male</v>
          </cell>
          <cell r="I296">
            <v>3</v>
          </cell>
          <cell r="J296">
            <v>1</v>
          </cell>
          <cell r="K296" t="str">
            <v>Research Scientist</v>
          </cell>
          <cell r="L296">
            <v>4</v>
          </cell>
          <cell r="M296" t="str">
            <v>Married</v>
          </cell>
          <cell r="N296">
            <v>2326</v>
          </cell>
          <cell r="O296">
            <v>1</v>
          </cell>
          <cell r="P296" t="str">
            <v>Yes</v>
          </cell>
          <cell r="Q296">
            <v>3</v>
          </cell>
          <cell r="R296">
            <v>4</v>
          </cell>
          <cell r="S296">
            <v>2</v>
          </cell>
          <cell r="T296">
            <v>4</v>
          </cell>
          <cell r="U296">
            <v>2</v>
          </cell>
          <cell r="V296">
            <v>1</v>
          </cell>
          <cell r="W296">
            <v>2</v>
          </cell>
          <cell r="X296">
            <v>12</v>
          </cell>
          <cell r="Y296">
            <v>0</v>
          </cell>
          <cell r="Z296" t="str">
            <v>Mid</v>
          </cell>
          <cell r="AA296" t="str">
            <v>Low</v>
          </cell>
          <cell r="AB296" t="str">
            <v>Mid</v>
          </cell>
          <cell r="AC296" t="str">
            <v>Low</v>
          </cell>
          <cell r="AD296">
            <v>403</v>
          </cell>
        </row>
        <row r="297">
          <cell r="A297">
            <v>42</v>
          </cell>
          <cell r="B297" t="str">
            <v>No</v>
          </cell>
          <cell r="C297" t="str">
            <v>Sales</v>
          </cell>
          <cell r="D297">
            <v>26</v>
          </cell>
          <cell r="E297">
            <v>3</v>
          </cell>
          <cell r="F297" t="str">
            <v>Marketing</v>
          </cell>
          <cell r="G297">
            <v>3</v>
          </cell>
          <cell r="H297" t="str">
            <v>Female</v>
          </cell>
          <cell r="I297">
            <v>3</v>
          </cell>
          <cell r="J297">
            <v>4</v>
          </cell>
          <cell r="K297" t="str">
            <v>Sales Executive</v>
          </cell>
          <cell r="L297">
            <v>2</v>
          </cell>
          <cell r="M297" t="str">
            <v>Married</v>
          </cell>
          <cell r="N297">
            <v>13525</v>
          </cell>
          <cell r="O297">
            <v>5</v>
          </cell>
          <cell r="P297" t="str">
            <v>No</v>
          </cell>
          <cell r="Q297">
            <v>4</v>
          </cell>
          <cell r="R297">
            <v>23</v>
          </cell>
          <cell r="S297">
            <v>4</v>
          </cell>
          <cell r="T297">
            <v>20</v>
          </cell>
          <cell r="U297">
            <v>4</v>
          </cell>
          <cell r="V297">
            <v>4</v>
          </cell>
          <cell r="W297">
            <v>8</v>
          </cell>
          <cell r="X297">
            <v>14</v>
          </cell>
          <cell r="Y297">
            <v>0</v>
          </cell>
          <cell r="Z297" t="str">
            <v>Mid</v>
          </cell>
          <cell r="AA297" t="str">
            <v>High</v>
          </cell>
          <cell r="AB297" t="str">
            <v>Long</v>
          </cell>
          <cell r="AC297" t="str">
            <v>Medium</v>
          </cell>
          <cell r="AD297">
            <v>404</v>
          </cell>
        </row>
        <row r="298">
          <cell r="A298">
            <v>18</v>
          </cell>
          <cell r="B298" t="str">
            <v>Yes</v>
          </cell>
          <cell r="C298" t="str">
            <v>Research &amp; Development</v>
          </cell>
          <cell r="D298">
            <v>3</v>
          </cell>
          <cell r="E298">
            <v>3</v>
          </cell>
          <cell r="F298" t="str">
            <v>Life Sciences</v>
          </cell>
          <cell r="G298">
            <v>3</v>
          </cell>
          <cell r="H298" t="str">
            <v>Male</v>
          </cell>
          <cell r="I298">
            <v>3</v>
          </cell>
          <cell r="J298">
            <v>1</v>
          </cell>
          <cell r="K298" t="str">
            <v>Laboratory Technician</v>
          </cell>
          <cell r="L298">
            <v>3</v>
          </cell>
          <cell r="M298" t="str">
            <v>Single</v>
          </cell>
          <cell r="N298">
            <v>1420</v>
          </cell>
          <cell r="O298">
            <v>1</v>
          </cell>
          <cell r="P298" t="str">
            <v>No</v>
          </cell>
          <cell r="Q298">
            <v>3</v>
          </cell>
          <cell r="R298">
            <v>0</v>
          </cell>
          <cell r="S298">
            <v>3</v>
          </cell>
          <cell r="T298">
            <v>0</v>
          </cell>
          <cell r="U298">
            <v>0</v>
          </cell>
          <cell r="V298">
            <v>0</v>
          </cell>
          <cell r="W298">
            <v>0</v>
          </cell>
          <cell r="X298">
            <v>13</v>
          </cell>
          <cell r="Y298">
            <v>1</v>
          </cell>
          <cell r="Z298" t="str">
            <v>Young</v>
          </cell>
          <cell r="AA298" t="str">
            <v>Low</v>
          </cell>
          <cell r="AB298" t="str">
            <v>Early</v>
          </cell>
          <cell r="AC298" t="str">
            <v>Medium</v>
          </cell>
          <cell r="AD298">
            <v>405</v>
          </cell>
        </row>
        <row r="299">
          <cell r="A299">
            <v>35</v>
          </cell>
          <cell r="B299" t="str">
            <v>No</v>
          </cell>
          <cell r="C299" t="str">
            <v>Sales</v>
          </cell>
          <cell r="D299">
            <v>16</v>
          </cell>
          <cell r="E299">
            <v>3</v>
          </cell>
          <cell r="F299" t="str">
            <v>Marketing</v>
          </cell>
          <cell r="G299">
            <v>3</v>
          </cell>
          <cell r="H299" t="str">
            <v>Male</v>
          </cell>
          <cell r="I299">
            <v>3</v>
          </cell>
          <cell r="J299">
            <v>3</v>
          </cell>
          <cell r="K299" t="str">
            <v>Sales Executive</v>
          </cell>
          <cell r="L299">
            <v>2</v>
          </cell>
          <cell r="M299" t="str">
            <v>Married</v>
          </cell>
          <cell r="N299">
            <v>8020</v>
          </cell>
          <cell r="O299">
            <v>0</v>
          </cell>
          <cell r="P299" t="str">
            <v>No</v>
          </cell>
          <cell r="Q299">
            <v>3</v>
          </cell>
          <cell r="R299">
            <v>12</v>
          </cell>
          <cell r="S299">
            <v>2</v>
          </cell>
          <cell r="T299">
            <v>11</v>
          </cell>
          <cell r="U299">
            <v>9</v>
          </cell>
          <cell r="V299">
            <v>6</v>
          </cell>
          <cell r="W299">
            <v>9</v>
          </cell>
          <cell r="X299">
            <v>15</v>
          </cell>
          <cell r="Y299">
            <v>0</v>
          </cell>
          <cell r="Z299" t="str">
            <v>Mid</v>
          </cell>
          <cell r="AA299" t="str">
            <v>Medium</v>
          </cell>
          <cell r="AB299" t="str">
            <v>Long</v>
          </cell>
          <cell r="AC299" t="str">
            <v>Medium</v>
          </cell>
          <cell r="AD299">
            <v>406</v>
          </cell>
        </row>
        <row r="300">
          <cell r="A300">
            <v>36</v>
          </cell>
          <cell r="B300" t="str">
            <v>No</v>
          </cell>
          <cell r="C300" t="str">
            <v>Research &amp; Development</v>
          </cell>
          <cell r="D300">
            <v>18</v>
          </cell>
          <cell r="E300">
            <v>4</v>
          </cell>
          <cell r="F300" t="str">
            <v>Life Sciences</v>
          </cell>
          <cell r="G300">
            <v>3</v>
          </cell>
          <cell r="H300" t="str">
            <v>Male</v>
          </cell>
          <cell r="I300">
            <v>4</v>
          </cell>
          <cell r="J300">
            <v>1</v>
          </cell>
          <cell r="K300" t="str">
            <v>Laboratory Technician</v>
          </cell>
          <cell r="L300">
            <v>4</v>
          </cell>
          <cell r="M300" t="str">
            <v>Married</v>
          </cell>
          <cell r="N300">
            <v>3688</v>
          </cell>
          <cell r="O300">
            <v>4</v>
          </cell>
          <cell r="P300" t="str">
            <v>No</v>
          </cell>
          <cell r="Q300">
            <v>4</v>
          </cell>
          <cell r="R300">
            <v>4</v>
          </cell>
          <cell r="S300">
            <v>3</v>
          </cell>
          <cell r="T300">
            <v>1</v>
          </cell>
          <cell r="U300">
            <v>0</v>
          </cell>
          <cell r="V300">
            <v>0</v>
          </cell>
          <cell r="W300">
            <v>0</v>
          </cell>
          <cell r="X300">
            <v>18</v>
          </cell>
          <cell r="Y300">
            <v>0</v>
          </cell>
          <cell r="Z300" t="str">
            <v>Mid</v>
          </cell>
          <cell r="AA300" t="str">
            <v>Low</v>
          </cell>
          <cell r="AB300" t="str">
            <v>Early</v>
          </cell>
          <cell r="AC300" t="str">
            <v>High</v>
          </cell>
          <cell r="AD300">
            <v>407</v>
          </cell>
        </row>
        <row r="301">
          <cell r="A301">
            <v>51</v>
          </cell>
          <cell r="B301" t="str">
            <v>No</v>
          </cell>
          <cell r="C301" t="str">
            <v>Research &amp; Development</v>
          </cell>
          <cell r="D301">
            <v>2</v>
          </cell>
          <cell r="E301">
            <v>3</v>
          </cell>
          <cell r="F301" t="str">
            <v>Medical</v>
          </cell>
          <cell r="G301">
            <v>4</v>
          </cell>
          <cell r="H301" t="str">
            <v>Male</v>
          </cell>
          <cell r="I301">
            <v>1</v>
          </cell>
          <cell r="J301">
            <v>2</v>
          </cell>
          <cell r="K301" t="str">
            <v>Manufacturing Director</v>
          </cell>
          <cell r="L301">
            <v>2</v>
          </cell>
          <cell r="M301" t="str">
            <v>Divorced</v>
          </cell>
          <cell r="N301">
            <v>5482</v>
          </cell>
          <cell r="O301">
            <v>5</v>
          </cell>
          <cell r="P301" t="str">
            <v>No</v>
          </cell>
          <cell r="Q301">
            <v>4</v>
          </cell>
          <cell r="R301">
            <v>13</v>
          </cell>
          <cell r="S301">
            <v>3</v>
          </cell>
          <cell r="T301">
            <v>4</v>
          </cell>
          <cell r="U301">
            <v>1</v>
          </cell>
          <cell r="V301">
            <v>1</v>
          </cell>
          <cell r="W301">
            <v>2</v>
          </cell>
          <cell r="X301">
            <v>18</v>
          </cell>
          <cell r="Y301">
            <v>0</v>
          </cell>
          <cell r="Z301" t="str">
            <v>Senior</v>
          </cell>
          <cell r="AA301" t="str">
            <v>Medium</v>
          </cell>
          <cell r="AB301" t="str">
            <v>Mid</v>
          </cell>
          <cell r="AC301" t="str">
            <v>High</v>
          </cell>
          <cell r="AD301">
            <v>408</v>
          </cell>
        </row>
        <row r="302">
          <cell r="A302">
            <v>41</v>
          </cell>
          <cell r="B302" t="str">
            <v>No</v>
          </cell>
          <cell r="C302" t="str">
            <v>Sales</v>
          </cell>
          <cell r="D302">
            <v>2</v>
          </cell>
          <cell r="E302">
            <v>4</v>
          </cell>
          <cell r="F302" t="str">
            <v>Life Sciences</v>
          </cell>
          <cell r="G302">
            <v>4</v>
          </cell>
          <cell r="H302" t="str">
            <v>Male</v>
          </cell>
          <cell r="I302">
            <v>3</v>
          </cell>
          <cell r="J302">
            <v>4</v>
          </cell>
          <cell r="K302" t="str">
            <v>Manager</v>
          </cell>
          <cell r="L302">
            <v>2</v>
          </cell>
          <cell r="M302" t="str">
            <v>Single</v>
          </cell>
          <cell r="N302">
            <v>16015</v>
          </cell>
          <cell r="O302">
            <v>1</v>
          </cell>
          <cell r="P302" t="str">
            <v>No</v>
          </cell>
          <cell r="Q302">
            <v>2</v>
          </cell>
          <cell r="R302">
            <v>22</v>
          </cell>
          <cell r="S302">
            <v>3</v>
          </cell>
          <cell r="T302">
            <v>22</v>
          </cell>
          <cell r="U302">
            <v>10</v>
          </cell>
          <cell r="V302">
            <v>0</v>
          </cell>
          <cell r="W302">
            <v>4</v>
          </cell>
          <cell r="X302">
            <v>19</v>
          </cell>
          <cell r="Y302">
            <v>0</v>
          </cell>
          <cell r="Z302" t="str">
            <v>Mid</v>
          </cell>
          <cell r="AA302" t="str">
            <v>High</v>
          </cell>
          <cell r="AB302" t="str">
            <v>Long</v>
          </cell>
          <cell r="AC302" t="str">
            <v>High</v>
          </cell>
          <cell r="AD302">
            <v>410</v>
          </cell>
        </row>
        <row r="303">
          <cell r="A303">
            <v>18</v>
          </cell>
          <cell r="B303" t="str">
            <v>No</v>
          </cell>
          <cell r="C303" t="str">
            <v>Sales</v>
          </cell>
          <cell r="D303">
            <v>10</v>
          </cell>
          <cell r="E303">
            <v>3</v>
          </cell>
          <cell r="F303" t="str">
            <v>Medical</v>
          </cell>
          <cell r="G303">
            <v>4</v>
          </cell>
          <cell r="H303" t="str">
            <v>Female</v>
          </cell>
          <cell r="I303">
            <v>2</v>
          </cell>
          <cell r="J303">
            <v>1</v>
          </cell>
          <cell r="K303" t="str">
            <v>Sales Representative</v>
          </cell>
          <cell r="L303">
            <v>3</v>
          </cell>
          <cell r="M303" t="str">
            <v>Single</v>
          </cell>
          <cell r="N303">
            <v>1200</v>
          </cell>
          <cell r="O303">
            <v>1</v>
          </cell>
          <cell r="P303" t="str">
            <v>No</v>
          </cell>
          <cell r="Q303">
            <v>1</v>
          </cell>
          <cell r="R303">
            <v>0</v>
          </cell>
          <cell r="S303">
            <v>3</v>
          </cell>
          <cell r="T303">
            <v>0</v>
          </cell>
          <cell r="U303">
            <v>0</v>
          </cell>
          <cell r="V303">
            <v>0</v>
          </cell>
          <cell r="W303">
            <v>0</v>
          </cell>
          <cell r="X303">
            <v>12</v>
          </cell>
          <cell r="Y303">
            <v>0</v>
          </cell>
          <cell r="Z303" t="str">
            <v>Young</v>
          </cell>
          <cell r="AA303" t="str">
            <v>Low</v>
          </cell>
          <cell r="AB303" t="str">
            <v>Early</v>
          </cell>
          <cell r="AC303" t="str">
            <v>Low</v>
          </cell>
          <cell r="AD303">
            <v>411</v>
          </cell>
        </row>
        <row r="304">
          <cell r="A304">
            <v>28</v>
          </cell>
          <cell r="B304" t="str">
            <v>No</v>
          </cell>
          <cell r="C304" t="str">
            <v>Research &amp; Development</v>
          </cell>
          <cell r="D304">
            <v>16</v>
          </cell>
          <cell r="E304">
            <v>2</v>
          </cell>
          <cell r="F304" t="str">
            <v>Medical</v>
          </cell>
          <cell r="G304">
            <v>2</v>
          </cell>
          <cell r="H304" t="str">
            <v>Male</v>
          </cell>
          <cell r="I304">
            <v>4</v>
          </cell>
          <cell r="J304">
            <v>2</v>
          </cell>
          <cell r="K304" t="str">
            <v>Healthcare Representative</v>
          </cell>
          <cell r="L304">
            <v>1</v>
          </cell>
          <cell r="M304" t="str">
            <v>Single</v>
          </cell>
          <cell r="N304">
            <v>5661</v>
          </cell>
          <cell r="O304">
            <v>0</v>
          </cell>
          <cell r="P304" t="str">
            <v>No</v>
          </cell>
          <cell r="Q304">
            <v>3</v>
          </cell>
          <cell r="R304">
            <v>9</v>
          </cell>
          <cell r="S304">
            <v>3</v>
          </cell>
          <cell r="T304">
            <v>8</v>
          </cell>
          <cell r="U304">
            <v>3</v>
          </cell>
          <cell r="V304">
            <v>0</v>
          </cell>
          <cell r="W304">
            <v>7</v>
          </cell>
          <cell r="X304">
            <v>19</v>
          </cell>
          <cell r="Y304">
            <v>0</v>
          </cell>
          <cell r="Z304" t="str">
            <v>Young</v>
          </cell>
          <cell r="AA304" t="str">
            <v>Medium</v>
          </cell>
          <cell r="AB304" t="str">
            <v>Long</v>
          </cell>
          <cell r="AC304" t="str">
            <v>High</v>
          </cell>
          <cell r="AD304">
            <v>412</v>
          </cell>
        </row>
        <row r="305">
          <cell r="A305">
            <v>31</v>
          </cell>
          <cell r="B305" t="str">
            <v>No</v>
          </cell>
          <cell r="C305" t="str">
            <v>Sales</v>
          </cell>
          <cell r="D305">
            <v>7</v>
          </cell>
          <cell r="E305">
            <v>3</v>
          </cell>
          <cell r="F305" t="str">
            <v>Technical Degree</v>
          </cell>
          <cell r="G305">
            <v>2</v>
          </cell>
          <cell r="H305" t="str">
            <v>Male</v>
          </cell>
          <cell r="I305">
            <v>4</v>
          </cell>
          <cell r="J305">
            <v>2</v>
          </cell>
          <cell r="K305" t="str">
            <v>Sales Executive</v>
          </cell>
          <cell r="L305">
            <v>4</v>
          </cell>
          <cell r="M305" t="str">
            <v>Married</v>
          </cell>
          <cell r="N305">
            <v>6929</v>
          </cell>
          <cell r="O305">
            <v>4</v>
          </cell>
          <cell r="P305" t="str">
            <v>No</v>
          </cell>
          <cell r="Q305">
            <v>2</v>
          </cell>
          <cell r="R305">
            <v>10</v>
          </cell>
          <cell r="S305">
            <v>2</v>
          </cell>
          <cell r="T305">
            <v>8</v>
          </cell>
          <cell r="U305">
            <v>7</v>
          </cell>
          <cell r="V305">
            <v>7</v>
          </cell>
          <cell r="W305">
            <v>7</v>
          </cell>
          <cell r="X305">
            <v>11</v>
          </cell>
          <cell r="Y305">
            <v>0</v>
          </cell>
          <cell r="Z305" t="str">
            <v>Mid</v>
          </cell>
          <cell r="AA305" t="str">
            <v>Medium</v>
          </cell>
          <cell r="AB305" t="str">
            <v>Long</v>
          </cell>
          <cell r="AC305" t="str">
            <v>Low</v>
          </cell>
          <cell r="AD305">
            <v>416</v>
          </cell>
        </row>
        <row r="306">
          <cell r="A306">
            <v>39</v>
          </cell>
          <cell r="B306" t="str">
            <v>No</v>
          </cell>
          <cell r="C306" t="str">
            <v>Research &amp; Development</v>
          </cell>
          <cell r="D306">
            <v>1</v>
          </cell>
          <cell r="E306">
            <v>3</v>
          </cell>
          <cell r="F306" t="str">
            <v>Medical</v>
          </cell>
          <cell r="G306">
            <v>3</v>
          </cell>
          <cell r="H306" t="str">
            <v>Male</v>
          </cell>
          <cell r="I306">
            <v>4</v>
          </cell>
          <cell r="J306">
            <v>3</v>
          </cell>
          <cell r="K306" t="str">
            <v>Healthcare Representative</v>
          </cell>
          <cell r="L306">
            <v>4</v>
          </cell>
          <cell r="M306" t="str">
            <v>Divorced</v>
          </cell>
          <cell r="N306">
            <v>9613</v>
          </cell>
          <cell r="O306">
            <v>0</v>
          </cell>
          <cell r="P306" t="str">
            <v>No</v>
          </cell>
          <cell r="Q306">
            <v>1</v>
          </cell>
          <cell r="R306">
            <v>19</v>
          </cell>
          <cell r="S306">
            <v>2</v>
          </cell>
          <cell r="T306">
            <v>18</v>
          </cell>
          <cell r="U306">
            <v>10</v>
          </cell>
          <cell r="V306">
            <v>3</v>
          </cell>
          <cell r="W306">
            <v>7</v>
          </cell>
          <cell r="X306">
            <v>17</v>
          </cell>
          <cell r="Y306">
            <v>0</v>
          </cell>
          <cell r="Z306" t="str">
            <v>Mid</v>
          </cell>
          <cell r="AA306" t="str">
            <v>Medium</v>
          </cell>
          <cell r="AB306" t="str">
            <v>Long</v>
          </cell>
          <cell r="AC306" t="str">
            <v>Medium</v>
          </cell>
          <cell r="AD306">
            <v>417</v>
          </cell>
        </row>
        <row r="307">
          <cell r="A307">
            <v>36</v>
          </cell>
          <cell r="B307" t="str">
            <v>No</v>
          </cell>
          <cell r="C307" t="str">
            <v>Research &amp; Development</v>
          </cell>
          <cell r="D307">
            <v>24</v>
          </cell>
          <cell r="E307">
            <v>4</v>
          </cell>
          <cell r="F307" t="str">
            <v>Life Sciences</v>
          </cell>
          <cell r="G307">
            <v>2</v>
          </cell>
          <cell r="H307" t="str">
            <v>Female</v>
          </cell>
          <cell r="I307">
            <v>3</v>
          </cell>
          <cell r="J307">
            <v>2</v>
          </cell>
          <cell r="K307" t="str">
            <v>Laboratory Technician</v>
          </cell>
          <cell r="L307">
            <v>2</v>
          </cell>
          <cell r="M307" t="str">
            <v>Married</v>
          </cell>
          <cell r="N307">
            <v>5674</v>
          </cell>
          <cell r="O307">
            <v>7</v>
          </cell>
          <cell r="P307" t="str">
            <v>No</v>
          </cell>
          <cell r="Q307">
            <v>3</v>
          </cell>
          <cell r="R307">
            <v>11</v>
          </cell>
          <cell r="S307">
            <v>3</v>
          </cell>
          <cell r="T307">
            <v>9</v>
          </cell>
          <cell r="U307">
            <v>8</v>
          </cell>
          <cell r="V307">
            <v>0</v>
          </cell>
          <cell r="W307">
            <v>8</v>
          </cell>
          <cell r="X307">
            <v>15</v>
          </cell>
          <cell r="Y307">
            <v>0</v>
          </cell>
          <cell r="Z307" t="str">
            <v>Mid</v>
          </cell>
          <cell r="AA307" t="str">
            <v>Medium</v>
          </cell>
          <cell r="AB307" t="str">
            <v>Long</v>
          </cell>
          <cell r="AC307" t="str">
            <v>Medium</v>
          </cell>
          <cell r="AD307">
            <v>419</v>
          </cell>
        </row>
        <row r="308">
          <cell r="A308">
            <v>32</v>
          </cell>
          <cell r="B308" t="str">
            <v>No</v>
          </cell>
          <cell r="C308" t="str">
            <v>Sales</v>
          </cell>
          <cell r="D308">
            <v>7</v>
          </cell>
          <cell r="E308">
            <v>3</v>
          </cell>
          <cell r="F308" t="str">
            <v>Life Sciences</v>
          </cell>
          <cell r="G308">
            <v>4</v>
          </cell>
          <cell r="H308" t="str">
            <v>Male</v>
          </cell>
          <cell r="I308">
            <v>2</v>
          </cell>
          <cell r="J308">
            <v>2</v>
          </cell>
          <cell r="K308" t="str">
            <v>Sales Executive</v>
          </cell>
          <cell r="L308">
            <v>3</v>
          </cell>
          <cell r="M308" t="str">
            <v>Married</v>
          </cell>
          <cell r="N308">
            <v>5484</v>
          </cell>
          <cell r="O308">
            <v>1</v>
          </cell>
          <cell r="P308" t="str">
            <v>No</v>
          </cell>
          <cell r="Q308">
            <v>3</v>
          </cell>
          <cell r="R308">
            <v>13</v>
          </cell>
          <cell r="S308">
            <v>2</v>
          </cell>
          <cell r="T308">
            <v>13</v>
          </cell>
          <cell r="U308">
            <v>8</v>
          </cell>
          <cell r="V308">
            <v>4</v>
          </cell>
          <cell r="W308">
            <v>8</v>
          </cell>
          <cell r="X308">
            <v>14</v>
          </cell>
          <cell r="Y308">
            <v>0</v>
          </cell>
          <cell r="Z308" t="str">
            <v>Mid</v>
          </cell>
          <cell r="AA308" t="str">
            <v>Medium</v>
          </cell>
          <cell r="AB308" t="str">
            <v>Long</v>
          </cell>
          <cell r="AC308" t="str">
            <v>Medium</v>
          </cell>
          <cell r="AD308">
            <v>420</v>
          </cell>
        </row>
        <row r="309">
          <cell r="A309">
            <v>38</v>
          </cell>
          <cell r="B309" t="str">
            <v>No</v>
          </cell>
          <cell r="C309" t="str">
            <v>Research &amp; Development</v>
          </cell>
          <cell r="D309">
            <v>25</v>
          </cell>
          <cell r="E309">
            <v>2</v>
          </cell>
          <cell r="F309" t="str">
            <v>Life Sciences</v>
          </cell>
          <cell r="G309">
            <v>1</v>
          </cell>
          <cell r="H309" t="str">
            <v>Female</v>
          </cell>
          <cell r="I309">
            <v>2</v>
          </cell>
          <cell r="J309">
            <v>3</v>
          </cell>
          <cell r="K309" t="str">
            <v>Research Director</v>
          </cell>
          <cell r="L309">
            <v>2</v>
          </cell>
          <cell r="M309" t="str">
            <v>Married</v>
          </cell>
          <cell r="N309">
            <v>12061</v>
          </cell>
          <cell r="O309">
            <v>3</v>
          </cell>
          <cell r="P309" t="str">
            <v>No</v>
          </cell>
          <cell r="Q309">
            <v>3</v>
          </cell>
          <cell r="R309">
            <v>19</v>
          </cell>
          <cell r="S309">
            <v>3</v>
          </cell>
          <cell r="T309">
            <v>10</v>
          </cell>
          <cell r="U309">
            <v>8</v>
          </cell>
          <cell r="V309">
            <v>0</v>
          </cell>
          <cell r="W309">
            <v>1</v>
          </cell>
          <cell r="X309">
            <v>17</v>
          </cell>
          <cell r="Y309">
            <v>0</v>
          </cell>
          <cell r="Z309" t="str">
            <v>Mid</v>
          </cell>
          <cell r="AA309" t="str">
            <v>High</v>
          </cell>
          <cell r="AB309" t="str">
            <v>Long</v>
          </cell>
          <cell r="AC309" t="str">
            <v>Medium</v>
          </cell>
          <cell r="AD309">
            <v>421</v>
          </cell>
        </row>
        <row r="310">
          <cell r="A310">
            <v>58</v>
          </cell>
          <cell r="B310" t="str">
            <v>No</v>
          </cell>
          <cell r="C310" t="str">
            <v>Research &amp; Development</v>
          </cell>
          <cell r="D310">
            <v>1</v>
          </cell>
          <cell r="E310">
            <v>4</v>
          </cell>
          <cell r="F310" t="str">
            <v>Life Sciences</v>
          </cell>
          <cell r="G310">
            <v>4</v>
          </cell>
          <cell r="H310" t="str">
            <v>Male</v>
          </cell>
          <cell r="I310">
            <v>1</v>
          </cell>
          <cell r="J310">
            <v>2</v>
          </cell>
          <cell r="K310" t="str">
            <v>Healthcare Representative</v>
          </cell>
          <cell r="L310">
            <v>3</v>
          </cell>
          <cell r="M310" t="str">
            <v>Divorced</v>
          </cell>
          <cell r="N310">
            <v>5660</v>
          </cell>
          <cell r="O310">
            <v>2</v>
          </cell>
          <cell r="P310" t="str">
            <v>Yes</v>
          </cell>
          <cell r="Q310">
            <v>4</v>
          </cell>
          <cell r="R310">
            <v>12</v>
          </cell>
          <cell r="S310">
            <v>3</v>
          </cell>
          <cell r="T310">
            <v>5</v>
          </cell>
          <cell r="U310">
            <v>3</v>
          </cell>
          <cell r="V310">
            <v>1</v>
          </cell>
          <cell r="W310">
            <v>2</v>
          </cell>
          <cell r="X310">
            <v>13</v>
          </cell>
          <cell r="Y310">
            <v>0</v>
          </cell>
          <cell r="Z310" t="str">
            <v>Senior</v>
          </cell>
          <cell r="AA310" t="str">
            <v>Medium</v>
          </cell>
          <cell r="AB310" t="str">
            <v>Mid</v>
          </cell>
          <cell r="AC310" t="str">
            <v>Medium</v>
          </cell>
          <cell r="AD310">
            <v>422</v>
          </cell>
        </row>
        <row r="311">
          <cell r="A311">
            <v>31</v>
          </cell>
          <cell r="B311" t="str">
            <v>No</v>
          </cell>
          <cell r="C311" t="str">
            <v>Research &amp; Development</v>
          </cell>
          <cell r="D311">
            <v>5</v>
          </cell>
          <cell r="E311">
            <v>4</v>
          </cell>
          <cell r="F311" t="str">
            <v>Technical Degree</v>
          </cell>
          <cell r="G311">
            <v>3</v>
          </cell>
          <cell r="H311" t="str">
            <v>Male</v>
          </cell>
          <cell r="I311">
            <v>3</v>
          </cell>
          <cell r="J311">
            <v>1</v>
          </cell>
          <cell r="K311" t="str">
            <v>Research Scientist</v>
          </cell>
          <cell r="L311">
            <v>4</v>
          </cell>
          <cell r="M311" t="str">
            <v>Married</v>
          </cell>
          <cell r="N311">
            <v>4821</v>
          </cell>
          <cell r="O311">
            <v>0</v>
          </cell>
          <cell r="P311" t="str">
            <v>Yes</v>
          </cell>
          <cell r="Q311">
            <v>3</v>
          </cell>
          <cell r="R311">
            <v>6</v>
          </cell>
          <cell r="S311">
            <v>3</v>
          </cell>
          <cell r="T311">
            <v>5</v>
          </cell>
          <cell r="U311">
            <v>2</v>
          </cell>
          <cell r="V311">
            <v>0</v>
          </cell>
          <cell r="W311">
            <v>3</v>
          </cell>
          <cell r="X311">
            <v>12</v>
          </cell>
          <cell r="Y311">
            <v>0</v>
          </cell>
          <cell r="Z311" t="str">
            <v>Mid</v>
          </cell>
          <cell r="AA311" t="str">
            <v>Low</v>
          </cell>
          <cell r="AB311" t="str">
            <v>Mid</v>
          </cell>
          <cell r="AC311" t="str">
            <v>Low</v>
          </cell>
          <cell r="AD311">
            <v>423</v>
          </cell>
        </row>
        <row r="312">
          <cell r="A312">
            <v>31</v>
          </cell>
          <cell r="B312" t="str">
            <v>No</v>
          </cell>
          <cell r="C312" t="str">
            <v>Human Resources</v>
          </cell>
          <cell r="D312">
            <v>2</v>
          </cell>
          <cell r="E312">
            <v>3</v>
          </cell>
          <cell r="F312" t="str">
            <v>Human Resources</v>
          </cell>
          <cell r="G312">
            <v>1</v>
          </cell>
          <cell r="H312" t="str">
            <v>Male</v>
          </cell>
          <cell r="I312">
            <v>2</v>
          </cell>
          <cell r="J312">
            <v>2</v>
          </cell>
          <cell r="K312" t="str">
            <v>Human Resources</v>
          </cell>
          <cell r="L312">
            <v>1</v>
          </cell>
          <cell r="M312" t="str">
            <v>Married</v>
          </cell>
          <cell r="N312">
            <v>6410</v>
          </cell>
          <cell r="O312">
            <v>3</v>
          </cell>
          <cell r="P312" t="str">
            <v>No</v>
          </cell>
          <cell r="Q312">
            <v>4</v>
          </cell>
          <cell r="R312">
            <v>9</v>
          </cell>
          <cell r="S312">
            <v>3</v>
          </cell>
          <cell r="T312">
            <v>2</v>
          </cell>
          <cell r="U312">
            <v>2</v>
          </cell>
          <cell r="V312">
            <v>1</v>
          </cell>
          <cell r="W312">
            <v>0</v>
          </cell>
          <cell r="X312">
            <v>12</v>
          </cell>
          <cell r="Y312">
            <v>0</v>
          </cell>
          <cell r="Z312" t="str">
            <v>Mid</v>
          </cell>
          <cell r="AA312" t="str">
            <v>Medium</v>
          </cell>
          <cell r="AB312" t="str">
            <v>Early</v>
          </cell>
          <cell r="AC312" t="str">
            <v>Low</v>
          </cell>
          <cell r="AD312">
            <v>424</v>
          </cell>
        </row>
        <row r="313">
          <cell r="A313">
            <v>45</v>
          </cell>
          <cell r="B313" t="str">
            <v>No</v>
          </cell>
          <cell r="C313" t="str">
            <v>Research &amp; Development</v>
          </cell>
          <cell r="D313">
            <v>7</v>
          </cell>
          <cell r="E313">
            <v>3</v>
          </cell>
          <cell r="F313" t="str">
            <v>Life Sciences</v>
          </cell>
          <cell r="G313">
            <v>1</v>
          </cell>
          <cell r="H313" t="str">
            <v>Male</v>
          </cell>
          <cell r="I313">
            <v>3</v>
          </cell>
          <cell r="J313">
            <v>3</v>
          </cell>
          <cell r="K313" t="str">
            <v>Laboratory Technician</v>
          </cell>
          <cell r="L313">
            <v>1</v>
          </cell>
          <cell r="M313" t="str">
            <v>Divorced</v>
          </cell>
          <cell r="N313">
            <v>5210</v>
          </cell>
          <cell r="O313">
            <v>1</v>
          </cell>
          <cell r="P313" t="str">
            <v>No</v>
          </cell>
          <cell r="Q313">
            <v>1</v>
          </cell>
          <cell r="R313">
            <v>24</v>
          </cell>
          <cell r="S313">
            <v>3</v>
          </cell>
          <cell r="T313">
            <v>24</v>
          </cell>
          <cell r="U313">
            <v>9</v>
          </cell>
          <cell r="V313">
            <v>9</v>
          </cell>
          <cell r="W313">
            <v>11</v>
          </cell>
          <cell r="X313">
            <v>18</v>
          </cell>
          <cell r="Y313">
            <v>0</v>
          </cell>
          <cell r="Z313" t="str">
            <v>Senior</v>
          </cell>
          <cell r="AA313" t="str">
            <v>Medium</v>
          </cell>
          <cell r="AB313" t="str">
            <v>Long</v>
          </cell>
          <cell r="AC313" t="str">
            <v>High</v>
          </cell>
          <cell r="AD313">
            <v>425</v>
          </cell>
        </row>
        <row r="314">
          <cell r="A314">
            <v>31</v>
          </cell>
          <cell r="B314" t="str">
            <v>No</v>
          </cell>
          <cell r="C314" t="str">
            <v>Research &amp; Development</v>
          </cell>
          <cell r="D314">
            <v>2</v>
          </cell>
          <cell r="E314">
            <v>4</v>
          </cell>
          <cell r="F314" t="str">
            <v>Life Sciences</v>
          </cell>
          <cell r="G314">
            <v>3</v>
          </cell>
          <cell r="H314" t="str">
            <v>Male</v>
          </cell>
          <cell r="I314">
            <v>3</v>
          </cell>
          <cell r="J314">
            <v>1</v>
          </cell>
          <cell r="K314" t="str">
            <v>Research Scientist</v>
          </cell>
          <cell r="L314">
            <v>4</v>
          </cell>
          <cell r="M314" t="str">
            <v>Divorced</v>
          </cell>
          <cell r="N314">
            <v>2695</v>
          </cell>
          <cell r="O314">
            <v>0</v>
          </cell>
          <cell r="P314" t="str">
            <v>Yes</v>
          </cell>
          <cell r="Q314">
            <v>2</v>
          </cell>
          <cell r="R314">
            <v>3</v>
          </cell>
          <cell r="S314">
            <v>1</v>
          </cell>
          <cell r="T314">
            <v>2</v>
          </cell>
          <cell r="U314">
            <v>2</v>
          </cell>
          <cell r="V314">
            <v>2</v>
          </cell>
          <cell r="W314">
            <v>2</v>
          </cell>
          <cell r="X314">
            <v>18</v>
          </cell>
          <cell r="Y314">
            <v>0</v>
          </cell>
          <cell r="Z314" t="str">
            <v>Mid</v>
          </cell>
          <cell r="AA314" t="str">
            <v>Low</v>
          </cell>
          <cell r="AB314" t="str">
            <v>Early</v>
          </cell>
          <cell r="AC314" t="str">
            <v>High</v>
          </cell>
          <cell r="AD314">
            <v>426</v>
          </cell>
        </row>
        <row r="315">
          <cell r="A315">
            <v>33</v>
          </cell>
          <cell r="B315" t="str">
            <v>No</v>
          </cell>
          <cell r="C315" t="str">
            <v>Research &amp; Development</v>
          </cell>
          <cell r="D315">
            <v>5</v>
          </cell>
          <cell r="E315">
            <v>4</v>
          </cell>
          <cell r="F315" t="str">
            <v>Life Sciences</v>
          </cell>
          <cell r="G315">
            <v>4</v>
          </cell>
          <cell r="H315" t="str">
            <v>Female</v>
          </cell>
          <cell r="I315">
            <v>3</v>
          </cell>
          <cell r="J315">
            <v>3</v>
          </cell>
          <cell r="K315" t="str">
            <v>Manager</v>
          </cell>
          <cell r="L315">
            <v>2</v>
          </cell>
          <cell r="M315" t="str">
            <v>Married</v>
          </cell>
          <cell r="N315">
            <v>11878</v>
          </cell>
          <cell r="O315">
            <v>6</v>
          </cell>
          <cell r="P315" t="str">
            <v>No</v>
          </cell>
          <cell r="Q315">
            <v>2</v>
          </cell>
          <cell r="R315">
            <v>12</v>
          </cell>
          <cell r="S315">
            <v>3</v>
          </cell>
          <cell r="T315">
            <v>10</v>
          </cell>
          <cell r="U315">
            <v>6</v>
          </cell>
          <cell r="V315">
            <v>8</v>
          </cell>
          <cell r="W315">
            <v>8</v>
          </cell>
          <cell r="X315">
            <v>11</v>
          </cell>
          <cell r="Y315">
            <v>0</v>
          </cell>
          <cell r="Z315" t="str">
            <v>Mid</v>
          </cell>
          <cell r="AA315" t="str">
            <v>High</v>
          </cell>
          <cell r="AB315" t="str">
            <v>Long</v>
          </cell>
          <cell r="AC315" t="str">
            <v>Low</v>
          </cell>
          <cell r="AD315">
            <v>428</v>
          </cell>
        </row>
        <row r="316">
          <cell r="A316">
            <v>39</v>
          </cell>
          <cell r="B316" t="str">
            <v>No</v>
          </cell>
          <cell r="C316" t="str">
            <v>Research &amp; Development</v>
          </cell>
          <cell r="D316">
            <v>10</v>
          </cell>
          <cell r="E316">
            <v>1</v>
          </cell>
          <cell r="F316" t="str">
            <v>Medical</v>
          </cell>
          <cell r="G316">
            <v>3</v>
          </cell>
          <cell r="H316" t="str">
            <v>Male</v>
          </cell>
          <cell r="I316">
            <v>3</v>
          </cell>
          <cell r="J316">
            <v>4</v>
          </cell>
          <cell r="K316" t="str">
            <v>Manager</v>
          </cell>
          <cell r="L316">
            <v>1</v>
          </cell>
          <cell r="M316" t="str">
            <v>Married</v>
          </cell>
          <cell r="N316">
            <v>17068</v>
          </cell>
          <cell r="O316">
            <v>1</v>
          </cell>
          <cell r="P316" t="str">
            <v>Yes</v>
          </cell>
          <cell r="Q316">
            <v>4</v>
          </cell>
          <cell r="R316">
            <v>21</v>
          </cell>
          <cell r="S316">
            <v>3</v>
          </cell>
          <cell r="T316">
            <v>21</v>
          </cell>
          <cell r="U316">
            <v>9</v>
          </cell>
          <cell r="V316">
            <v>11</v>
          </cell>
          <cell r="W316">
            <v>10</v>
          </cell>
          <cell r="X316">
            <v>14</v>
          </cell>
          <cell r="Y316">
            <v>0</v>
          </cell>
          <cell r="Z316" t="str">
            <v>Mid</v>
          </cell>
          <cell r="AA316" t="str">
            <v>High</v>
          </cell>
          <cell r="AB316" t="str">
            <v>Long</v>
          </cell>
          <cell r="AC316" t="str">
            <v>Medium</v>
          </cell>
          <cell r="AD316">
            <v>429</v>
          </cell>
        </row>
        <row r="317">
          <cell r="A317">
            <v>43</v>
          </cell>
          <cell r="B317" t="str">
            <v>No</v>
          </cell>
          <cell r="C317" t="str">
            <v>Research &amp; Development</v>
          </cell>
          <cell r="D317">
            <v>10</v>
          </cell>
          <cell r="E317">
            <v>4</v>
          </cell>
          <cell r="F317" t="str">
            <v>Life Sciences</v>
          </cell>
          <cell r="G317">
            <v>3</v>
          </cell>
          <cell r="H317" t="str">
            <v>Female</v>
          </cell>
          <cell r="I317">
            <v>3</v>
          </cell>
          <cell r="J317">
            <v>1</v>
          </cell>
          <cell r="K317" t="str">
            <v>Laboratory Technician</v>
          </cell>
          <cell r="L317">
            <v>4</v>
          </cell>
          <cell r="M317" t="str">
            <v>Single</v>
          </cell>
          <cell r="N317">
            <v>2455</v>
          </cell>
          <cell r="O317">
            <v>0</v>
          </cell>
          <cell r="P317" t="str">
            <v>No</v>
          </cell>
          <cell r="Q317">
            <v>1</v>
          </cell>
          <cell r="R317">
            <v>9</v>
          </cell>
          <cell r="S317">
            <v>3</v>
          </cell>
          <cell r="T317">
            <v>8</v>
          </cell>
          <cell r="U317">
            <v>7</v>
          </cell>
          <cell r="V317">
            <v>1</v>
          </cell>
          <cell r="W317">
            <v>7</v>
          </cell>
          <cell r="X317">
            <v>19</v>
          </cell>
          <cell r="Y317">
            <v>0</v>
          </cell>
          <cell r="Z317" t="str">
            <v>Mid</v>
          </cell>
          <cell r="AA317" t="str">
            <v>Low</v>
          </cell>
          <cell r="AB317" t="str">
            <v>Long</v>
          </cell>
          <cell r="AC317" t="str">
            <v>High</v>
          </cell>
          <cell r="AD317">
            <v>430</v>
          </cell>
        </row>
        <row r="318">
          <cell r="A318">
            <v>49</v>
          </cell>
          <cell r="B318" t="str">
            <v>No</v>
          </cell>
          <cell r="C318" t="str">
            <v>Research &amp; Development</v>
          </cell>
          <cell r="D318">
            <v>1</v>
          </cell>
          <cell r="E318">
            <v>2</v>
          </cell>
          <cell r="F318" t="str">
            <v>Technical Degree</v>
          </cell>
          <cell r="G318">
            <v>3</v>
          </cell>
          <cell r="H318" t="str">
            <v>Female</v>
          </cell>
          <cell r="I318">
            <v>2</v>
          </cell>
          <cell r="J318">
            <v>4</v>
          </cell>
          <cell r="K318" t="str">
            <v>Healthcare Representative</v>
          </cell>
          <cell r="L318">
            <v>3</v>
          </cell>
          <cell r="M318" t="str">
            <v>Single</v>
          </cell>
          <cell r="N318">
            <v>13964</v>
          </cell>
          <cell r="O318">
            <v>7</v>
          </cell>
          <cell r="P318" t="str">
            <v>Yes</v>
          </cell>
          <cell r="Q318">
            <v>4</v>
          </cell>
          <cell r="R318">
            <v>25</v>
          </cell>
          <cell r="S318">
            <v>3</v>
          </cell>
          <cell r="T318">
            <v>7</v>
          </cell>
          <cell r="U318">
            <v>1</v>
          </cell>
          <cell r="V318">
            <v>0</v>
          </cell>
          <cell r="W318">
            <v>7</v>
          </cell>
          <cell r="X318">
            <v>12</v>
          </cell>
          <cell r="Y318">
            <v>0</v>
          </cell>
          <cell r="Z318" t="str">
            <v>Senior</v>
          </cell>
          <cell r="AA318" t="str">
            <v>High</v>
          </cell>
          <cell r="AB318" t="str">
            <v>Long</v>
          </cell>
          <cell r="AC318" t="str">
            <v>Low</v>
          </cell>
          <cell r="AD318">
            <v>431</v>
          </cell>
        </row>
        <row r="319">
          <cell r="A319">
            <v>52</v>
          </cell>
          <cell r="B319" t="str">
            <v>Yes</v>
          </cell>
          <cell r="C319" t="str">
            <v>Research &amp; Development</v>
          </cell>
          <cell r="D319">
            <v>8</v>
          </cell>
          <cell r="E319">
            <v>4</v>
          </cell>
          <cell r="F319" t="str">
            <v>Medical</v>
          </cell>
          <cell r="G319">
            <v>3</v>
          </cell>
          <cell r="H319" t="str">
            <v>Male</v>
          </cell>
          <cell r="I319">
            <v>2</v>
          </cell>
          <cell r="J319">
            <v>2</v>
          </cell>
          <cell r="K319" t="str">
            <v>Research Scientist</v>
          </cell>
          <cell r="L319">
            <v>2</v>
          </cell>
          <cell r="M319" t="str">
            <v>Married</v>
          </cell>
          <cell r="N319">
            <v>4941</v>
          </cell>
          <cell r="O319">
            <v>2</v>
          </cell>
          <cell r="P319" t="str">
            <v>No</v>
          </cell>
          <cell r="Q319">
            <v>1</v>
          </cell>
          <cell r="R319">
            <v>11</v>
          </cell>
          <cell r="S319">
            <v>2</v>
          </cell>
          <cell r="T319">
            <v>8</v>
          </cell>
          <cell r="U319">
            <v>2</v>
          </cell>
          <cell r="V319">
            <v>7</v>
          </cell>
          <cell r="W319">
            <v>7</v>
          </cell>
          <cell r="X319">
            <v>15</v>
          </cell>
          <cell r="Y319">
            <v>1</v>
          </cell>
          <cell r="Z319" t="str">
            <v>Senior</v>
          </cell>
          <cell r="AA319" t="str">
            <v>Low</v>
          </cell>
          <cell r="AB319" t="str">
            <v>Long</v>
          </cell>
          <cell r="AC319" t="str">
            <v>Medium</v>
          </cell>
          <cell r="AD319">
            <v>433</v>
          </cell>
        </row>
        <row r="320">
          <cell r="A320">
            <v>27</v>
          </cell>
          <cell r="B320" t="str">
            <v>No</v>
          </cell>
          <cell r="C320" t="str">
            <v>Research &amp; Development</v>
          </cell>
          <cell r="D320">
            <v>5</v>
          </cell>
          <cell r="E320">
            <v>3</v>
          </cell>
          <cell r="F320" t="str">
            <v>Life Sciences</v>
          </cell>
          <cell r="G320">
            <v>3</v>
          </cell>
          <cell r="H320" t="str">
            <v>Female</v>
          </cell>
          <cell r="I320">
            <v>3</v>
          </cell>
          <cell r="J320">
            <v>1</v>
          </cell>
          <cell r="K320" t="str">
            <v>Research Scientist</v>
          </cell>
          <cell r="L320">
            <v>2</v>
          </cell>
          <cell r="M320" t="str">
            <v>Single</v>
          </cell>
          <cell r="N320">
            <v>2478</v>
          </cell>
          <cell r="O320">
            <v>1</v>
          </cell>
          <cell r="P320" t="str">
            <v>Yes</v>
          </cell>
          <cell r="Q320">
            <v>2</v>
          </cell>
          <cell r="R320">
            <v>4</v>
          </cell>
          <cell r="S320">
            <v>2</v>
          </cell>
          <cell r="T320">
            <v>4</v>
          </cell>
          <cell r="U320">
            <v>3</v>
          </cell>
          <cell r="V320">
            <v>1</v>
          </cell>
          <cell r="W320">
            <v>2</v>
          </cell>
          <cell r="X320">
            <v>12</v>
          </cell>
          <cell r="Y320">
            <v>0</v>
          </cell>
          <cell r="Z320" t="str">
            <v>Young</v>
          </cell>
          <cell r="AA320" t="str">
            <v>Low</v>
          </cell>
          <cell r="AB320" t="str">
            <v>Mid</v>
          </cell>
          <cell r="AC320" t="str">
            <v>Low</v>
          </cell>
          <cell r="AD320">
            <v>434</v>
          </cell>
        </row>
        <row r="321">
          <cell r="A321">
            <v>32</v>
          </cell>
          <cell r="B321" t="str">
            <v>No</v>
          </cell>
          <cell r="C321" t="str">
            <v>Sales</v>
          </cell>
          <cell r="D321">
            <v>8</v>
          </cell>
          <cell r="E321">
            <v>2</v>
          </cell>
          <cell r="F321" t="str">
            <v>Technical Degree</v>
          </cell>
          <cell r="G321">
            <v>3</v>
          </cell>
          <cell r="H321" t="str">
            <v>Female</v>
          </cell>
          <cell r="I321">
            <v>2</v>
          </cell>
          <cell r="J321">
            <v>2</v>
          </cell>
          <cell r="K321" t="str">
            <v>Sales Executive</v>
          </cell>
          <cell r="L321">
            <v>2</v>
          </cell>
          <cell r="M321" t="str">
            <v>Married</v>
          </cell>
          <cell r="N321">
            <v>5228</v>
          </cell>
          <cell r="O321">
            <v>1</v>
          </cell>
          <cell r="P321" t="str">
            <v>Yes</v>
          </cell>
          <cell r="Q321">
            <v>4</v>
          </cell>
          <cell r="R321">
            <v>13</v>
          </cell>
          <cell r="S321">
            <v>3</v>
          </cell>
          <cell r="T321">
            <v>13</v>
          </cell>
          <cell r="U321">
            <v>12</v>
          </cell>
          <cell r="V321">
            <v>11</v>
          </cell>
          <cell r="W321">
            <v>9</v>
          </cell>
          <cell r="X321">
            <v>11</v>
          </cell>
          <cell r="Y321">
            <v>0</v>
          </cell>
          <cell r="Z321" t="str">
            <v>Mid</v>
          </cell>
          <cell r="AA321" t="str">
            <v>Medium</v>
          </cell>
          <cell r="AB321" t="str">
            <v>Long</v>
          </cell>
          <cell r="AC321" t="str">
            <v>Low</v>
          </cell>
          <cell r="AD321">
            <v>436</v>
          </cell>
        </row>
        <row r="322">
          <cell r="A322">
            <v>27</v>
          </cell>
          <cell r="B322" t="str">
            <v>No</v>
          </cell>
          <cell r="C322" t="str">
            <v>Sales</v>
          </cell>
          <cell r="D322">
            <v>2</v>
          </cell>
          <cell r="E322">
            <v>3</v>
          </cell>
          <cell r="F322" t="str">
            <v>Life Sciences</v>
          </cell>
          <cell r="G322">
            <v>4</v>
          </cell>
          <cell r="H322" t="str">
            <v>Male</v>
          </cell>
          <cell r="I322">
            <v>3</v>
          </cell>
          <cell r="J322">
            <v>2</v>
          </cell>
          <cell r="K322" t="str">
            <v>Sales Executive</v>
          </cell>
          <cell r="L322">
            <v>3</v>
          </cell>
          <cell r="M322" t="str">
            <v>Single</v>
          </cell>
          <cell r="N322">
            <v>4478</v>
          </cell>
          <cell r="O322">
            <v>1</v>
          </cell>
          <cell r="P322" t="str">
            <v>Yes</v>
          </cell>
          <cell r="Q322">
            <v>1</v>
          </cell>
          <cell r="R322">
            <v>5</v>
          </cell>
          <cell r="S322">
            <v>3</v>
          </cell>
          <cell r="T322">
            <v>5</v>
          </cell>
          <cell r="U322">
            <v>4</v>
          </cell>
          <cell r="V322">
            <v>0</v>
          </cell>
          <cell r="W322">
            <v>4</v>
          </cell>
          <cell r="X322">
            <v>11</v>
          </cell>
          <cell r="Y322">
            <v>0</v>
          </cell>
          <cell r="Z322" t="str">
            <v>Young</v>
          </cell>
          <cell r="AA322" t="str">
            <v>Low</v>
          </cell>
          <cell r="AB322" t="str">
            <v>Mid</v>
          </cell>
          <cell r="AC322" t="str">
            <v>Low</v>
          </cell>
          <cell r="AD322">
            <v>437</v>
          </cell>
        </row>
        <row r="323">
          <cell r="A323">
            <v>31</v>
          </cell>
          <cell r="B323" t="str">
            <v>No</v>
          </cell>
          <cell r="C323" t="str">
            <v>Sales</v>
          </cell>
          <cell r="D323">
            <v>7</v>
          </cell>
          <cell r="E323">
            <v>3</v>
          </cell>
          <cell r="F323" t="str">
            <v>Marketing</v>
          </cell>
          <cell r="G323">
            <v>4</v>
          </cell>
          <cell r="H323" t="str">
            <v>Male</v>
          </cell>
          <cell r="I323">
            <v>3</v>
          </cell>
          <cell r="J323">
            <v>2</v>
          </cell>
          <cell r="K323" t="str">
            <v>Sales Executive</v>
          </cell>
          <cell r="L323">
            <v>4</v>
          </cell>
          <cell r="M323" t="str">
            <v>Divorced</v>
          </cell>
          <cell r="N323">
            <v>7547</v>
          </cell>
          <cell r="O323">
            <v>4</v>
          </cell>
          <cell r="P323" t="str">
            <v>No</v>
          </cell>
          <cell r="Q323">
            <v>4</v>
          </cell>
          <cell r="R323">
            <v>13</v>
          </cell>
          <cell r="S323">
            <v>3</v>
          </cell>
          <cell r="T323">
            <v>7</v>
          </cell>
          <cell r="U323">
            <v>7</v>
          </cell>
          <cell r="V323">
            <v>1</v>
          </cell>
          <cell r="W323">
            <v>7</v>
          </cell>
          <cell r="X323">
            <v>12</v>
          </cell>
          <cell r="Y323">
            <v>0</v>
          </cell>
          <cell r="Z323" t="str">
            <v>Mid</v>
          </cell>
          <cell r="AA323" t="str">
            <v>Medium</v>
          </cell>
          <cell r="AB323" t="str">
            <v>Long</v>
          </cell>
          <cell r="AC323" t="str">
            <v>Low</v>
          </cell>
          <cell r="AD323">
            <v>438</v>
          </cell>
        </row>
        <row r="324">
          <cell r="A324">
            <v>32</v>
          </cell>
          <cell r="B324" t="str">
            <v>No</v>
          </cell>
          <cell r="C324" t="str">
            <v>Research &amp; Development</v>
          </cell>
          <cell r="D324">
            <v>2</v>
          </cell>
          <cell r="E324">
            <v>4</v>
          </cell>
          <cell r="F324" t="str">
            <v>Medical</v>
          </cell>
          <cell r="G324">
            <v>1</v>
          </cell>
          <cell r="H324" t="str">
            <v>Female</v>
          </cell>
          <cell r="I324">
            <v>4</v>
          </cell>
          <cell r="J324">
            <v>2</v>
          </cell>
          <cell r="K324" t="str">
            <v>Research Scientist</v>
          </cell>
          <cell r="L324">
            <v>4</v>
          </cell>
          <cell r="M324" t="str">
            <v>Single</v>
          </cell>
          <cell r="N324">
            <v>5055</v>
          </cell>
          <cell r="O324">
            <v>7</v>
          </cell>
          <cell r="P324" t="str">
            <v>No</v>
          </cell>
          <cell r="Q324">
            <v>3</v>
          </cell>
          <cell r="R324">
            <v>10</v>
          </cell>
          <cell r="S324">
            <v>2</v>
          </cell>
          <cell r="T324">
            <v>7</v>
          </cell>
          <cell r="U324">
            <v>7</v>
          </cell>
          <cell r="V324">
            <v>0</v>
          </cell>
          <cell r="W324">
            <v>7</v>
          </cell>
          <cell r="X324">
            <v>16</v>
          </cell>
          <cell r="Y324">
            <v>0</v>
          </cell>
          <cell r="Z324" t="str">
            <v>Mid</v>
          </cell>
          <cell r="AA324" t="str">
            <v>Medium</v>
          </cell>
          <cell r="AB324" t="str">
            <v>Long</v>
          </cell>
          <cell r="AC324" t="str">
            <v>Medium</v>
          </cell>
          <cell r="AD324">
            <v>439</v>
          </cell>
        </row>
        <row r="325">
          <cell r="A325">
            <v>28</v>
          </cell>
          <cell r="B325" t="str">
            <v>Yes</v>
          </cell>
          <cell r="C325" t="str">
            <v>Research &amp; Development</v>
          </cell>
          <cell r="D325">
            <v>2</v>
          </cell>
          <cell r="E325">
            <v>4</v>
          </cell>
          <cell r="F325" t="str">
            <v>Medical</v>
          </cell>
          <cell r="G325">
            <v>1</v>
          </cell>
          <cell r="H325" t="str">
            <v>Male</v>
          </cell>
          <cell r="I325">
            <v>1</v>
          </cell>
          <cell r="J325">
            <v>1</v>
          </cell>
          <cell r="K325" t="str">
            <v>Research Scientist</v>
          </cell>
          <cell r="L325">
            <v>4</v>
          </cell>
          <cell r="M325" t="str">
            <v>Married</v>
          </cell>
          <cell r="N325">
            <v>3464</v>
          </cell>
          <cell r="O325">
            <v>5</v>
          </cell>
          <cell r="P325" t="str">
            <v>Yes</v>
          </cell>
          <cell r="Q325">
            <v>4</v>
          </cell>
          <cell r="R325">
            <v>5</v>
          </cell>
          <cell r="S325">
            <v>2</v>
          </cell>
          <cell r="T325">
            <v>3</v>
          </cell>
          <cell r="U325">
            <v>2</v>
          </cell>
          <cell r="V325">
            <v>2</v>
          </cell>
          <cell r="W325">
            <v>2</v>
          </cell>
          <cell r="X325">
            <v>13</v>
          </cell>
          <cell r="Y325">
            <v>1</v>
          </cell>
          <cell r="Z325" t="str">
            <v>Young</v>
          </cell>
          <cell r="AA325" t="str">
            <v>Low</v>
          </cell>
          <cell r="AB325" t="str">
            <v>Mid</v>
          </cell>
          <cell r="AC325" t="str">
            <v>Medium</v>
          </cell>
          <cell r="AD325">
            <v>440</v>
          </cell>
        </row>
        <row r="326">
          <cell r="A326">
            <v>30</v>
          </cell>
          <cell r="B326" t="str">
            <v>No</v>
          </cell>
          <cell r="C326" t="str">
            <v>Research &amp; Development</v>
          </cell>
          <cell r="D326">
            <v>28</v>
          </cell>
          <cell r="E326">
            <v>2</v>
          </cell>
          <cell r="F326" t="str">
            <v>Medical</v>
          </cell>
          <cell r="G326">
            <v>4</v>
          </cell>
          <cell r="H326" t="str">
            <v>Female</v>
          </cell>
          <cell r="I326">
            <v>3</v>
          </cell>
          <cell r="J326">
            <v>2</v>
          </cell>
          <cell r="K326" t="str">
            <v>Research Scientist</v>
          </cell>
          <cell r="L326">
            <v>4</v>
          </cell>
          <cell r="M326" t="str">
            <v>Married</v>
          </cell>
          <cell r="N326">
            <v>5775</v>
          </cell>
          <cell r="O326">
            <v>1</v>
          </cell>
          <cell r="P326" t="str">
            <v>No</v>
          </cell>
          <cell r="Q326">
            <v>4</v>
          </cell>
          <cell r="R326">
            <v>11</v>
          </cell>
          <cell r="S326">
            <v>3</v>
          </cell>
          <cell r="T326">
            <v>10</v>
          </cell>
          <cell r="U326">
            <v>8</v>
          </cell>
          <cell r="V326">
            <v>1</v>
          </cell>
          <cell r="W326">
            <v>9</v>
          </cell>
          <cell r="X326">
            <v>13</v>
          </cell>
          <cell r="Y326">
            <v>0</v>
          </cell>
          <cell r="Z326" t="str">
            <v>Mid</v>
          </cell>
          <cell r="AA326" t="str">
            <v>Medium</v>
          </cell>
          <cell r="AB326" t="str">
            <v>Long</v>
          </cell>
          <cell r="AC326" t="str">
            <v>Medium</v>
          </cell>
          <cell r="AD326">
            <v>441</v>
          </cell>
        </row>
        <row r="327">
          <cell r="A327">
            <v>31</v>
          </cell>
          <cell r="B327" t="str">
            <v>No</v>
          </cell>
          <cell r="C327" t="str">
            <v>Research &amp; Development</v>
          </cell>
          <cell r="D327">
            <v>7</v>
          </cell>
          <cell r="E327">
            <v>2</v>
          </cell>
          <cell r="F327" t="str">
            <v>Life Sciences</v>
          </cell>
          <cell r="G327">
            <v>3</v>
          </cell>
          <cell r="H327" t="str">
            <v>Female</v>
          </cell>
          <cell r="I327">
            <v>2</v>
          </cell>
          <cell r="J327">
            <v>3</v>
          </cell>
          <cell r="K327" t="str">
            <v>Manufacturing Director</v>
          </cell>
          <cell r="L327">
            <v>3</v>
          </cell>
          <cell r="M327" t="str">
            <v>Married</v>
          </cell>
          <cell r="N327">
            <v>8943</v>
          </cell>
          <cell r="O327">
            <v>1</v>
          </cell>
          <cell r="P327" t="str">
            <v>No</v>
          </cell>
          <cell r="Q327">
            <v>1</v>
          </cell>
          <cell r="R327">
            <v>10</v>
          </cell>
          <cell r="S327">
            <v>3</v>
          </cell>
          <cell r="T327">
            <v>10</v>
          </cell>
          <cell r="U327">
            <v>9</v>
          </cell>
          <cell r="V327">
            <v>8</v>
          </cell>
          <cell r="W327">
            <v>9</v>
          </cell>
          <cell r="X327">
            <v>24</v>
          </cell>
          <cell r="Y327">
            <v>0</v>
          </cell>
          <cell r="Z327" t="str">
            <v>Mid</v>
          </cell>
          <cell r="AA327" t="str">
            <v>Medium</v>
          </cell>
          <cell r="AB327" t="str">
            <v>Long</v>
          </cell>
          <cell r="AC327" t="str">
            <v>High</v>
          </cell>
          <cell r="AD327">
            <v>442</v>
          </cell>
        </row>
        <row r="328">
          <cell r="A328">
            <v>39</v>
          </cell>
          <cell r="B328" t="str">
            <v>No</v>
          </cell>
          <cell r="C328" t="str">
            <v>Research &amp; Development</v>
          </cell>
          <cell r="D328">
            <v>7</v>
          </cell>
          <cell r="E328">
            <v>2</v>
          </cell>
          <cell r="F328" t="str">
            <v>Medical</v>
          </cell>
          <cell r="G328">
            <v>3</v>
          </cell>
          <cell r="H328" t="str">
            <v>Male</v>
          </cell>
          <cell r="I328">
            <v>2</v>
          </cell>
          <cell r="J328">
            <v>5</v>
          </cell>
          <cell r="K328" t="str">
            <v>Manager</v>
          </cell>
          <cell r="L328">
            <v>4</v>
          </cell>
          <cell r="M328" t="str">
            <v>Married</v>
          </cell>
          <cell r="N328">
            <v>19272</v>
          </cell>
          <cell r="O328">
            <v>1</v>
          </cell>
          <cell r="P328" t="str">
            <v>No</v>
          </cell>
          <cell r="Q328">
            <v>1</v>
          </cell>
          <cell r="R328">
            <v>21</v>
          </cell>
          <cell r="S328">
            <v>3</v>
          </cell>
          <cell r="T328">
            <v>21</v>
          </cell>
          <cell r="U328">
            <v>9</v>
          </cell>
          <cell r="V328">
            <v>13</v>
          </cell>
          <cell r="W328">
            <v>3</v>
          </cell>
          <cell r="X328">
            <v>15</v>
          </cell>
          <cell r="Y328">
            <v>0</v>
          </cell>
          <cell r="Z328" t="str">
            <v>Mid</v>
          </cell>
          <cell r="AA328" t="str">
            <v>High</v>
          </cell>
          <cell r="AB328" t="str">
            <v>Long</v>
          </cell>
          <cell r="AC328" t="str">
            <v>Medium</v>
          </cell>
          <cell r="AD328">
            <v>444</v>
          </cell>
        </row>
        <row r="329">
          <cell r="A329">
            <v>39</v>
          </cell>
          <cell r="B329" t="str">
            <v>Yes</v>
          </cell>
          <cell r="C329" t="str">
            <v>Sales</v>
          </cell>
          <cell r="D329">
            <v>3</v>
          </cell>
          <cell r="E329">
            <v>2</v>
          </cell>
          <cell r="F329" t="str">
            <v>Medical</v>
          </cell>
          <cell r="G329">
            <v>4</v>
          </cell>
          <cell r="H329" t="str">
            <v>Female</v>
          </cell>
          <cell r="I329">
            <v>3</v>
          </cell>
          <cell r="J329">
            <v>2</v>
          </cell>
          <cell r="K329" t="str">
            <v>Sales Executive</v>
          </cell>
          <cell r="L329">
            <v>3</v>
          </cell>
          <cell r="M329" t="str">
            <v>Married</v>
          </cell>
          <cell r="N329">
            <v>5238</v>
          </cell>
          <cell r="O329">
            <v>4</v>
          </cell>
          <cell r="P329" t="str">
            <v>Yes</v>
          </cell>
          <cell r="Q329">
            <v>1</v>
          </cell>
          <cell r="R329">
            <v>12</v>
          </cell>
          <cell r="S329">
            <v>2</v>
          </cell>
          <cell r="T329">
            <v>1</v>
          </cell>
          <cell r="U329">
            <v>0</v>
          </cell>
          <cell r="V329">
            <v>0</v>
          </cell>
          <cell r="W329">
            <v>0</v>
          </cell>
          <cell r="X329">
            <v>18</v>
          </cell>
          <cell r="Y329">
            <v>1</v>
          </cell>
          <cell r="Z329" t="str">
            <v>Mid</v>
          </cell>
          <cell r="AA329" t="str">
            <v>Medium</v>
          </cell>
          <cell r="AB329" t="str">
            <v>Early</v>
          </cell>
          <cell r="AC329" t="str">
            <v>High</v>
          </cell>
          <cell r="AD329">
            <v>445</v>
          </cell>
        </row>
        <row r="330">
          <cell r="A330">
            <v>33</v>
          </cell>
          <cell r="B330" t="str">
            <v>No</v>
          </cell>
          <cell r="C330" t="str">
            <v>Sales</v>
          </cell>
          <cell r="D330">
            <v>10</v>
          </cell>
          <cell r="E330">
            <v>3</v>
          </cell>
          <cell r="F330" t="str">
            <v>Marketing</v>
          </cell>
          <cell r="G330">
            <v>2</v>
          </cell>
          <cell r="H330" t="str">
            <v>Male</v>
          </cell>
          <cell r="I330">
            <v>2</v>
          </cell>
          <cell r="J330">
            <v>2</v>
          </cell>
          <cell r="K330" t="str">
            <v>Sales Executive</v>
          </cell>
          <cell r="L330">
            <v>4</v>
          </cell>
          <cell r="M330" t="str">
            <v>Single</v>
          </cell>
          <cell r="N330">
            <v>4682</v>
          </cell>
          <cell r="O330">
            <v>3</v>
          </cell>
          <cell r="P330" t="str">
            <v>No</v>
          </cell>
          <cell r="Q330">
            <v>3</v>
          </cell>
          <cell r="R330">
            <v>9</v>
          </cell>
          <cell r="S330">
            <v>2</v>
          </cell>
          <cell r="T330">
            <v>7</v>
          </cell>
          <cell r="U330">
            <v>7</v>
          </cell>
          <cell r="V330">
            <v>0</v>
          </cell>
          <cell r="W330">
            <v>1</v>
          </cell>
          <cell r="X330">
            <v>14</v>
          </cell>
          <cell r="Y330">
            <v>0</v>
          </cell>
          <cell r="Z330" t="str">
            <v>Mid</v>
          </cell>
          <cell r="AA330" t="str">
            <v>Low</v>
          </cell>
          <cell r="AB330" t="str">
            <v>Long</v>
          </cell>
          <cell r="AC330" t="str">
            <v>Medium</v>
          </cell>
          <cell r="AD330">
            <v>446</v>
          </cell>
        </row>
        <row r="331">
          <cell r="A331">
            <v>47</v>
          </cell>
          <cell r="B331" t="str">
            <v>No</v>
          </cell>
          <cell r="C331" t="str">
            <v>Research &amp; Development</v>
          </cell>
          <cell r="D331">
            <v>5</v>
          </cell>
          <cell r="E331">
            <v>5</v>
          </cell>
          <cell r="F331" t="str">
            <v>Life Sciences</v>
          </cell>
          <cell r="G331">
            <v>4</v>
          </cell>
          <cell r="H331" t="str">
            <v>Male</v>
          </cell>
          <cell r="I331">
            <v>3</v>
          </cell>
          <cell r="J331">
            <v>5</v>
          </cell>
          <cell r="K331" t="str">
            <v>Research Director</v>
          </cell>
          <cell r="L331">
            <v>3</v>
          </cell>
          <cell r="M331" t="str">
            <v>Married</v>
          </cell>
          <cell r="N331">
            <v>18300</v>
          </cell>
          <cell r="O331">
            <v>4</v>
          </cell>
          <cell r="P331" t="str">
            <v>No</v>
          </cell>
          <cell r="Q331">
            <v>2</v>
          </cell>
          <cell r="R331">
            <v>21</v>
          </cell>
          <cell r="S331">
            <v>3</v>
          </cell>
          <cell r="T331">
            <v>3</v>
          </cell>
          <cell r="U331">
            <v>2</v>
          </cell>
          <cell r="V331">
            <v>1</v>
          </cell>
          <cell r="W331">
            <v>1</v>
          </cell>
          <cell r="X331">
            <v>11</v>
          </cell>
          <cell r="Y331">
            <v>0</v>
          </cell>
          <cell r="Z331" t="str">
            <v>Senior</v>
          </cell>
          <cell r="AA331" t="str">
            <v>High</v>
          </cell>
          <cell r="AB331" t="str">
            <v>Mid</v>
          </cell>
          <cell r="AC331" t="str">
            <v>Low</v>
          </cell>
          <cell r="AD331">
            <v>447</v>
          </cell>
        </row>
        <row r="332">
          <cell r="A332">
            <v>43</v>
          </cell>
          <cell r="B332" t="str">
            <v>No</v>
          </cell>
          <cell r="C332" t="str">
            <v>Research &amp; Development</v>
          </cell>
          <cell r="D332">
            <v>10</v>
          </cell>
          <cell r="E332">
            <v>4</v>
          </cell>
          <cell r="F332" t="str">
            <v>Life Sciences</v>
          </cell>
          <cell r="G332">
            <v>3</v>
          </cell>
          <cell r="H332" t="str">
            <v>Female</v>
          </cell>
          <cell r="I332">
            <v>2</v>
          </cell>
          <cell r="J332">
            <v>2</v>
          </cell>
          <cell r="K332" t="str">
            <v>Laboratory Technician</v>
          </cell>
          <cell r="L332">
            <v>3</v>
          </cell>
          <cell r="M332" t="str">
            <v>Divorced</v>
          </cell>
          <cell r="N332">
            <v>5257</v>
          </cell>
          <cell r="O332">
            <v>1</v>
          </cell>
          <cell r="P332" t="str">
            <v>No</v>
          </cell>
          <cell r="Q332">
            <v>2</v>
          </cell>
          <cell r="R332">
            <v>9</v>
          </cell>
          <cell r="S332">
            <v>4</v>
          </cell>
          <cell r="T332">
            <v>9</v>
          </cell>
          <cell r="U332">
            <v>7</v>
          </cell>
          <cell r="V332">
            <v>0</v>
          </cell>
          <cell r="W332">
            <v>0</v>
          </cell>
          <cell r="X332">
            <v>11</v>
          </cell>
          <cell r="Y332">
            <v>0</v>
          </cell>
          <cell r="Z332" t="str">
            <v>Mid</v>
          </cell>
          <cell r="AA332" t="str">
            <v>Medium</v>
          </cell>
          <cell r="AB332" t="str">
            <v>Long</v>
          </cell>
          <cell r="AC332" t="str">
            <v>Low</v>
          </cell>
          <cell r="AD332">
            <v>448</v>
          </cell>
        </row>
        <row r="333">
          <cell r="A333">
            <v>27</v>
          </cell>
          <cell r="B333" t="str">
            <v>No</v>
          </cell>
          <cell r="C333" t="str">
            <v>Sales</v>
          </cell>
          <cell r="D333">
            <v>1</v>
          </cell>
          <cell r="E333">
            <v>1</v>
          </cell>
          <cell r="F333" t="str">
            <v>Marketing</v>
          </cell>
          <cell r="G333">
            <v>3</v>
          </cell>
          <cell r="H333" t="str">
            <v>Male</v>
          </cell>
          <cell r="I333">
            <v>3</v>
          </cell>
          <cell r="J333">
            <v>2</v>
          </cell>
          <cell r="K333" t="str">
            <v>Sales Executive</v>
          </cell>
          <cell r="L333">
            <v>2</v>
          </cell>
          <cell r="M333" t="str">
            <v>Married</v>
          </cell>
          <cell r="N333">
            <v>6349</v>
          </cell>
          <cell r="O333">
            <v>0</v>
          </cell>
          <cell r="P333" t="str">
            <v>Yes</v>
          </cell>
          <cell r="Q333">
            <v>4</v>
          </cell>
          <cell r="R333">
            <v>6</v>
          </cell>
          <cell r="S333">
            <v>3</v>
          </cell>
          <cell r="T333">
            <v>5</v>
          </cell>
          <cell r="U333">
            <v>4</v>
          </cell>
          <cell r="V333">
            <v>1</v>
          </cell>
          <cell r="W333">
            <v>4</v>
          </cell>
          <cell r="X333">
            <v>13</v>
          </cell>
          <cell r="Y333">
            <v>0</v>
          </cell>
          <cell r="Z333" t="str">
            <v>Young</v>
          </cell>
          <cell r="AA333" t="str">
            <v>Medium</v>
          </cell>
          <cell r="AB333" t="str">
            <v>Mid</v>
          </cell>
          <cell r="AC333" t="str">
            <v>Medium</v>
          </cell>
          <cell r="AD333">
            <v>449</v>
          </cell>
        </row>
        <row r="334">
          <cell r="A334">
            <v>54</v>
          </cell>
          <cell r="B334" t="str">
            <v>No</v>
          </cell>
          <cell r="C334" t="str">
            <v>Research &amp; Development</v>
          </cell>
          <cell r="D334">
            <v>20</v>
          </cell>
          <cell r="E334">
            <v>4</v>
          </cell>
          <cell r="F334" t="str">
            <v>Life Sciences</v>
          </cell>
          <cell r="G334">
            <v>4</v>
          </cell>
          <cell r="H334" t="str">
            <v>Female</v>
          </cell>
          <cell r="I334">
            <v>3</v>
          </cell>
          <cell r="J334">
            <v>2</v>
          </cell>
          <cell r="K334" t="str">
            <v>Research Scientist</v>
          </cell>
          <cell r="L334">
            <v>3</v>
          </cell>
          <cell r="M334" t="str">
            <v>Single</v>
          </cell>
          <cell r="N334">
            <v>4869</v>
          </cell>
          <cell r="O334">
            <v>3</v>
          </cell>
          <cell r="P334" t="str">
            <v>No</v>
          </cell>
          <cell r="Q334">
            <v>4</v>
          </cell>
          <cell r="R334">
            <v>20</v>
          </cell>
          <cell r="S334">
            <v>2</v>
          </cell>
          <cell r="T334">
            <v>4</v>
          </cell>
          <cell r="U334">
            <v>3</v>
          </cell>
          <cell r="V334">
            <v>0</v>
          </cell>
          <cell r="W334">
            <v>3</v>
          </cell>
          <cell r="X334">
            <v>12</v>
          </cell>
          <cell r="Y334">
            <v>0</v>
          </cell>
          <cell r="Z334" t="str">
            <v>Senior</v>
          </cell>
          <cell r="AA334" t="str">
            <v>Low</v>
          </cell>
          <cell r="AB334" t="str">
            <v>Mid</v>
          </cell>
          <cell r="AC334" t="str">
            <v>Low</v>
          </cell>
          <cell r="AD334">
            <v>450</v>
          </cell>
        </row>
        <row r="335">
          <cell r="A335">
            <v>43</v>
          </cell>
          <cell r="B335" t="str">
            <v>No</v>
          </cell>
          <cell r="C335" t="str">
            <v>Research &amp; Development</v>
          </cell>
          <cell r="D335">
            <v>7</v>
          </cell>
          <cell r="E335">
            <v>3</v>
          </cell>
          <cell r="F335" t="str">
            <v>Life Sciences</v>
          </cell>
          <cell r="G335">
            <v>3</v>
          </cell>
          <cell r="H335" t="str">
            <v>Female</v>
          </cell>
          <cell r="I335">
            <v>3</v>
          </cell>
          <cell r="J335">
            <v>3</v>
          </cell>
          <cell r="K335" t="str">
            <v>Healthcare Representative</v>
          </cell>
          <cell r="L335">
            <v>1</v>
          </cell>
          <cell r="M335" t="str">
            <v>Married</v>
          </cell>
          <cell r="N335">
            <v>9985</v>
          </cell>
          <cell r="O335">
            <v>8</v>
          </cell>
          <cell r="P335" t="str">
            <v>No</v>
          </cell>
          <cell r="Q335">
            <v>1</v>
          </cell>
          <cell r="R335">
            <v>10</v>
          </cell>
          <cell r="S335">
            <v>2</v>
          </cell>
          <cell r="T335">
            <v>1</v>
          </cell>
          <cell r="U335">
            <v>0</v>
          </cell>
          <cell r="V335">
            <v>0</v>
          </cell>
          <cell r="W335">
            <v>0</v>
          </cell>
          <cell r="X335">
            <v>16</v>
          </cell>
          <cell r="Y335">
            <v>0</v>
          </cell>
          <cell r="Z335" t="str">
            <v>Mid</v>
          </cell>
          <cell r="AA335" t="str">
            <v>Medium</v>
          </cell>
          <cell r="AB335" t="str">
            <v>Early</v>
          </cell>
          <cell r="AC335" t="str">
            <v>Medium</v>
          </cell>
          <cell r="AD335">
            <v>451</v>
          </cell>
        </row>
        <row r="336">
          <cell r="A336">
            <v>45</v>
          </cell>
          <cell r="B336" t="str">
            <v>No</v>
          </cell>
          <cell r="C336" t="str">
            <v>Research &amp; Development</v>
          </cell>
          <cell r="D336">
            <v>8</v>
          </cell>
          <cell r="E336">
            <v>4</v>
          </cell>
          <cell r="F336" t="str">
            <v>Other</v>
          </cell>
          <cell r="G336">
            <v>4</v>
          </cell>
          <cell r="H336" t="str">
            <v>Male</v>
          </cell>
          <cell r="I336">
            <v>3</v>
          </cell>
          <cell r="J336">
            <v>2</v>
          </cell>
          <cell r="K336" t="str">
            <v>Research Scientist</v>
          </cell>
          <cell r="L336">
            <v>4</v>
          </cell>
          <cell r="M336" t="str">
            <v>Married</v>
          </cell>
          <cell r="N336">
            <v>3697</v>
          </cell>
          <cell r="O336">
            <v>9</v>
          </cell>
          <cell r="P336" t="str">
            <v>No</v>
          </cell>
          <cell r="Q336">
            <v>1</v>
          </cell>
          <cell r="R336">
            <v>12</v>
          </cell>
          <cell r="S336">
            <v>3</v>
          </cell>
          <cell r="T336">
            <v>10</v>
          </cell>
          <cell r="U336">
            <v>9</v>
          </cell>
          <cell r="V336">
            <v>9</v>
          </cell>
          <cell r="W336">
            <v>8</v>
          </cell>
          <cell r="X336">
            <v>14</v>
          </cell>
          <cell r="Y336">
            <v>0</v>
          </cell>
          <cell r="Z336" t="str">
            <v>Senior</v>
          </cell>
          <cell r="AA336" t="str">
            <v>Low</v>
          </cell>
          <cell r="AB336" t="str">
            <v>Long</v>
          </cell>
          <cell r="AC336" t="str">
            <v>Medium</v>
          </cell>
          <cell r="AD336">
            <v>452</v>
          </cell>
        </row>
        <row r="337">
          <cell r="A337">
            <v>40</v>
          </cell>
          <cell r="B337" t="str">
            <v>No</v>
          </cell>
          <cell r="C337" t="str">
            <v>Sales</v>
          </cell>
          <cell r="D337">
            <v>1</v>
          </cell>
          <cell r="E337">
            <v>2</v>
          </cell>
          <cell r="F337" t="str">
            <v>Medical</v>
          </cell>
          <cell r="G337">
            <v>2</v>
          </cell>
          <cell r="H337" t="str">
            <v>Male</v>
          </cell>
          <cell r="I337">
            <v>1</v>
          </cell>
          <cell r="J337">
            <v>2</v>
          </cell>
          <cell r="K337" t="str">
            <v>Sales Executive</v>
          </cell>
          <cell r="L337">
            <v>4</v>
          </cell>
          <cell r="M337" t="str">
            <v>Married</v>
          </cell>
          <cell r="N337">
            <v>7457</v>
          </cell>
          <cell r="O337">
            <v>2</v>
          </cell>
          <cell r="P337" t="str">
            <v>Yes</v>
          </cell>
          <cell r="Q337">
            <v>3</v>
          </cell>
          <cell r="R337">
            <v>6</v>
          </cell>
          <cell r="S337">
            <v>2</v>
          </cell>
          <cell r="T337">
            <v>4</v>
          </cell>
          <cell r="U337">
            <v>3</v>
          </cell>
          <cell r="V337">
            <v>0</v>
          </cell>
          <cell r="W337">
            <v>2</v>
          </cell>
          <cell r="X337">
            <v>22</v>
          </cell>
          <cell r="Y337">
            <v>0</v>
          </cell>
          <cell r="Z337" t="str">
            <v>Mid</v>
          </cell>
          <cell r="AA337" t="str">
            <v>Medium</v>
          </cell>
          <cell r="AB337" t="str">
            <v>Mid</v>
          </cell>
          <cell r="AC337" t="str">
            <v>High</v>
          </cell>
          <cell r="AD337">
            <v>453</v>
          </cell>
        </row>
        <row r="338">
          <cell r="A338">
            <v>29</v>
          </cell>
          <cell r="B338" t="str">
            <v>Yes</v>
          </cell>
          <cell r="C338" t="str">
            <v>Research &amp; Development</v>
          </cell>
          <cell r="D338">
            <v>8</v>
          </cell>
          <cell r="E338">
            <v>4</v>
          </cell>
          <cell r="F338" t="str">
            <v>Other</v>
          </cell>
          <cell r="G338">
            <v>2</v>
          </cell>
          <cell r="H338" t="str">
            <v>Male</v>
          </cell>
          <cell r="I338">
            <v>1</v>
          </cell>
          <cell r="J338">
            <v>1</v>
          </cell>
          <cell r="K338" t="str">
            <v>Laboratory Technician</v>
          </cell>
          <cell r="L338">
            <v>1</v>
          </cell>
          <cell r="M338" t="str">
            <v>Married</v>
          </cell>
          <cell r="N338">
            <v>2119</v>
          </cell>
          <cell r="O338">
            <v>1</v>
          </cell>
          <cell r="P338" t="str">
            <v>Yes</v>
          </cell>
          <cell r="Q338">
            <v>4</v>
          </cell>
          <cell r="R338">
            <v>7</v>
          </cell>
          <cell r="S338">
            <v>2</v>
          </cell>
          <cell r="T338">
            <v>7</v>
          </cell>
          <cell r="U338">
            <v>7</v>
          </cell>
          <cell r="V338">
            <v>0</v>
          </cell>
          <cell r="W338">
            <v>7</v>
          </cell>
          <cell r="X338">
            <v>11</v>
          </cell>
          <cell r="Y338">
            <v>1</v>
          </cell>
          <cell r="Z338" t="str">
            <v>Young</v>
          </cell>
          <cell r="AA338" t="str">
            <v>Low</v>
          </cell>
          <cell r="AB338" t="str">
            <v>Long</v>
          </cell>
          <cell r="AC338" t="str">
            <v>Low</v>
          </cell>
          <cell r="AD338">
            <v>454</v>
          </cell>
        </row>
        <row r="339">
          <cell r="A339">
            <v>29</v>
          </cell>
          <cell r="B339" t="str">
            <v>No</v>
          </cell>
          <cell r="C339" t="str">
            <v>Research &amp; Development</v>
          </cell>
          <cell r="D339">
            <v>9</v>
          </cell>
          <cell r="E339">
            <v>5</v>
          </cell>
          <cell r="F339" t="str">
            <v>Other</v>
          </cell>
          <cell r="G339">
            <v>2</v>
          </cell>
          <cell r="H339" t="str">
            <v>Male</v>
          </cell>
          <cell r="I339">
            <v>2</v>
          </cell>
          <cell r="J339">
            <v>1</v>
          </cell>
          <cell r="K339" t="str">
            <v>Laboratory Technician</v>
          </cell>
          <cell r="L339">
            <v>4</v>
          </cell>
          <cell r="M339" t="str">
            <v>Single</v>
          </cell>
          <cell r="N339">
            <v>3983</v>
          </cell>
          <cell r="O339">
            <v>0</v>
          </cell>
          <cell r="P339" t="str">
            <v>No</v>
          </cell>
          <cell r="Q339">
            <v>3</v>
          </cell>
          <cell r="R339">
            <v>4</v>
          </cell>
          <cell r="S339">
            <v>3</v>
          </cell>
          <cell r="T339">
            <v>3</v>
          </cell>
          <cell r="U339">
            <v>2</v>
          </cell>
          <cell r="V339">
            <v>2</v>
          </cell>
          <cell r="W339">
            <v>2</v>
          </cell>
          <cell r="X339">
            <v>17</v>
          </cell>
          <cell r="Y339">
            <v>0</v>
          </cell>
          <cell r="Z339" t="str">
            <v>Young</v>
          </cell>
          <cell r="AA339" t="str">
            <v>Low</v>
          </cell>
          <cell r="AB339" t="str">
            <v>Mid</v>
          </cell>
          <cell r="AC339" t="str">
            <v>Medium</v>
          </cell>
          <cell r="AD339">
            <v>455</v>
          </cell>
        </row>
        <row r="340">
          <cell r="A340">
            <v>30</v>
          </cell>
          <cell r="B340" t="str">
            <v>No</v>
          </cell>
          <cell r="C340" t="str">
            <v>Sales</v>
          </cell>
          <cell r="D340">
            <v>5</v>
          </cell>
          <cell r="E340">
            <v>3</v>
          </cell>
          <cell r="F340" t="str">
            <v>Marketing</v>
          </cell>
          <cell r="G340">
            <v>4</v>
          </cell>
          <cell r="H340" t="str">
            <v>Female</v>
          </cell>
          <cell r="I340">
            <v>2</v>
          </cell>
          <cell r="J340">
            <v>2</v>
          </cell>
          <cell r="K340" t="str">
            <v>Sales Executive</v>
          </cell>
          <cell r="L340">
            <v>3</v>
          </cell>
          <cell r="M340" t="str">
            <v>Divorced</v>
          </cell>
          <cell r="N340">
            <v>6118</v>
          </cell>
          <cell r="O340">
            <v>1</v>
          </cell>
          <cell r="P340" t="str">
            <v>No</v>
          </cell>
          <cell r="Q340">
            <v>3</v>
          </cell>
          <cell r="R340">
            <v>10</v>
          </cell>
          <cell r="S340">
            <v>3</v>
          </cell>
          <cell r="T340">
            <v>10</v>
          </cell>
          <cell r="U340">
            <v>9</v>
          </cell>
          <cell r="V340">
            <v>1</v>
          </cell>
          <cell r="W340">
            <v>2</v>
          </cell>
          <cell r="X340">
            <v>13</v>
          </cell>
          <cell r="Y340">
            <v>0</v>
          </cell>
          <cell r="Z340" t="str">
            <v>Mid</v>
          </cell>
          <cell r="AA340" t="str">
            <v>Medium</v>
          </cell>
          <cell r="AB340" t="str">
            <v>Long</v>
          </cell>
          <cell r="AC340" t="str">
            <v>Medium</v>
          </cell>
          <cell r="AD340">
            <v>456</v>
          </cell>
        </row>
        <row r="341">
          <cell r="A341">
            <v>27</v>
          </cell>
          <cell r="B341" t="str">
            <v>No</v>
          </cell>
          <cell r="C341" t="str">
            <v>Sales</v>
          </cell>
          <cell r="D341">
            <v>8</v>
          </cell>
          <cell r="E341">
            <v>4</v>
          </cell>
          <cell r="F341" t="str">
            <v>Marketing</v>
          </cell>
          <cell r="G341">
            <v>2</v>
          </cell>
          <cell r="H341" t="str">
            <v>Female</v>
          </cell>
          <cell r="I341">
            <v>3</v>
          </cell>
          <cell r="J341">
            <v>2</v>
          </cell>
          <cell r="K341" t="str">
            <v>Sales Executive</v>
          </cell>
          <cell r="L341">
            <v>2</v>
          </cell>
          <cell r="M341" t="str">
            <v>Married</v>
          </cell>
          <cell r="N341">
            <v>6214</v>
          </cell>
          <cell r="O341">
            <v>1</v>
          </cell>
          <cell r="P341" t="str">
            <v>No</v>
          </cell>
          <cell r="Q341">
            <v>1</v>
          </cell>
          <cell r="R341">
            <v>8</v>
          </cell>
          <cell r="S341">
            <v>3</v>
          </cell>
          <cell r="T341">
            <v>8</v>
          </cell>
          <cell r="U341">
            <v>7</v>
          </cell>
          <cell r="V341">
            <v>0</v>
          </cell>
          <cell r="W341">
            <v>7</v>
          </cell>
          <cell r="X341">
            <v>18</v>
          </cell>
          <cell r="Y341">
            <v>0</v>
          </cell>
          <cell r="Z341" t="str">
            <v>Young</v>
          </cell>
          <cell r="AA341" t="str">
            <v>Medium</v>
          </cell>
          <cell r="AB341" t="str">
            <v>Long</v>
          </cell>
          <cell r="AC341" t="str">
            <v>High</v>
          </cell>
          <cell r="AD341">
            <v>458</v>
          </cell>
        </row>
        <row r="342">
          <cell r="A342">
            <v>37</v>
          </cell>
          <cell r="B342" t="str">
            <v>No</v>
          </cell>
          <cell r="C342" t="str">
            <v>Research &amp; Development</v>
          </cell>
          <cell r="D342">
            <v>5</v>
          </cell>
          <cell r="E342">
            <v>2</v>
          </cell>
          <cell r="F342" t="str">
            <v>Medical</v>
          </cell>
          <cell r="G342">
            <v>4</v>
          </cell>
          <cell r="H342" t="str">
            <v>Male</v>
          </cell>
          <cell r="I342">
            <v>3</v>
          </cell>
          <cell r="J342">
            <v>2</v>
          </cell>
          <cell r="K342" t="str">
            <v>Manufacturing Director</v>
          </cell>
          <cell r="L342">
            <v>4</v>
          </cell>
          <cell r="M342" t="str">
            <v>Divorced</v>
          </cell>
          <cell r="N342">
            <v>6347</v>
          </cell>
          <cell r="O342">
            <v>7</v>
          </cell>
          <cell r="P342" t="str">
            <v>No</v>
          </cell>
          <cell r="Q342">
            <v>3</v>
          </cell>
          <cell r="R342">
            <v>8</v>
          </cell>
          <cell r="S342">
            <v>2</v>
          </cell>
          <cell r="T342">
            <v>6</v>
          </cell>
          <cell r="U342">
            <v>2</v>
          </cell>
          <cell r="V342">
            <v>0</v>
          </cell>
          <cell r="W342">
            <v>4</v>
          </cell>
          <cell r="X342">
            <v>16</v>
          </cell>
          <cell r="Y342">
            <v>0</v>
          </cell>
          <cell r="Z342" t="str">
            <v>Mid</v>
          </cell>
          <cell r="AA342" t="str">
            <v>Medium</v>
          </cell>
          <cell r="AB342" t="str">
            <v>Mid</v>
          </cell>
          <cell r="AC342" t="str">
            <v>Medium</v>
          </cell>
          <cell r="AD342">
            <v>460</v>
          </cell>
        </row>
        <row r="343">
          <cell r="A343">
            <v>38</v>
          </cell>
          <cell r="B343" t="str">
            <v>No</v>
          </cell>
          <cell r="C343" t="str">
            <v>Research &amp; Development</v>
          </cell>
          <cell r="D343">
            <v>15</v>
          </cell>
          <cell r="E343">
            <v>2</v>
          </cell>
          <cell r="F343" t="str">
            <v>Life Sciences</v>
          </cell>
          <cell r="G343">
            <v>3</v>
          </cell>
          <cell r="H343" t="str">
            <v>Male</v>
          </cell>
          <cell r="I343">
            <v>2</v>
          </cell>
          <cell r="J343">
            <v>3</v>
          </cell>
          <cell r="K343" t="str">
            <v>Research Director</v>
          </cell>
          <cell r="L343">
            <v>4</v>
          </cell>
          <cell r="M343" t="str">
            <v>Divorced</v>
          </cell>
          <cell r="N343">
            <v>11510</v>
          </cell>
          <cell r="O343">
            <v>0</v>
          </cell>
          <cell r="P343" t="str">
            <v>Yes</v>
          </cell>
          <cell r="Q343">
            <v>2</v>
          </cell>
          <cell r="R343">
            <v>12</v>
          </cell>
          <cell r="S343">
            <v>3</v>
          </cell>
          <cell r="T343">
            <v>11</v>
          </cell>
          <cell r="U343">
            <v>10</v>
          </cell>
          <cell r="V343">
            <v>2</v>
          </cell>
          <cell r="W343">
            <v>9</v>
          </cell>
          <cell r="X343">
            <v>14</v>
          </cell>
          <cell r="Y343">
            <v>0</v>
          </cell>
          <cell r="Z343" t="str">
            <v>Mid</v>
          </cell>
          <cell r="AA343" t="str">
            <v>High</v>
          </cell>
          <cell r="AB343" t="str">
            <v>Long</v>
          </cell>
          <cell r="AC343" t="str">
            <v>Medium</v>
          </cell>
          <cell r="AD343">
            <v>461</v>
          </cell>
        </row>
        <row r="344">
          <cell r="A344">
            <v>31</v>
          </cell>
          <cell r="B344" t="str">
            <v>No</v>
          </cell>
          <cell r="C344" t="str">
            <v>Research &amp; Development</v>
          </cell>
          <cell r="D344">
            <v>7</v>
          </cell>
          <cell r="E344">
            <v>4</v>
          </cell>
          <cell r="F344" t="str">
            <v>Medical</v>
          </cell>
          <cell r="G344">
            <v>3</v>
          </cell>
          <cell r="H344" t="str">
            <v>Female</v>
          </cell>
          <cell r="I344">
            <v>3</v>
          </cell>
          <cell r="J344">
            <v>3</v>
          </cell>
          <cell r="K344" t="str">
            <v>Manufacturing Director</v>
          </cell>
          <cell r="L344">
            <v>4</v>
          </cell>
          <cell r="M344" t="str">
            <v>Single</v>
          </cell>
          <cell r="N344">
            <v>7143</v>
          </cell>
          <cell r="O344">
            <v>1</v>
          </cell>
          <cell r="P344" t="str">
            <v>Yes</v>
          </cell>
          <cell r="Q344">
            <v>3</v>
          </cell>
          <cell r="R344">
            <v>11</v>
          </cell>
          <cell r="S344">
            <v>2</v>
          </cell>
          <cell r="T344">
            <v>11</v>
          </cell>
          <cell r="U344">
            <v>9</v>
          </cell>
          <cell r="V344">
            <v>4</v>
          </cell>
          <cell r="W344">
            <v>10</v>
          </cell>
          <cell r="X344">
            <v>14</v>
          </cell>
          <cell r="Y344">
            <v>0</v>
          </cell>
          <cell r="Z344" t="str">
            <v>Mid</v>
          </cell>
          <cell r="AA344" t="str">
            <v>Medium</v>
          </cell>
          <cell r="AB344" t="str">
            <v>Long</v>
          </cell>
          <cell r="AC344" t="str">
            <v>Medium</v>
          </cell>
          <cell r="AD344">
            <v>462</v>
          </cell>
        </row>
        <row r="345">
          <cell r="A345">
            <v>29</v>
          </cell>
          <cell r="B345" t="str">
            <v>No</v>
          </cell>
          <cell r="C345" t="str">
            <v>Sales</v>
          </cell>
          <cell r="D345">
            <v>10</v>
          </cell>
          <cell r="E345">
            <v>1</v>
          </cell>
          <cell r="F345" t="str">
            <v>Marketing</v>
          </cell>
          <cell r="G345">
            <v>4</v>
          </cell>
          <cell r="H345" t="str">
            <v>Female</v>
          </cell>
          <cell r="I345">
            <v>2</v>
          </cell>
          <cell r="J345">
            <v>2</v>
          </cell>
          <cell r="K345" t="str">
            <v>Sales Executive</v>
          </cell>
          <cell r="L345">
            <v>2</v>
          </cell>
          <cell r="M345" t="str">
            <v>Divorced</v>
          </cell>
          <cell r="N345">
            <v>8268</v>
          </cell>
          <cell r="O345">
            <v>1</v>
          </cell>
          <cell r="P345" t="str">
            <v>Yes</v>
          </cell>
          <cell r="Q345">
            <v>1</v>
          </cell>
          <cell r="R345">
            <v>7</v>
          </cell>
          <cell r="S345">
            <v>3</v>
          </cell>
          <cell r="T345">
            <v>7</v>
          </cell>
          <cell r="U345">
            <v>7</v>
          </cell>
          <cell r="V345">
            <v>1</v>
          </cell>
          <cell r="W345">
            <v>7</v>
          </cell>
          <cell r="X345">
            <v>14</v>
          </cell>
          <cell r="Y345">
            <v>0</v>
          </cell>
          <cell r="Z345" t="str">
            <v>Young</v>
          </cell>
          <cell r="AA345" t="str">
            <v>Medium</v>
          </cell>
          <cell r="AB345" t="str">
            <v>Long</v>
          </cell>
          <cell r="AC345" t="str">
            <v>Medium</v>
          </cell>
          <cell r="AD345">
            <v>463</v>
          </cell>
        </row>
        <row r="346">
          <cell r="A346">
            <v>35</v>
          </cell>
          <cell r="B346" t="str">
            <v>No</v>
          </cell>
          <cell r="C346" t="str">
            <v>Research &amp; Development</v>
          </cell>
          <cell r="D346">
            <v>5</v>
          </cell>
          <cell r="E346">
            <v>4</v>
          </cell>
          <cell r="F346" t="str">
            <v>Technical Degree</v>
          </cell>
          <cell r="G346">
            <v>3</v>
          </cell>
          <cell r="H346" t="str">
            <v>Male</v>
          </cell>
          <cell r="I346">
            <v>3</v>
          </cell>
          <cell r="J346">
            <v>3</v>
          </cell>
          <cell r="K346" t="str">
            <v>Manufacturing Director</v>
          </cell>
          <cell r="L346">
            <v>2</v>
          </cell>
          <cell r="M346" t="str">
            <v>Single</v>
          </cell>
          <cell r="N346">
            <v>8095</v>
          </cell>
          <cell r="O346">
            <v>0</v>
          </cell>
          <cell r="P346" t="str">
            <v>No</v>
          </cell>
          <cell r="Q346">
            <v>4</v>
          </cell>
          <cell r="R346">
            <v>17</v>
          </cell>
          <cell r="S346">
            <v>3</v>
          </cell>
          <cell r="T346">
            <v>16</v>
          </cell>
          <cell r="U346">
            <v>6</v>
          </cell>
          <cell r="V346">
            <v>0</v>
          </cell>
          <cell r="W346">
            <v>13</v>
          </cell>
          <cell r="X346">
            <v>13</v>
          </cell>
          <cell r="Y346">
            <v>0</v>
          </cell>
          <cell r="Z346" t="str">
            <v>Mid</v>
          </cell>
          <cell r="AA346" t="str">
            <v>Medium</v>
          </cell>
          <cell r="AB346" t="str">
            <v>Long</v>
          </cell>
          <cell r="AC346" t="str">
            <v>Medium</v>
          </cell>
          <cell r="AD346">
            <v>464</v>
          </cell>
        </row>
        <row r="347">
          <cell r="A347">
            <v>23</v>
          </cell>
          <cell r="B347" t="str">
            <v>No</v>
          </cell>
          <cell r="C347" t="str">
            <v>Research &amp; Development</v>
          </cell>
          <cell r="D347">
            <v>26</v>
          </cell>
          <cell r="E347">
            <v>1</v>
          </cell>
          <cell r="F347" t="str">
            <v>Life Sciences</v>
          </cell>
          <cell r="G347">
            <v>3</v>
          </cell>
          <cell r="H347" t="str">
            <v>Male</v>
          </cell>
          <cell r="I347">
            <v>3</v>
          </cell>
          <cell r="J347">
            <v>1</v>
          </cell>
          <cell r="K347" t="str">
            <v>Research Scientist</v>
          </cell>
          <cell r="L347">
            <v>4</v>
          </cell>
          <cell r="M347" t="str">
            <v>Divorced</v>
          </cell>
          <cell r="N347">
            <v>2904</v>
          </cell>
          <cell r="O347">
            <v>1</v>
          </cell>
          <cell r="P347" t="str">
            <v>No</v>
          </cell>
          <cell r="Q347">
            <v>3</v>
          </cell>
          <cell r="R347">
            <v>4</v>
          </cell>
          <cell r="S347">
            <v>2</v>
          </cell>
          <cell r="T347">
            <v>4</v>
          </cell>
          <cell r="U347">
            <v>2</v>
          </cell>
          <cell r="V347">
            <v>0</v>
          </cell>
          <cell r="W347">
            <v>2</v>
          </cell>
          <cell r="X347">
            <v>12</v>
          </cell>
          <cell r="Y347">
            <v>0</v>
          </cell>
          <cell r="Z347" t="str">
            <v>Young</v>
          </cell>
          <cell r="AA347" t="str">
            <v>Low</v>
          </cell>
          <cell r="AB347" t="str">
            <v>Mid</v>
          </cell>
          <cell r="AC347" t="str">
            <v>Low</v>
          </cell>
          <cell r="AD347">
            <v>465</v>
          </cell>
        </row>
        <row r="348">
          <cell r="A348">
            <v>41</v>
          </cell>
          <cell r="B348" t="str">
            <v>No</v>
          </cell>
          <cell r="C348" t="str">
            <v>Research &amp; Development</v>
          </cell>
          <cell r="D348">
            <v>6</v>
          </cell>
          <cell r="E348">
            <v>3</v>
          </cell>
          <cell r="F348" t="str">
            <v>Medical</v>
          </cell>
          <cell r="G348">
            <v>4</v>
          </cell>
          <cell r="H348" t="str">
            <v>Male</v>
          </cell>
          <cell r="I348">
            <v>2</v>
          </cell>
          <cell r="J348">
            <v>2</v>
          </cell>
          <cell r="K348" t="str">
            <v>Manufacturing Director</v>
          </cell>
          <cell r="L348">
            <v>2</v>
          </cell>
          <cell r="M348" t="str">
            <v>Single</v>
          </cell>
          <cell r="N348">
            <v>6032</v>
          </cell>
          <cell r="O348">
            <v>6</v>
          </cell>
          <cell r="P348" t="str">
            <v>Yes</v>
          </cell>
          <cell r="Q348">
            <v>4</v>
          </cell>
          <cell r="R348">
            <v>8</v>
          </cell>
          <cell r="S348">
            <v>3</v>
          </cell>
          <cell r="T348">
            <v>5</v>
          </cell>
          <cell r="U348">
            <v>4</v>
          </cell>
          <cell r="V348">
            <v>1</v>
          </cell>
          <cell r="W348">
            <v>2</v>
          </cell>
          <cell r="X348">
            <v>15</v>
          </cell>
          <cell r="Y348">
            <v>0</v>
          </cell>
          <cell r="Z348" t="str">
            <v>Mid</v>
          </cell>
          <cell r="AA348" t="str">
            <v>Medium</v>
          </cell>
          <cell r="AB348" t="str">
            <v>Mid</v>
          </cell>
          <cell r="AC348" t="str">
            <v>Medium</v>
          </cell>
          <cell r="AD348">
            <v>466</v>
          </cell>
        </row>
        <row r="349">
          <cell r="A349">
            <v>47</v>
          </cell>
          <cell r="B349" t="str">
            <v>No</v>
          </cell>
          <cell r="C349" t="str">
            <v>Sales</v>
          </cell>
          <cell r="D349">
            <v>4</v>
          </cell>
          <cell r="E349">
            <v>1</v>
          </cell>
          <cell r="F349" t="str">
            <v>Medical</v>
          </cell>
          <cell r="G349">
            <v>2</v>
          </cell>
          <cell r="H349" t="str">
            <v>Male</v>
          </cell>
          <cell r="I349">
            <v>3</v>
          </cell>
          <cell r="J349">
            <v>2</v>
          </cell>
          <cell r="K349" t="str">
            <v>Sales Representative</v>
          </cell>
          <cell r="L349">
            <v>3</v>
          </cell>
          <cell r="M349" t="str">
            <v>Single</v>
          </cell>
          <cell r="N349">
            <v>2976</v>
          </cell>
          <cell r="O349">
            <v>3</v>
          </cell>
          <cell r="P349" t="str">
            <v>No</v>
          </cell>
          <cell r="Q349">
            <v>1</v>
          </cell>
          <cell r="R349">
            <v>5</v>
          </cell>
          <cell r="S349">
            <v>3</v>
          </cell>
          <cell r="T349">
            <v>0</v>
          </cell>
          <cell r="U349">
            <v>0</v>
          </cell>
          <cell r="V349">
            <v>0</v>
          </cell>
          <cell r="W349">
            <v>0</v>
          </cell>
          <cell r="X349">
            <v>19</v>
          </cell>
          <cell r="Y349">
            <v>0</v>
          </cell>
          <cell r="Z349" t="str">
            <v>Senior</v>
          </cell>
          <cell r="AA349" t="str">
            <v>Low</v>
          </cell>
          <cell r="AB349" t="str">
            <v>Early</v>
          </cell>
          <cell r="AC349" t="str">
            <v>High</v>
          </cell>
          <cell r="AD349">
            <v>467</v>
          </cell>
        </row>
        <row r="350">
          <cell r="A350">
            <v>42</v>
          </cell>
          <cell r="B350" t="str">
            <v>No</v>
          </cell>
          <cell r="C350" t="str">
            <v>Research &amp; Development</v>
          </cell>
          <cell r="D350">
            <v>23</v>
          </cell>
          <cell r="E350">
            <v>5</v>
          </cell>
          <cell r="F350" t="str">
            <v>Life Sciences</v>
          </cell>
          <cell r="G350">
            <v>1</v>
          </cell>
          <cell r="H350" t="str">
            <v>Female</v>
          </cell>
          <cell r="I350">
            <v>3</v>
          </cell>
          <cell r="J350">
            <v>4</v>
          </cell>
          <cell r="K350" t="str">
            <v>Research Director</v>
          </cell>
          <cell r="L350">
            <v>4</v>
          </cell>
          <cell r="M350" t="str">
            <v>Single</v>
          </cell>
          <cell r="N350">
            <v>15992</v>
          </cell>
          <cell r="O350">
            <v>2</v>
          </cell>
          <cell r="P350" t="str">
            <v>No</v>
          </cell>
          <cell r="Q350">
            <v>2</v>
          </cell>
          <cell r="R350">
            <v>16</v>
          </cell>
          <cell r="S350">
            <v>3</v>
          </cell>
          <cell r="T350">
            <v>1</v>
          </cell>
          <cell r="U350">
            <v>0</v>
          </cell>
          <cell r="V350">
            <v>0</v>
          </cell>
          <cell r="W350">
            <v>0</v>
          </cell>
          <cell r="X350">
            <v>14</v>
          </cell>
          <cell r="Y350">
            <v>0</v>
          </cell>
          <cell r="Z350" t="str">
            <v>Mid</v>
          </cell>
          <cell r="AA350" t="str">
            <v>High</v>
          </cell>
          <cell r="AB350" t="str">
            <v>Early</v>
          </cell>
          <cell r="AC350" t="str">
            <v>Medium</v>
          </cell>
          <cell r="AD350">
            <v>468</v>
          </cell>
        </row>
        <row r="351">
          <cell r="A351">
            <v>29</v>
          </cell>
          <cell r="B351" t="str">
            <v>No</v>
          </cell>
          <cell r="C351" t="str">
            <v>Sales</v>
          </cell>
          <cell r="D351">
            <v>2</v>
          </cell>
          <cell r="E351">
            <v>3</v>
          </cell>
          <cell r="F351" t="str">
            <v>Life Sciences</v>
          </cell>
          <cell r="G351">
            <v>4</v>
          </cell>
          <cell r="H351" t="str">
            <v>Male</v>
          </cell>
          <cell r="I351">
            <v>3</v>
          </cell>
          <cell r="J351">
            <v>2</v>
          </cell>
          <cell r="K351" t="str">
            <v>Sales Executive</v>
          </cell>
          <cell r="L351">
            <v>3</v>
          </cell>
          <cell r="M351" t="str">
            <v>Married</v>
          </cell>
          <cell r="N351">
            <v>4649</v>
          </cell>
          <cell r="O351">
            <v>1</v>
          </cell>
          <cell r="P351" t="str">
            <v>No</v>
          </cell>
          <cell r="Q351">
            <v>1</v>
          </cell>
          <cell r="R351">
            <v>4</v>
          </cell>
          <cell r="S351">
            <v>2</v>
          </cell>
          <cell r="T351">
            <v>4</v>
          </cell>
          <cell r="U351">
            <v>3</v>
          </cell>
          <cell r="V351">
            <v>0</v>
          </cell>
          <cell r="W351">
            <v>2</v>
          </cell>
          <cell r="X351">
            <v>14</v>
          </cell>
          <cell r="Y351">
            <v>0</v>
          </cell>
          <cell r="Z351" t="str">
            <v>Young</v>
          </cell>
          <cell r="AA351" t="str">
            <v>Low</v>
          </cell>
          <cell r="AB351" t="str">
            <v>Mid</v>
          </cell>
          <cell r="AC351" t="str">
            <v>Medium</v>
          </cell>
          <cell r="AD351">
            <v>469</v>
          </cell>
        </row>
        <row r="352">
          <cell r="A352">
            <v>42</v>
          </cell>
          <cell r="B352" t="str">
            <v>No</v>
          </cell>
          <cell r="C352" t="str">
            <v>Human Resources</v>
          </cell>
          <cell r="D352">
            <v>2</v>
          </cell>
          <cell r="E352">
            <v>1</v>
          </cell>
          <cell r="F352" t="str">
            <v>Technical Degree</v>
          </cell>
          <cell r="G352">
            <v>3</v>
          </cell>
          <cell r="H352" t="str">
            <v>Male</v>
          </cell>
          <cell r="I352">
            <v>3</v>
          </cell>
          <cell r="J352">
            <v>1</v>
          </cell>
          <cell r="K352" t="str">
            <v>Human Resources</v>
          </cell>
          <cell r="L352">
            <v>3</v>
          </cell>
          <cell r="M352" t="str">
            <v>Divorced</v>
          </cell>
          <cell r="N352">
            <v>2696</v>
          </cell>
          <cell r="O352">
            <v>0</v>
          </cell>
          <cell r="P352" t="str">
            <v>Yes</v>
          </cell>
          <cell r="Q352">
            <v>3</v>
          </cell>
          <cell r="R352">
            <v>4</v>
          </cell>
          <cell r="S352">
            <v>3</v>
          </cell>
          <cell r="T352">
            <v>3</v>
          </cell>
          <cell r="U352">
            <v>2</v>
          </cell>
          <cell r="V352">
            <v>1</v>
          </cell>
          <cell r="W352">
            <v>0</v>
          </cell>
          <cell r="X352">
            <v>11</v>
          </cell>
          <cell r="Y352">
            <v>0</v>
          </cell>
          <cell r="Z352" t="str">
            <v>Mid</v>
          </cell>
          <cell r="AA352" t="str">
            <v>Low</v>
          </cell>
          <cell r="AB352" t="str">
            <v>Mid</v>
          </cell>
          <cell r="AC352" t="str">
            <v>Low</v>
          </cell>
          <cell r="AD352">
            <v>470</v>
          </cell>
        </row>
        <row r="353">
          <cell r="A353">
            <v>32</v>
          </cell>
          <cell r="B353" t="str">
            <v>No</v>
          </cell>
          <cell r="C353" t="str">
            <v>Research &amp; Development</v>
          </cell>
          <cell r="D353">
            <v>2</v>
          </cell>
          <cell r="E353">
            <v>3</v>
          </cell>
          <cell r="F353" t="str">
            <v>Medical</v>
          </cell>
          <cell r="G353">
            <v>3</v>
          </cell>
          <cell r="H353" t="str">
            <v>Female</v>
          </cell>
          <cell r="I353">
            <v>3</v>
          </cell>
          <cell r="J353">
            <v>1</v>
          </cell>
          <cell r="K353" t="str">
            <v>Laboratory Technician</v>
          </cell>
          <cell r="L353">
            <v>2</v>
          </cell>
          <cell r="M353" t="str">
            <v>Married</v>
          </cell>
          <cell r="N353">
            <v>2370</v>
          </cell>
          <cell r="O353">
            <v>1</v>
          </cell>
          <cell r="P353" t="str">
            <v>No</v>
          </cell>
          <cell r="Q353">
            <v>3</v>
          </cell>
          <cell r="R353">
            <v>8</v>
          </cell>
          <cell r="S353">
            <v>3</v>
          </cell>
          <cell r="T353">
            <v>8</v>
          </cell>
          <cell r="U353">
            <v>0</v>
          </cell>
          <cell r="V353">
            <v>0</v>
          </cell>
          <cell r="W353">
            <v>7</v>
          </cell>
          <cell r="X353">
            <v>13</v>
          </cell>
          <cell r="Y353">
            <v>0</v>
          </cell>
          <cell r="Z353" t="str">
            <v>Mid</v>
          </cell>
          <cell r="AA353" t="str">
            <v>Low</v>
          </cell>
          <cell r="AB353" t="str">
            <v>Long</v>
          </cell>
          <cell r="AC353" t="str">
            <v>Medium</v>
          </cell>
          <cell r="AD353">
            <v>471</v>
          </cell>
        </row>
        <row r="354">
          <cell r="A354">
            <v>48</v>
          </cell>
          <cell r="B354" t="str">
            <v>No</v>
          </cell>
          <cell r="C354" t="str">
            <v>Sales</v>
          </cell>
          <cell r="D354">
            <v>29</v>
          </cell>
          <cell r="E354">
            <v>1</v>
          </cell>
          <cell r="F354" t="str">
            <v>Medical</v>
          </cell>
          <cell r="G354">
            <v>1</v>
          </cell>
          <cell r="H354" t="str">
            <v>Female</v>
          </cell>
          <cell r="I354">
            <v>3</v>
          </cell>
          <cell r="J354">
            <v>3</v>
          </cell>
          <cell r="K354" t="str">
            <v>Manager</v>
          </cell>
          <cell r="L354">
            <v>3</v>
          </cell>
          <cell r="M354" t="str">
            <v>Married</v>
          </cell>
          <cell r="N354">
            <v>12504</v>
          </cell>
          <cell r="O354">
            <v>3</v>
          </cell>
          <cell r="P354" t="str">
            <v>No</v>
          </cell>
          <cell r="Q354">
            <v>2</v>
          </cell>
          <cell r="R354">
            <v>15</v>
          </cell>
          <cell r="S354">
            <v>1</v>
          </cell>
          <cell r="T354">
            <v>0</v>
          </cell>
          <cell r="U354">
            <v>0</v>
          </cell>
          <cell r="V354">
            <v>0</v>
          </cell>
          <cell r="W354">
            <v>0</v>
          </cell>
          <cell r="X354">
            <v>21</v>
          </cell>
          <cell r="Y354">
            <v>0</v>
          </cell>
          <cell r="Z354" t="str">
            <v>Senior</v>
          </cell>
          <cell r="AA354" t="str">
            <v>High</v>
          </cell>
          <cell r="AB354" t="str">
            <v>Early</v>
          </cell>
          <cell r="AC354" t="str">
            <v>High</v>
          </cell>
          <cell r="AD354">
            <v>473</v>
          </cell>
        </row>
        <row r="355">
          <cell r="A355">
            <v>37</v>
          </cell>
          <cell r="B355" t="str">
            <v>No</v>
          </cell>
          <cell r="C355" t="str">
            <v>Research &amp; Development</v>
          </cell>
          <cell r="D355">
            <v>6</v>
          </cell>
          <cell r="E355">
            <v>3</v>
          </cell>
          <cell r="F355" t="str">
            <v>Medical</v>
          </cell>
          <cell r="G355">
            <v>3</v>
          </cell>
          <cell r="H355" t="str">
            <v>Male</v>
          </cell>
          <cell r="I355">
            <v>4</v>
          </cell>
          <cell r="J355">
            <v>2</v>
          </cell>
          <cell r="K355" t="str">
            <v>Research Scientist</v>
          </cell>
          <cell r="L355">
            <v>1</v>
          </cell>
          <cell r="M355" t="str">
            <v>Divorced</v>
          </cell>
          <cell r="N355">
            <v>5974</v>
          </cell>
          <cell r="O355">
            <v>4</v>
          </cell>
          <cell r="P355" t="str">
            <v>Yes</v>
          </cell>
          <cell r="Q355">
            <v>1</v>
          </cell>
          <cell r="R355">
            <v>13</v>
          </cell>
          <cell r="S355">
            <v>3</v>
          </cell>
          <cell r="T355">
            <v>7</v>
          </cell>
          <cell r="U355">
            <v>7</v>
          </cell>
          <cell r="V355">
            <v>6</v>
          </cell>
          <cell r="W355">
            <v>7</v>
          </cell>
          <cell r="X355">
            <v>13</v>
          </cell>
          <cell r="Y355">
            <v>0</v>
          </cell>
          <cell r="Z355" t="str">
            <v>Mid</v>
          </cell>
          <cell r="AA355" t="str">
            <v>Medium</v>
          </cell>
          <cell r="AB355" t="str">
            <v>Long</v>
          </cell>
          <cell r="AC355" t="str">
            <v>Medium</v>
          </cell>
          <cell r="AD355">
            <v>474</v>
          </cell>
        </row>
        <row r="356">
          <cell r="A356">
            <v>30</v>
          </cell>
          <cell r="B356" t="str">
            <v>No</v>
          </cell>
          <cell r="C356" t="str">
            <v>Sales</v>
          </cell>
          <cell r="D356">
            <v>25</v>
          </cell>
          <cell r="E356">
            <v>2</v>
          </cell>
          <cell r="F356" t="str">
            <v>Technical Degree</v>
          </cell>
          <cell r="G356">
            <v>4</v>
          </cell>
          <cell r="H356" t="str">
            <v>Female</v>
          </cell>
          <cell r="I356">
            <v>3</v>
          </cell>
          <cell r="J356">
            <v>2</v>
          </cell>
          <cell r="K356" t="str">
            <v>Sales Executive</v>
          </cell>
          <cell r="L356">
            <v>3</v>
          </cell>
          <cell r="M356" t="str">
            <v>Married</v>
          </cell>
          <cell r="N356">
            <v>4736</v>
          </cell>
          <cell r="O356">
            <v>7</v>
          </cell>
          <cell r="P356" t="str">
            <v>Yes</v>
          </cell>
          <cell r="Q356">
            <v>2</v>
          </cell>
          <cell r="R356">
            <v>4</v>
          </cell>
          <cell r="S356">
            <v>4</v>
          </cell>
          <cell r="T356">
            <v>2</v>
          </cell>
          <cell r="U356">
            <v>2</v>
          </cell>
          <cell r="V356">
            <v>2</v>
          </cell>
          <cell r="W356">
            <v>2</v>
          </cell>
          <cell r="X356">
            <v>12</v>
          </cell>
          <cell r="Y356">
            <v>0</v>
          </cell>
          <cell r="Z356" t="str">
            <v>Mid</v>
          </cell>
          <cell r="AA356" t="str">
            <v>Low</v>
          </cell>
          <cell r="AB356" t="str">
            <v>Early</v>
          </cell>
          <cell r="AC356" t="str">
            <v>Low</v>
          </cell>
          <cell r="AD356">
            <v>475</v>
          </cell>
        </row>
        <row r="357">
          <cell r="A357">
            <v>26</v>
          </cell>
          <cell r="B357" t="str">
            <v>No</v>
          </cell>
          <cell r="C357" t="str">
            <v>Sales</v>
          </cell>
          <cell r="D357">
            <v>1</v>
          </cell>
          <cell r="E357">
            <v>3</v>
          </cell>
          <cell r="F357" t="str">
            <v>Life Sciences</v>
          </cell>
          <cell r="G357">
            <v>3</v>
          </cell>
          <cell r="H357" t="str">
            <v>Male</v>
          </cell>
          <cell r="I357">
            <v>3</v>
          </cell>
          <cell r="J357">
            <v>2</v>
          </cell>
          <cell r="K357" t="str">
            <v>Sales Executive</v>
          </cell>
          <cell r="L357">
            <v>3</v>
          </cell>
          <cell r="M357" t="str">
            <v>Married</v>
          </cell>
          <cell r="N357">
            <v>5296</v>
          </cell>
          <cell r="O357">
            <v>1</v>
          </cell>
          <cell r="P357" t="str">
            <v>No</v>
          </cell>
          <cell r="Q357">
            <v>2</v>
          </cell>
          <cell r="R357">
            <v>8</v>
          </cell>
          <cell r="S357">
            <v>3</v>
          </cell>
          <cell r="T357">
            <v>8</v>
          </cell>
          <cell r="U357">
            <v>7</v>
          </cell>
          <cell r="V357">
            <v>7</v>
          </cell>
          <cell r="W357">
            <v>7</v>
          </cell>
          <cell r="X357">
            <v>17</v>
          </cell>
          <cell r="Y357">
            <v>0</v>
          </cell>
          <cell r="Z357" t="str">
            <v>Young</v>
          </cell>
          <cell r="AA357" t="str">
            <v>Medium</v>
          </cell>
          <cell r="AB357" t="str">
            <v>Long</v>
          </cell>
          <cell r="AC357" t="str">
            <v>Medium</v>
          </cell>
          <cell r="AD357">
            <v>476</v>
          </cell>
        </row>
        <row r="358">
          <cell r="A358">
            <v>42</v>
          </cell>
          <cell r="B358" t="str">
            <v>No</v>
          </cell>
          <cell r="C358" t="str">
            <v>Research &amp; Development</v>
          </cell>
          <cell r="D358">
            <v>2</v>
          </cell>
          <cell r="E358">
            <v>4</v>
          </cell>
          <cell r="F358" t="str">
            <v>Other</v>
          </cell>
          <cell r="G358">
            <v>1</v>
          </cell>
          <cell r="H358" t="str">
            <v>Male</v>
          </cell>
          <cell r="I358">
            <v>2</v>
          </cell>
          <cell r="J358">
            <v>2</v>
          </cell>
          <cell r="K358" t="str">
            <v>Healthcare Representative</v>
          </cell>
          <cell r="L358">
            <v>4</v>
          </cell>
          <cell r="M358" t="str">
            <v>Single</v>
          </cell>
          <cell r="N358">
            <v>6781</v>
          </cell>
          <cell r="O358">
            <v>3</v>
          </cell>
          <cell r="P358" t="str">
            <v>No</v>
          </cell>
          <cell r="Q358">
            <v>2</v>
          </cell>
          <cell r="R358">
            <v>14</v>
          </cell>
          <cell r="S358">
            <v>3</v>
          </cell>
          <cell r="T358">
            <v>1</v>
          </cell>
          <cell r="U358">
            <v>0</v>
          </cell>
          <cell r="V358">
            <v>0</v>
          </cell>
          <cell r="W358">
            <v>0</v>
          </cell>
          <cell r="X358">
            <v>23</v>
          </cell>
          <cell r="Y358">
            <v>0</v>
          </cell>
          <cell r="Z358" t="str">
            <v>Mid</v>
          </cell>
          <cell r="AA358" t="str">
            <v>Medium</v>
          </cell>
          <cell r="AB358" t="str">
            <v>Early</v>
          </cell>
          <cell r="AC358" t="str">
            <v>High</v>
          </cell>
          <cell r="AD358">
            <v>477</v>
          </cell>
        </row>
        <row r="359">
          <cell r="A359">
            <v>21</v>
          </cell>
          <cell r="B359" t="str">
            <v>Yes</v>
          </cell>
          <cell r="C359" t="str">
            <v>Sales</v>
          </cell>
          <cell r="D359">
            <v>1</v>
          </cell>
          <cell r="E359">
            <v>1</v>
          </cell>
          <cell r="F359" t="str">
            <v>Technical Degree</v>
          </cell>
          <cell r="G359">
            <v>1</v>
          </cell>
          <cell r="H359" t="str">
            <v>Female</v>
          </cell>
          <cell r="I359">
            <v>2</v>
          </cell>
          <cell r="J359">
            <v>1</v>
          </cell>
          <cell r="K359" t="str">
            <v>Sales Representative</v>
          </cell>
          <cell r="L359">
            <v>2</v>
          </cell>
          <cell r="M359" t="str">
            <v>Single</v>
          </cell>
          <cell r="N359">
            <v>2174</v>
          </cell>
          <cell r="O359">
            <v>1</v>
          </cell>
          <cell r="P359" t="str">
            <v>Yes</v>
          </cell>
          <cell r="Q359">
            <v>3</v>
          </cell>
          <cell r="R359">
            <v>3</v>
          </cell>
          <cell r="S359">
            <v>3</v>
          </cell>
          <cell r="T359">
            <v>3</v>
          </cell>
          <cell r="U359">
            <v>2</v>
          </cell>
          <cell r="V359">
            <v>1</v>
          </cell>
          <cell r="W359">
            <v>2</v>
          </cell>
          <cell r="X359">
            <v>11</v>
          </cell>
          <cell r="Y359">
            <v>1</v>
          </cell>
          <cell r="Z359" t="str">
            <v>Young</v>
          </cell>
          <cell r="AA359" t="str">
            <v>Low</v>
          </cell>
          <cell r="AB359" t="str">
            <v>Mid</v>
          </cell>
          <cell r="AC359" t="str">
            <v>Low</v>
          </cell>
          <cell r="AD359">
            <v>478</v>
          </cell>
        </row>
        <row r="360">
          <cell r="A360">
            <v>36</v>
          </cell>
          <cell r="B360" t="str">
            <v>No</v>
          </cell>
          <cell r="C360" t="str">
            <v>Sales</v>
          </cell>
          <cell r="D360">
            <v>1</v>
          </cell>
          <cell r="E360">
            <v>5</v>
          </cell>
          <cell r="F360" t="str">
            <v>Medical</v>
          </cell>
          <cell r="G360">
            <v>4</v>
          </cell>
          <cell r="H360" t="str">
            <v>Female</v>
          </cell>
          <cell r="I360">
            <v>3</v>
          </cell>
          <cell r="J360">
            <v>2</v>
          </cell>
          <cell r="K360" t="str">
            <v>Sales Executive</v>
          </cell>
          <cell r="L360">
            <v>4</v>
          </cell>
          <cell r="M360" t="str">
            <v>Single</v>
          </cell>
          <cell r="N360">
            <v>6653</v>
          </cell>
          <cell r="O360">
            <v>4</v>
          </cell>
          <cell r="P360" t="str">
            <v>No</v>
          </cell>
          <cell r="Q360">
            <v>2</v>
          </cell>
          <cell r="R360">
            <v>7</v>
          </cell>
          <cell r="S360">
            <v>3</v>
          </cell>
          <cell r="T360">
            <v>1</v>
          </cell>
          <cell r="U360">
            <v>0</v>
          </cell>
          <cell r="V360">
            <v>0</v>
          </cell>
          <cell r="W360">
            <v>0</v>
          </cell>
          <cell r="X360">
            <v>15</v>
          </cell>
          <cell r="Y360">
            <v>0</v>
          </cell>
          <cell r="Z360" t="str">
            <v>Mid</v>
          </cell>
          <cell r="AA360" t="str">
            <v>Medium</v>
          </cell>
          <cell r="AB360" t="str">
            <v>Early</v>
          </cell>
          <cell r="AC360" t="str">
            <v>Medium</v>
          </cell>
          <cell r="AD360">
            <v>479</v>
          </cell>
        </row>
        <row r="361">
          <cell r="A361">
            <v>36</v>
          </cell>
          <cell r="B361" t="str">
            <v>No</v>
          </cell>
          <cell r="C361" t="str">
            <v>Sales</v>
          </cell>
          <cell r="D361">
            <v>3</v>
          </cell>
          <cell r="E361">
            <v>4</v>
          </cell>
          <cell r="F361" t="str">
            <v>Medical</v>
          </cell>
          <cell r="G361">
            <v>1</v>
          </cell>
          <cell r="H361" t="str">
            <v>Male</v>
          </cell>
          <cell r="I361">
            <v>2</v>
          </cell>
          <cell r="J361">
            <v>3</v>
          </cell>
          <cell r="K361" t="str">
            <v>Sales Executive</v>
          </cell>
          <cell r="L361">
            <v>4</v>
          </cell>
          <cell r="M361" t="str">
            <v>Married</v>
          </cell>
          <cell r="N361">
            <v>9699</v>
          </cell>
          <cell r="O361">
            <v>4</v>
          </cell>
          <cell r="P361" t="str">
            <v>No</v>
          </cell>
          <cell r="Q361">
            <v>1</v>
          </cell>
          <cell r="R361">
            <v>16</v>
          </cell>
          <cell r="S361">
            <v>3</v>
          </cell>
          <cell r="T361">
            <v>13</v>
          </cell>
          <cell r="U361">
            <v>9</v>
          </cell>
          <cell r="V361">
            <v>1</v>
          </cell>
          <cell r="W361">
            <v>12</v>
          </cell>
          <cell r="X361">
            <v>11</v>
          </cell>
          <cell r="Y361">
            <v>0</v>
          </cell>
          <cell r="Z361" t="str">
            <v>Mid</v>
          </cell>
          <cell r="AA361" t="str">
            <v>Medium</v>
          </cell>
          <cell r="AB361" t="str">
            <v>Long</v>
          </cell>
          <cell r="AC361" t="str">
            <v>Low</v>
          </cell>
          <cell r="AD361">
            <v>481</v>
          </cell>
        </row>
        <row r="362">
          <cell r="A362">
            <v>57</v>
          </cell>
          <cell r="B362" t="str">
            <v>No</v>
          </cell>
          <cell r="C362" t="str">
            <v>Research &amp; Development</v>
          </cell>
          <cell r="D362">
            <v>1</v>
          </cell>
          <cell r="E362">
            <v>4</v>
          </cell>
          <cell r="F362" t="str">
            <v>Medical</v>
          </cell>
          <cell r="G362">
            <v>4</v>
          </cell>
          <cell r="H362" t="str">
            <v>Male</v>
          </cell>
          <cell r="I362">
            <v>3</v>
          </cell>
          <cell r="J362">
            <v>2</v>
          </cell>
          <cell r="K362" t="str">
            <v>Healthcare Representative</v>
          </cell>
          <cell r="L362">
            <v>3</v>
          </cell>
          <cell r="M362" t="str">
            <v>Married</v>
          </cell>
          <cell r="N362">
            <v>6755</v>
          </cell>
          <cell r="O362">
            <v>2</v>
          </cell>
          <cell r="P362" t="str">
            <v>No</v>
          </cell>
          <cell r="Q362">
            <v>3</v>
          </cell>
          <cell r="R362">
            <v>15</v>
          </cell>
          <cell r="S362">
            <v>3</v>
          </cell>
          <cell r="T362">
            <v>3</v>
          </cell>
          <cell r="U362">
            <v>2</v>
          </cell>
          <cell r="V362">
            <v>1</v>
          </cell>
          <cell r="W362">
            <v>2</v>
          </cell>
          <cell r="X362">
            <v>11</v>
          </cell>
          <cell r="Y362">
            <v>0</v>
          </cell>
          <cell r="Z362" t="str">
            <v>Senior</v>
          </cell>
          <cell r="AA362" t="str">
            <v>Medium</v>
          </cell>
          <cell r="AB362" t="str">
            <v>Mid</v>
          </cell>
          <cell r="AC362" t="str">
            <v>Low</v>
          </cell>
          <cell r="AD362">
            <v>482</v>
          </cell>
        </row>
        <row r="363">
          <cell r="A363">
            <v>40</v>
          </cell>
          <cell r="B363" t="str">
            <v>No</v>
          </cell>
          <cell r="C363" t="str">
            <v>Research &amp; Development</v>
          </cell>
          <cell r="D363">
            <v>10</v>
          </cell>
          <cell r="E363">
            <v>4</v>
          </cell>
          <cell r="F363" t="str">
            <v>Life Sciences</v>
          </cell>
          <cell r="G363">
            <v>4</v>
          </cell>
          <cell r="H363" t="str">
            <v>Female</v>
          </cell>
          <cell r="I363">
            <v>4</v>
          </cell>
          <cell r="J363">
            <v>1</v>
          </cell>
          <cell r="K363" t="str">
            <v>Laboratory Technician</v>
          </cell>
          <cell r="L363">
            <v>3</v>
          </cell>
          <cell r="M363" t="str">
            <v>Married</v>
          </cell>
          <cell r="N363">
            <v>2213</v>
          </cell>
          <cell r="O363">
            <v>3</v>
          </cell>
          <cell r="P363" t="str">
            <v>Yes</v>
          </cell>
          <cell r="Q363">
            <v>3</v>
          </cell>
          <cell r="R363">
            <v>10</v>
          </cell>
          <cell r="S363">
            <v>3</v>
          </cell>
          <cell r="T363">
            <v>7</v>
          </cell>
          <cell r="U363">
            <v>7</v>
          </cell>
          <cell r="V363">
            <v>1</v>
          </cell>
          <cell r="W363">
            <v>7</v>
          </cell>
          <cell r="X363">
            <v>13</v>
          </cell>
          <cell r="Y363">
            <v>0</v>
          </cell>
          <cell r="Z363" t="str">
            <v>Mid</v>
          </cell>
          <cell r="AA363" t="str">
            <v>Low</v>
          </cell>
          <cell r="AB363" t="str">
            <v>Long</v>
          </cell>
          <cell r="AC363" t="str">
            <v>Medium</v>
          </cell>
          <cell r="AD363">
            <v>483</v>
          </cell>
        </row>
        <row r="364">
          <cell r="A364">
            <v>21</v>
          </cell>
          <cell r="B364" t="str">
            <v>No</v>
          </cell>
          <cell r="C364" t="str">
            <v>Sales</v>
          </cell>
          <cell r="D364">
            <v>9</v>
          </cell>
          <cell r="E364">
            <v>2</v>
          </cell>
          <cell r="F364" t="str">
            <v>Medical</v>
          </cell>
          <cell r="G364">
            <v>1</v>
          </cell>
          <cell r="H364" t="str">
            <v>Male</v>
          </cell>
          <cell r="I364">
            <v>3</v>
          </cell>
          <cell r="J364">
            <v>1</v>
          </cell>
          <cell r="K364" t="str">
            <v>Sales Representative</v>
          </cell>
          <cell r="L364">
            <v>4</v>
          </cell>
          <cell r="M364" t="str">
            <v>Single</v>
          </cell>
          <cell r="N364">
            <v>2610</v>
          </cell>
          <cell r="O364">
            <v>1</v>
          </cell>
          <cell r="P364" t="str">
            <v>No</v>
          </cell>
          <cell r="Q364">
            <v>3</v>
          </cell>
          <cell r="R364">
            <v>3</v>
          </cell>
          <cell r="S364">
            <v>2</v>
          </cell>
          <cell r="T364">
            <v>3</v>
          </cell>
          <cell r="U364">
            <v>2</v>
          </cell>
          <cell r="V364">
            <v>2</v>
          </cell>
          <cell r="W364">
            <v>2</v>
          </cell>
          <cell r="X364">
            <v>24</v>
          </cell>
          <cell r="Y364">
            <v>0</v>
          </cell>
          <cell r="Z364" t="str">
            <v>Young</v>
          </cell>
          <cell r="AA364" t="str">
            <v>Low</v>
          </cell>
          <cell r="AB364" t="str">
            <v>Mid</v>
          </cell>
          <cell r="AC364" t="str">
            <v>High</v>
          </cell>
          <cell r="AD364">
            <v>484</v>
          </cell>
        </row>
        <row r="365">
          <cell r="A365">
            <v>33</v>
          </cell>
          <cell r="B365" t="str">
            <v>Yes</v>
          </cell>
          <cell r="C365" t="str">
            <v>Sales</v>
          </cell>
          <cell r="D365">
            <v>5</v>
          </cell>
          <cell r="E365">
            <v>3</v>
          </cell>
          <cell r="F365" t="str">
            <v>Marketing</v>
          </cell>
          <cell r="G365">
            <v>4</v>
          </cell>
          <cell r="H365" t="str">
            <v>Female</v>
          </cell>
          <cell r="I365">
            <v>3</v>
          </cell>
          <cell r="J365">
            <v>1</v>
          </cell>
          <cell r="K365" t="str">
            <v>Sales Representative</v>
          </cell>
          <cell r="L365">
            <v>3</v>
          </cell>
          <cell r="M365" t="str">
            <v>Single</v>
          </cell>
          <cell r="N365">
            <v>2851</v>
          </cell>
          <cell r="O365">
            <v>1</v>
          </cell>
          <cell r="P365" t="str">
            <v>Yes</v>
          </cell>
          <cell r="Q365">
            <v>2</v>
          </cell>
          <cell r="R365">
            <v>1</v>
          </cell>
          <cell r="S365">
            <v>3</v>
          </cell>
          <cell r="T365">
            <v>1</v>
          </cell>
          <cell r="U365">
            <v>0</v>
          </cell>
          <cell r="V365">
            <v>0</v>
          </cell>
          <cell r="W365">
            <v>0</v>
          </cell>
          <cell r="X365">
            <v>13</v>
          </cell>
          <cell r="Y365">
            <v>1</v>
          </cell>
          <cell r="Z365" t="str">
            <v>Mid</v>
          </cell>
          <cell r="AA365" t="str">
            <v>Low</v>
          </cell>
          <cell r="AB365" t="str">
            <v>Early</v>
          </cell>
          <cell r="AC365" t="str">
            <v>Medium</v>
          </cell>
          <cell r="AD365">
            <v>485</v>
          </cell>
        </row>
        <row r="366">
          <cell r="A366">
            <v>37</v>
          </cell>
          <cell r="B366" t="str">
            <v>No</v>
          </cell>
          <cell r="C366" t="str">
            <v>Research &amp; Development</v>
          </cell>
          <cell r="D366">
            <v>10</v>
          </cell>
          <cell r="E366">
            <v>3</v>
          </cell>
          <cell r="F366" t="str">
            <v>Medical</v>
          </cell>
          <cell r="G366">
            <v>3</v>
          </cell>
          <cell r="H366" t="str">
            <v>Female</v>
          </cell>
          <cell r="I366">
            <v>3</v>
          </cell>
          <cell r="J366">
            <v>1</v>
          </cell>
          <cell r="K366" t="str">
            <v>Laboratory Technician</v>
          </cell>
          <cell r="L366">
            <v>1</v>
          </cell>
          <cell r="M366" t="str">
            <v>Married</v>
          </cell>
          <cell r="N366">
            <v>3452</v>
          </cell>
          <cell r="O366">
            <v>6</v>
          </cell>
          <cell r="P366" t="str">
            <v>No</v>
          </cell>
          <cell r="Q366">
            <v>2</v>
          </cell>
          <cell r="R366">
            <v>17</v>
          </cell>
          <cell r="S366">
            <v>3</v>
          </cell>
          <cell r="T366">
            <v>5</v>
          </cell>
          <cell r="U366">
            <v>4</v>
          </cell>
          <cell r="V366">
            <v>0</v>
          </cell>
          <cell r="W366">
            <v>3</v>
          </cell>
          <cell r="X366">
            <v>20</v>
          </cell>
          <cell r="Y366">
            <v>0</v>
          </cell>
          <cell r="Z366" t="str">
            <v>Mid</v>
          </cell>
          <cell r="AA366" t="str">
            <v>Low</v>
          </cell>
          <cell r="AB366" t="str">
            <v>Mid</v>
          </cell>
          <cell r="AC366" t="str">
            <v>High</v>
          </cell>
          <cell r="AD366">
            <v>486</v>
          </cell>
        </row>
        <row r="367">
          <cell r="A367">
            <v>46</v>
          </cell>
          <cell r="B367" t="str">
            <v>No</v>
          </cell>
          <cell r="C367" t="str">
            <v>Research &amp; Development</v>
          </cell>
          <cell r="D367">
            <v>7</v>
          </cell>
          <cell r="E367">
            <v>4</v>
          </cell>
          <cell r="F367" t="str">
            <v>Medical</v>
          </cell>
          <cell r="G367">
            <v>3</v>
          </cell>
          <cell r="H367" t="str">
            <v>Female</v>
          </cell>
          <cell r="I367">
            <v>3</v>
          </cell>
          <cell r="J367">
            <v>2</v>
          </cell>
          <cell r="K367" t="str">
            <v>Manufacturing Director</v>
          </cell>
          <cell r="L367">
            <v>3</v>
          </cell>
          <cell r="M367" t="str">
            <v>Married</v>
          </cell>
          <cell r="N367">
            <v>5258</v>
          </cell>
          <cell r="O367">
            <v>2</v>
          </cell>
          <cell r="P367" t="str">
            <v>No</v>
          </cell>
          <cell r="Q367">
            <v>3</v>
          </cell>
          <cell r="R367">
            <v>7</v>
          </cell>
          <cell r="S367">
            <v>4</v>
          </cell>
          <cell r="T367">
            <v>1</v>
          </cell>
          <cell r="U367">
            <v>0</v>
          </cell>
          <cell r="V367">
            <v>0</v>
          </cell>
          <cell r="W367">
            <v>0</v>
          </cell>
          <cell r="X367">
            <v>14</v>
          </cell>
          <cell r="Y367">
            <v>0</v>
          </cell>
          <cell r="Z367" t="str">
            <v>Senior</v>
          </cell>
          <cell r="AA367" t="str">
            <v>Medium</v>
          </cell>
          <cell r="AB367" t="str">
            <v>Early</v>
          </cell>
          <cell r="AC367" t="str">
            <v>Medium</v>
          </cell>
          <cell r="AD367">
            <v>487</v>
          </cell>
        </row>
        <row r="368">
          <cell r="A368">
            <v>41</v>
          </cell>
          <cell r="B368" t="str">
            <v>Yes</v>
          </cell>
          <cell r="C368" t="str">
            <v>Sales</v>
          </cell>
          <cell r="D368">
            <v>4</v>
          </cell>
          <cell r="E368">
            <v>3</v>
          </cell>
          <cell r="F368" t="str">
            <v>Marketing</v>
          </cell>
          <cell r="G368">
            <v>1</v>
          </cell>
          <cell r="H368" t="str">
            <v>Male</v>
          </cell>
          <cell r="I368">
            <v>3</v>
          </cell>
          <cell r="J368">
            <v>2</v>
          </cell>
          <cell r="K368" t="str">
            <v>Sales Executive</v>
          </cell>
          <cell r="L368">
            <v>2</v>
          </cell>
          <cell r="M368" t="str">
            <v>Single</v>
          </cell>
          <cell r="N368">
            <v>9355</v>
          </cell>
          <cell r="O368">
            <v>1</v>
          </cell>
          <cell r="P368" t="str">
            <v>No</v>
          </cell>
          <cell r="Q368">
            <v>3</v>
          </cell>
          <cell r="R368">
            <v>8</v>
          </cell>
          <cell r="S368">
            <v>3</v>
          </cell>
          <cell r="T368">
            <v>8</v>
          </cell>
          <cell r="U368">
            <v>7</v>
          </cell>
          <cell r="V368">
            <v>7</v>
          </cell>
          <cell r="W368">
            <v>7</v>
          </cell>
          <cell r="X368">
            <v>18</v>
          </cell>
          <cell r="Y368">
            <v>1</v>
          </cell>
          <cell r="Z368" t="str">
            <v>Mid</v>
          </cell>
          <cell r="AA368" t="str">
            <v>Medium</v>
          </cell>
          <cell r="AB368" t="str">
            <v>Long</v>
          </cell>
          <cell r="AC368" t="str">
            <v>High</v>
          </cell>
          <cell r="AD368">
            <v>488</v>
          </cell>
        </row>
        <row r="369">
          <cell r="A369">
            <v>50</v>
          </cell>
          <cell r="B369" t="str">
            <v>No</v>
          </cell>
          <cell r="C369" t="str">
            <v>Research &amp; Development</v>
          </cell>
          <cell r="D369">
            <v>10</v>
          </cell>
          <cell r="E369">
            <v>3</v>
          </cell>
          <cell r="F369" t="str">
            <v>Technical Degree</v>
          </cell>
          <cell r="G369">
            <v>4</v>
          </cell>
          <cell r="H369" t="str">
            <v>Male</v>
          </cell>
          <cell r="I369">
            <v>2</v>
          </cell>
          <cell r="J369">
            <v>3</v>
          </cell>
          <cell r="K369" t="str">
            <v>Healthcare Representative</v>
          </cell>
          <cell r="L369">
            <v>4</v>
          </cell>
          <cell r="M369" t="str">
            <v>Single</v>
          </cell>
          <cell r="N369">
            <v>10496</v>
          </cell>
          <cell r="O369">
            <v>6</v>
          </cell>
          <cell r="P369" t="str">
            <v>No</v>
          </cell>
          <cell r="Q369">
            <v>4</v>
          </cell>
          <cell r="R369">
            <v>20</v>
          </cell>
          <cell r="S369">
            <v>3</v>
          </cell>
          <cell r="T369">
            <v>4</v>
          </cell>
          <cell r="U369">
            <v>3</v>
          </cell>
          <cell r="V369">
            <v>1</v>
          </cell>
          <cell r="W369">
            <v>3</v>
          </cell>
          <cell r="X369">
            <v>15</v>
          </cell>
          <cell r="Y369">
            <v>0</v>
          </cell>
          <cell r="Z369" t="str">
            <v>Senior</v>
          </cell>
          <cell r="AA369" t="str">
            <v>High</v>
          </cell>
          <cell r="AB369" t="str">
            <v>Mid</v>
          </cell>
          <cell r="AC369" t="str">
            <v>Medium</v>
          </cell>
          <cell r="AD369">
            <v>491</v>
          </cell>
        </row>
        <row r="370">
          <cell r="A370">
            <v>40</v>
          </cell>
          <cell r="B370" t="str">
            <v>Yes</v>
          </cell>
          <cell r="C370" t="str">
            <v>Sales</v>
          </cell>
          <cell r="D370">
            <v>22</v>
          </cell>
          <cell r="E370">
            <v>2</v>
          </cell>
          <cell r="F370" t="str">
            <v>Marketing</v>
          </cell>
          <cell r="G370">
            <v>3</v>
          </cell>
          <cell r="H370" t="str">
            <v>Male</v>
          </cell>
          <cell r="I370">
            <v>2</v>
          </cell>
          <cell r="J370">
            <v>2</v>
          </cell>
          <cell r="K370" t="str">
            <v>Sales Executive</v>
          </cell>
          <cell r="L370">
            <v>3</v>
          </cell>
          <cell r="M370" t="str">
            <v>Married</v>
          </cell>
          <cell r="N370">
            <v>6380</v>
          </cell>
          <cell r="O370">
            <v>2</v>
          </cell>
          <cell r="P370" t="str">
            <v>Yes</v>
          </cell>
          <cell r="Q370">
            <v>1</v>
          </cell>
          <cell r="R370">
            <v>8</v>
          </cell>
          <cell r="S370">
            <v>3</v>
          </cell>
          <cell r="T370">
            <v>6</v>
          </cell>
          <cell r="U370">
            <v>4</v>
          </cell>
          <cell r="V370">
            <v>1</v>
          </cell>
          <cell r="W370">
            <v>0</v>
          </cell>
          <cell r="X370">
            <v>12</v>
          </cell>
          <cell r="Y370">
            <v>1</v>
          </cell>
          <cell r="Z370" t="str">
            <v>Mid</v>
          </cell>
          <cell r="AA370" t="str">
            <v>Medium</v>
          </cell>
          <cell r="AB370" t="str">
            <v>Mid</v>
          </cell>
          <cell r="AC370" t="str">
            <v>Low</v>
          </cell>
          <cell r="AD370">
            <v>492</v>
          </cell>
        </row>
        <row r="371">
          <cell r="A371">
            <v>31</v>
          </cell>
          <cell r="B371" t="str">
            <v>No</v>
          </cell>
          <cell r="C371" t="str">
            <v>Research &amp; Development</v>
          </cell>
          <cell r="D371">
            <v>9</v>
          </cell>
          <cell r="E371">
            <v>4</v>
          </cell>
          <cell r="F371" t="str">
            <v>Life Sciences</v>
          </cell>
          <cell r="G371">
            <v>3</v>
          </cell>
          <cell r="H371" t="str">
            <v>Male</v>
          </cell>
          <cell r="I371">
            <v>2</v>
          </cell>
          <cell r="J371">
            <v>1</v>
          </cell>
          <cell r="K371" t="str">
            <v>Research Scientist</v>
          </cell>
          <cell r="L371">
            <v>2</v>
          </cell>
          <cell r="M371" t="str">
            <v>Single</v>
          </cell>
          <cell r="N371">
            <v>2657</v>
          </cell>
          <cell r="O371">
            <v>0</v>
          </cell>
          <cell r="P371" t="str">
            <v>Yes</v>
          </cell>
          <cell r="Q371">
            <v>4</v>
          </cell>
          <cell r="R371">
            <v>3</v>
          </cell>
          <cell r="S371">
            <v>3</v>
          </cell>
          <cell r="T371">
            <v>2</v>
          </cell>
          <cell r="U371">
            <v>2</v>
          </cell>
          <cell r="V371">
            <v>2</v>
          </cell>
          <cell r="W371">
            <v>2</v>
          </cell>
          <cell r="X371">
            <v>16</v>
          </cell>
          <cell r="Y371">
            <v>0</v>
          </cell>
          <cell r="Z371" t="str">
            <v>Mid</v>
          </cell>
          <cell r="AA371" t="str">
            <v>Low</v>
          </cell>
          <cell r="AB371" t="str">
            <v>Early</v>
          </cell>
          <cell r="AC371" t="str">
            <v>Medium</v>
          </cell>
          <cell r="AD371">
            <v>493</v>
          </cell>
        </row>
        <row r="372">
          <cell r="A372">
            <v>21</v>
          </cell>
          <cell r="B372" t="str">
            <v>Yes</v>
          </cell>
          <cell r="C372" t="str">
            <v>Sales</v>
          </cell>
          <cell r="D372">
            <v>12</v>
          </cell>
          <cell r="E372">
            <v>3</v>
          </cell>
          <cell r="F372" t="str">
            <v>Life Sciences</v>
          </cell>
          <cell r="G372">
            <v>3</v>
          </cell>
          <cell r="H372" t="str">
            <v>Female</v>
          </cell>
          <cell r="I372">
            <v>4</v>
          </cell>
          <cell r="J372">
            <v>1</v>
          </cell>
          <cell r="K372" t="str">
            <v>Sales Representative</v>
          </cell>
          <cell r="L372">
            <v>2</v>
          </cell>
          <cell r="M372" t="str">
            <v>Single</v>
          </cell>
          <cell r="N372">
            <v>2716</v>
          </cell>
          <cell r="O372">
            <v>1</v>
          </cell>
          <cell r="P372" t="str">
            <v>No</v>
          </cell>
          <cell r="Q372">
            <v>4</v>
          </cell>
          <cell r="R372">
            <v>1</v>
          </cell>
          <cell r="S372">
            <v>3</v>
          </cell>
          <cell r="T372">
            <v>1</v>
          </cell>
          <cell r="U372">
            <v>0</v>
          </cell>
          <cell r="V372">
            <v>0</v>
          </cell>
          <cell r="W372">
            <v>0</v>
          </cell>
          <cell r="X372">
            <v>15</v>
          </cell>
          <cell r="Y372">
            <v>1</v>
          </cell>
          <cell r="Z372" t="str">
            <v>Young</v>
          </cell>
          <cell r="AA372" t="str">
            <v>Low</v>
          </cell>
          <cell r="AB372" t="str">
            <v>Early</v>
          </cell>
          <cell r="AC372" t="str">
            <v>Medium</v>
          </cell>
          <cell r="AD372">
            <v>494</v>
          </cell>
        </row>
        <row r="373">
          <cell r="A373">
            <v>29</v>
          </cell>
          <cell r="B373" t="str">
            <v>No</v>
          </cell>
          <cell r="C373" t="str">
            <v>Research &amp; Development</v>
          </cell>
          <cell r="D373">
            <v>23</v>
          </cell>
          <cell r="E373">
            <v>3</v>
          </cell>
          <cell r="F373" t="str">
            <v>Life Sciences</v>
          </cell>
          <cell r="G373">
            <v>4</v>
          </cell>
          <cell r="H373" t="str">
            <v>Male</v>
          </cell>
          <cell r="I373">
            <v>3</v>
          </cell>
          <cell r="J373">
            <v>1</v>
          </cell>
          <cell r="K373" t="str">
            <v>Research Scientist</v>
          </cell>
          <cell r="L373">
            <v>4</v>
          </cell>
          <cell r="M373" t="str">
            <v>Single</v>
          </cell>
          <cell r="N373">
            <v>2201</v>
          </cell>
          <cell r="O373">
            <v>9</v>
          </cell>
          <cell r="P373" t="str">
            <v>No</v>
          </cell>
          <cell r="Q373">
            <v>4</v>
          </cell>
          <cell r="R373">
            <v>6</v>
          </cell>
          <cell r="S373">
            <v>3</v>
          </cell>
          <cell r="T373">
            <v>3</v>
          </cell>
          <cell r="U373">
            <v>2</v>
          </cell>
          <cell r="V373">
            <v>1</v>
          </cell>
          <cell r="W373">
            <v>2</v>
          </cell>
          <cell r="X373">
            <v>16</v>
          </cell>
          <cell r="Y373">
            <v>0</v>
          </cell>
          <cell r="Z373" t="str">
            <v>Young</v>
          </cell>
          <cell r="AA373" t="str">
            <v>Low</v>
          </cell>
          <cell r="AB373" t="str">
            <v>Mid</v>
          </cell>
          <cell r="AC373" t="str">
            <v>Medium</v>
          </cell>
          <cell r="AD373">
            <v>495</v>
          </cell>
        </row>
        <row r="374">
          <cell r="A374">
            <v>35</v>
          </cell>
          <cell r="B374" t="str">
            <v>No</v>
          </cell>
          <cell r="C374" t="str">
            <v>Research &amp; Development</v>
          </cell>
          <cell r="D374">
            <v>9</v>
          </cell>
          <cell r="E374">
            <v>4</v>
          </cell>
          <cell r="F374" t="str">
            <v>Life Sciences</v>
          </cell>
          <cell r="G374">
            <v>3</v>
          </cell>
          <cell r="H374" t="str">
            <v>Male</v>
          </cell>
          <cell r="I374">
            <v>2</v>
          </cell>
          <cell r="J374">
            <v>2</v>
          </cell>
          <cell r="K374" t="str">
            <v>Healthcare Representative</v>
          </cell>
          <cell r="L374">
            <v>2</v>
          </cell>
          <cell r="M374" t="str">
            <v>Single</v>
          </cell>
          <cell r="N374">
            <v>6540</v>
          </cell>
          <cell r="O374">
            <v>9</v>
          </cell>
          <cell r="P374" t="str">
            <v>No</v>
          </cell>
          <cell r="Q374">
            <v>3</v>
          </cell>
          <cell r="R374">
            <v>10</v>
          </cell>
          <cell r="S374">
            <v>3</v>
          </cell>
          <cell r="T374">
            <v>1</v>
          </cell>
          <cell r="U374">
            <v>1</v>
          </cell>
          <cell r="V374">
            <v>0</v>
          </cell>
          <cell r="W374">
            <v>0</v>
          </cell>
          <cell r="X374">
            <v>19</v>
          </cell>
          <cell r="Y374">
            <v>0</v>
          </cell>
          <cell r="Z374" t="str">
            <v>Mid</v>
          </cell>
          <cell r="AA374" t="str">
            <v>Medium</v>
          </cell>
          <cell r="AB374" t="str">
            <v>Early</v>
          </cell>
          <cell r="AC374" t="str">
            <v>High</v>
          </cell>
          <cell r="AD374">
            <v>496</v>
          </cell>
        </row>
        <row r="375">
          <cell r="A375">
            <v>27</v>
          </cell>
          <cell r="B375" t="str">
            <v>No</v>
          </cell>
          <cell r="C375" t="str">
            <v>Research &amp; Development</v>
          </cell>
          <cell r="D375">
            <v>1</v>
          </cell>
          <cell r="E375">
            <v>2</v>
          </cell>
          <cell r="F375" t="str">
            <v>Medical</v>
          </cell>
          <cell r="G375">
            <v>4</v>
          </cell>
          <cell r="H375" t="str">
            <v>Male</v>
          </cell>
          <cell r="I375">
            <v>3</v>
          </cell>
          <cell r="J375">
            <v>1</v>
          </cell>
          <cell r="K375" t="str">
            <v>Laboratory Technician</v>
          </cell>
          <cell r="L375">
            <v>2</v>
          </cell>
          <cell r="M375" t="str">
            <v>Divorced</v>
          </cell>
          <cell r="N375">
            <v>3816</v>
          </cell>
          <cell r="O375">
            <v>1</v>
          </cell>
          <cell r="P375" t="str">
            <v>No</v>
          </cell>
          <cell r="Q375">
            <v>2</v>
          </cell>
          <cell r="R375">
            <v>5</v>
          </cell>
          <cell r="S375">
            <v>3</v>
          </cell>
          <cell r="T375">
            <v>5</v>
          </cell>
          <cell r="U375">
            <v>2</v>
          </cell>
          <cell r="V375">
            <v>0</v>
          </cell>
          <cell r="W375">
            <v>4</v>
          </cell>
          <cell r="X375">
            <v>11</v>
          </cell>
          <cell r="Y375">
            <v>0</v>
          </cell>
          <cell r="Z375" t="str">
            <v>Young</v>
          </cell>
          <cell r="AA375" t="str">
            <v>Low</v>
          </cell>
          <cell r="AB375" t="str">
            <v>Mid</v>
          </cell>
          <cell r="AC375" t="str">
            <v>Low</v>
          </cell>
          <cell r="AD375">
            <v>497</v>
          </cell>
        </row>
        <row r="376">
          <cell r="A376">
            <v>28</v>
          </cell>
          <cell r="B376" t="str">
            <v>No</v>
          </cell>
          <cell r="C376" t="str">
            <v>Sales</v>
          </cell>
          <cell r="D376">
            <v>9</v>
          </cell>
          <cell r="E376">
            <v>4</v>
          </cell>
          <cell r="F376" t="str">
            <v>Life Sciences</v>
          </cell>
          <cell r="G376">
            <v>2</v>
          </cell>
          <cell r="H376" t="str">
            <v>Male</v>
          </cell>
          <cell r="I376">
            <v>3</v>
          </cell>
          <cell r="J376">
            <v>2</v>
          </cell>
          <cell r="K376" t="str">
            <v>Sales Executive</v>
          </cell>
          <cell r="L376">
            <v>4</v>
          </cell>
          <cell r="M376" t="str">
            <v>Single</v>
          </cell>
          <cell r="N376">
            <v>5253</v>
          </cell>
          <cell r="O376">
            <v>1</v>
          </cell>
          <cell r="P376" t="str">
            <v>No</v>
          </cell>
          <cell r="Q376">
            <v>4</v>
          </cell>
          <cell r="R376">
            <v>7</v>
          </cell>
          <cell r="S376">
            <v>3</v>
          </cell>
          <cell r="T376">
            <v>7</v>
          </cell>
          <cell r="U376">
            <v>5</v>
          </cell>
          <cell r="V376">
            <v>0</v>
          </cell>
          <cell r="W376">
            <v>7</v>
          </cell>
          <cell r="X376">
            <v>16</v>
          </cell>
          <cell r="Y376">
            <v>0</v>
          </cell>
          <cell r="Z376" t="str">
            <v>Young</v>
          </cell>
          <cell r="AA376" t="str">
            <v>Medium</v>
          </cell>
          <cell r="AB376" t="str">
            <v>Long</v>
          </cell>
          <cell r="AC376" t="str">
            <v>Medium</v>
          </cell>
          <cell r="AD376">
            <v>498</v>
          </cell>
        </row>
        <row r="377">
          <cell r="A377">
            <v>49</v>
          </cell>
          <cell r="B377" t="str">
            <v>No</v>
          </cell>
          <cell r="C377" t="str">
            <v>Research &amp; Development</v>
          </cell>
          <cell r="D377">
            <v>7</v>
          </cell>
          <cell r="E377">
            <v>3</v>
          </cell>
          <cell r="F377" t="str">
            <v>Other</v>
          </cell>
          <cell r="G377">
            <v>2</v>
          </cell>
          <cell r="H377" t="str">
            <v>Male</v>
          </cell>
          <cell r="I377">
            <v>2</v>
          </cell>
          <cell r="J377">
            <v>3</v>
          </cell>
          <cell r="K377" t="str">
            <v>Healthcare Representative</v>
          </cell>
          <cell r="L377">
            <v>3</v>
          </cell>
          <cell r="M377" t="str">
            <v>Single</v>
          </cell>
          <cell r="N377">
            <v>10965</v>
          </cell>
          <cell r="O377">
            <v>8</v>
          </cell>
          <cell r="P377" t="str">
            <v>No</v>
          </cell>
          <cell r="Q377">
            <v>3</v>
          </cell>
          <cell r="R377">
            <v>26</v>
          </cell>
          <cell r="S377">
            <v>3</v>
          </cell>
          <cell r="T377">
            <v>5</v>
          </cell>
          <cell r="U377">
            <v>2</v>
          </cell>
          <cell r="V377">
            <v>0</v>
          </cell>
          <cell r="W377">
            <v>0</v>
          </cell>
          <cell r="X377">
            <v>24</v>
          </cell>
          <cell r="Y377">
            <v>0</v>
          </cell>
          <cell r="Z377" t="str">
            <v>Senior</v>
          </cell>
          <cell r="AA377" t="str">
            <v>High</v>
          </cell>
          <cell r="AB377" t="str">
            <v>Mid</v>
          </cell>
          <cell r="AC377" t="str">
            <v>High</v>
          </cell>
          <cell r="AD377">
            <v>499</v>
          </cell>
        </row>
        <row r="378">
          <cell r="A378">
            <v>51</v>
          </cell>
          <cell r="B378" t="str">
            <v>No</v>
          </cell>
          <cell r="C378" t="str">
            <v>Sales</v>
          </cell>
          <cell r="D378">
            <v>14</v>
          </cell>
          <cell r="E378">
            <v>2</v>
          </cell>
          <cell r="F378" t="str">
            <v>Life Sciences</v>
          </cell>
          <cell r="G378">
            <v>3</v>
          </cell>
          <cell r="H378" t="str">
            <v>Female</v>
          </cell>
          <cell r="I378">
            <v>3</v>
          </cell>
          <cell r="J378">
            <v>2</v>
          </cell>
          <cell r="K378" t="str">
            <v>Sales Executive</v>
          </cell>
          <cell r="L378">
            <v>4</v>
          </cell>
          <cell r="M378" t="str">
            <v>Married</v>
          </cell>
          <cell r="N378">
            <v>4936</v>
          </cell>
          <cell r="O378">
            <v>4</v>
          </cell>
          <cell r="P378" t="str">
            <v>No</v>
          </cell>
          <cell r="Q378">
            <v>3</v>
          </cell>
          <cell r="R378">
            <v>18</v>
          </cell>
          <cell r="S378">
            <v>2</v>
          </cell>
          <cell r="T378">
            <v>7</v>
          </cell>
          <cell r="U378">
            <v>7</v>
          </cell>
          <cell r="V378">
            <v>0</v>
          </cell>
          <cell r="W378">
            <v>7</v>
          </cell>
          <cell r="X378">
            <v>11</v>
          </cell>
          <cell r="Y378">
            <v>0</v>
          </cell>
          <cell r="Z378" t="str">
            <v>Senior</v>
          </cell>
          <cell r="AA378" t="str">
            <v>Low</v>
          </cell>
          <cell r="AB378" t="str">
            <v>Long</v>
          </cell>
          <cell r="AC378" t="str">
            <v>Low</v>
          </cell>
          <cell r="AD378">
            <v>500</v>
          </cell>
        </row>
        <row r="379">
          <cell r="A379">
            <v>36</v>
          </cell>
          <cell r="B379" t="str">
            <v>No</v>
          </cell>
          <cell r="C379" t="str">
            <v>Research &amp; Development</v>
          </cell>
          <cell r="D379">
            <v>2</v>
          </cell>
          <cell r="E379">
            <v>3</v>
          </cell>
          <cell r="F379" t="str">
            <v>Life Sciences</v>
          </cell>
          <cell r="G379">
            <v>4</v>
          </cell>
          <cell r="H379" t="str">
            <v>Female</v>
          </cell>
          <cell r="I379">
            <v>3</v>
          </cell>
          <cell r="J379">
            <v>1</v>
          </cell>
          <cell r="K379" t="str">
            <v>Research Scientist</v>
          </cell>
          <cell r="L379">
            <v>3</v>
          </cell>
          <cell r="M379" t="str">
            <v>Married</v>
          </cell>
          <cell r="N379">
            <v>2543</v>
          </cell>
          <cell r="O379">
            <v>4</v>
          </cell>
          <cell r="P379" t="str">
            <v>No</v>
          </cell>
          <cell r="Q379">
            <v>2</v>
          </cell>
          <cell r="R379">
            <v>6</v>
          </cell>
          <cell r="S379">
            <v>3</v>
          </cell>
          <cell r="T379">
            <v>2</v>
          </cell>
          <cell r="U379">
            <v>2</v>
          </cell>
          <cell r="V379">
            <v>2</v>
          </cell>
          <cell r="W379">
            <v>2</v>
          </cell>
          <cell r="X379">
            <v>13</v>
          </cell>
          <cell r="Y379">
            <v>0</v>
          </cell>
          <cell r="Z379" t="str">
            <v>Mid</v>
          </cell>
          <cell r="AA379" t="str">
            <v>Low</v>
          </cell>
          <cell r="AB379" t="str">
            <v>Early</v>
          </cell>
          <cell r="AC379" t="str">
            <v>Medium</v>
          </cell>
          <cell r="AD379">
            <v>501</v>
          </cell>
        </row>
        <row r="380">
          <cell r="A380">
            <v>34</v>
          </cell>
          <cell r="B380" t="str">
            <v>Yes</v>
          </cell>
          <cell r="C380" t="str">
            <v>Sales</v>
          </cell>
          <cell r="D380">
            <v>19</v>
          </cell>
          <cell r="E380">
            <v>3</v>
          </cell>
          <cell r="F380" t="str">
            <v>Marketing</v>
          </cell>
          <cell r="G380">
            <v>1</v>
          </cell>
          <cell r="H380" t="str">
            <v>Male</v>
          </cell>
          <cell r="I380">
            <v>4</v>
          </cell>
          <cell r="J380">
            <v>2</v>
          </cell>
          <cell r="K380" t="str">
            <v>Sales Executive</v>
          </cell>
          <cell r="L380">
            <v>4</v>
          </cell>
          <cell r="M380" t="str">
            <v>Single</v>
          </cell>
          <cell r="N380">
            <v>5304</v>
          </cell>
          <cell r="O380">
            <v>8</v>
          </cell>
          <cell r="P380" t="str">
            <v>Yes</v>
          </cell>
          <cell r="Q380">
            <v>2</v>
          </cell>
          <cell r="R380">
            <v>9</v>
          </cell>
          <cell r="S380">
            <v>2</v>
          </cell>
          <cell r="T380">
            <v>5</v>
          </cell>
          <cell r="U380">
            <v>2</v>
          </cell>
          <cell r="V380">
            <v>0</v>
          </cell>
          <cell r="W380">
            <v>4</v>
          </cell>
          <cell r="X380">
            <v>13</v>
          </cell>
          <cell r="Y380">
            <v>1</v>
          </cell>
          <cell r="Z380" t="str">
            <v>Mid</v>
          </cell>
          <cell r="AA380" t="str">
            <v>Medium</v>
          </cell>
          <cell r="AB380" t="str">
            <v>Mid</v>
          </cell>
          <cell r="AC380" t="str">
            <v>Medium</v>
          </cell>
          <cell r="AD380">
            <v>502</v>
          </cell>
        </row>
        <row r="381">
          <cell r="A381">
            <v>55</v>
          </cell>
          <cell r="B381" t="str">
            <v>No</v>
          </cell>
          <cell r="C381" t="str">
            <v>Research &amp; Development</v>
          </cell>
          <cell r="D381">
            <v>2</v>
          </cell>
          <cell r="E381">
            <v>3</v>
          </cell>
          <cell r="F381" t="str">
            <v>Life Sciences</v>
          </cell>
          <cell r="G381">
            <v>3</v>
          </cell>
          <cell r="H381" t="str">
            <v>Female</v>
          </cell>
          <cell r="I381">
            <v>3</v>
          </cell>
          <cell r="J381">
            <v>4</v>
          </cell>
          <cell r="K381" t="str">
            <v>Manager</v>
          </cell>
          <cell r="L381">
            <v>4</v>
          </cell>
          <cell r="M381" t="str">
            <v>Single</v>
          </cell>
          <cell r="N381">
            <v>16659</v>
          </cell>
          <cell r="O381">
            <v>2</v>
          </cell>
          <cell r="P381" t="str">
            <v>Yes</v>
          </cell>
          <cell r="Q381">
            <v>3</v>
          </cell>
          <cell r="R381">
            <v>30</v>
          </cell>
          <cell r="S381">
            <v>3</v>
          </cell>
          <cell r="T381">
            <v>5</v>
          </cell>
          <cell r="U381">
            <v>4</v>
          </cell>
          <cell r="V381">
            <v>1</v>
          </cell>
          <cell r="W381">
            <v>2</v>
          </cell>
          <cell r="X381">
            <v>13</v>
          </cell>
          <cell r="Y381">
            <v>0</v>
          </cell>
          <cell r="Z381" t="str">
            <v>Senior</v>
          </cell>
          <cell r="AA381" t="str">
            <v>High</v>
          </cell>
          <cell r="AB381" t="str">
            <v>Mid</v>
          </cell>
          <cell r="AC381" t="str">
            <v>Medium</v>
          </cell>
          <cell r="AD381">
            <v>505</v>
          </cell>
        </row>
        <row r="382">
          <cell r="A382">
            <v>24</v>
          </cell>
          <cell r="B382" t="str">
            <v>No</v>
          </cell>
          <cell r="C382" t="str">
            <v>Sales</v>
          </cell>
          <cell r="D382">
            <v>10</v>
          </cell>
          <cell r="E382">
            <v>4</v>
          </cell>
          <cell r="F382" t="str">
            <v>Marketing</v>
          </cell>
          <cell r="G382">
            <v>4</v>
          </cell>
          <cell r="H382" t="str">
            <v>Female</v>
          </cell>
          <cell r="I382">
            <v>3</v>
          </cell>
          <cell r="J382">
            <v>2</v>
          </cell>
          <cell r="K382" t="str">
            <v>Sales Executive</v>
          </cell>
          <cell r="L382">
            <v>3</v>
          </cell>
          <cell r="M382" t="str">
            <v>Divorced</v>
          </cell>
          <cell r="N382">
            <v>4260</v>
          </cell>
          <cell r="O382">
            <v>1</v>
          </cell>
          <cell r="P382" t="str">
            <v>Yes</v>
          </cell>
          <cell r="Q382">
            <v>4</v>
          </cell>
          <cell r="R382">
            <v>5</v>
          </cell>
          <cell r="S382">
            <v>4</v>
          </cell>
          <cell r="T382">
            <v>5</v>
          </cell>
          <cell r="U382">
            <v>2</v>
          </cell>
          <cell r="V382">
            <v>0</v>
          </cell>
          <cell r="W382">
            <v>3</v>
          </cell>
          <cell r="X382">
            <v>12</v>
          </cell>
          <cell r="Y382">
            <v>0</v>
          </cell>
          <cell r="Z382" t="str">
            <v>Young</v>
          </cell>
          <cell r="AA382" t="str">
            <v>Low</v>
          </cell>
          <cell r="AB382" t="str">
            <v>Mid</v>
          </cell>
          <cell r="AC382" t="str">
            <v>Low</v>
          </cell>
          <cell r="AD382">
            <v>507</v>
          </cell>
        </row>
        <row r="383">
          <cell r="A383">
            <v>30</v>
          </cell>
          <cell r="B383" t="str">
            <v>No</v>
          </cell>
          <cell r="C383" t="str">
            <v>Sales</v>
          </cell>
          <cell r="D383">
            <v>2</v>
          </cell>
          <cell r="E383">
            <v>1</v>
          </cell>
          <cell r="F383" t="str">
            <v>Technical Degree</v>
          </cell>
          <cell r="G383">
            <v>3</v>
          </cell>
          <cell r="H383" t="str">
            <v>Male</v>
          </cell>
          <cell r="I383">
            <v>3</v>
          </cell>
          <cell r="J383">
            <v>1</v>
          </cell>
          <cell r="K383" t="str">
            <v>Sales Representative</v>
          </cell>
          <cell r="L383">
            <v>2</v>
          </cell>
          <cell r="M383" t="str">
            <v>Married</v>
          </cell>
          <cell r="N383">
            <v>2476</v>
          </cell>
          <cell r="O383">
            <v>1</v>
          </cell>
          <cell r="P383" t="str">
            <v>No</v>
          </cell>
          <cell r="Q383">
            <v>1</v>
          </cell>
          <cell r="R383">
            <v>1</v>
          </cell>
          <cell r="S383">
            <v>3</v>
          </cell>
          <cell r="T383">
            <v>1</v>
          </cell>
          <cell r="U383">
            <v>0</v>
          </cell>
          <cell r="V383">
            <v>0</v>
          </cell>
          <cell r="W383">
            <v>0</v>
          </cell>
          <cell r="X383">
            <v>18</v>
          </cell>
          <cell r="Y383">
            <v>0</v>
          </cell>
          <cell r="Z383" t="str">
            <v>Mid</v>
          </cell>
          <cell r="AA383" t="str">
            <v>Low</v>
          </cell>
          <cell r="AB383" t="str">
            <v>Early</v>
          </cell>
          <cell r="AC383" t="str">
            <v>High</v>
          </cell>
          <cell r="AD383">
            <v>508</v>
          </cell>
        </row>
        <row r="384">
          <cell r="A384">
            <v>26</v>
          </cell>
          <cell r="B384" t="str">
            <v>Yes</v>
          </cell>
          <cell r="C384" t="str">
            <v>Research &amp; Development</v>
          </cell>
          <cell r="D384">
            <v>3</v>
          </cell>
          <cell r="E384">
            <v>1</v>
          </cell>
          <cell r="F384" t="str">
            <v>Technical Degree</v>
          </cell>
          <cell r="G384">
            <v>3</v>
          </cell>
          <cell r="H384" t="str">
            <v>Male</v>
          </cell>
          <cell r="I384">
            <v>3</v>
          </cell>
          <cell r="J384">
            <v>1</v>
          </cell>
          <cell r="K384" t="str">
            <v>Research Scientist</v>
          </cell>
          <cell r="L384">
            <v>1</v>
          </cell>
          <cell r="M384" t="str">
            <v>Single</v>
          </cell>
          <cell r="N384">
            <v>3102</v>
          </cell>
          <cell r="O384">
            <v>0</v>
          </cell>
          <cell r="P384" t="str">
            <v>No</v>
          </cell>
          <cell r="Q384">
            <v>3</v>
          </cell>
          <cell r="R384">
            <v>7</v>
          </cell>
          <cell r="S384">
            <v>3</v>
          </cell>
          <cell r="T384">
            <v>6</v>
          </cell>
          <cell r="U384">
            <v>4</v>
          </cell>
          <cell r="V384">
            <v>0</v>
          </cell>
          <cell r="W384">
            <v>4</v>
          </cell>
          <cell r="X384">
            <v>22</v>
          </cell>
          <cell r="Y384">
            <v>1</v>
          </cell>
          <cell r="Z384" t="str">
            <v>Young</v>
          </cell>
          <cell r="AA384" t="str">
            <v>Low</v>
          </cell>
          <cell r="AB384" t="str">
            <v>Mid</v>
          </cell>
          <cell r="AC384" t="str">
            <v>High</v>
          </cell>
          <cell r="AD384">
            <v>510</v>
          </cell>
        </row>
        <row r="385">
          <cell r="A385">
            <v>22</v>
          </cell>
          <cell r="B385" t="str">
            <v>No</v>
          </cell>
          <cell r="C385" t="str">
            <v>Research &amp; Development</v>
          </cell>
          <cell r="D385">
            <v>11</v>
          </cell>
          <cell r="E385">
            <v>3</v>
          </cell>
          <cell r="F385" t="str">
            <v>Medical</v>
          </cell>
          <cell r="G385">
            <v>1</v>
          </cell>
          <cell r="H385" t="str">
            <v>Female</v>
          </cell>
          <cell r="I385">
            <v>3</v>
          </cell>
          <cell r="J385">
            <v>1</v>
          </cell>
          <cell r="K385" t="str">
            <v>Research Scientist</v>
          </cell>
          <cell r="L385">
            <v>2</v>
          </cell>
          <cell r="M385" t="str">
            <v>Married</v>
          </cell>
          <cell r="N385">
            <v>2244</v>
          </cell>
          <cell r="O385">
            <v>1</v>
          </cell>
          <cell r="P385" t="str">
            <v>No</v>
          </cell>
          <cell r="Q385">
            <v>4</v>
          </cell>
          <cell r="R385">
            <v>2</v>
          </cell>
          <cell r="S385">
            <v>3</v>
          </cell>
          <cell r="T385">
            <v>2</v>
          </cell>
          <cell r="U385">
            <v>1</v>
          </cell>
          <cell r="V385">
            <v>1</v>
          </cell>
          <cell r="W385">
            <v>2</v>
          </cell>
          <cell r="X385">
            <v>13</v>
          </cell>
          <cell r="Y385">
            <v>0</v>
          </cell>
          <cell r="Z385" t="str">
            <v>Young</v>
          </cell>
          <cell r="AA385" t="str">
            <v>Low</v>
          </cell>
          <cell r="AB385" t="str">
            <v>Early</v>
          </cell>
          <cell r="AC385" t="str">
            <v>Medium</v>
          </cell>
          <cell r="AD385">
            <v>511</v>
          </cell>
        </row>
        <row r="386">
          <cell r="A386">
            <v>36</v>
          </cell>
          <cell r="B386" t="str">
            <v>No</v>
          </cell>
          <cell r="C386" t="str">
            <v>Sales</v>
          </cell>
          <cell r="D386">
            <v>2</v>
          </cell>
          <cell r="E386">
            <v>2</v>
          </cell>
          <cell r="F386" t="str">
            <v>Medical</v>
          </cell>
          <cell r="G386">
            <v>2</v>
          </cell>
          <cell r="H386" t="str">
            <v>Male</v>
          </cell>
          <cell r="I386">
            <v>2</v>
          </cell>
          <cell r="J386">
            <v>3</v>
          </cell>
          <cell r="K386" t="str">
            <v>Sales Executive</v>
          </cell>
          <cell r="L386">
            <v>3</v>
          </cell>
          <cell r="M386" t="str">
            <v>Married</v>
          </cell>
          <cell r="N386">
            <v>7596</v>
          </cell>
          <cell r="O386">
            <v>1</v>
          </cell>
          <cell r="P386" t="str">
            <v>No</v>
          </cell>
          <cell r="Q386">
            <v>2</v>
          </cell>
          <cell r="R386">
            <v>10</v>
          </cell>
          <cell r="S386">
            <v>3</v>
          </cell>
          <cell r="T386">
            <v>10</v>
          </cell>
          <cell r="U386">
            <v>9</v>
          </cell>
          <cell r="V386">
            <v>9</v>
          </cell>
          <cell r="W386">
            <v>0</v>
          </cell>
          <cell r="X386">
            <v>13</v>
          </cell>
          <cell r="Y386">
            <v>0</v>
          </cell>
          <cell r="Z386" t="str">
            <v>Mid</v>
          </cell>
          <cell r="AA386" t="str">
            <v>Medium</v>
          </cell>
          <cell r="AB386" t="str">
            <v>Long</v>
          </cell>
          <cell r="AC386" t="str">
            <v>Medium</v>
          </cell>
          <cell r="AD386">
            <v>513</v>
          </cell>
        </row>
        <row r="387">
          <cell r="A387">
            <v>30</v>
          </cell>
          <cell r="B387" t="str">
            <v>Yes</v>
          </cell>
          <cell r="C387" t="str">
            <v>Research &amp; Development</v>
          </cell>
          <cell r="D387">
            <v>4</v>
          </cell>
          <cell r="E387">
            <v>3</v>
          </cell>
          <cell r="F387" t="str">
            <v>Technical Degree</v>
          </cell>
          <cell r="G387">
            <v>3</v>
          </cell>
          <cell r="H387" t="str">
            <v>Male</v>
          </cell>
          <cell r="I387">
            <v>3</v>
          </cell>
          <cell r="J387">
            <v>1</v>
          </cell>
          <cell r="K387" t="str">
            <v>Research Scientist</v>
          </cell>
          <cell r="L387">
            <v>4</v>
          </cell>
          <cell r="M387" t="str">
            <v>Single</v>
          </cell>
          <cell r="N387">
            <v>2285</v>
          </cell>
          <cell r="O387">
            <v>9</v>
          </cell>
          <cell r="P387" t="str">
            <v>Yes</v>
          </cell>
          <cell r="Q387">
            <v>3</v>
          </cell>
          <cell r="R387">
            <v>3</v>
          </cell>
          <cell r="S387">
            <v>3</v>
          </cell>
          <cell r="T387">
            <v>1</v>
          </cell>
          <cell r="U387">
            <v>0</v>
          </cell>
          <cell r="V387">
            <v>0</v>
          </cell>
          <cell r="W387">
            <v>0</v>
          </cell>
          <cell r="X387">
            <v>23</v>
          </cell>
          <cell r="Y387">
            <v>1</v>
          </cell>
          <cell r="Z387" t="str">
            <v>Mid</v>
          </cell>
          <cell r="AA387" t="str">
            <v>Low</v>
          </cell>
          <cell r="AB387" t="str">
            <v>Early</v>
          </cell>
          <cell r="AC387" t="str">
            <v>High</v>
          </cell>
          <cell r="AD387">
            <v>514</v>
          </cell>
        </row>
        <row r="388">
          <cell r="A388">
            <v>37</v>
          </cell>
          <cell r="B388" t="str">
            <v>No</v>
          </cell>
          <cell r="C388" t="str">
            <v>Research &amp; Development</v>
          </cell>
          <cell r="D388">
            <v>14</v>
          </cell>
          <cell r="E388">
            <v>3</v>
          </cell>
          <cell r="F388" t="str">
            <v>Life Sciences</v>
          </cell>
          <cell r="G388">
            <v>4</v>
          </cell>
          <cell r="H388" t="str">
            <v>Female</v>
          </cell>
          <cell r="I388">
            <v>3</v>
          </cell>
          <cell r="J388">
            <v>1</v>
          </cell>
          <cell r="K388" t="str">
            <v>Laboratory Technician</v>
          </cell>
          <cell r="L388">
            <v>1</v>
          </cell>
          <cell r="M388" t="str">
            <v>Divorced</v>
          </cell>
          <cell r="N388">
            <v>3034</v>
          </cell>
          <cell r="O388">
            <v>1</v>
          </cell>
          <cell r="P388" t="str">
            <v>No</v>
          </cell>
          <cell r="Q388">
            <v>3</v>
          </cell>
          <cell r="R388">
            <v>18</v>
          </cell>
          <cell r="S388">
            <v>2</v>
          </cell>
          <cell r="T388">
            <v>18</v>
          </cell>
          <cell r="U388">
            <v>7</v>
          </cell>
          <cell r="V388">
            <v>12</v>
          </cell>
          <cell r="W388">
            <v>17</v>
          </cell>
          <cell r="X388">
            <v>12</v>
          </cell>
          <cell r="Y388">
            <v>0</v>
          </cell>
          <cell r="Z388" t="str">
            <v>Mid</v>
          </cell>
          <cell r="AA388" t="str">
            <v>Low</v>
          </cell>
          <cell r="AB388" t="str">
            <v>Long</v>
          </cell>
          <cell r="AC388" t="str">
            <v>Low</v>
          </cell>
          <cell r="AD388">
            <v>515</v>
          </cell>
        </row>
        <row r="389">
          <cell r="A389">
            <v>40</v>
          </cell>
          <cell r="B389" t="str">
            <v>No</v>
          </cell>
          <cell r="C389" t="str">
            <v>Sales</v>
          </cell>
          <cell r="D389">
            <v>2</v>
          </cell>
          <cell r="E389">
            <v>2</v>
          </cell>
          <cell r="F389" t="str">
            <v>Marketing</v>
          </cell>
          <cell r="G389">
            <v>4</v>
          </cell>
          <cell r="H389" t="str">
            <v>Female</v>
          </cell>
          <cell r="I389">
            <v>3</v>
          </cell>
          <cell r="J389">
            <v>2</v>
          </cell>
          <cell r="K389" t="str">
            <v>Sales Executive</v>
          </cell>
          <cell r="L389">
            <v>2</v>
          </cell>
          <cell r="M389" t="str">
            <v>Divorced</v>
          </cell>
          <cell r="N389">
            <v>5715</v>
          </cell>
          <cell r="O389">
            <v>7</v>
          </cell>
          <cell r="P389" t="str">
            <v>No</v>
          </cell>
          <cell r="Q389">
            <v>3</v>
          </cell>
          <cell r="R389">
            <v>8</v>
          </cell>
          <cell r="S389">
            <v>3</v>
          </cell>
          <cell r="T389">
            <v>5</v>
          </cell>
          <cell r="U389">
            <v>4</v>
          </cell>
          <cell r="V389">
            <v>1</v>
          </cell>
          <cell r="W389">
            <v>3</v>
          </cell>
          <cell r="X389">
            <v>12</v>
          </cell>
          <cell r="Y389">
            <v>0</v>
          </cell>
          <cell r="Z389" t="str">
            <v>Mid</v>
          </cell>
          <cell r="AA389" t="str">
            <v>Medium</v>
          </cell>
          <cell r="AB389" t="str">
            <v>Mid</v>
          </cell>
          <cell r="AC389" t="str">
            <v>Low</v>
          </cell>
          <cell r="AD389">
            <v>516</v>
          </cell>
        </row>
        <row r="390">
          <cell r="A390">
            <v>42</v>
          </cell>
          <cell r="B390" t="str">
            <v>No</v>
          </cell>
          <cell r="C390" t="str">
            <v>Research &amp; Development</v>
          </cell>
          <cell r="D390">
            <v>1</v>
          </cell>
          <cell r="E390">
            <v>4</v>
          </cell>
          <cell r="F390" t="str">
            <v>Life Sciences</v>
          </cell>
          <cell r="G390">
            <v>2</v>
          </cell>
          <cell r="H390" t="str">
            <v>Female</v>
          </cell>
          <cell r="I390">
            <v>3</v>
          </cell>
          <cell r="J390">
            <v>1</v>
          </cell>
          <cell r="K390" t="str">
            <v>Laboratory Technician</v>
          </cell>
          <cell r="L390">
            <v>1</v>
          </cell>
          <cell r="M390" t="str">
            <v>Divorced</v>
          </cell>
          <cell r="N390">
            <v>2576</v>
          </cell>
          <cell r="O390">
            <v>3</v>
          </cell>
          <cell r="P390" t="str">
            <v>No</v>
          </cell>
          <cell r="Q390">
            <v>2</v>
          </cell>
          <cell r="R390">
            <v>8</v>
          </cell>
          <cell r="S390">
            <v>3</v>
          </cell>
          <cell r="T390">
            <v>5</v>
          </cell>
          <cell r="U390">
            <v>2</v>
          </cell>
          <cell r="V390">
            <v>1</v>
          </cell>
          <cell r="W390">
            <v>2</v>
          </cell>
          <cell r="X390">
            <v>16</v>
          </cell>
          <cell r="Y390">
            <v>0</v>
          </cell>
          <cell r="Z390" t="str">
            <v>Mid</v>
          </cell>
          <cell r="AA390" t="str">
            <v>Low</v>
          </cell>
          <cell r="AB390" t="str">
            <v>Mid</v>
          </cell>
          <cell r="AC390" t="str">
            <v>Medium</v>
          </cell>
          <cell r="AD390">
            <v>517</v>
          </cell>
        </row>
        <row r="391">
          <cell r="A391">
            <v>37</v>
          </cell>
          <cell r="B391" t="str">
            <v>No</v>
          </cell>
          <cell r="C391" t="str">
            <v>Research &amp; Development</v>
          </cell>
          <cell r="D391">
            <v>10</v>
          </cell>
          <cell r="E391">
            <v>4</v>
          </cell>
          <cell r="F391" t="str">
            <v>Life Sciences</v>
          </cell>
          <cell r="G391">
            <v>3</v>
          </cell>
          <cell r="H391" t="str">
            <v>Male</v>
          </cell>
          <cell r="I391">
            <v>3</v>
          </cell>
          <cell r="J391">
            <v>2</v>
          </cell>
          <cell r="K391" t="str">
            <v>Manufacturing Director</v>
          </cell>
          <cell r="L391">
            <v>2</v>
          </cell>
          <cell r="M391" t="str">
            <v>Single</v>
          </cell>
          <cell r="N391">
            <v>4197</v>
          </cell>
          <cell r="O391">
            <v>2</v>
          </cell>
          <cell r="P391" t="str">
            <v>Yes</v>
          </cell>
          <cell r="Q391">
            <v>4</v>
          </cell>
          <cell r="R391">
            <v>18</v>
          </cell>
          <cell r="S391">
            <v>2</v>
          </cell>
          <cell r="T391">
            <v>1</v>
          </cell>
          <cell r="U391">
            <v>0</v>
          </cell>
          <cell r="V391">
            <v>0</v>
          </cell>
          <cell r="W391">
            <v>1</v>
          </cell>
          <cell r="X391">
            <v>12</v>
          </cell>
          <cell r="Y391">
            <v>0</v>
          </cell>
          <cell r="Z391" t="str">
            <v>Mid</v>
          </cell>
          <cell r="AA391" t="str">
            <v>Low</v>
          </cell>
          <cell r="AB391" t="str">
            <v>Early</v>
          </cell>
          <cell r="AC391" t="str">
            <v>Low</v>
          </cell>
          <cell r="AD391">
            <v>518</v>
          </cell>
        </row>
        <row r="392">
          <cell r="A392">
            <v>43</v>
          </cell>
          <cell r="B392" t="str">
            <v>No</v>
          </cell>
          <cell r="C392" t="str">
            <v>Research &amp; Development</v>
          </cell>
          <cell r="D392">
            <v>12</v>
          </cell>
          <cell r="E392">
            <v>3</v>
          </cell>
          <cell r="F392" t="str">
            <v>Life Sciences</v>
          </cell>
          <cell r="G392">
            <v>1</v>
          </cell>
          <cell r="H392" t="str">
            <v>Male</v>
          </cell>
          <cell r="I392">
            <v>2</v>
          </cell>
          <cell r="J392">
            <v>4</v>
          </cell>
          <cell r="K392" t="str">
            <v>Research Director</v>
          </cell>
          <cell r="L392">
            <v>2</v>
          </cell>
          <cell r="M392" t="str">
            <v>Divorced</v>
          </cell>
          <cell r="N392">
            <v>14336</v>
          </cell>
          <cell r="O392">
            <v>1</v>
          </cell>
          <cell r="P392" t="str">
            <v>No</v>
          </cell>
          <cell r="Q392">
            <v>3</v>
          </cell>
          <cell r="R392">
            <v>25</v>
          </cell>
          <cell r="S392">
            <v>3</v>
          </cell>
          <cell r="T392">
            <v>25</v>
          </cell>
          <cell r="U392">
            <v>10</v>
          </cell>
          <cell r="V392">
            <v>3</v>
          </cell>
          <cell r="W392">
            <v>9</v>
          </cell>
          <cell r="X392">
            <v>11</v>
          </cell>
          <cell r="Y392">
            <v>0</v>
          </cell>
          <cell r="Z392" t="str">
            <v>Mid</v>
          </cell>
          <cell r="AA392" t="str">
            <v>High</v>
          </cell>
          <cell r="AB392" t="str">
            <v>Long</v>
          </cell>
          <cell r="AC392" t="str">
            <v>Low</v>
          </cell>
          <cell r="AD392">
            <v>520</v>
          </cell>
        </row>
        <row r="393">
          <cell r="A393">
            <v>40</v>
          </cell>
          <cell r="B393" t="str">
            <v>No</v>
          </cell>
          <cell r="C393" t="str">
            <v>Research &amp; Development</v>
          </cell>
          <cell r="D393">
            <v>2</v>
          </cell>
          <cell r="E393">
            <v>3</v>
          </cell>
          <cell r="F393" t="str">
            <v>Medical</v>
          </cell>
          <cell r="G393">
            <v>2</v>
          </cell>
          <cell r="H393" t="str">
            <v>Female</v>
          </cell>
          <cell r="I393">
            <v>2</v>
          </cell>
          <cell r="J393">
            <v>2</v>
          </cell>
          <cell r="K393" t="str">
            <v>Laboratory Technician</v>
          </cell>
          <cell r="L393">
            <v>3</v>
          </cell>
          <cell r="M393" t="str">
            <v>Married</v>
          </cell>
          <cell r="N393">
            <v>3448</v>
          </cell>
          <cell r="O393">
            <v>6</v>
          </cell>
          <cell r="P393" t="str">
            <v>No</v>
          </cell>
          <cell r="Q393">
            <v>2</v>
          </cell>
          <cell r="R393">
            <v>20</v>
          </cell>
          <cell r="S393">
            <v>3</v>
          </cell>
          <cell r="T393">
            <v>1</v>
          </cell>
          <cell r="U393">
            <v>0</v>
          </cell>
          <cell r="V393">
            <v>0</v>
          </cell>
          <cell r="W393">
            <v>0</v>
          </cell>
          <cell r="X393">
            <v>22</v>
          </cell>
          <cell r="Y393">
            <v>0</v>
          </cell>
          <cell r="Z393" t="str">
            <v>Mid</v>
          </cell>
          <cell r="AA393" t="str">
            <v>Low</v>
          </cell>
          <cell r="AB393" t="str">
            <v>Early</v>
          </cell>
          <cell r="AC393" t="str">
            <v>High</v>
          </cell>
          <cell r="AD393">
            <v>521</v>
          </cell>
        </row>
        <row r="394">
          <cell r="A394">
            <v>54</v>
          </cell>
          <cell r="B394" t="str">
            <v>No</v>
          </cell>
          <cell r="C394" t="str">
            <v>Research &amp; Development</v>
          </cell>
          <cell r="D394">
            <v>5</v>
          </cell>
          <cell r="E394">
            <v>2</v>
          </cell>
          <cell r="F394" t="str">
            <v>Medical</v>
          </cell>
          <cell r="G394">
            <v>1</v>
          </cell>
          <cell r="H394" t="str">
            <v>Male</v>
          </cell>
          <cell r="I394">
            <v>3</v>
          </cell>
          <cell r="J394">
            <v>5</v>
          </cell>
          <cell r="K394" t="str">
            <v>Research Director</v>
          </cell>
          <cell r="L394">
            <v>1</v>
          </cell>
          <cell r="M394" t="str">
            <v>Married</v>
          </cell>
          <cell r="N394">
            <v>19406</v>
          </cell>
          <cell r="O394">
            <v>4</v>
          </cell>
          <cell r="P394" t="str">
            <v>No</v>
          </cell>
          <cell r="Q394">
            <v>3</v>
          </cell>
          <cell r="R394">
            <v>24</v>
          </cell>
          <cell r="S394">
            <v>2</v>
          </cell>
          <cell r="T394">
            <v>4</v>
          </cell>
          <cell r="U394">
            <v>2</v>
          </cell>
          <cell r="V394">
            <v>1</v>
          </cell>
          <cell r="W394">
            <v>2</v>
          </cell>
          <cell r="X394">
            <v>11</v>
          </cell>
          <cell r="Y394">
            <v>0</v>
          </cell>
          <cell r="Z394" t="str">
            <v>Senior</v>
          </cell>
          <cell r="AA394" t="str">
            <v>High</v>
          </cell>
          <cell r="AB394" t="str">
            <v>Mid</v>
          </cell>
          <cell r="AC394" t="str">
            <v>Low</v>
          </cell>
          <cell r="AD394">
            <v>522</v>
          </cell>
        </row>
        <row r="395">
          <cell r="A395">
            <v>34</v>
          </cell>
          <cell r="B395" t="str">
            <v>No</v>
          </cell>
          <cell r="C395" t="str">
            <v>Sales</v>
          </cell>
          <cell r="D395">
            <v>4</v>
          </cell>
          <cell r="E395">
            <v>4</v>
          </cell>
          <cell r="F395" t="str">
            <v>Marketing</v>
          </cell>
          <cell r="G395">
            <v>3</v>
          </cell>
          <cell r="H395" t="str">
            <v>Female</v>
          </cell>
          <cell r="I395">
            <v>3</v>
          </cell>
          <cell r="J395">
            <v>2</v>
          </cell>
          <cell r="K395" t="str">
            <v>Sales Executive</v>
          </cell>
          <cell r="L395">
            <v>3</v>
          </cell>
          <cell r="M395" t="str">
            <v>Married</v>
          </cell>
          <cell r="N395">
            <v>6538</v>
          </cell>
          <cell r="O395">
            <v>9</v>
          </cell>
          <cell r="P395" t="str">
            <v>No</v>
          </cell>
          <cell r="Q395">
            <v>1</v>
          </cell>
          <cell r="R395">
            <v>6</v>
          </cell>
          <cell r="S395">
            <v>3</v>
          </cell>
          <cell r="T395">
            <v>3</v>
          </cell>
          <cell r="U395">
            <v>2</v>
          </cell>
          <cell r="V395">
            <v>1</v>
          </cell>
          <cell r="W395">
            <v>2</v>
          </cell>
          <cell r="X395">
            <v>15</v>
          </cell>
          <cell r="Y395">
            <v>0</v>
          </cell>
          <cell r="Z395" t="str">
            <v>Mid</v>
          </cell>
          <cell r="AA395" t="str">
            <v>Medium</v>
          </cell>
          <cell r="AB395" t="str">
            <v>Mid</v>
          </cell>
          <cell r="AC395" t="str">
            <v>Medium</v>
          </cell>
          <cell r="AD395">
            <v>523</v>
          </cell>
        </row>
        <row r="396">
          <cell r="A396">
            <v>31</v>
          </cell>
          <cell r="B396" t="str">
            <v>No</v>
          </cell>
          <cell r="C396" t="str">
            <v>Research &amp; Development</v>
          </cell>
          <cell r="D396">
            <v>7</v>
          </cell>
          <cell r="E396">
            <v>2</v>
          </cell>
          <cell r="F396" t="str">
            <v>Medical</v>
          </cell>
          <cell r="G396">
            <v>2</v>
          </cell>
          <cell r="H396" t="str">
            <v>Female</v>
          </cell>
          <cell r="I396">
            <v>3</v>
          </cell>
          <cell r="J396">
            <v>2</v>
          </cell>
          <cell r="K396" t="str">
            <v>Manufacturing Director</v>
          </cell>
          <cell r="L396">
            <v>1</v>
          </cell>
          <cell r="M396" t="str">
            <v>Married</v>
          </cell>
          <cell r="N396">
            <v>4306</v>
          </cell>
          <cell r="O396">
            <v>1</v>
          </cell>
          <cell r="P396" t="str">
            <v>No</v>
          </cell>
          <cell r="Q396">
            <v>2</v>
          </cell>
          <cell r="R396">
            <v>13</v>
          </cell>
          <cell r="S396">
            <v>1</v>
          </cell>
          <cell r="T396">
            <v>13</v>
          </cell>
          <cell r="U396">
            <v>10</v>
          </cell>
          <cell r="V396">
            <v>3</v>
          </cell>
          <cell r="W396">
            <v>12</v>
          </cell>
          <cell r="X396">
            <v>12</v>
          </cell>
          <cell r="Y396">
            <v>0</v>
          </cell>
          <cell r="Z396" t="str">
            <v>Mid</v>
          </cell>
          <cell r="AA396" t="str">
            <v>Low</v>
          </cell>
          <cell r="AB396" t="str">
            <v>Long</v>
          </cell>
          <cell r="AC396" t="str">
            <v>Low</v>
          </cell>
          <cell r="AD396">
            <v>524</v>
          </cell>
        </row>
        <row r="397">
          <cell r="A397">
            <v>43</v>
          </cell>
          <cell r="B397" t="str">
            <v>No</v>
          </cell>
          <cell r="C397" t="str">
            <v>Research &amp; Development</v>
          </cell>
          <cell r="D397">
            <v>21</v>
          </cell>
          <cell r="E397">
            <v>3</v>
          </cell>
          <cell r="F397" t="str">
            <v>Medical</v>
          </cell>
          <cell r="G397">
            <v>4</v>
          </cell>
          <cell r="H397" t="str">
            <v>Male</v>
          </cell>
          <cell r="I397">
            <v>3</v>
          </cell>
          <cell r="J397">
            <v>1</v>
          </cell>
          <cell r="K397" t="str">
            <v>Laboratory Technician</v>
          </cell>
          <cell r="L397">
            <v>4</v>
          </cell>
          <cell r="M397" t="str">
            <v>Married</v>
          </cell>
          <cell r="N397">
            <v>2258</v>
          </cell>
          <cell r="O397">
            <v>7</v>
          </cell>
          <cell r="P397" t="str">
            <v>No</v>
          </cell>
          <cell r="Q397">
            <v>1</v>
          </cell>
          <cell r="R397">
            <v>8</v>
          </cell>
          <cell r="S397">
            <v>3</v>
          </cell>
          <cell r="T397">
            <v>3</v>
          </cell>
          <cell r="U397">
            <v>2</v>
          </cell>
          <cell r="V397">
            <v>1</v>
          </cell>
          <cell r="W397">
            <v>2</v>
          </cell>
          <cell r="X397">
            <v>20</v>
          </cell>
          <cell r="Y397">
            <v>0</v>
          </cell>
          <cell r="Z397" t="str">
            <v>Mid</v>
          </cell>
          <cell r="AA397" t="str">
            <v>Low</v>
          </cell>
          <cell r="AB397" t="str">
            <v>Mid</v>
          </cell>
          <cell r="AC397" t="str">
            <v>High</v>
          </cell>
          <cell r="AD397">
            <v>525</v>
          </cell>
        </row>
        <row r="398">
          <cell r="A398">
            <v>43</v>
          </cell>
          <cell r="B398" t="str">
            <v>No</v>
          </cell>
          <cell r="C398" t="str">
            <v>Research &amp; Development</v>
          </cell>
          <cell r="D398">
            <v>8</v>
          </cell>
          <cell r="E398">
            <v>4</v>
          </cell>
          <cell r="F398" t="str">
            <v>Other</v>
          </cell>
          <cell r="G398">
            <v>3</v>
          </cell>
          <cell r="H398" t="str">
            <v>Female</v>
          </cell>
          <cell r="I398">
            <v>3</v>
          </cell>
          <cell r="J398">
            <v>2</v>
          </cell>
          <cell r="K398" t="str">
            <v>Healthcare Representative</v>
          </cell>
          <cell r="L398">
            <v>3</v>
          </cell>
          <cell r="M398" t="str">
            <v>Divorced</v>
          </cell>
          <cell r="N398">
            <v>4522</v>
          </cell>
          <cell r="O398">
            <v>4</v>
          </cell>
          <cell r="P398" t="str">
            <v>Yes</v>
          </cell>
          <cell r="Q398">
            <v>4</v>
          </cell>
          <cell r="R398">
            <v>8</v>
          </cell>
          <cell r="S398">
            <v>3</v>
          </cell>
          <cell r="T398">
            <v>5</v>
          </cell>
          <cell r="U398">
            <v>2</v>
          </cell>
          <cell r="V398">
            <v>0</v>
          </cell>
          <cell r="W398">
            <v>2</v>
          </cell>
          <cell r="X398">
            <v>14</v>
          </cell>
          <cell r="Y398">
            <v>0</v>
          </cell>
          <cell r="Z398" t="str">
            <v>Mid</v>
          </cell>
          <cell r="AA398" t="str">
            <v>Low</v>
          </cell>
          <cell r="AB398" t="str">
            <v>Mid</v>
          </cell>
          <cell r="AC398" t="str">
            <v>Medium</v>
          </cell>
          <cell r="AD398">
            <v>526</v>
          </cell>
        </row>
        <row r="399">
          <cell r="A399">
            <v>25</v>
          </cell>
          <cell r="B399" t="str">
            <v>No</v>
          </cell>
          <cell r="C399" t="str">
            <v>Sales</v>
          </cell>
          <cell r="D399">
            <v>4</v>
          </cell>
          <cell r="E399">
            <v>2</v>
          </cell>
          <cell r="F399" t="str">
            <v>Life Sciences</v>
          </cell>
          <cell r="G399">
            <v>2</v>
          </cell>
          <cell r="H399" t="str">
            <v>Female</v>
          </cell>
          <cell r="I399">
            <v>2</v>
          </cell>
          <cell r="J399">
            <v>2</v>
          </cell>
          <cell r="K399" t="str">
            <v>Sales Executive</v>
          </cell>
          <cell r="L399">
            <v>4</v>
          </cell>
          <cell r="M399" t="str">
            <v>Single</v>
          </cell>
          <cell r="N399">
            <v>4487</v>
          </cell>
          <cell r="O399">
            <v>1</v>
          </cell>
          <cell r="P399" t="str">
            <v>Yes</v>
          </cell>
          <cell r="Q399">
            <v>2</v>
          </cell>
          <cell r="R399">
            <v>5</v>
          </cell>
          <cell r="S399">
            <v>3</v>
          </cell>
          <cell r="T399">
            <v>5</v>
          </cell>
          <cell r="U399">
            <v>4</v>
          </cell>
          <cell r="V399">
            <v>1</v>
          </cell>
          <cell r="W399">
            <v>3</v>
          </cell>
          <cell r="X399">
            <v>11</v>
          </cell>
          <cell r="Y399">
            <v>0</v>
          </cell>
          <cell r="Z399" t="str">
            <v>Young</v>
          </cell>
          <cell r="AA399" t="str">
            <v>Low</v>
          </cell>
          <cell r="AB399" t="str">
            <v>Mid</v>
          </cell>
          <cell r="AC399" t="str">
            <v>Low</v>
          </cell>
          <cell r="AD399">
            <v>527</v>
          </cell>
        </row>
        <row r="400">
          <cell r="A400">
            <v>37</v>
          </cell>
          <cell r="B400" t="str">
            <v>No</v>
          </cell>
          <cell r="C400" t="str">
            <v>Research &amp; Development</v>
          </cell>
          <cell r="D400">
            <v>25</v>
          </cell>
          <cell r="E400">
            <v>5</v>
          </cell>
          <cell r="F400" t="str">
            <v>Medical</v>
          </cell>
          <cell r="G400">
            <v>2</v>
          </cell>
          <cell r="H400" t="str">
            <v>Female</v>
          </cell>
          <cell r="I400">
            <v>3</v>
          </cell>
          <cell r="J400">
            <v>2</v>
          </cell>
          <cell r="K400" t="str">
            <v>Research Scientist</v>
          </cell>
          <cell r="L400">
            <v>3</v>
          </cell>
          <cell r="M400" t="str">
            <v>Married</v>
          </cell>
          <cell r="N400">
            <v>4449</v>
          </cell>
          <cell r="O400">
            <v>3</v>
          </cell>
          <cell r="P400" t="str">
            <v>Yes</v>
          </cell>
          <cell r="Q400">
            <v>1</v>
          </cell>
          <cell r="R400">
            <v>15</v>
          </cell>
          <cell r="S400">
            <v>3</v>
          </cell>
          <cell r="T400">
            <v>13</v>
          </cell>
          <cell r="U400">
            <v>11</v>
          </cell>
          <cell r="V400">
            <v>10</v>
          </cell>
          <cell r="W400">
            <v>7</v>
          </cell>
          <cell r="X400">
            <v>15</v>
          </cell>
          <cell r="Y400">
            <v>0</v>
          </cell>
          <cell r="Z400" t="str">
            <v>Mid</v>
          </cell>
          <cell r="AA400" t="str">
            <v>Low</v>
          </cell>
          <cell r="AB400" t="str">
            <v>Long</v>
          </cell>
          <cell r="AC400" t="str">
            <v>Medium</v>
          </cell>
          <cell r="AD400">
            <v>529</v>
          </cell>
        </row>
        <row r="401">
          <cell r="A401">
            <v>31</v>
          </cell>
          <cell r="B401" t="str">
            <v>No</v>
          </cell>
          <cell r="C401" t="str">
            <v>Research &amp; Development</v>
          </cell>
          <cell r="D401">
            <v>1</v>
          </cell>
          <cell r="E401">
            <v>2</v>
          </cell>
          <cell r="F401" t="str">
            <v>Life Sciences</v>
          </cell>
          <cell r="G401">
            <v>4</v>
          </cell>
          <cell r="H401" t="str">
            <v>Male</v>
          </cell>
          <cell r="I401">
            <v>2</v>
          </cell>
          <cell r="J401">
            <v>1</v>
          </cell>
          <cell r="K401" t="str">
            <v>Laboratory Technician</v>
          </cell>
          <cell r="L401">
            <v>1</v>
          </cell>
          <cell r="M401" t="str">
            <v>Married</v>
          </cell>
          <cell r="N401">
            <v>2218</v>
          </cell>
          <cell r="O401">
            <v>1</v>
          </cell>
          <cell r="P401" t="str">
            <v>No</v>
          </cell>
          <cell r="Q401">
            <v>3</v>
          </cell>
          <cell r="R401">
            <v>4</v>
          </cell>
          <cell r="S401">
            <v>3</v>
          </cell>
          <cell r="T401">
            <v>4</v>
          </cell>
          <cell r="U401">
            <v>2</v>
          </cell>
          <cell r="V401">
            <v>3</v>
          </cell>
          <cell r="W401">
            <v>2</v>
          </cell>
          <cell r="X401">
            <v>12</v>
          </cell>
          <cell r="Y401">
            <v>0</v>
          </cell>
          <cell r="Z401" t="str">
            <v>Mid</v>
          </cell>
          <cell r="AA401" t="str">
            <v>Low</v>
          </cell>
          <cell r="AB401" t="str">
            <v>Mid</v>
          </cell>
          <cell r="AC401" t="str">
            <v>Low</v>
          </cell>
          <cell r="AD401">
            <v>530</v>
          </cell>
        </row>
        <row r="402">
          <cell r="A402">
            <v>39</v>
          </cell>
          <cell r="B402" t="str">
            <v>No</v>
          </cell>
          <cell r="C402" t="str">
            <v>Research &amp; Development</v>
          </cell>
          <cell r="D402">
            <v>1</v>
          </cell>
          <cell r="E402">
            <v>1</v>
          </cell>
          <cell r="F402" t="str">
            <v>Life Sciences</v>
          </cell>
          <cell r="G402">
            <v>2</v>
          </cell>
          <cell r="H402" t="str">
            <v>Male</v>
          </cell>
          <cell r="I402">
            <v>3</v>
          </cell>
          <cell r="J402">
            <v>5</v>
          </cell>
          <cell r="K402" t="str">
            <v>Manager</v>
          </cell>
          <cell r="L402">
            <v>3</v>
          </cell>
          <cell r="M402" t="str">
            <v>Divorced</v>
          </cell>
          <cell r="N402">
            <v>19197</v>
          </cell>
          <cell r="O402">
            <v>1</v>
          </cell>
          <cell r="P402" t="str">
            <v>Yes</v>
          </cell>
          <cell r="Q402">
            <v>3</v>
          </cell>
          <cell r="R402">
            <v>21</v>
          </cell>
          <cell r="S402">
            <v>3</v>
          </cell>
          <cell r="T402">
            <v>21</v>
          </cell>
          <cell r="U402">
            <v>8</v>
          </cell>
          <cell r="V402">
            <v>1</v>
          </cell>
          <cell r="W402">
            <v>6</v>
          </cell>
          <cell r="X402">
            <v>14</v>
          </cell>
          <cell r="Y402">
            <v>0</v>
          </cell>
          <cell r="Z402" t="str">
            <v>Mid</v>
          </cell>
          <cell r="AA402" t="str">
            <v>High</v>
          </cell>
          <cell r="AB402" t="str">
            <v>Long</v>
          </cell>
          <cell r="AC402" t="str">
            <v>Medium</v>
          </cell>
          <cell r="AD402">
            <v>531</v>
          </cell>
        </row>
        <row r="403">
          <cell r="A403">
            <v>56</v>
          </cell>
          <cell r="B403" t="str">
            <v>No</v>
          </cell>
          <cell r="C403" t="str">
            <v>Sales</v>
          </cell>
          <cell r="D403">
            <v>6</v>
          </cell>
          <cell r="E403">
            <v>3</v>
          </cell>
          <cell r="F403" t="str">
            <v>Life Sciences</v>
          </cell>
          <cell r="G403">
            <v>3</v>
          </cell>
          <cell r="H403" t="str">
            <v>Female</v>
          </cell>
          <cell r="I403">
            <v>4</v>
          </cell>
          <cell r="J403">
            <v>4</v>
          </cell>
          <cell r="K403" t="str">
            <v>Sales Executive</v>
          </cell>
          <cell r="L403">
            <v>1</v>
          </cell>
          <cell r="M403" t="str">
            <v>Married</v>
          </cell>
          <cell r="N403">
            <v>13212</v>
          </cell>
          <cell r="O403">
            <v>9</v>
          </cell>
          <cell r="P403" t="str">
            <v>No</v>
          </cell>
          <cell r="Q403">
            <v>4</v>
          </cell>
          <cell r="R403">
            <v>36</v>
          </cell>
          <cell r="S403">
            <v>2</v>
          </cell>
          <cell r="T403">
            <v>7</v>
          </cell>
          <cell r="U403">
            <v>7</v>
          </cell>
          <cell r="V403">
            <v>7</v>
          </cell>
          <cell r="W403">
            <v>7</v>
          </cell>
          <cell r="X403">
            <v>11</v>
          </cell>
          <cell r="Y403">
            <v>0</v>
          </cell>
          <cell r="Z403" t="str">
            <v>Senior</v>
          </cell>
          <cell r="AA403" t="str">
            <v>High</v>
          </cell>
          <cell r="AB403" t="str">
            <v>Long</v>
          </cell>
          <cell r="AC403" t="str">
            <v>Low</v>
          </cell>
          <cell r="AD403">
            <v>532</v>
          </cell>
        </row>
        <row r="404">
          <cell r="A404">
            <v>30</v>
          </cell>
          <cell r="B404" t="str">
            <v>No</v>
          </cell>
          <cell r="C404" t="str">
            <v>Sales</v>
          </cell>
          <cell r="D404">
            <v>12</v>
          </cell>
          <cell r="E404">
            <v>3</v>
          </cell>
          <cell r="F404" t="str">
            <v>Technical Degree</v>
          </cell>
          <cell r="G404">
            <v>2</v>
          </cell>
          <cell r="H404" t="str">
            <v>Female</v>
          </cell>
          <cell r="I404">
            <v>3</v>
          </cell>
          <cell r="J404">
            <v>2</v>
          </cell>
          <cell r="K404" t="str">
            <v>Sales Executive</v>
          </cell>
          <cell r="L404">
            <v>3</v>
          </cell>
          <cell r="M404" t="str">
            <v>Single</v>
          </cell>
          <cell r="N404">
            <v>6577</v>
          </cell>
          <cell r="O404">
            <v>0</v>
          </cell>
          <cell r="P404" t="str">
            <v>No</v>
          </cell>
          <cell r="Q404">
            <v>2</v>
          </cell>
          <cell r="R404">
            <v>6</v>
          </cell>
          <cell r="S404">
            <v>3</v>
          </cell>
          <cell r="T404">
            <v>5</v>
          </cell>
          <cell r="U404">
            <v>4</v>
          </cell>
          <cell r="V404">
            <v>4</v>
          </cell>
          <cell r="W404">
            <v>4</v>
          </cell>
          <cell r="X404">
            <v>11</v>
          </cell>
          <cell r="Y404">
            <v>0</v>
          </cell>
          <cell r="Z404" t="str">
            <v>Mid</v>
          </cell>
          <cell r="AA404" t="str">
            <v>Medium</v>
          </cell>
          <cell r="AB404" t="str">
            <v>Mid</v>
          </cell>
          <cell r="AC404" t="str">
            <v>Low</v>
          </cell>
          <cell r="AD404">
            <v>533</v>
          </cell>
        </row>
        <row r="405">
          <cell r="A405">
            <v>41</v>
          </cell>
          <cell r="B405" t="str">
            <v>No</v>
          </cell>
          <cell r="C405" t="str">
            <v>Sales</v>
          </cell>
          <cell r="D405">
            <v>1</v>
          </cell>
          <cell r="E405">
            <v>3</v>
          </cell>
          <cell r="F405" t="str">
            <v>Marketing</v>
          </cell>
          <cell r="G405">
            <v>2</v>
          </cell>
          <cell r="H405" t="str">
            <v>Male</v>
          </cell>
          <cell r="I405">
            <v>4</v>
          </cell>
          <cell r="J405">
            <v>3</v>
          </cell>
          <cell r="K405" t="str">
            <v>Sales Executive</v>
          </cell>
          <cell r="L405">
            <v>1</v>
          </cell>
          <cell r="M405" t="str">
            <v>Married</v>
          </cell>
          <cell r="N405">
            <v>8392</v>
          </cell>
          <cell r="O405">
            <v>1</v>
          </cell>
          <cell r="P405" t="str">
            <v>No</v>
          </cell>
          <cell r="Q405">
            <v>3</v>
          </cell>
          <cell r="R405">
            <v>10</v>
          </cell>
          <cell r="S405">
            <v>3</v>
          </cell>
          <cell r="T405">
            <v>10</v>
          </cell>
          <cell r="U405">
            <v>7</v>
          </cell>
          <cell r="V405">
            <v>0</v>
          </cell>
          <cell r="W405">
            <v>7</v>
          </cell>
          <cell r="X405">
            <v>16</v>
          </cell>
          <cell r="Y405">
            <v>0</v>
          </cell>
          <cell r="Z405" t="str">
            <v>Mid</v>
          </cell>
          <cell r="AA405" t="str">
            <v>Medium</v>
          </cell>
          <cell r="AB405" t="str">
            <v>Long</v>
          </cell>
          <cell r="AC405" t="str">
            <v>Medium</v>
          </cell>
          <cell r="AD405">
            <v>534</v>
          </cell>
        </row>
        <row r="406">
          <cell r="A406">
            <v>28</v>
          </cell>
          <cell r="B406" t="str">
            <v>No</v>
          </cell>
          <cell r="C406" t="str">
            <v>Research &amp; Development</v>
          </cell>
          <cell r="D406">
            <v>17</v>
          </cell>
          <cell r="E406">
            <v>2</v>
          </cell>
          <cell r="F406" t="str">
            <v>Medical</v>
          </cell>
          <cell r="G406">
            <v>3</v>
          </cell>
          <cell r="H406" t="str">
            <v>Male</v>
          </cell>
          <cell r="I406">
            <v>3</v>
          </cell>
          <cell r="J406">
            <v>2</v>
          </cell>
          <cell r="K406" t="str">
            <v>Laboratory Technician</v>
          </cell>
          <cell r="L406">
            <v>1</v>
          </cell>
          <cell r="M406" t="str">
            <v>Divorced</v>
          </cell>
          <cell r="N406">
            <v>4558</v>
          </cell>
          <cell r="O406">
            <v>1</v>
          </cell>
          <cell r="P406" t="str">
            <v>No</v>
          </cell>
          <cell r="Q406">
            <v>4</v>
          </cell>
          <cell r="R406">
            <v>10</v>
          </cell>
          <cell r="S406">
            <v>3</v>
          </cell>
          <cell r="T406">
            <v>10</v>
          </cell>
          <cell r="U406">
            <v>0</v>
          </cell>
          <cell r="V406">
            <v>1</v>
          </cell>
          <cell r="W406">
            <v>8</v>
          </cell>
          <cell r="X406">
            <v>12</v>
          </cell>
          <cell r="Y406">
            <v>0</v>
          </cell>
          <cell r="Z406" t="str">
            <v>Young</v>
          </cell>
          <cell r="AA406" t="str">
            <v>Low</v>
          </cell>
          <cell r="AB406" t="str">
            <v>Long</v>
          </cell>
          <cell r="AC406" t="str">
            <v>Low</v>
          </cell>
          <cell r="AD406">
            <v>536</v>
          </cell>
        </row>
        <row r="407">
          <cell r="A407">
            <v>25</v>
          </cell>
          <cell r="B407" t="str">
            <v>Yes</v>
          </cell>
          <cell r="C407" t="str">
            <v>Research &amp; Development</v>
          </cell>
          <cell r="D407">
            <v>3</v>
          </cell>
          <cell r="E407">
            <v>3</v>
          </cell>
          <cell r="F407" t="str">
            <v>Medical</v>
          </cell>
          <cell r="G407">
            <v>1</v>
          </cell>
          <cell r="H407" t="str">
            <v>Male</v>
          </cell>
          <cell r="I407">
            <v>3</v>
          </cell>
          <cell r="J407">
            <v>1</v>
          </cell>
          <cell r="K407" t="str">
            <v>Laboratory Technician</v>
          </cell>
          <cell r="L407">
            <v>1</v>
          </cell>
          <cell r="M407" t="str">
            <v>Married</v>
          </cell>
          <cell r="N407">
            <v>4031</v>
          </cell>
          <cell r="O407">
            <v>5</v>
          </cell>
          <cell r="P407" t="str">
            <v>No</v>
          </cell>
          <cell r="Q407">
            <v>3</v>
          </cell>
          <cell r="R407">
            <v>6</v>
          </cell>
          <cell r="S407">
            <v>3</v>
          </cell>
          <cell r="T407">
            <v>2</v>
          </cell>
          <cell r="U407">
            <v>2</v>
          </cell>
          <cell r="V407">
            <v>0</v>
          </cell>
          <cell r="W407">
            <v>2</v>
          </cell>
          <cell r="X407">
            <v>13</v>
          </cell>
          <cell r="Y407">
            <v>1</v>
          </cell>
          <cell r="Z407" t="str">
            <v>Young</v>
          </cell>
          <cell r="AA407" t="str">
            <v>Low</v>
          </cell>
          <cell r="AB407" t="str">
            <v>Early</v>
          </cell>
          <cell r="AC407" t="str">
            <v>Medium</v>
          </cell>
          <cell r="AD407">
            <v>538</v>
          </cell>
        </row>
        <row r="408">
          <cell r="A408">
            <v>52</v>
          </cell>
          <cell r="B408" t="str">
            <v>No</v>
          </cell>
          <cell r="C408" t="str">
            <v>Research &amp; Development</v>
          </cell>
          <cell r="D408">
            <v>3</v>
          </cell>
          <cell r="E408">
            <v>3</v>
          </cell>
          <cell r="F408" t="str">
            <v>Medical</v>
          </cell>
          <cell r="G408">
            <v>4</v>
          </cell>
          <cell r="H408" t="str">
            <v>Male</v>
          </cell>
          <cell r="I408">
            <v>2</v>
          </cell>
          <cell r="J408">
            <v>3</v>
          </cell>
          <cell r="K408" t="str">
            <v>Manufacturing Director</v>
          </cell>
          <cell r="L408">
            <v>3</v>
          </cell>
          <cell r="M408" t="str">
            <v>Married</v>
          </cell>
          <cell r="N408">
            <v>7969</v>
          </cell>
          <cell r="O408">
            <v>2</v>
          </cell>
          <cell r="P408" t="str">
            <v>Yes</v>
          </cell>
          <cell r="Q408">
            <v>3</v>
          </cell>
          <cell r="R408">
            <v>28</v>
          </cell>
          <cell r="S408">
            <v>3</v>
          </cell>
          <cell r="T408">
            <v>5</v>
          </cell>
          <cell r="U408">
            <v>4</v>
          </cell>
          <cell r="V408">
            <v>0</v>
          </cell>
          <cell r="W408">
            <v>4</v>
          </cell>
          <cell r="X408">
            <v>14</v>
          </cell>
          <cell r="Y408">
            <v>0</v>
          </cell>
          <cell r="Z408" t="str">
            <v>Senior</v>
          </cell>
          <cell r="AA408" t="str">
            <v>Medium</v>
          </cell>
          <cell r="AB408" t="str">
            <v>Mid</v>
          </cell>
          <cell r="AC408" t="str">
            <v>Medium</v>
          </cell>
          <cell r="AD408">
            <v>543</v>
          </cell>
        </row>
        <row r="409">
          <cell r="A409">
            <v>45</v>
          </cell>
          <cell r="B409" t="str">
            <v>No</v>
          </cell>
          <cell r="C409" t="str">
            <v>Research &amp; Development</v>
          </cell>
          <cell r="D409">
            <v>10</v>
          </cell>
          <cell r="E409">
            <v>2</v>
          </cell>
          <cell r="F409" t="str">
            <v>Life Sciences</v>
          </cell>
          <cell r="G409">
            <v>1</v>
          </cell>
          <cell r="H409" t="str">
            <v>Male</v>
          </cell>
          <cell r="I409">
            <v>3</v>
          </cell>
          <cell r="J409">
            <v>1</v>
          </cell>
          <cell r="K409" t="str">
            <v>Research Scientist</v>
          </cell>
          <cell r="L409">
            <v>4</v>
          </cell>
          <cell r="M409" t="str">
            <v>Married</v>
          </cell>
          <cell r="N409">
            <v>2654</v>
          </cell>
          <cell r="O409">
            <v>3</v>
          </cell>
          <cell r="P409" t="str">
            <v>No</v>
          </cell>
          <cell r="Q409">
            <v>4</v>
          </cell>
          <cell r="R409">
            <v>8</v>
          </cell>
          <cell r="S409">
            <v>2</v>
          </cell>
          <cell r="T409">
            <v>2</v>
          </cell>
          <cell r="U409">
            <v>2</v>
          </cell>
          <cell r="V409">
            <v>0</v>
          </cell>
          <cell r="W409">
            <v>2</v>
          </cell>
          <cell r="X409">
            <v>21</v>
          </cell>
          <cell r="Y409">
            <v>0</v>
          </cell>
          <cell r="Z409" t="str">
            <v>Senior</v>
          </cell>
          <cell r="AA409" t="str">
            <v>Low</v>
          </cell>
          <cell r="AB409" t="str">
            <v>Early</v>
          </cell>
          <cell r="AC409" t="str">
            <v>High</v>
          </cell>
          <cell r="AD409">
            <v>544</v>
          </cell>
        </row>
        <row r="410">
          <cell r="A410">
            <v>52</v>
          </cell>
          <cell r="B410" t="str">
            <v>No</v>
          </cell>
          <cell r="C410" t="str">
            <v>Research &amp; Development</v>
          </cell>
          <cell r="D410">
            <v>4</v>
          </cell>
          <cell r="E410">
            <v>2</v>
          </cell>
          <cell r="F410" t="str">
            <v>Life Sciences</v>
          </cell>
          <cell r="G410">
            <v>4</v>
          </cell>
          <cell r="H410" t="str">
            <v>Female</v>
          </cell>
          <cell r="I410">
            <v>3</v>
          </cell>
          <cell r="J410">
            <v>4</v>
          </cell>
          <cell r="K410" t="str">
            <v>Manager</v>
          </cell>
          <cell r="L410">
            <v>4</v>
          </cell>
          <cell r="M410" t="str">
            <v>Married</v>
          </cell>
          <cell r="N410">
            <v>16555</v>
          </cell>
          <cell r="O410">
            <v>2</v>
          </cell>
          <cell r="P410" t="str">
            <v>No</v>
          </cell>
          <cell r="Q410">
            <v>4</v>
          </cell>
          <cell r="R410">
            <v>31</v>
          </cell>
          <cell r="S410">
            <v>1</v>
          </cell>
          <cell r="T410">
            <v>5</v>
          </cell>
          <cell r="U410">
            <v>2</v>
          </cell>
          <cell r="V410">
            <v>1</v>
          </cell>
          <cell r="W410">
            <v>4</v>
          </cell>
          <cell r="X410">
            <v>13</v>
          </cell>
          <cell r="Y410">
            <v>0</v>
          </cell>
          <cell r="Z410" t="str">
            <v>Senior</v>
          </cell>
          <cell r="AA410" t="str">
            <v>High</v>
          </cell>
          <cell r="AB410" t="str">
            <v>Mid</v>
          </cell>
          <cell r="AC410" t="str">
            <v>Medium</v>
          </cell>
          <cell r="AD410">
            <v>546</v>
          </cell>
        </row>
        <row r="411">
          <cell r="A411">
            <v>42</v>
          </cell>
          <cell r="B411" t="str">
            <v>No</v>
          </cell>
          <cell r="C411" t="str">
            <v>Research &amp; Development</v>
          </cell>
          <cell r="D411">
            <v>29</v>
          </cell>
          <cell r="E411">
            <v>2</v>
          </cell>
          <cell r="F411" t="str">
            <v>Life Sciences</v>
          </cell>
          <cell r="G411">
            <v>1</v>
          </cell>
          <cell r="H411" t="str">
            <v>Female</v>
          </cell>
          <cell r="I411">
            <v>3</v>
          </cell>
          <cell r="J411">
            <v>2</v>
          </cell>
          <cell r="K411" t="str">
            <v>Research Scientist</v>
          </cell>
          <cell r="L411">
            <v>3</v>
          </cell>
          <cell r="M411" t="str">
            <v>Divorced</v>
          </cell>
          <cell r="N411">
            <v>4556</v>
          </cell>
          <cell r="O411">
            <v>2</v>
          </cell>
          <cell r="P411" t="str">
            <v>No</v>
          </cell>
          <cell r="Q411">
            <v>2</v>
          </cell>
          <cell r="R411">
            <v>19</v>
          </cell>
          <cell r="S411">
            <v>3</v>
          </cell>
          <cell r="T411">
            <v>5</v>
          </cell>
          <cell r="U411">
            <v>4</v>
          </cell>
          <cell r="V411">
            <v>0</v>
          </cell>
          <cell r="W411">
            <v>2</v>
          </cell>
          <cell r="X411">
            <v>11</v>
          </cell>
          <cell r="Y411">
            <v>0</v>
          </cell>
          <cell r="Z411" t="str">
            <v>Mid</v>
          </cell>
          <cell r="AA411" t="str">
            <v>Low</v>
          </cell>
          <cell r="AB411" t="str">
            <v>Mid</v>
          </cell>
          <cell r="AC411" t="str">
            <v>Low</v>
          </cell>
          <cell r="AD411">
            <v>547</v>
          </cell>
        </row>
        <row r="412">
          <cell r="A412">
            <v>30</v>
          </cell>
          <cell r="B412" t="str">
            <v>No</v>
          </cell>
          <cell r="C412" t="str">
            <v>Research &amp; Development</v>
          </cell>
          <cell r="D412">
            <v>2</v>
          </cell>
          <cell r="E412">
            <v>3</v>
          </cell>
          <cell r="F412" t="str">
            <v>Life Sciences</v>
          </cell>
          <cell r="G412">
            <v>3</v>
          </cell>
          <cell r="H412" t="str">
            <v>Female</v>
          </cell>
          <cell r="I412">
            <v>1</v>
          </cell>
          <cell r="J412">
            <v>2</v>
          </cell>
          <cell r="K412" t="str">
            <v>Manufacturing Director</v>
          </cell>
          <cell r="L412">
            <v>4</v>
          </cell>
          <cell r="M412" t="str">
            <v>Single</v>
          </cell>
          <cell r="N412">
            <v>6091</v>
          </cell>
          <cell r="O412">
            <v>2</v>
          </cell>
          <cell r="P412" t="str">
            <v>No</v>
          </cell>
          <cell r="Q412">
            <v>3</v>
          </cell>
          <cell r="R412">
            <v>11</v>
          </cell>
          <cell r="S412">
            <v>3</v>
          </cell>
          <cell r="T412">
            <v>5</v>
          </cell>
          <cell r="U412">
            <v>4</v>
          </cell>
          <cell r="V412">
            <v>0</v>
          </cell>
          <cell r="W412">
            <v>2</v>
          </cell>
          <cell r="X412">
            <v>20</v>
          </cell>
          <cell r="Y412">
            <v>0</v>
          </cell>
          <cell r="Z412" t="str">
            <v>Mid</v>
          </cell>
          <cell r="AA412" t="str">
            <v>Medium</v>
          </cell>
          <cell r="AB412" t="str">
            <v>Mid</v>
          </cell>
          <cell r="AC412" t="str">
            <v>High</v>
          </cell>
          <cell r="AD412">
            <v>548</v>
          </cell>
        </row>
        <row r="413">
          <cell r="A413">
            <v>60</v>
          </cell>
          <cell r="B413" t="str">
            <v>No</v>
          </cell>
          <cell r="C413" t="str">
            <v>Research &amp; Development</v>
          </cell>
          <cell r="D413">
            <v>7</v>
          </cell>
          <cell r="E413">
            <v>3</v>
          </cell>
          <cell r="F413" t="str">
            <v>Life Sciences</v>
          </cell>
          <cell r="G413">
            <v>1</v>
          </cell>
          <cell r="H413" t="str">
            <v>Female</v>
          </cell>
          <cell r="I413">
            <v>3</v>
          </cell>
          <cell r="J413">
            <v>5</v>
          </cell>
          <cell r="K413" t="str">
            <v>Manager</v>
          </cell>
          <cell r="L413">
            <v>1</v>
          </cell>
          <cell r="M413" t="str">
            <v>Married</v>
          </cell>
          <cell r="N413">
            <v>19566</v>
          </cell>
          <cell r="O413">
            <v>5</v>
          </cell>
          <cell r="P413" t="str">
            <v>No</v>
          </cell>
          <cell r="Q413">
            <v>4</v>
          </cell>
          <cell r="R413">
            <v>33</v>
          </cell>
          <cell r="S413">
            <v>1</v>
          </cell>
          <cell r="T413">
            <v>29</v>
          </cell>
          <cell r="U413">
            <v>8</v>
          </cell>
          <cell r="V413">
            <v>11</v>
          </cell>
          <cell r="W413">
            <v>10</v>
          </cell>
          <cell r="X413">
            <v>11</v>
          </cell>
          <cell r="Y413">
            <v>0</v>
          </cell>
          <cell r="Z413" t="str">
            <v>Senior</v>
          </cell>
          <cell r="AA413" t="str">
            <v>High</v>
          </cell>
          <cell r="AB413" t="str">
            <v>Long</v>
          </cell>
          <cell r="AC413" t="str">
            <v>Low</v>
          </cell>
          <cell r="AD413">
            <v>549</v>
          </cell>
        </row>
        <row r="414">
          <cell r="A414">
            <v>46</v>
          </cell>
          <cell r="B414" t="str">
            <v>No</v>
          </cell>
          <cell r="C414" t="str">
            <v>Research &amp; Development</v>
          </cell>
          <cell r="D414">
            <v>18</v>
          </cell>
          <cell r="E414">
            <v>3</v>
          </cell>
          <cell r="F414" t="str">
            <v>Medical</v>
          </cell>
          <cell r="G414">
            <v>3</v>
          </cell>
          <cell r="H414" t="str">
            <v>Female</v>
          </cell>
          <cell r="I414">
            <v>3</v>
          </cell>
          <cell r="J414">
            <v>2</v>
          </cell>
          <cell r="K414" t="str">
            <v>Manufacturing Director</v>
          </cell>
          <cell r="L414">
            <v>3</v>
          </cell>
          <cell r="M414" t="str">
            <v>Divorced</v>
          </cell>
          <cell r="N414">
            <v>4810</v>
          </cell>
          <cell r="O414">
            <v>2</v>
          </cell>
          <cell r="P414" t="str">
            <v>No</v>
          </cell>
          <cell r="Q414">
            <v>3</v>
          </cell>
          <cell r="R414">
            <v>19</v>
          </cell>
          <cell r="S414">
            <v>2</v>
          </cell>
          <cell r="T414">
            <v>10</v>
          </cell>
          <cell r="U414">
            <v>7</v>
          </cell>
          <cell r="V414">
            <v>0</v>
          </cell>
          <cell r="W414">
            <v>8</v>
          </cell>
          <cell r="X414">
            <v>14</v>
          </cell>
          <cell r="Y414">
            <v>0</v>
          </cell>
          <cell r="Z414" t="str">
            <v>Senior</v>
          </cell>
          <cell r="AA414" t="str">
            <v>Low</v>
          </cell>
          <cell r="AB414" t="str">
            <v>Long</v>
          </cell>
          <cell r="AC414" t="str">
            <v>Medium</v>
          </cell>
          <cell r="AD414">
            <v>550</v>
          </cell>
        </row>
        <row r="415">
          <cell r="A415">
            <v>42</v>
          </cell>
          <cell r="B415" t="str">
            <v>No</v>
          </cell>
          <cell r="C415" t="str">
            <v>Research &amp; Development</v>
          </cell>
          <cell r="D415">
            <v>28</v>
          </cell>
          <cell r="E415">
            <v>4</v>
          </cell>
          <cell r="F415" t="str">
            <v>Technical Degree</v>
          </cell>
          <cell r="G415">
            <v>4</v>
          </cell>
          <cell r="H415" t="str">
            <v>Female</v>
          </cell>
          <cell r="I415">
            <v>2</v>
          </cell>
          <cell r="J415">
            <v>2</v>
          </cell>
          <cell r="K415" t="str">
            <v>Healthcare Representative</v>
          </cell>
          <cell r="L415">
            <v>4</v>
          </cell>
          <cell r="M415" t="str">
            <v>Married</v>
          </cell>
          <cell r="N415">
            <v>4523</v>
          </cell>
          <cell r="O415">
            <v>0</v>
          </cell>
          <cell r="P415" t="str">
            <v>No</v>
          </cell>
          <cell r="Q415">
            <v>4</v>
          </cell>
          <cell r="R415">
            <v>7</v>
          </cell>
          <cell r="S415">
            <v>4</v>
          </cell>
          <cell r="T415">
            <v>6</v>
          </cell>
          <cell r="U415">
            <v>5</v>
          </cell>
          <cell r="V415">
            <v>0</v>
          </cell>
          <cell r="W415">
            <v>4</v>
          </cell>
          <cell r="X415">
            <v>11</v>
          </cell>
          <cell r="Y415">
            <v>0</v>
          </cell>
          <cell r="Z415" t="str">
            <v>Mid</v>
          </cell>
          <cell r="AA415" t="str">
            <v>Low</v>
          </cell>
          <cell r="AB415" t="str">
            <v>Mid</v>
          </cell>
          <cell r="AC415" t="str">
            <v>Low</v>
          </cell>
          <cell r="AD415">
            <v>551</v>
          </cell>
        </row>
        <row r="416">
          <cell r="A416">
            <v>24</v>
          </cell>
          <cell r="B416" t="str">
            <v>Yes</v>
          </cell>
          <cell r="C416" t="str">
            <v>Sales</v>
          </cell>
          <cell r="D416">
            <v>1</v>
          </cell>
          <cell r="E416">
            <v>1</v>
          </cell>
          <cell r="F416" t="str">
            <v>Technical Degree</v>
          </cell>
          <cell r="G416">
            <v>1</v>
          </cell>
          <cell r="H416" t="str">
            <v>Female</v>
          </cell>
          <cell r="I416">
            <v>3</v>
          </cell>
          <cell r="J416">
            <v>1</v>
          </cell>
          <cell r="K416" t="str">
            <v>Sales Representative</v>
          </cell>
          <cell r="L416">
            <v>2</v>
          </cell>
          <cell r="M416" t="str">
            <v>Single</v>
          </cell>
          <cell r="N416">
            <v>3202</v>
          </cell>
          <cell r="O416">
            <v>1</v>
          </cell>
          <cell r="P416" t="str">
            <v>Yes</v>
          </cell>
          <cell r="Q416">
            <v>2</v>
          </cell>
          <cell r="R416">
            <v>6</v>
          </cell>
          <cell r="S416">
            <v>3</v>
          </cell>
          <cell r="T416">
            <v>5</v>
          </cell>
          <cell r="U416">
            <v>3</v>
          </cell>
          <cell r="V416">
            <v>1</v>
          </cell>
          <cell r="W416">
            <v>4</v>
          </cell>
          <cell r="X416">
            <v>16</v>
          </cell>
          <cell r="Y416">
            <v>1</v>
          </cell>
          <cell r="Z416" t="str">
            <v>Young</v>
          </cell>
          <cell r="AA416" t="str">
            <v>Low</v>
          </cell>
          <cell r="AB416" t="str">
            <v>Mid</v>
          </cell>
          <cell r="AC416" t="str">
            <v>Medium</v>
          </cell>
          <cell r="AD416">
            <v>554</v>
          </cell>
        </row>
        <row r="417">
          <cell r="A417">
            <v>34</v>
          </cell>
          <cell r="B417" t="str">
            <v>Yes</v>
          </cell>
          <cell r="C417" t="str">
            <v>Sales</v>
          </cell>
          <cell r="D417">
            <v>6</v>
          </cell>
          <cell r="E417">
            <v>2</v>
          </cell>
          <cell r="F417" t="str">
            <v>Marketing</v>
          </cell>
          <cell r="G417">
            <v>4</v>
          </cell>
          <cell r="H417" t="str">
            <v>Female</v>
          </cell>
          <cell r="I417">
            <v>1</v>
          </cell>
          <cell r="J417">
            <v>1</v>
          </cell>
          <cell r="K417" t="str">
            <v>Sales Representative</v>
          </cell>
          <cell r="L417">
            <v>3</v>
          </cell>
          <cell r="M417" t="str">
            <v>Divorced</v>
          </cell>
          <cell r="N417">
            <v>2351</v>
          </cell>
          <cell r="O417">
            <v>0</v>
          </cell>
          <cell r="P417" t="str">
            <v>No</v>
          </cell>
          <cell r="Q417">
            <v>4</v>
          </cell>
          <cell r="R417">
            <v>3</v>
          </cell>
          <cell r="S417">
            <v>2</v>
          </cell>
          <cell r="T417">
            <v>2</v>
          </cell>
          <cell r="U417">
            <v>2</v>
          </cell>
          <cell r="V417">
            <v>1</v>
          </cell>
          <cell r="W417">
            <v>0</v>
          </cell>
          <cell r="X417">
            <v>16</v>
          </cell>
          <cell r="Y417">
            <v>1</v>
          </cell>
          <cell r="Z417" t="str">
            <v>Mid</v>
          </cell>
          <cell r="AA417" t="str">
            <v>Low</v>
          </cell>
          <cell r="AB417" t="str">
            <v>Early</v>
          </cell>
          <cell r="AC417" t="str">
            <v>Medium</v>
          </cell>
          <cell r="AD417">
            <v>555</v>
          </cell>
        </row>
        <row r="418">
          <cell r="A418">
            <v>38</v>
          </cell>
          <cell r="B418" t="str">
            <v>No</v>
          </cell>
          <cell r="C418" t="str">
            <v>Research &amp; Development</v>
          </cell>
          <cell r="D418">
            <v>2</v>
          </cell>
          <cell r="E418">
            <v>2</v>
          </cell>
          <cell r="F418" t="str">
            <v>Life Sciences</v>
          </cell>
          <cell r="G418">
            <v>4</v>
          </cell>
          <cell r="H418" t="str">
            <v>Male</v>
          </cell>
          <cell r="I418">
            <v>3</v>
          </cell>
          <cell r="J418">
            <v>1</v>
          </cell>
          <cell r="K418" t="str">
            <v>Laboratory Technician</v>
          </cell>
          <cell r="L418">
            <v>4</v>
          </cell>
          <cell r="M418" t="str">
            <v>Married</v>
          </cell>
          <cell r="N418">
            <v>1702</v>
          </cell>
          <cell r="O418">
            <v>1</v>
          </cell>
          <cell r="P418" t="str">
            <v>Yes</v>
          </cell>
          <cell r="Q418">
            <v>3</v>
          </cell>
          <cell r="R418">
            <v>1</v>
          </cell>
          <cell r="S418">
            <v>3</v>
          </cell>
          <cell r="T418">
            <v>1</v>
          </cell>
          <cell r="U418">
            <v>0</v>
          </cell>
          <cell r="V418">
            <v>0</v>
          </cell>
          <cell r="W418">
            <v>0</v>
          </cell>
          <cell r="X418">
            <v>23</v>
          </cell>
          <cell r="Y418">
            <v>0</v>
          </cell>
          <cell r="Z418" t="str">
            <v>Mid</v>
          </cell>
          <cell r="AA418" t="str">
            <v>Low</v>
          </cell>
          <cell r="AB418" t="str">
            <v>Early</v>
          </cell>
          <cell r="AC418" t="str">
            <v>High</v>
          </cell>
          <cell r="AD418">
            <v>556</v>
          </cell>
        </row>
        <row r="419">
          <cell r="A419">
            <v>40</v>
          </cell>
          <cell r="B419" t="str">
            <v>No</v>
          </cell>
          <cell r="C419" t="str">
            <v>Sales</v>
          </cell>
          <cell r="D419">
            <v>2</v>
          </cell>
          <cell r="E419">
            <v>4</v>
          </cell>
          <cell r="F419" t="str">
            <v>Life Sciences</v>
          </cell>
          <cell r="G419">
            <v>3</v>
          </cell>
          <cell r="H419" t="str">
            <v>Female</v>
          </cell>
          <cell r="I419">
            <v>3</v>
          </cell>
          <cell r="J419">
            <v>5</v>
          </cell>
          <cell r="K419" t="str">
            <v>Manager</v>
          </cell>
          <cell r="L419">
            <v>3</v>
          </cell>
          <cell r="M419" t="str">
            <v>Married</v>
          </cell>
          <cell r="N419">
            <v>18041</v>
          </cell>
          <cell r="O419">
            <v>0</v>
          </cell>
          <cell r="P419" t="str">
            <v>No</v>
          </cell>
          <cell r="Q419">
            <v>4</v>
          </cell>
          <cell r="R419">
            <v>21</v>
          </cell>
          <cell r="S419">
            <v>3</v>
          </cell>
          <cell r="T419">
            <v>20</v>
          </cell>
          <cell r="U419">
            <v>15</v>
          </cell>
          <cell r="V419">
            <v>1</v>
          </cell>
          <cell r="W419">
            <v>12</v>
          </cell>
          <cell r="X419">
            <v>14</v>
          </cell>
          <cell r="Y419">
            <v>0</v>
          </cell>
          <cell r="Z419" t="str">
            <v>Mid</v>
          </cell>
          <cell r="AA419" t="str">
            <v>High</v>
          </cell>
          <cell r="AB419" t="str">
            <v>Long</v>
          </cell>
          <cell r="AC419" t="str">
            <v>Medium</v>
          </cell>
          <cell r="AD419">
            <v>558</v>
          </cell>
        </row>
        <row r="420">
          <cell r="A420">
            <v>26</v>
          </cell>
          <cell r="B420" t="str">
            <v>No</v>
          </cell>
          <cell r="C420" t="str">
            <v>Research &amp; Development</v>
          </cell>
          <cell r="D420">
            <v>23</v>
          </cell>
          <cell r="E420">
            <v>3</v>
          </cell>
          <cell r="F420" t="str">
            <v>Life Sciences</v>
          </cell>
          <cell r="G420">
            <v>1</v>
          </cell>
          <cell r="H420" t="str">
            <v>Female</v>
          </cell>
          <cell r="I420">
            <v>3</v>
          </cell>
          <cell r="J420">
            <v>1</v>
          </cell>
          <cell r="K420" t="str">
            <v>Research Scientist</v>
          </cell>
          <cell r="L420">
            <v>4</v>
          </cell>
          <cell r="M420" t="str">
            <v>Divorced</v>
          </cell>
          <cell r="N420">
            <v>2886</v>
          </cell>
          <cell r="O420">
            <v>1</v>
          </cell>
          <cell r="P420" t="str">
            <v>No</v>
          </cell>
          <cell r="Q420">
            <v>2</v>
          </cell>
          <cell r="R420">
            <v>3</v>
          </cell>
          <cell r="S420">
            <v>1</v>
          </cell>
          <cell r="T420">
            <v>3</v>
          </cell>
          <cell r="U420">
            <v>2</v>
          </cell>
          <cell r="V420">
            <v>0</v>
          </cell>
          <cell r="W420">
            <v>2</v>
          </cell>
          <cell r="X420">
            <v>22</v>
          </cell>
          <cell r="Y420">
            <v>0</v>
          </cell>
          <cell r="Z420" t="str">
            <v>Young</v>
          </cell>
          <cell r="AA420" t="str">
            <v>Low</v>
          </cell>
          <cell r="AB420" t="str">
            <v>Mid</v>
          </cell>
          <cell r="AC420" t="str">
            <v>High</v>
          </cell>
          <cell r="AD420">
            <v>560</v>
          </cell>
        </row>
        <row r="421">
          <cell r="A421">
            <v>30</v>
          </cell>
          <cell r="B421" t="str">
            <v>No</v>
          </cell>
          <cell r="C421" t="str">
            <v>Research &amp; Development</v>
          </cell>
          <cell r="D421">
            <v>3</v>
          </cell>
          <cell r="E421">
            <v>3</v>
          </cell>
          <cell r="F421" t="str">
            <v>Life Sciences</v>
          </cell>
          <cell r="G421">
            <v>3</v>
          </cell>
          <cell r="H421" t="str">
            <v>Male</v>
          </cell>
          <cell r="I421">
            <v>3</v>
          </cell>
          <cell r="J421">
            <v>1</v>
          </cell>
          <cell r="K421" t="str">
            <v>Laboratory Technician</v>
          </cell>
          <cell r="L421">
            <v>4</v>
          </cell>
          <cell r="M421" t="str">
            <v>Married</v>
          </cell>
          <cell r="N421">
            <v>2097</v>
          </cell>
          <cell r="O421">
            <v>4</v>
          </cell>
          <cell r="P421" t="str">
            <v>No</v>
          </cell>
          <cell r="Q421">
            <v>3</v>
          </cell>
          <cell r="R421">
            <v>9</v>
          </cell>
          <cell r="S421">
            <v>1</v>
          </cell>
          <cell r="T421">
            <v>5</v>
          </cell>
          <cell r="U421">
            <v>3</v>
          </cell>
          <cell r="V421">
            <v>1</v>
          </cell>
          <cell r="W421">
            <v>4</v>
          </cell>
          <cell r="X421">
            <v>15</v>
          </cell>
          <cell r="Y421">
            <v>0</v>
          </cell>
          <cell r="Z421" t="str">
            <v>Mid</v>
          </cell>
          <cell r="AA421" t="str">
            <v>Low</v>
          </cell>
          <cell r="AB421" t="str">
            <v>Mid</v>
          </cell>
          <cell r="AC421" t="str">
            <v>Medium</v>
          </cell>
          <cell r="AD421">
            <v>562</v>
          </cell>
        </row>
        <row r="422">
          <cell r="A422">
            <v>29</v>
          </cell>
          <cell r="B422" t="str">
            <v>No</v>
          </cell>
          <cell r="C422" t="str">
            <v>Research &amp; Development</v>
          </cell>
          <cell r="D422">
            <v>3</v>
          </cell>
          <cell r="E422">
            <v>4</v>
          </cell>
          <cell r="F422" t="str">
            <v>Medical</v>
          </cell>
          <cell r="G422">
            <v>2</v>
          </cell>
          <cell r="H422" t="str">
            <v>Male</v>
          </cell>
          <cell r="I422">
            <v>2</v>
          </cell>
          <cell r="J422">
            <v>3</v>
          </cell>
          <cell r="K422" t="str">
            <v>Research Director</v>
          </cell>
          <cell r="L422">
            <v>3</v>
          </cell>
          <cell r="M422" t="str">
            <v>Married</v>
          </cell>
          <cell r="N422">
            <v>11935</v>
          </cell>
          <cell r="O422">
            <v>1</v>
          </cell>
          <cell r="P422" t="str">
            <v>No</v>
          </cell>
          <cell r="Q422">
            <v>3</v>
          </cell>
          <cell r="R422">
            <v>10</v>
          </cell>
          <cell r="S422">
            <v>3</v>
          </cell>
          <cell r="T422">
            <v>10</v>
          </cell>
          <cell r="U422">
            <v>2</v>
          </cell>
          <cell r="V422">
            <v>0</v>
          </cell>
          <cell r="W422">
            <v>7</v>
          </cell>
          <cell r="X422">
            <v>18</v>
          </cell>
          <cell r="Y422">
            <v>0</v>
          </cell>
          <cell r="Z422" t="str">
            <v>Young</v>
          </cell>
          <cell r="AA422" t="str">
            <v>High</v>
          </cell>
          <cell r="AB422" t="str">
            <v>Long</v>
          </cell>
          <cell r="AC422" t="str">
            <v>High</v>
          </cell>
          <cell r="AD422">
            <v>564</v>
          </cell>
        </row>
        <row r="423">
          <cell r="A423">
            <v>29</v>
          </cell>
          <cell r="B423" t="str">
            <v>Yes</v>
          </cell>
          <cell r="C423" t="str">
            <v>Research &amp; Development</v>
          </cell>
          <cell r="D423">
            <v>25</v>
          </cell>
          <cell r="E423">
            <v>5</v>
          </cell>
          <cell r="F423" t="str">
            <v>Technical Degree</v>
          </cell>
          <cell r="G423">
            <v>3</v>
          </cell>
          <cell r="H423" t="str">
            <v>Female</v>
          </cell>
          <cell r="I423">
            <v>2</v>
          </cell>
          <cell r="J423">
            <v>1</v>
          </cell>
          <cell r="K423" t="str">
            <v>Research Scientist</v>
          </cell>
          <cell r="L423">
            <v>2</v>
          </cell>
          <cell r="M423" t="str">
            <v>Married</v>
          </cell>
          <cell r="N423">
            <v>2546</v>
          </cell>
          <cell r="O423">
            <v>5</v>
          </cell>
          <cell r="P423" t="str">
            <v>No</v>
          </cell>
          <cell r="Q423">
            <v>2</v>
          </cell>
          <cell r="R423">
            <v>6</v>
          </cell>
          <cell r="S423">
            <v>4</v>
          </cell>
          <cell r="T423">
            <v>2</v>
          </cell>
          <cell r="U423">
            <v>2</v>
          </cell>
          <cell r="V423">
            <v>1</v>
          </cell>
          <cell r="W423">
            <v>1</v>
          </cell>
          <cell r="X423">
            <v>16</v>
          </cell>
          <cell r="Y423">
            <v>1</v>
          </cell>
          <cell r="Z423" t="str">
            <v>Young</v>
          </cell>
          <cell r="AA423" t="str">
            <v>Low</v>
          </cell>
          <cell r="AB423" t="str">
            <v>Early</v>
          </cell>
          <cell r="AC423" t="str">
            <v>Medium</v>
          </cell>
          <cell r="AD423">
            <v>565</v>
          </cell>
        </row>
        <row r="424">
          <cell r="A424">
            <v>19</v>
          </cell>
          <cell r="B424" t="str">
            <v>Yes</v>
          </cell>
          <cell r="C424" t="str">
            <v>Human Resources</v>
          </cell>
          <cell r="D424">
            <v>2</v>
          </cell>
          <cell r="E424">
            <v>2</v>
          </cell>
          <cell r="F424" t="str">
            <v>Technical Degree</v>
          </cell>
          <cell r="G424">
            <v>1</v>
          </cell>
          <cell r="H424" t="str">
            <v>Male</v>
          </cell>
          <cell r="I424">
            <v>2</v>
          </cell>
          <cell r="J424">
            <v>1</v>
          </cell>
          <cell r="K424" t="str">
            <v>Human Resources</v>
          </cell>
          <cell r="L424">
            <v>4</v>
          </cell>
          <cell r="M424" t="str">
            <v>Single</v>
          </cell>
          <cell r="N424">
            <v>2564</v>
          </cell>
          <cell r="O424">
            <v>1</v>
          </cell>
          <cell r="P424" t="str">
            <v>No</v>
          </cell>
          <cell r="Q424">
            <v>3</v>
          </cell>
          <cell r="R424">
            <v>1</v>
          </cell>
          <cell r="S424">
            <v>4</v>
          </cell>
          <cell r="T424">
            <v>1</v>
          </cell>
          <cell r="U424">
            <v>0</v>
          </cell>
          <cell r="V424">
            <v>0</v>
          </cell>
          <cell r="W424">
            <v>0</v>
          </cell>
          <cell r="X424">
            <v>12</v>
          </cell>
          <cell r="Y424">
            <v>1</v>
          </cell>
          <cell r="Z424" t="str">
            <v>Young</v>
          </cell>
          <cell r="AA424" t="str">
            <v>Low</v>
          </cell>
          <cell r="AB424" t="str">
            <v>Early</v>
          </cell>
          <cell r="AC424" t="str">
            <v>Low</v>
          </cell>
          <cell r="AD424">
            <v>566</v>
          </cell>
        </row>
        <row r="425">
          <cell r="A425">
            <v>30</v>
          </cell>
          <cell r="B425" t="str">
            <v>No</v>
          </cell>
          <cell r="C425" t="str">
            <v>Sales</v>
          </cell>
          <cell r="D425">
            <v>22</v>
          </cell>
          <cell r="E425">
            <v>4</v>
          </cell>
          <cell r="F425" t="str">
            <v>Other</v>
          </cell>
          <cell r="G425">
            <v>3</v>
          </cell>
          <cell r="H425" t="str">
            <v>Female</v>
          </cell>
          <cell r="I425">
            <v>3</v>
          </cell>
          <cell r="J425">
            <v>3</v>
          </cell>
          <cell r="K425" t="str">
            <v>Sales Executive</v>
          </cell>
          <cell r="L425">
            <v>1</v>
          </cell>
          <cell r="M425" t="str">
            <v>Married</v>
          </cell>
          <cell r="N425">
            <v>8412</v>
          </cell>
          <cell r="O425">
            <v>0</v>
          </cell>
          <cell r="P425" t="str">
            <v>No</v>
          </cell>
          <cell r="Q425">
            <v>3</v>
          </cell>
          <cell r="R425">
            <v>10</v>
          </cell>
          <cell r="S425">
            <v>3</v>
          </cell>
          <cell r="T425">
            <v>9</v>
          </cell>
          <cell r="U425">
            <v>8</v>
          </cell>
          <cell r="V425">
            <v>7</v>
          </cell>
          <cell r="W425">
            <v>8</v>
          </cell>
          <cell r="X425">
            <v>11</v>
          </cell>
          <cell r="Y425">
            <v>0</v>
          </cell>
          <cell r="Z425" t="str">
            <v>Mid</v>
          </cell>
          <cell r="AA425" t="str">
            <v>Medium</v>
          </cell>
          <cell r="AB425" t="str">
            <v>Long</v>
          </cell>
          <cell r="AC425" t="str">
            <v>Low</v>
          </cell>
          <cell r="AD425">
            <v>567</v>
          </cell>
        </row>
        <row r="426">
          <cell r="A426">
            <v>57</v>
          </cell>
          <cell r="B426" t="str">
            <v>No</v>
          </cell>
          <cell r="C426" t="str">
            <v>Sales</v>
          </cell>
          <cell r="D426">
            <v>29</v>
          </cell>
          <cell r="E426">
            <v>3</v>
          </cell>
          <cell r="F426" t="str">
            <v>Marketing</v>
          </cell>
          <cell r="G426">
            <v>1</v>
          </cell>
          <cell r="H426" t="str">
            <v>Male</v>
          </cell>
          <cell r="I426">
            <v>2</v>
          </cell>
          <cell r="J426">
            <v>4</v>
          </cell>
          <cell r="K426" t="str">
            <v>Manager</v>
          </cell>
          <cell r="L426">
            <v>4</v>
          </cell>
          <cell r="M426" t="str">
            <v>Divorced</v>
          </cell>
          <cell r="N426">
            <v>14118</v>
          </cell>
          <cell r="O426">
            <v>3</v>
          </cell>
          <cell r="P426" t="str">
            <v>No</v>
          </cell>
          <cell r="Q426">
            <v>3</v>
          </cell>
          <cell r="R426">
            <v>32</v>
          </cell>
          <cell r="S426">
            <v>2</v>
          </cell>
          <cell r="T426">
            <v>1</v>
          </cell>
          <cell r="U426">
            <v>0</v>
          </cell>
          <cell r="V426">
            <v>0</v>
          </cell>
          <cell r="W426">
            <v>0</v>
          </cell>
          <cell r="X426">
            <v>12</v>
          </cell>
          <cell r="Y426">
            <v>0</v>
          </cell>
          <cell r="Z426" t="str">
            <v>Senior</v>
          </cell>
          <cell r="AA426" t="str">
            <v>High</v>
          </cell>
          <cell r="AB426" t="str">
            <v>Early</v>
          </cell>
          <cell r="AC426" t="str">
            <v>Low</v>
          </cell>
          <cell r="AD426">
            <v>568</v>
          </cell>
        </row>
        <row r="427">
          <cell r="A427">
            <v>50</v>
          </cell>
          <cell r="B427" t="str">
            <v>No</v>
          </cell>
          <cell r="C427" t="str">
            <v>Research &amp; Development</v>
          </cell>
          <cell r="D427">
            <v>29</v>
          </cell>
          <cell r="E427">
            <v>4</v>
          </cell>
          <cell r="F427" t="str">
            <v>Life Sciences</v>
          </cell>
          <cell r="G427">
            <v>2</v>
          </cell>
          <cell r="H427" t="str">
            <v>Male</v>
          </cell>
          <cell r="I427">
            <v>2</v>
          </cell>
          <cell r="J427">
            <v>4</v>
          </cell>
          <cell r="K427" t="str">
            <v>Manager</v>
          </cell>
          <cell r="L427">
            <v>3</v>
          </cell>
          <cell r="M427" t="str">
            <v>Married</v>
          </cell>
          <cell r="N427">
            <v>17046</v>
          </cell>
          <cell r="O427">
            <v>0</v>
          </cell>
          <cell r="P427" t="str">
            <v>No</v>
          </cell>
          <cell r="Q427">
            <v>2</v>
          </cell>
          <cell r="R427">
            <v>28</v>
          </cell>
          <cell r="S427">
            <v>3</v>
          </cell>
          <cell r="T427">
            <v>27</v>
          </cell>
          <cell r="U427">
            <v>10</v>
          </cell>
          <cell r="V427">
            <v>15</v>
          </cell>
          <cell r="W427">
            <v>7</v>
          </cell>
          <cell r="X427">
            <v>15</v>
          </cell>
          <cell r="Y427">
            <v>0</v>
          </cell>
          <cell r="Z427" t="str">
            <v>Senior</v>
          </cell>
          <cell r="AA427" t="str">
            <v>High</v>
          </cell>
          <cell r="AB427" t="str">
            <v>Long</v>
          </cell>
          <cell r="AC427" t="str">
            <v>Medium</v>
          </cell>
          <cell r="AD427">
            <v>569</v>
          </cell>
        </row>
        <row r="428">
          <cell r="A428">
            <v>30</v>
          </cell>
          <cell r="B428" t="str">
            <v>No</v>
          </cell>
          <cell r="C428" t="str">
            <v>Research &amp; Development</v>
          </cell>
          <cell r="D428">
            <v>2</v>
          </cell>
          <cell r="E428">
            <v>3</v>
          </cell>
          <cell r="F428" t="str">
            <v>Medical</v>
          </cell>
          <cell r="G428">
            <v>3</v>
          </cell>
          <cell r="H428" t="str">
            <v>Female</v>
          </cell>
          <cell r="I428">
            <v>3</v>
          </cell>
          <cell r="J428">
            <v>1</v>
          </cell>
          <cell r="K428" t="str">
            <v>Laboratory Technician</v>
          </cell>
          <cell r="L428">
            <v>4</v>
          </cell>
          <cell r="M428" t="str">
            <v>Single</v>
          </cell>
          <cell r="N428">
            <v>2564</v>
          </cell>
          <cell r="O428">
            <v>0</v>
          </cell>
          <cell r="P428" t="str">
            <v>No</v>
          </cell>
          <cell r="Q428">
            <v>3</v>
          </cell>
          <cell r="R428">
            <v>12</v>
          </cell>
          <cell r="S428">
            <v>2</v>
          </cell>
          <cell r="T428">
            <v>11</v>
          </cell>
          <cell r="U428">
            <v>7</v>
          </cell>
          <cell r="V428">
            <v>6</v>
          </cell>
          <cell r="W428">
            <v>7</v>
          </cell>
          <cell r="X428">
            <v>14</v>
          </cell>
          <cell r="Y428">
            <v>0</v>
          </cell>
          <cell r="Z428" t="str">
            <v>Mid</v>
          </cell>
          <cell r="AA428" t="str">
            <v>Low</v>
          </cell>
          <cell r="AB428" t="str">
            <v>Long</v>
          </cell>
          <cell r="AC428" t="str">
            <v>Medium</v>
          </cell>
          <cell r="AD428">
            <v>571</v>
          </cell>
        </row>
        <row r="429">
          <cell r="A429">
            <v>60</v>
          </cell>
          <cell r="B429" t="str">
            <v>No</v>
          </cell>
          <cell r="C429" t="str">
            <v>Sales</v>
          </cell>
          <cell r="D429">
            <v>28</v>
          </cell>
          <cell r="E429">
            <v>3</v>
          </cell>
          <cell r="F429" t="str">
            <v>Marketing</v>
          </cell>
          <cell r="G429">
            <v>3</v>
          </cell>
          <cell r="H429" t="str">
            <v>Female</v>
          </cell>
          <cell r="I429">
            <v>2</v>
          </cell>
          <cell r="J429">
            <v>3</v>
          </cell>
          <cell r="K429" t="str">
            <v>Sales Executive</v>
          </cell>
          <cell r="L429">
            <v>1</v>
          </cell>
          <cell r="M429" t="str">
            <v>Married</v>
          </cell>
          <cell r="N429">
            <v>10266</v>
          </cell>
          <cell r="O429">
            <v>4</v>
          </cell>
          <cell r="P429" t="str">
            <v>No</v>
          </cell>
          <cell r="Q429">
            <v>4</v>
          </cell>
          <cell r="R429">
            <v>22</v>
          </cell>
          <cell r="S429">
            <v>4</v>
          </cell>
          <cell r="T429">
            <v>18</v>
          </cell>
          <cell r="U429">
            <v>13</v>
          </cell>
          <cell r="V429">
            <v>13</v>
          </cell>
          <cell r="W429">
            <v>11</v>
          </cell>
          <cell r="X429">
            <v>19</v>
          </cell>
          <cell r="Y429">
            <v>0</v>
          </cell>
          <cell r="Z429" t="str">
            <v>Senior</v>
          </cell>
          <cell r="AA429" t="str">
            <v>High</v>
          </cell>
          <cell r="AB429" t="str">
            <v>Long</v>
          </cell>
          <cell r="AC429" t="str">
            <v>High</v>
          </cell>
          <cell r="AD429">
            <v>573</v>
          </cell>
        </row>
        <row r="430">
          <cell r="A430">
            <v>47</v>
          </cell>
          <cell r="B430" t="str">
            <v>No</v>
          </cell>
          <cell r="C430" t="str">
            <v>Research &amp; Development</v>
          </cell>
          <cell r="D430">
            <v>2</v>
          </cell>
          <cell r="E430">
            <v>2</v>
          </cell>
          <cell r="F430" t="str">
            <v>Medical</v>
          </cell>
          <cell r="G430">
            <v>1</v>
          </cell>
          <cell r="H430" t="str">
            <v>Female</v>
          </cell>
          <cell r="I430">
            <v>3</v>
          </cell>
          <cell r="J430">
            <v>2</v>
          </cell>
          <cell r="K430" t="str">
            <v>Manufacturing Director</v>
          </cell>
          <cell r="L430">
            <v>4</v>
          </cell>
          <cell r="M430" t="str">
            <v>Divorced</v>
          </cell>
          <cell r="N430">
            <v>5070</v>
          </cell>
          <cell r="O430">
            <v>5</v>
          </cell>
          <cell r="P430" t="str">
            <v>No</v>
          </cell>
          <cell r="Q430">
            <v>3</v>
          </cell>
          <cell r="R430">
            <v>20</v>
          </cell>
          <cell r="S430">
            <v>3</v>
          </cell>
          <cell r="T430">
            <v>5</v>
          </cell>
          <cell r="U430">
            <v>0</v>
          </cell>
          <cell r="V430">
            <v>0</v>
          </cell>
          <cell r="W430">
            <v>4</v>
          </cell>
          <cell r="X430">
            <v>13</v>
          </cell>
          <cell r="Y430">
            <v>0</v>
          </cell>
          <cell r="Z430" t="str">
            <v>Senior</v>
          </cell>
          <cell r="AA430" t="str">
            <v>Medium</v>
          </cell>
          <cell r="AB430" t="str">
            <v>Mid</v>
          </cell>
          <cell r="AC430" t="str">
            <v>Medium</v>
          </cell>
          <cell r="AD430">
            <v>574</v>
          </cell>
        </row>
        <row r="431">
          <cell r="A431">
            <v>46</v>
          </cell>
          <cell r="B431" t="str">
            <v>No</v>
          </cell>
          <cell r="C431" t="str">
            <v>Research &amp; Development</v>
          </cell>
          <cell r="D431">
            <v>2</v>
          </cell>
          <cell r="E431">
            <v>3</v>
          </cell>
          <cell r="F431" t="str">
            <v>Life Sciences</v>
          </cell>
          <cell r="G431">
            <v>1</v>
          </cell>
          <cell r="H431" t="str">
            <v>Male</v>
          </cell>
          <cell r="I431">
            <v>3</v>
          </cell>
          <cell r="J431">
            <v>4</v>
          </cell>
          <cell r="K431" t="str">
            <v>Research Director</v>
          </cell>
          <cell r="L431">
            <v>3</v>
          </cell>
          <cell r="M431" t="str">
            <v>Married</v>
          </cell>
          <cell r="N431">
            <v>17861</v>
          </cell>
          <cell r="O431">
            <v>6</v>
          </cell>
          <cell r="P431" t="str">
            <v>No</v>
          </cell>
          <cell r="Q431">
            <v>3</v>
          </cell>
          <cell r="R431">
            <v>26</v>
          </cell>
          <cell r="S431">
            <v>1</v>
          </cell>
          <cell r="T431">
            <v>3</v>
          </cell>
          <cell r="U431">
            <v>2</v>
          </cell>
          <cell r="V431">
            <v>0</v>
          </cell>
          <cell r="W431">
            <v>1</v>
          </cell>
          <cell r="X431">
            <v>13</v>
          </cell>
          <cell r="Y431">
            <v>0</v>
          </cell>
          <cell r="Z431" t="str">
            <v>Senior</v>
          </cell>
          <cell r="AA431" t="str">
            <v>High</v>
          </cell>
          <cell r="AB431" t="str">
            <v>Mid</v>
          </cell>
          <cell r="AC431" t="str">
            <v>Medium</v>
          </cell>
          <cell r="AD431">
            <v>575</v>
          </cell>
        </row>
        <row r="432">
          <cell r="A432">
            <v>35</v>
          </cell>
          <cell r="B432" t="str">
            <v>No</v>
          </cell>
          <cell r="C432" t="str">
            <v>Research &amp; Development</v>
          </cell>
          <cell r="D432">
            <v>22</v>
          </cell>
          <cell r="E432">
            <v>3</v>
          </cell>
          <cell r="F432" t="str">
            <v>Life Sciences</v>
          </cell>
          <cell r="G432">
            <v>4</v>
          </cell>
          <cell r="H432" t="str">
            <v>Male</v>
          </cell>
          <cell r="I432">
            <v>1</v>
          </cell>
          <cell r="J432">
            <v>1</v>
          </cell>
          <cell r="K432" t="str">
            <v>Laboratory Technician</v>
          </cell>
          <cell r="L432">
            <v>3</v>
          </cell>
          <cell r="M432" t="str">
            <v>Single</v>
          </cell>
          <cell r="N432">
            <v>4230</v>
          </cell>
          <cell r="O432">
            <v>0</v>
          </cell>
          <cell r="P432" t="str">
            <v>No</v>
          </cell>
          <cell r="Q432">
            <v>3</v>
          </cell>
          <cell r="R432">
            <v>6</v>
          </cell>
          <cell r="S432">
            <v>3</v>
          </cell>
          <cell r="T432">
            <v>5</v>
          </cell>
          <cell r="U432">
            <v>4</v>
          </cell>
          <cell r="V432">
            <v>4</v>
          </cell>
          <cell r="W432">
            <v>3</v>
          </cell>
          <cell r="X432">
            <v>15</v>
          </cell>
          <cell r="Y432">
            <v>0</v>
          </cell>
          <cell r="Z432" t="str">
            <v>Mid</v>
          </cell>
          <cell r="AA432" t="str">
            <v>Low</v>
          </cell>
          <cell r="AB432" t="str">
            <v>Mid</v>
          </cell>
          <cell r="AC432" t="str">
            <v>Medium</v>
          </cell>
          <cell r="AD432">
            <v>577</v>
          </cell>
        </row>
        <row r="433">
          <cell r="A433">
            <v>54</v>
          </cell>
          <cell r="B433" t="str">
            <v>No</v>
          </cell>
          <cell r="C433" t="str">
            <v>Research &amp; Development</v>
          </cell>
          <cell r="D433">
            <v>8</v>
          </cell>
          <cell r="E433">
            <v>4</v>
          </cell>
          <cell r="F433" t="str">
            <v>Life Sciences</v>
          </cell>
          <cell r="G433">
            <v>3</v>
          </cell>
          <cell r="H433" t="str">
            <v>Female</v>
          </cell>
          <cell r="I433">
            <v>3</v>
          </cell>
          <cell r="J433">
            <v>2</v>
          </cell>
          <cell r="K433" t="str">
            <v>Laboratory Technician</v>
          </cell>
          <cell r="L433">
            <v>3</v>
          </cell>
          <cell r="M433" t="str">
            <v>Single</v>
          </cell>
          <cell r="N433">
            <v>3780</v>
          </cell>
          <cell r="O433">
            <v>7</v>
          </cell>
          <cell r="P433" t="str">
            <v>No</v>
          </cell>
          <cell r="Q433">
            <v>3</v>
          </cell>
          <cell r="R433">
            <v>19</v>
          </cell>
          <cell r="S433">
            <v>3</v>
          </cell>
          <cell r="T433">
            <v>1</v>
          </cell>
          <cell r="U433">
            <v>0</v>
          </cell>
          <cell r="V433">
            <v>0</v>
          </cell>
          <cell r="W433">
            <v>0</v>
          </cell>
          <cell r="X433">
            <v>11</v>
          </cell>
          <cell r="Y433">
            <v>0</v>
          </cell>
          <cell r="Z433" t="str">
            <v>Senior</v>
          </cell>
          <cell r="AA433" t="str">
            <v>Low</v>
          </cell>
          <cell r="AB433" t="str">
            <v>Early</v>
          </cell>
          <cell r="AC433" t="str">
            <v>Low</v>
          </cell>
          <cell r="AD433">
            <v>578</v>
          </cell>
        </row>
        <row r="434">
          <cell r="A434">
            <v>34</v>
          </cell>
          <cell r="B434" t="str">
            <v>No</v>
          </cell>
          <cell r="C434" t="str">
            <v>Research &amp; Development</v>
          </cell>
          <cell r="D434">
            <v>2</v>
          </cell>
          <cell r="E434">
            <v>4</v>
          </cell>
          <cell r="F434" t="str">
            <v>Life Sciences</v>
          </cell>
          <cell r="G434">
            <v>4</v>
          </cell>
          <cell r="H434" t="str">
            <v>Male</v>
          </cell>
          <cell r="I434">
            <v>2</v>
          </cell>
          <cell r="J434">
            <v>1</v>
          </cell>
          <cell r="K434" t="str">
            <v>Research Scientist</v>
          </cell>
          <cell r="L434">
            <v>3</v>
          </cell>
          <cell r="M434" t="str">
            <v>Divorced</v>
          </cell>
          <cell r="N434">
            <v>2768</v>
          </cell>
          <cell r="O434">
            <v>3</v>
          </cell>
          <cell r="P434" t="str">
            <v>No</v>
          </cell>
          <cell r="Q434">
            <v>3</v>
          </cell>
          <cell r="R434">
            <v>14</v>
          </cell>
          <cell r="S434">
            <v>3</v>
          </cell>
          <cell r="T434">
            <v>7</v>
          </cell>
          <cell r="U434">
            <v>3</v>
          </cell>
          <cell r="V434">
            <v>5</v>
          </cell>
          <cell r="W434">
            <v>7</v>
          </cell>
          <cell r="X434">
            <v>12</v>
          </cell>
          <cell r="Y434">
            <v>0</v>
          </cell>
          <cell r="Z434" t="str">
            <v>Mid</v>
          </cell>
          <cell r="AA434" t="str">
            <v>Low</v>
          </cell>
          <cell r="AB434" t="str">
            <v>Long</v>
          </cell>
          <cell r="AC434" t="str">
            <v>Low</v>
          </cell>
          <cell r="AD434">
            <v>579</v>
          </cell>
        </row>
        <row r="435">
          <cell r="A435">
            <v>46</v>
          </cell>
          <cell r="B435" t="str">
            <v>No</v>
          </cell>
          <cell r="C435" t="str">
            <v>Sales</v>
          </cell>
          <cell r="D435">
            <v>10</v>
          </cell>
          <cell r="E435">
            <v>3</v>
          </cell>
          <cell r="F435" t="str">
            <v>Marketing</v>
          </cell>
          <cell r="G435">
            <v>3</v>
          </cell>
          <cell r="H435" t="str">
            <v>Female</v>
          </cell>
          <cell r="I435">
            <v>2</v>
          </cell>
          <cell r="J435">
            <v>3</v>
          </cell>
          <cell r="K435" t="str">
            <v>Sales Executive</v>
          </cell>
          <cell r="L435">
            <v>4</v>
          </cell>
          <cell r="M435" t="str">
            <v>Married</v>
          </cell>
          <cell r="N435">
            <v>9071</v>
          </cell>
          <cell r="O435">
            <v>2</v>
          </cell>
          <cell r="P435" t="str">
            <v>Yes</v>
          </cell>
          <cell r="Q435">
            <v>3</v>
          </cell>
          <cell r="R435">
            <v>15</v>
          </cell>
          <cell r="S435">
            <v>3</v>
          </cell>
          <cell r="T435">
            <v>3</v>
          </cell>
          <cell r="U435">
            <v>2</v>
          </cell>
          <cell r="V435">
            <v>1</v>
          </cell>
          <cell r="W435">
            <v>2</v>
          </cell>
          <cell r="X435">
            <v>19</v>
          </cell>
          <cell r="Y435">
            <v>0</v>
          </cell>
          <cell r="Z435" t="str">
            <v>Senior</v>
          </cell>
          <cell r="AA435" t="str">
            <v>Medium</v>
          </cell>
          <cell r="AB435" t="str">
            <v>Mid</v>
          </cell>
          <cell r="AC435" t="str">
            <v>High</v>
          </cell>
          <cell r="AD435">
            <v>580</v>
          </cell>
        </row>
        <row r="436">
          <cell r="A436">
            <v>31</v>
          </cell>
          <cell r="B436" t="str">
            <v>No</v>
          </cell>
          <cell r="C436" t="str">
            <v>Research &amp; Development</v>
          </cell>
          <cell r="D436">
            <v>9</v>
          </cell>
          <cell r="E436">
            <v>1</v>
          </cell>
          <cell r="F436" t="str">
            <v>Life Sciences</v>
          </cell>
          <cell r="G436">
            <v>3</v>
          </cell>
          <cell r="H436" t="str">
            <v>Male</v>
          </cell>
          <cell r="I436">
            <v>3</v>
          </cell>
          <cell r="J436">
            <v>3</v>
          </cell>
          <cell r="K436" t="str">
            <v>Manufacturing Director</v>
          </cell>
          <cell r="L436">
            <v>2</v>
          </cell>
          <cell r="M436" t="str">
            <v>Divorced</v>
          </cell>
          <cell r="N436">
            <v>10648</v>
          </cell>
          <cell r="O436">
            <v>1</v>
          </cell>
          <cell r="P436" t="str">
            <v>No</v>
          </cell>
          <cell r="Q436">
            <v>4</v>
          </cell>
          <cell r="R436">
            <v>13</v>
          </cell>
          <cell r="S436">
            <v>4</v>
          </cell>
          <cell r="T436">
            <v>13</v>
          </cell>
          <cell r="U436">
            <v>8</v>
          </cell>
          <cell r="V436">
            <v>0</v>
          </cell>
          <cell r="W436">
            <v>8</v>
          </cell>
          <cell r="X436">
            <v>25</v>
          </cell>
          <cell r="Y436">
            <v>0</v>
          </cell>
          <cell r="Z436" t="str">
            <v>Mid</v>
          </cell>
          <cell r="AA436" t="str">
            <v>High</v>
          </cell>
          <cell r="AB436" t="str">
            <v>Long</v>
          </cell>
          <cell r="AC436" t="str">
            <v>High</v>
          </cell>
          <cell r="AD436">
            <v>581</v>
          </cell>
        </row>
        <row r="437">
          <cell r="A437">
            <v>33</v>
          </cell>
          <cell r="B437" t="str">
            <v>Yes</v>
          </cell>
          <cell r="C437" t="str">
            <v>Research &amp; Development</v>
          </cell>
          <cell r="D437">
            <v>15</v>
          </cell>
          <cell r="E437">
            <v>1</v>
          </cell>
          <cell r="F437" t="str">
            <v>Medical</v>
          </cell>
          <cell r="G437">
            <v>2</v>
          </cell>
          <cell r="H437" t="str">
            <v>Male</v>
          </cell>
          <cell r="I437">
            <v>3</v>
          </cell>
          <cell r="J437">
            <v>3</v>
          </cell>
          <cell r="K437" t="str">
            <v>Manager</v>
          </cell>
          <cell r="L437">
            <v>3</v>
          </cell>
          <cell r="M437" t="str">
            <v>Married</v>
          </cell>
          <cell r="N437">
            <v>13610</v>
          </cell>
          <cell r="O437">
            <v>7</v>
          </cell>
          <cell r="P437" t="str">
            <v>Yes</v>
          </cell>
          <cell r="Q437">
            <v>4</v>
          </cell>
          <cell r="R437">
            <v>15</v>
          </cell>
          <cell r="S437">
            <v>4</v>
          </cell>
          <cell r="T437">
            <v>7</v>
          </cell>
          <cell r="U437">
            <v>6</v>
          </cell>
          <cell r="V437">
            <v>7</v>
          </cell>
          <cell r="W437">
            <v>7</v>
          </cell>
          <cell r="X437">
            <v>12</v>
          </cell>
          <cell r="Y437">
            <v>1</v>
          </cell>
          <cell r="Z437" t="str">
            <v>Mid</v>
          </cell>
          <cell r="AA437" t="str">
            <v>High</v>
          </cell>
          <cell r="AB437" t="str">
            <v>Long</v>
          </cell>
          <cell r="AC437" t="str">
            <v>Low</v>
          </cell>
          <cell r="AD437">
            <v>582</v>
          </cell>
        </row>
        <row r="438">
          <cell r="A438">
            <v>33</v>
          </cell>
          <cell r="B438" t="str">
            <v>Yes</v>
          </cell>
          <cell r="C438" t="str">
            <v>Research &amp; Development</v>
          </cell>
          <cell r="D438">
            <v>10</v>
          </cell>
          <cell r="E438">
            <v>1</v>
          </cell>
          <cell r="F438" t="str">
            <v>Medical</v>
          </cell>
          <cell r="G438">
            <v>1</v>
          </cell>
          <cell r="H438" t="str">
            <v>Male</v>
          </cell>
          <cell r="I438">
            <v>1</v>
          </cell>
          <cell r="J438">
            <v>1</v>
          </cell>
          <cell r="K438" t="str">
            <v>Laboratory Technician</v>
          </cell>
          <cell r="L438">
            <v>4</v>
          </cell>
          <cell r="M438" t="str">
            <v>Divorced</v>
          </cell>
          <cell r="N438">
            <v>3408</v>
          </cell>
          <cell r="O438">
            <v>7</v>
          </cell>
          <cell r="P438" t="str">
            <v>No</v>
          </cell>
          <cell r="Q438">
            <v>1</v>
          </cell>
          <cell r="R438">
            <v>8</v>
          </cell>
          <cell r="S438">
            <v>3</v>
          </cell>
          <cell r="T438">
            <v>4</v>
          </cell>
          <cell r="U438">
            <v>3</v>
          </cell>
          <cell r="V438">
            <v>1</v>
          </cell>
          <cell r="W438">
            <v>3</v>
          </cell>
          <cell r="X438">
            <v>13</v>
          </cell>
          <cell r="Y438">
            <v>1</v>
          </cell>
          <cell r="Z438" t="str">
            <v>Mid</v>
          </cell>
          <cell r="AA438" t="str">
            <v>Low</v>
          </cell>
          <cell r="AB438" t="str">
            <v>Mid</v>
          </cell>
          <cell r="AC438" t="str">
            <v>Medium</v>
          </cell>
          <cell r="AD438">
            <v>584</v>
          </cell>
        </row>
        <row r="439">
          <cell r="A439">
            <v>30</v>
          </cell>
          <cell r="B439" t="str">
            <v>No</v>
          </cell>
          <cell r="C439" t="str">
            <v>Sales</v>
          </cell>
          <cell r="D439">
            <v>7</v>
          </cell>
          <cell r="E439">
            <v>1</v>
          </cell>
          <cell r="F439" t="str">
            <v>Marketing</v>
          </cell>
          <cell r="G439">
            <v>4</v>
          </cell>
          <cell r="H439" t="str">
            <v>Male</v>
          </cell>
          <cell r="I439">
            <v>3</v>
          </cell>
          <cell r="J439">
            <v>1</v>
          </cell>
          <cell r="K439" t="str">
            <v>Sales Representative</v>
          </cell>
          <cell r="L439">
            <v>2</v>
          </cell>
          <cell r="M439" t="str">
            <v>Single</v>
          </cell>
          <cell r="N439">
            <v>2983</v>
          </cell>
          <cell r="O439">
            <v>0</v>
          </cell>
          <cell r="P439" t="str">
            <v>No</v>
          </cell>
          <cell r="Q439">
            <v>1</v>
          </cell>
          <cell r="R439">
            <v>4</v>
          </cell>
          <cell r="S439">
            <v>3</v>
          </cell>
          <cell r="T439">
            <v>3</v>
          </cell>
          <cell r="U439">
            <v>2</v>
          </cell>
          <cell r="V439">
            <v>1</v>
          </cell>
          <cell r="W439">
            <v>2</v>
          </cell>
          <cell r="X439">
            <v>14</v>
          </cell>
          <cell r="Y439">
            <v>0</v>
          </cell>
          <cell r="Z439" t="str">
            <v>Mid</v>
          </cell>
          <cell r="AA439" t="str">
            <v>Low</v>
          </cell>
          <cell r="AB439" t="str">
            <v>Mid</v>
          </cell>
          <cell r="AC439" t="str">
            <v>Medium</v>
          </cell>
          <cell r="AD439">
            <v>585</v>
          </cell>
        </row>
        <row r="440">
          <cell r="A440">
            <v>35</v>
          </cell>
          <cell r="B440" t="str">
            <v>No</v>
          </cell>
          <cell r="C440" t="str">
            <v>Research &amp; Development</v>
          </cell>
          <cell r="D440">
            <v>16</v>
          </cell>
          <cell r="E440">
            <v>3</v>
          </cell>
          <cell r="F440" t="str">
            <v>Life Sciences</v>
          </cell>
          <cell r="G440">
            <v>4</v>
          </cell>
          <cell r="H440" t="str">
            <v>Male</v>
          </cell>
          <cell r="I440">
            <v>3</v>
          </cell>
          <cell r="J440">
            <v>3</v>
          </cell>
          <cell r="K440" t="str">
            <v>Healthcare Representative</v>
          </cell>
          <cell r="L440">
            <v>3</v>
          </cell>
          <cell r="M440" t="str">
            <v>Married</v>
          </cell>
          <cell r="N440">
            <v>7632</v>
          </cell>
          <cell r="O440">
            <v>4</v>
          </cell>
          <cell r="P440" t="str">
            <v>Yes</v>
          </cell>
          <cell r="Q440">
            <v>3</v>
          </cell>
          <cell r="R440">
            <v>10</v>
          </cell>
          <cell r="S440">
            <v>3</v>
          </cell>
          <cell r="T440">
            <v>8</v>
          </cell>
          <cell r="U440">
            <v>7</v>
          </cell>
          <cell r="V440">
            <v>0</v>
          </cell>
          <cell r="W440">
            <v>0</v>
          </cell>
          <cell r="X440">
            <v>12</v>
          </cell>
          <cell r="Y440">
            <v>0</v>
          </cell>
          <cell r="Z440" t="str">
            <v>Mid</v>
          </cell>
          <cell r="AA440" t="str">
            <v>Medium</v>
          </cell>
          <cell r="AB440" t="str">
            <v>Long</v>
          </cell>
          <cell r="AC440" t="str">
            <v>Low</v>
          </cell>
          <cell r="AD440">
            <v>586</v>
          </cell>
        </row>
        <row r="441">
          <cell r="A441">
            <v>31</v>
          </cell>
          <cell r="B441" t="str">
            <v>Yes</v>
          </cell>
          <cell r="C441" t="str">
            <v>Research &amp; Development</v>
          </cell>
          <cell r="D441">
            <v>20</v>
          </cell>
          <cell r="E441">
            <v>3</v>
          </cell>
          <cell r="F441" t="str">
            <v>Life Sciences</v>
          </cell>
          <cell r="G441">
            <v>1</v>
          </cell>
          <cell r="H441" t="str">
            <v>Male</v>
          </cell>
          <cell r="I441">
            <v>3</v>
          </cell>
          <cell r="J441">
            <v>3</v>
          </cell>
          <cell r="K441" t="str">
            <v>Healthcare Representative</v>
          </cell>
          <cell r="L441">
            <v>3</v>
          </cell>
          <cell r="M441" t="str">
            <v>Married</v>
          </cell>
          <cell r="N441">
            <v>9824</v>
          </cell>
          <cell r="O441">
            <v>3</v>
          </cell>
          <cell r="P441" t="str">
            <v>No</v>
          </cell>
          <cell r="Q441">
            <v>1</v>
          </cell>
          <cell r="R441">
            <v>12</v>
          </cell>
          <cell r="S441">
            <v>3</v>
          </cell>
          <cell r="T441">
            <v>1</v>
          </cell>
          <cell r="U441">
            <v>0</v>
          </cell>
          <cell r="V441">
            <v>0</v>
          </cell>
          <cell r="W441">
            <v>0</v>
          </cell>
          <cell r="X441">
            <v>12</v>
          </cell>
          <cell r="Y441">
            <v>1</v>
          </cell>
          <cell r="Z441" t="str">
            <v>Mid</v>
          </cell>
          <cell r="AA441" t="str">
            <v>Medium</v>
          </cell>
          <cell r="AB441" t="str">
            <v>Early</v>
          </cell>
          <cell r="AC441" t="str">
            <v>Low</v>
          </cell>
          <cell r="AD441">
            <v>587</v>
          </cell>
        </row>
        <row r="442">
          <cell r="A442">
            <v>34</v>
          </cell>
          <cell r="B442" t="str">
            <v>Yes</v>
          </cell>
          <cell r="C442" t="str">
            <v>Human Resources</v>
          </cell>
          <cell r="D442">
            <v>23</v>
          </cell>
          <cell r="E442">
            <v>3</v>
          </cell>
          <cell r="F442" t="str">
            <v>Human Resources</v>
          </cell>
          <cell r="G442">
            <v>2</v>
          </cell>
          <cell r="H442" t="str">
            <v>Female</v>
          </cell>
          <cell r="I442">
            <v>3</v>
          </cell>
          <cell r="J442">
            <v>3</v>
          </cell>
          <cell r="K442" t="str">
            <v>Human Resources</v>
          </cell>
          <cell r="L442">
            <v>1</v>
          </cell>
          <cell r="M442" t="str">
            <v>Divorced</v>
          </cell>
          <cell r="N442">
            <v>9950</v>
          </cell>
          <cell r="O442">
            <v>9</v>
          </cell>
          <cell r="P442" t="str">
            <v>Yes</v>
          </cell>
          <cell r="Q442">
            <v>3</v>
          </cell>
          <cell r="R442">
            <v>11</v>
          </cell>
          <cell r="S442">
            <v>3</v>
          </cell>
          <cell r="T442">
            <v>3</v>
          </cell>
          <cell r="U442">
            <v>2</v>
          </cell>
          <cell r="V442">
            <v>0</v>
          </cell>
          <cell r="W442">
            <v>2</v>
          </cell>
          <cell r="X442">
            <v>15</v>
          </cell>
          <cell r="Y442">
            <v>1</v>
          </cell>
          <cell r="Z442" t="str">
            <v>Mid</v>
          </cell>
          <cell r="AA442" t="str">
            <v>Medium</v>
          </cell>
          <cell r="AB442" t="str">
            <v>Mid</v>
          </cell>
          <cell r="AC442" t="str">
            <v>Medium</v>
          </cell>
          <cell r="AD442">
            <v>590</v>
          </cell>
        </row>
        <row r="443">
          <cell r="A443">
            <v>42</v>
          </cell>
          <cell r="B443" t="str">
            <v>No</v>
          </cell>
          <cell r="C443" t="str">
            <v>Research &amp; Development</v>
          </cell>
          <cell r="D443">
            <v>5</v>
          </cell>
          <cell r="E443">
            <v>2</v>
          </cell>
          <cell r="F443" t="str">
            <v>Other</v>
          </cell>
          <cell r="G443">
            <v>2</v>
          </cell>
          <cell r="H443" t="str">
            <v>Male</v>
          </cell>
          <cell r="I443">
            <v>3</v>
          </cell>
          <cell r="J443">
            <v>1</v>
          </cell>
          <cell r="K443" t="str">
            <v>Laboratory Technician</v>
          </cell>
          <cell r="L443">
            <v>3</v>
          </cell>
          <cell r="M443" t="str">
            <v>Married</v>
          </cell>
          <cell r="N443">
            <v>2093</v>
          </cell>
          <cell r="O443">
            <v>4</v>
          </cell>
          <cell r="P443" t="str">
            <v>No</v>
          </cell>
          <cell r="Q443">
            <v>4</v>
          </cell>
          <cell r="R443">
            <v>8</v>
          </cell>
          <cell r="S443">
            <v>3</v>
          </cell>
          <cell r="T443">
            <v>2</v>
          </cell>
          <cell r="U443">
            <v>2</v>
          </cell>
          <cell r="V443">
            <v>2</v>
          </cell>
          <cell r="W443">
            <v>0</v>
          </cell>
          <cell r="X443">
            <v>17</v>
          </cell>
          <cell r="Y443">
            <v>0</v>
          </cell>
          <cell r="Z443" t="str">
            <v>Mid</v>
          </cell>
          <cell r="AA443" t="str">
            <v>Low</v>
          </cell>
          <cell r="AB443" t="str">
            <v>Early</v>
          </cell>
          <cell r="AC443" t="str">
            <v>Medium</v>
          </cell>
          <cell r="AD443">
            <v>591</v>
          </cell>
        </row>
        <row r="444">
          <cell r="A444">
            <v>36</v>
          </cell>
          <cell r="B444" t="str">
            <v>No</v>
          </cell>
          <cell r="C444" t="str">
            <v>Sales</v>
          </cell>
          <cell r="D444">
            <v>10</v>
          </cell>
          <cell r="E444">
            <v>4</v>
          </cell>
          <cell r="F444" t="str">
            <v>Medical</v>
          </cell>
          <cell r="G444">
            <v>2</v>
          </cell>
          <cell r="H444" t="str">
            <v>Male</v>
          </cell>
          <cell r="I444">
            <v>3</v>
          </cell>
          <cell r="J444">
            <v>3</v>
          </cell>
          <cell r="K444" t="str">
            <v>Sales Executive</v>
          </cell>
          <cell r="L444">
            <v>4</v>
          </cell>
          <cell r="M444" t="str">
            <v>Single</v>
          </cell>
          <cell r="N444">
            <v>9980</v>
          </cell>
          <cell r="O444">
            <v>1</v>
          </cell>
          <cell r="P444" t="str">
            <v>No</v>
          </cell>
          <cell r="Q444">
            <v>4</v>
          </cell>
          <cell r="R444">
            <v>10</v>
          </cell>
          <cell r="S444">
            <v>2</v>
          </cell>
          <cell r="T444">
            <v>10</v>
          </cell>
          <cell r="U444">
            <v>3</v>
          </cell>
          <cell r="V444">
            <v>9</v>
          </cell>
          <cell r="W444">
            <v>7</v>
          </cell>
          <cell r="X444">
            <v>14</v>
          </cell>
          <cell r="Y444">
            <v>0</v>
          </cell>
          <cell r="Z444" t="str">
            <v>Mid</v>
          </cell>
          <cell r="AA444" t="str">
            <v>Medium</v>
          </cell>
          <cell r="AB444" t="str">
            <v>Long</v>
          </cell>
          <cell r="AC444" t="str">
            <v>Medium</v>
          </cell>
          <cell r="AD444">
            <v>592</v>
          </cell>
        </row>
        <row r="445">
          <cell r="A445">
            <v>22</v>
          </cell>
          <cell r="B445" t="str">
            <v>Yes</v>
          </cell>
          <cell r="C445" t="str">
            <v>Research &amp; Development</v>
          </cell>
          <cell r="D445">
            <v>4</v>
          </cell>
          <cell r="E445">
            <v>1</v>
          </cell>
          <cell r="F445" t="str">
            <v>Technical Degree</v>
          </cell>
          <cell r="G445">
            <v>3</v>
          </cell>
          <cell r="H445" t="str">
            <v>Male</v>
          </cell>
          <cell r="I445">
            <v>2</v>
          </cell>
          <cell r="J445">
            <v>1</v>
          </cell>
          <cell r="K445" t="str">
            <v>Laboratory Technician</v>
          </cell>
          <cell r="L445">
            <v>3</v>
          </cell>
          <cell r="M445" t="str">
            <v>Single</v>
          </cell>
          <cell r="N445">
            <v>3894</v>
          </cell>
          <cell r="O445">
            <v>5</v>
          </cell>
          <cell r="P445" t="str">
            <v>No</v>
          </cell>
          <cell r="Q445">
            <v>3</v>
          </cell>
          <cell r="R445">
            <v>4</v>
          </cell>
          <cell r="S445">
            <v>3</v>
          </cell>
          <cell r="T445">
            <v>2</v>
          </cell>
          <cell r="U445">
            <v>2</v>
          </cell>
          <cell r="V445">
            <v>1</v>
          </cell>
          <cell r="W445">
            <v>2</v>
          </cell>
          <cell r="X445">
            <v>16</v>
          </cell>
          <cell r="Y445">
            <v>1</v>
          </cell>
          <cell r="Z445" t="str">
            <v>Young</v>
          </cell>
          <cell r="AA445" t="str">
            <v>Low</v>
          </cell>
          <cell r="AB445" t="str">
            <v>Early</v>
          </cell>
          <cell r="AC445" t="str">
            <v>Medium</v>
          </cell>
          <cell r="AD445">
            <v>593</v>
          </cell>
        </row>
        <row r="446">
          <cell r="A446">
            <v>48</v>
          </cell>
          <cell r="B446" t="str">
            <v>No</v>
          </cell>
          <cell r="C446" t="str">
            <v>Sales</v>
          </cell>
          <cell r="D446">
            <v>2</v>
          </cell>
          <cell r="E446">
            <v>5</v>
          </cell>
          <cell r="F446" t="str">
            <v>Marketing</v>
          </cell>
          <cell r="G446">
            <v>2</v>
          </cell>
          <cell r="H446" t="str">
            <v>Female</v>
          </cell>
          <cell r="I446">
            <v>3</v>
          </cell>
          <cell r="J446">
            <v>2</v>
          </cell>
          <cell r="K446" t="str">
            <v>Sales Executive</v>
          </cell>
          <cell r="L446">
            <v>4</v>
          </cell>
          <cell r="M446" t="str">
            <v>Married</v>
          </cell>
          <cell r="N446">
            <v>4051</v>
          </cell>
          <cell r="O446">
            <v>2</v>
          </cell>
          <cell r="P446" t="str">
            <v>No</v>
          </cell>
          <cell r="Q446">
            <v>1</v>
          </cell>
          <cell r="R446">
            <v>14</v>
          </cell>
          <cell r="S446">
            <v>3</v>
          </cell>
          <cell r="T446">
            <v>9</v>
          </cell>
          <cell r="U446">
            <v>7</v>
          </cell>
          <cell r="V446">
            <v>6</v>
          </cell>
          <cell r="W446">
            <v>7</v>
          </cell>
          <cell r="X446">
            <v>14</v>
          </cell>
          <cell r="Y446">
            <v>0</v>
          </cell>
          <cell r="Z446" t="str">
            <v>Senior</v>
          </cell>
          <cell r="AA446" t="str">
            <v>Low</v>
          </cell>
          <cell r="AB446" t="str">
            <v>Long</v>
          </cell>
          <cell r="AC446" t="str">
            <v>Medium</v>
          </cell>
          <cell r="AD446">
            <v>595</v>
          </cell>
        </row>
        <row r="447">
          <cell r="A447">
            <v>55</v>
          </cell>
          <cell r="B447" t="str">
            <v>No</v>
          </cell>
          <cell r="C447" t="str">
            <v>Sales</v>
          </cell>
          <cell r="D447">
            <v>18</v>
          </cell>
          <cell r="E447">
            <v>5</v>
          </cell>
          <cell r="F447" t="str">
            <v>Life Sciences</v>
          </cell>
          <cell r="G447">
            <v>1</v>
          </cell>
          <cell r="H447" t="str">
            <v>Female</v>
          </cell>
          <cell r="I447">
            <v>3</v>
          </cell>
          <cell r="J447">
            <v>4</v>
          </cell>
          <cell r="K447" t="str">
            <v>Manager</v>
          </cell>
          <cell r="L447">
            <v>2</v>
          </cell>
          <cell r="M447" t="str">
            <v>Single</v>
          </cell>
          <cell r="N447">
            <v>16835</v>
          </cell>
          <cell r="O447">
            <v>3</v>
          </cell>
          <cell r="P447" t="str">
            <v>No</v>
          </cell>
          <cell r="Q447">
            <v>4</v>
          </cell>
          <cell r="R447">
            <v>37</v>
          </cell>
          <cell r="S447">
            <v>3</v>
          </cell>
          <cell r="T447">
            <v>10</v>
          </cell>
          <cell r="U447">
            <v>9</v>
          </cell>
          <cell r="V447">
            <v>7</v>
          </cell>
          <cell r="W447">
            <v>7</v>
          </cell>
          <cell r="X447">
            <v>23</v>
          </cell>
          <cell r="Y447">
            <v>0</v>
          </cell>
          <cell r="Z447" t="str">
            <v>Senior</v>
          </cell>
          <cell r="AA447" t="str">
            <v>High</v>
          </cell>
          <cell r="AB447" t="str">
            <v>Long</v>
          </cell>
          <cell r="AC447" t="str">
            <v>High</v>
          </cell>
          <cell r="AD447">
            <v>597</v>
          </cell>
        </row>
        <row r="448">
          <cell r="A448">
            <v>41</v>
          </cell>
          <cell r="B448" t="str">
            <v>No</v>
          </cell>
          <cell r="C448" t="str">
            <v>Sales</v>
          </cell>
          <cell r="D448">
            <v>10</v>
          </cell>
          <cell r="E448">
            <v>2</v>
          </cell>
          <cell r="F448" t="str">
            <v>Life Sciences</v>
          </cell>
          <cell r="G448">
            <v>4</v>
          </cell>
          <cell r="H448" t="str">
            <v>Male</v>
          </cell>
          <cell r="I448">
            <v>3</v>
          </cell>
          <cell r="J448">
            <v>2</v>
          </cell>
          <cell r="K448" t="str">
            <v>Sales Executive</v>
          </cell>
          <cell r="L448">
            <v>4</v>
          </cell>
          <cell r="M448" t="str">
            <v>Single</v>
          </cell>
          <cell r="N448">
            <v>6230</v>
          </cell>
          <cell r="O448">
            <v>7</v>
          </cell>
          <cell r="P448" t="str">
            <v>No</v>
          </cell>
          <cell r="Q448">
            <v>4</v>
          </cell>
          <cell r="R448">
            <v>16</v>
          </cell>
          <cell r="S448">
            <v>3</v>
          </cell>
          <cell r="T448">
            <v>14</v>
          </cell>
          <cell r="U448">
            <v>3</v>
          </cell>
          <cell r="V448">
            <v>1</v>
          </cell>
          <cell r="W448">
            <v>10</v>
          </cell>
          <cell r="X448">
            <v>14</v>
          </cell>
          <cell r="Y448">
            <v>0</v>
          </cell>
          <cell r="Z448" t="str">
            <v>Mid</v>
          </cell>
          <cell r="AA448" t="str">
            <v>Medium</v>
          </cell>
          <cell r="AB448" t="str">
            <v>Long</v>
          </cell>
          <cell r="AC448" t="str">
            <v>Medium</v>
          </cell>
          <cell r="AD448">
            <v>599</v>
          </cell>
        </row>
        <row r="449">
          <cell r="A449">
            <v>35</v>
          </cell>
          <cell r="B449" t="str">
            <v>No</v>
          </cell>
          <cell r="C449" t="str">
            <v>Sales</v>
          </cell>
          <cell r="D449">
            <v>1</v>
          </cell>
          <cell r="E449">
            <v>3</v>
          </cell>
          <cell r="F449" t="str">
            <v>Marketing</v>
          </cell>
          <cell r="G449">
            <v>2</v>
          </cell>
          <cell r="H449" t="str">
            <v>Male</v>
          </cell>
          <cell r="I449">
            <v>3</v>
          </cell>
          <cell r="J449">
            <v>2</v>
          </cell>
          <cell r="K449" t="str">
            <v>Sales Executive</v>
          </cell>
          <cell r="L449">
            <v>3</v>
          </cell>
          <cell r="M449" t="str">
            <v>Married</v>
          </cell>
          <cell r="N449">
            <v>4717</v>
          </cell>
          <cell r="O449">
            <v>9</v>
          </cell>
          <cell r="P449" t="str">
            <v>No</v>
          </cell>
          <cell r="Q449">
            <v>3</v>
          </cell>
          <cell r="R449">
            <v>15</v>
          </cell>
          <cell r="S449">
            <v>3</v>
          </cell>
          <cell r="T449">
            <v>11</v>
          </cell>
          <cell r="U449">
            <v>9</v>
          </cell>
          <cell r="V449">
            <v>6</v>
          </cell>
          <cell r="W449">
            <v>9</v>
          </cell>
          <cell r="X449">
            <v>11</v>
          </cell>
          <cell r="Y449">
            <v>0</v>
          </cell>
          <cell r="Z449" t="str">
            <v>Mid</v>
          </cell>
          <cell r="AA449" t="str">
            <v>Low</v>
          </cell>
          <cell r="AB449" t="str">
            <v>Long</v>
          </cell>
          <cell r="AC449" t="str">
            <v>Low</v>
          </cell>
          <cell r="AD449">
            <v>600</v>
          </cell>
        </row>
        <row r="450">
          <cell r="A450">
            <v>40</v>
          </cell>
          <cell r="B450" t="str">
            <v>No</v>
          </cell>
          <cell r="C450" t="str">
            <v>Research &amp; Development</v>
          </cell>
          <cell r="D450">
            <v>6</v>
          </cell>
          <cell r="E450">
            <v>3</v>
          </cell>
          <cell r="F450" t="str">
            <v>Life Sciences</v>
          </cell>
          <cell r="G450">
            <v>2</v>
          </cell>
          <cell r="H450" t="str">
            <v>Female</v>
          </cell>
          <cell r="I450">
            <v>3</v>
          </cell>
          <cell r="J450">
            <v>4</v>
          </cell>
          <cell r="K450" t="str">
            <v>Manufacturing Director</v>
          </cell>
          <cell r="L450">
            <v>3</v>
          </cell>
          <cell r="M450" t="str">
            <v>Single</v>
          </cell>
          <cell r="N450">
            <v>13237</v>
          </cell>
          <cell r="O450">
            <v>7</v>
          </cell>
          <cell r="P450" t="str">
            <v>No</v>
          </cell>
          <cell r="Q450">
            <v>3</v>
          </cell>
          <cell r="R450">
            <v>22</v>
          </cell>
          <cell r="S450">
            <v>3</v>
          </cell>
          <cell r="T450">
            <v>20</v>
          </cell>
          <cell r="U450">
            <v>6</v>
          </cell>
          <cell r="V450">
            <v>5</v>
          </cell>
          <cell r="W450">
            <v>13</v>
          </cell>
          <cell r="X450">
            <v>15</v>
          </cell>
          <cell r="Y450">
            <v>0</v>
          </cell>
          <cell r="Z450" t="str">
            <v>Mid</v>
          </cell>
          <cell r="AA450" t="str">
            <v>High</v>
          </cell>
          <cell r="AB450" t="str">
            <v>Long</v>
          </cell>
          <cell r="AC450" t="str">
            <v>Medium</v>
          </cell>
          <cell r="AD450">
            <v>601</v>
          </cell>
        </row>
        <row r="451">
          <cell r="A451">
            <v>39</v>
          </cell>
          <cell r="B451" t="str">
            <v>No</v>
          </cell>
          <cell r="C451" t="str">
            <v>Research &amp; Development</v>
          </cell>
          <cell r="D451">
            <v>8</v>
          </cell>
          <cell r="E451">
            <v>1</v>
          </cell>
          <cell r="F451" t="str">
            <v>Life Sciences</v>
          </cell>
          <cell r="G451">
            <v>3</v>
          </cell>
          <cell r="H451" t="str">
            <v>Female</v>
          </cell>
          <cell r="I451">
            <v>3</v>
          </cell>
          <cell r="J451">
            <v>1</v>
          </cell>
          <cell r="K451" t="str">
            <v>Laboratory Technician</v>
          </cell>
          <cell r="L451">
            <v>3</v>
          </cell>
          <cell r="M451" t="str">
            <v>Married</v>
          </cell>
          <cell r="N451">
            <v>3755</v>
          </cell>
          <cell r="O451">
            <v>1</v>
          </cell>
          <cell r="P451" t="str">
            <v>No</v>
          </cell>
          <cell r="Q451">
            <v>1</v>
          </cell>
          <cell r="R451">
            <v>8</v>
          </cell>
          <cell r="S451">
            <v>3</v>
          </cell>
          <cell r="T451">
            <v>8</v>
          </cell>
          <cell r="U451">
            <v>3</v>
          </cell>
          <cell r="V451">
            <v>0</v>
          </cell>
          <cell r="W451">
            <v>7</v>
          </cell>
          <cell r="X451">
            <v>11</v>
          </cell>
          <cell r="Y451">
            <v>0</v>
          </cell>
          <cell r="Z451" t="str">
            <v>Mid</v>
          </cell>
          <cell r="AA451" t="str">
            <v>Low</v>
          </cell>
          <cell r="AB451" t="str">
            <v>Long</v>
          </cell>
          <cell r="AC451" t="str">
            <v>Low</v>
          </cell>
          <cell r="AD451">
            <v>602</v>
          </cell>
        </row>
        <row r="452">
          <cell r="A452">
            <v>31</v>
          </cell>
          <cell r="B452" t="str">
            <v>No</v>
          </cell>
          <cell r="C452" t="str">
            <v>Sales</v>
          </cell>
          <cell r="D452">
            <v>2</v>
          </cell>
          <cell r="E452">
            <v>1</v>
          </cell>
          <cell r="F452" t="str">
            <v>Life Sciences</v>
          </cell>
          <cell r="G452">
            <v>2</v>
          </cell>
          <cell r="H452" t="str">
            <v>Male</v>
          </cell>
          <cell r="I452">
            <v>3</v>
          </cell>
          <cell r="J452">
            <v>2</v>
          </cell>
          <cell r="K452" t="str">
            <v>Sales Executive</v>
          </cell>
          <cell r="L452">
            <v>4</v>
          </cell>
          <cell r="M452" t="str">
            <v>Single</v>
          </cell>
          <cell r="N452">
            <v>6582</v>
          </cell>
          <cell r="O452">
            <v>4</v>
          </cell>
          <cell r="P452" t="str">
            <v>Yes</v>
          </cell>
          <cell r="Q452">
            <v>3</v>
          </cell>
          <cell r="R452">
            <v>10</v>
          </cell>
          <cell r="S452">
            <v>4</v>
          </cell>
          <cell r="T452">
            <v>6</v>
          </cell>
          <cell r="U452">
            <v>5</v>
          </cell>
          <cell r="V452">
            <v>0</v>
          </cell>
          <cell r="W452">
            <v>5</v>
          </cell>
          <cell r="X452">
            <v>13</v>
          </cell>
          <cell r="Y452">
            <v>0</v>
          </cell>
          <cell r="Z452" t="str">
            <v>Mid</v>
          </cell>
          <cell r="AA452" t="str">
            <v>Medium</v>
          </cell>
          <cell r="AB452" t="str">
            <v>Mid</v>
          </cell>
          <cell r="AC452" t="str">
            <v>Medium</v>
          </cell>
          <cell r="AD452">
            <v>604</v>
          </cell>
        </row>
        <row r="453">
          <cell r="A453">
            <v>42</v>
          </cell>
          <cell r="B453" t="str">
            <v>No</v>
          </cell>
          <cell r="C453" t="str">
            <v>Research &amp; Development</v>
          </cell>
          <cell r="D453">
            <v>24</v>
          </cell>
          <cell r="E453">
            <v>3</v>
          </cell>
          <cell r="F453" t="str">
            <v>Medical</v>
          </cell>
          <cell r="G453">
            <v>4</v>
          </cell>
          <cell r="H453" t="str">
            <v>Male</v>
          </cell>
          <cell r="I453">
            <v>3</v>
          </cell>
          <cell r="J453">
            <v>3</v>
          </cell>
          <cell r="K453" t="str">
            <v>Manufacturing Director</v>
          </cell>
          <cell r="L453">
            <v>1</v>
          </cell>
          <cell r="M453" t="str">
            <v>Married</v>
          </cell>
          <cell r="N453">
            <v>7406</v>
          </cell>
          <cell r="O453">
            <v>1</v>
          </cell>
          <cell r="P453" t="str">
            <v>Yes</v>
          </cell>
          <cell r="Q453">
            <v>4</v>
          </cell>
          <cell r="R453">
            <v>10</v>
          </cell>
          <cell r="S453">
            <v>2</v>
          </cell>
          <cell r="T453">
            <v>10</v>
          </cell>
          <cell r="U453">
            <v>9</v>
          </cell>
          <cell r="V453">
            <v>5</v>
          </cell>
          <cell r="W453">
            <v>8</v>
          </cell>
          <cell r="X453">
            <v>21</v>
          </cell>
          <cell r="Y453">
            <v>0</v>
          </cell>
          <cell r="Z453" t="str">
            <v>Mid</v>
          </cell>
          <cell r="AA453" t="str">
            <v>Medium</v>
          </cell>
          <cell r="AB453" t="str">
            <v>Long</v>
          </cell>
          <cell r="AC453" t="str">
            <v>High</v>
          </cell>
          <cell r="AD453">
            <v>605</v>
          </cell>
        </row>
        <row r="454">
          <cell r="A454">
            <v>45</v>
          </cell>
          <cell r="B454" t="str">
            <v>No</v>
          </cell>
          <cell r="C454" t="str">
            <v>Sales</v>
          </cell>
          <cell r="D454">
            <v>2</v>
          </cell>
          <cell r="E454">
            <v>3</v>
          </cell>
          <cell r="F454" t="str">
            <v>Other</v>
          </cell>
          <cell r="G454">
            <v>4</v>
          </cell>
          <cell r="H454" t="str">
            <v>Male</v>
          </cell>
          <cell r="I454">
            <v>3</v>
          </cell>
          <cell r="J454">
            <v>2</v>
          </cell>
          <cell r="K454" t="str">
            <v>Sales Executive</v>
          </cell>
          <cell r="L454">
            <v>2</v>
          </cell>
          <cell r="M454" t="str">
            <v>Married</v>
          </cell>
          <cell r="N454">
            <v>4805</v>
          </cell>
          <cell r="O454">
            <v>0</v>
          </cell>
          <cell r="P454" t="str">
            <v>No</v>
          </cell>
          <cell r="Q454">
            <v>2</v>
          </cell>
          <cell r="R454">
            <v>9</v>
          </cell>
          <cell r="S454">
            <v>4</v>
          </cell>
          <cell r="T454">
            <v>8</v>
          </cell>
          <cell r="U454">
            <v>7</v>
          </cell>
          <cell r="V454">
            <v>3</v>
          </cell>
          <cell r="W454">
            <v>7</v>
          </cell>
          <cell r="X454">
            <v>19</v>
          </cell>
          <cell r="Y454">
            <v>0</v>
          </cell>
          <cell r="Z454" t="str">
            <v>Senior</v>
          </cell>
          <cell r="AA454" t="str">
            <v>Low</v>
          </cell>
          <cell r="AB454" t="str">
            <v>Long</v>
          </cell>
          <cell r="AC454" t="str">
            <v>High</v>
          </cell>
          <cell r="AD454">
            <v>606</v>
          </cell>
        </row>
        <row r="455">
          <cell r="A455">
            <v>26</v>
          </cell>
          <cell r="B455" t="str">
            <v>Yes</v>
          </cell>
          <cell r="C455" t="str">
            <v>Human Resources</v>
          </cell>
          <cell r="D455">
            <v>17</v>
          </cell>
          <cell r="E455">
            <v>4</v>
          </cell>
          <cell r="F455" t="str">
            <v>Life Sciences</v>
          </cell>
          <cell r="G455">
            <v>2</v>
          </cell>
          <cell r="H455" t="str">
            <v>Female</v>
          </cell>
          <cell r="I455">
            <v>3</v>
          </cell>
          <cell r="J455">
            <v>1</v>
          </cell>
          <cell r="K455" t="str">
            <v>Human Resources</v>
          </cell>
          <cell r="L455">
            <v>3</v>
          </cell>
          <cell r="M455" t="str">
            <v>Divorced</v>
          </cell>
          <cell r="N455">
            <v>2741</v>
          </cell>
          <cell r="O455">
            <v>0</v>
          </cell>
          <cell r="P455" t="str">
            <v>Yes</v>
          </cell>
          <cell r="Q455">
            <v>2</v>
          </cell>
          <cell r="R455">
            <v>8</v>
          </cell>
          <cell r="S455">
            <v>2</v>
          </cell>
          <cell r="T455">
            <v>7</v>
          </cell>
          <cell r="U455">
            <v>7</v>
          </cell>
          <cell r="V455">
            <v>1</v>
          </cell>
          <cell r="W455">
            <v>0</v>
          </cell>
          <cell r="X455">
            <v>11</v>
          </cell>
          <cell r="Y455">
            <v>1</v>
          </cell>
          <cell r="Z455" t="str">
            <v>Young</v>
          </cell>
          <cell r="AA455" t="str">
            <v>Low</v>
          </cell>
          <cell r="AB455" t="str">
            <v>Long</v>
          </cell>
          <cell r="AC455" t="str">
            <v>Low</v>
          </cell>
          <cell r="AD455">
            <v>608</v>
          </cell>
        </row>
        <row r="456">
          <cell r="A456">
            <v>29</v>
          </cell>
          <cell r="B456" t="str">
            <v>No</v>
          </cell>
          <cell r="C456" t="str">
            <v>Research &amp; Development</v>
          </cell>
          <cell r="D456">
            <v>19</v>
          </cell>
          <cell r="E456">
            <v>3</v>
          </cell>
          <cell r="F456" t="str">
            <v>Technical Degree</v>
          </cell>
          <cell r="G456">
            <v>4</v>
          </cell>
          <cell r="H456" t="str">
            <v>Male</v>
          </cell>
          <cell r="I456">
            <v>3</v>
          </cell>
          <cell r="J456">
            <v>2</v>
          </cell>
          <cell r="K456" t="str">
            <v>Manufacturing Director</v>
          </cell>
          <cell r="L456">
            <v>4</v>
          </cell>
          <cell r="M456" t="str">
            <v>Divorced</v>
          </cell>
          <cell r="N456">
            <v>4262</v>
          </cell>
          <cell r="O456">
            <v>4</v>
          </cell>
          <cell r="P456" t="str">
            <v>No</v>
          </cell>
          <cell r="Q456">
            <v>2</v>
          </cell>
          <cell r="R456">
            <v>8</v>
          </cell>
          <cell r="S456">
            <v>4</v>
          </cell>
          <cell r="T456">
            <v>3</v>
          </cell>
          <cell r="U456">
            <v>2</v>
          </cell>
          <cell r="V456">
            <v>1</v>
          </cell>
          <cell r="W456">
            <v>2</v>
          </cell>
          <cell r="X456">
            <v>12</v>
          </cell>
          <cell r="Y456">
            <v>0</v>
          </cell>
          <cell r="Z456" t="str">
            <v>Young</v>
          </cell>
          <cell r="AA456" t="str">
            <v>Low</v>
          </cell>
          <cell r="AB456" t="str">
            <v>Mid</v>
          </cell>
          <cell r="AC456" t="str">
            <v>Low</v>
          </cell>
          <cell r="AD456">
            <v>611</v>
          </cell>
        </row>
        <row r="457">
          <cell r="A457">
            <v>33</v>
          </cell>
          <cell r="B457" t="str">
            <v>No</v>
          </cell>
          <cell r="C457" t="str">
            <v>Research &amp; Development</v>
          </cell>
          <cell r="D457">
            <v>1</v>
          </cell>
          <cell r="E457">
            <v>5</v>
          </cell>
          <cell r="F457" t="str">
            <v>Medical</v>
          </cell>
          <cell r="G457">
            <v>1</v>
          </cell>
          <cell r="H457" t="str">
            <v>Female</v>
          </cell>
          <cell r="I457">
            <v>4</v>
          </cell>
          <cell r="J457">
            <v>4</v>
          </cell>
          <cell r="K457" t="str">
            <v>Research Director</v>
          </cell>
          <cell r="L457">
            <v>3</v>
          </cell>
          <cell r="M457" t="str">
            <v>Divorced</v>
          </cell>
          <cell r="N457">
            <v>16184</v>
          </cell>
          <cell r="O457">
            <v>4</v>
          </cell>
          <cell r="P457" t="str">
            <v>No</v>
          </cell>
          <cell r="Q457">
            <v>3</v>
          </cell>
          <cell r="R457">
            <v>10</v>
          </cell>
          <cell r="S457">
            <v>3</v>
          </cell>
          <cell r="T457">
            <v>6</v>
          </cell>
          <cell r="U457">
            <v>1</v>
          </cell>
          <cell r="V457">
            <v>0</v>
          </cell>
          <cell r="W457">
            <v>5</v>
          </cell>
          <cell r="X457">
            <v>19</v>
          </cell>
          <cell r="Y457">
            <v>0</v>
          </cell>
          <cell r="Z457" t="str">
            <v>Mid</v>
          </cell>
          <cell r="AA457" t="str">
            <v>High</v>
          </cell>
          <cell r="AB457" t="str">
            <v>Mid</v>
          </cell>
          <cell r="AC457" t="str">
            <v>High</v>
          </cell>
          <cell r="AD457">
            <v>612</v>
          </cell>
        </row>
        <row r="458">
          <cell r="A458">
            <v>31</v>
          </cell>
          <cell r="B458" t="str">
            <v>No</v>
          </cell>
          <cell r="C458" t="str">
            <v>Sales</v>
          </cell>
          <cell r="D458">
            <v>7</v>
          </cell>
          <cell r="E458">
            <v>3</v>
          </cell>
          <cell r="F458" t="str">
            <v>Life Sciences</v>
          </cell>
          <cell r="G458">
            <v>3</v>
          </cell>
          <cell r="H458" t="str">
            <v>Male</v>
          </cell>
          <cell r="I458">
            <v>2</v>
          </cell>
          <cell r="J458">
            <v>3</v>
          </cell>
          <cell r="K458" t="str">
            <v>Manager</v>
          </cell>
          <cell r="L458">
            <v>4</v>
          </cell>
          <cell r="M458" t="str">
            <v>Divorced</v>
          </cell>
          <cell r="N458">
            <v>11557</v>
          </cell>
          <cell r="O458">
            <v>9</v>
          </cell>
          <cell r="P458" t="str">
            <v>No</v>
          </cell>
          <cell r="Q458">
            <v>3</v>
          </cell>
          <cell r="R458">
            <v>10</v>
          </cell>
          <cell r="S458">
            <v>2</v>
          </cell>
          <cell r="T458">
            <v>5</v>
          </cell>
          <cell r="U458">
            <v>4</v>
          </cell>
          <cell r="V458">
            <v>0</v>
          </cell>
          <cell r="W458">
            <v>1</v>
          </cell>
          <cell r="X458">
            <v>21</v>
          </cell>
          <cell r="Y458">
            <v>0</v>
          </cell>
          <cell r="Z458" t="str">
            <v>Mid</v>
          </cell>
          <cell r="AA458" t="str">
            <v>High</v>
          </cell>
          <cell r="AB458" t="str">
            <v>Mid</v>
          </cell>
          <cell r="AC458" t="str">
            <v>High</v>
          </cell>
          <cell r="AD458">
            <v>613</v>
          </cell>
        </row>
        <row r="459">
          <cell r="A459">
            <v>18</v>
          </cell>
          <cell r="B459" t="str">
            <v>Yes</v>
          </cell>
          <cell r="C459" t="str">
            <v>Sales</v>
          </cell>
          <cell r="D459">
            <v>5</v>
          </cell>
          <cell r="E459">
            <v>3</v>
          </cell>
          <cell r="F459" t="str">
            <v>Marketing</v>
          </cell>
          <cell r="G459">
            <v>2</v>
          </cell>
          <cell r="H459" t="str">
            <v>Male</v>
          </cell>
          <cell r="I459">
            <v>3</v>
          </cell>
          <cell r="J459">
            <v>1</v>
          </cell>
          <cell r="K459" t="str">
            <v>Sales Representative</v>
          </cell>
          <cell r="L459">
            <v>2</v>
          </cell>
          <cell r="M459" t="str">
            <v>Single</v>
          </cell>
          <cell r="N459">
            <v>1878</v>
          </cell>
          <cell r="O459">
            <v>1</v>
          </cell>
          <cell r="P459" t="str">
            <v>Yes</v>
          </cell>
          <cell r="Q459">
            <v>4</v>
          </cell>
          <cell r="R459">
            <v>0</v>
          </cell>
          <cell r="S459">
            <v>3</v>
          </cell>
          <cell r="T459">
            <v>0</v>
          </cell>
          <cell r="U459">
            <v>0</v>
          </cell>
          <cell r="V459">
            <v>0</v>
          </cell>
          <cell r="W459">
            <v>0</v>
          </cell>
          <cell r="X459">
            <v>14</v>
          </cell>
          <cell r="Y459">
            <v>1</v>
          </cell>
          <cell r="Z459" t="str">
            <v>Young</v>
          </cell>
          <cell r="AA459" t="str">
            <v>Low</v>
          </cell>
          <cell r="AB459" t="str">
            <v>Early</v>
          </cell>
          <cell r="AC459" t="str">
            <v>Medium</v>
          </cell>
          <cell r="AD459">
            <v>614</v>
          </cell>
        </row>
        <row r="460">
          <cell r="A460">
            <v>40</v>
          </cell>
          <cell r="B460" t="str">
            <v>No</v>
          </cell>
          <cell r="C460" t="str">
            <v>Sales</v>
          </cell>
          <cell r="D460">
            <v>28</v>
          </cell>
          <cell r="E460">
            <v>3</v>
          </cell>
          <cell r="F460" t="str">
            <v>Other</v>
          </cell>
          <cell r="G460">
            <v>3</v>
          </cell>
          <cell r="H460" t="str">
            <v>Male</v>
          </cell>
          <cell r="I460">
            <v>1</v>
          </cell>
          <cell r="J460">
            <v>3</v>
          </cell>
          <cell r="K460" t="str">
            <v>Sales Executive</v>
          </cell>
          <cell r="L460">
            <v>1</v>
          </cell>
          <cell r="M460" t="str">
            <v>Divorced</v>
          </cell>
          <cell r="N460">
            <v>10932</v>
          </cell>
          <cell r="O460">
            <v>3</v>
          </cell>
          <cell r="P460" t="str">
            <v>No</v>
          </cell>
          <cell r="Q460">
            <v>3</v>
          </cell>
          <cell r="R460">
            <v>20</v>
          </cell>
          <cell r="S460">
            <v>3</v>
          </cell>
          <cell r="T460">
            <v>1</v>
          </cell>
          <cell r="U460">
            <v>0</v>
          </cell>
          <cell r="V460">
            <v>0</v>
          </cell>
          <cell r="W460">
            <v>1</v>
          </cell>
          <cell r="X460">
            <v>15</v>
          </cell>
          <cell r="Y460">
            <v>0</v>
          </cell>
          <cell r="Z460" t="str">
            <v>Mid</v>
          </cell>
          <cell r="AA460" t="str">
            <v>High</v>
          </cell>
          <cell r="AB460" t="str">
            <v>Early</v>
          </cell>
          <cell r="AC460" t="str">
            <v>Medium</v>
          </cell>
          <cell r="AD460">
            <v>615</v>
          </cell>
        </row>
        <row r="461">
          <cell r="A461">
            <v>41</v>
          </cell>
          <cell r="B461" t="str">
            <v>No</v>
          </cell>
          <cell r="C461" t="str">
            <v>Research &amp; Development</v>
          </cell>
          <cell r="D461">
            <v>2</v>
          </cell>
          <cell r="E461">
            <v>4</v>
          </cell>
          <cell r="F461" t="str">
            <v>Other</v>
          </cell>
          <cell r="G461">
            <v>1</v>
          </cell>
          <cell r="H461" t="str">
            <v>Female</v>
          </cell>
          <cell r="I461">
            <v>2</v>
          </cell>
          <cell r="J461">
            <v>2</v>
          </cell>
          <cell r="K461" t="str">
            <v>Healthcare Representative</v>
          </cell>
          <cell r="L461">
            <v>3</v>
          </cell>
          <cell r="M461" t="str">
            <v>Single</v>
          </cell>
          <cell r="N461">
            <v>6811</v>
          </cell>
          <cell r="O461">
            <v>2</v>
          </cell>
          <cell r="P461" t="str">
            <v>Yes</v>
          </cell>
          <cell r="Q461">
            <v>1</v>
          </cell>
          <cell r="R461">
            <v>10</v>
          </cell>
          <cell r="S461">
            <v>3</v>
          </cell>
          <cell r="T461">
            <v>8</v>
          </cell>
          <cell r="U461">
            <v>7</v>
          </cell>
          <cell r="V461">
            <v>0</v>
          </cell>
          <cell r="W461">
            <v>7</v>
          </cell>
          <cell r="X461">
            <v>17</v>
          </cell>
          <cell r="Y461">
            <v>0</v>
          </cell>
          <cell r="Z461" t="str">
            <v>Mid</v>
          </cell>
          <cell r="AA461" t="str">
            <v>Medium</v>
          </cell>
          <cell r="AB461" t="str">
            <v>Long</v>
          </cell>
          <cell r="AC461" t="str">
            <v>Medium</v>
          </cell>
          <cell r="AD461">
            <v>616</v>
          </cell>
        </row>
        <row r="462">
          <cell r="A462">
            <v>26</v>
          </cell>
          <cell r="B462" t="str">
            <v>No</v>
          </cell>
          <cell r="C462" t="str">
            <v>Sales</v>
          </cell>
          <cell r="D462">
            <v>29</v>
          </cell>
          <cell r="E462">
            <v>2</v>
          </cell>
          <cell r="F462" t="str">
            <v>Medical</v>
          </cell>
          <cell r="G462">
            <v>1</v>
          </cell>
          <cell r="H462" t="str">
            <v>Male</v>
          </cell>
          <cell r="I462">
            <v>3</v>
          </cell>
          <cell r="J462">
            <v>2</v>
          </cell>
          <cell r="K462" t="str">
            <v>Sales Executive</v>
          </cell>
          <cell r="L462">
            <v>3</v>
          </cell>
          <cell r="M462" t="str">
            <v>Divorced</v>
          </cell>
          <cell r="N462">
            <v>4306</v>
          </cell>
          <cell r="O462">
            <v>5</v>
          </cell>
          <cell r="P462" t="str">
            <v>No</v>
          </cell>
          <cell r="Q462">
            <v>1</v>
          </cell>
          <cell r="R462">
            <v>8</v>
          </cell>
          <cell r="S462">
            <v>3</v>
          </cell>
          <cell r="T462">
            <v>0</v>
          </cell>
          <cell r="U462">
            <v>0</v>
          </cell>
          <cell r="V462">
            <v>0</v>
          </cell>
          <cell r="W462">
            <v>0</v>
          </cell>
          <cell r="X462">
            <v>12</v>
          </cell>
          <cell r="Y462">
            <v>0</v>
          </cell>
          <cell r="Z462" t="str">
            <v>Young</v>
          </cell>
          <cell r="AA462" t="str">
            <v>Low</v>
          </cell>
          <cell r="AB462" t="str">
            <v>Early</v>
          </cell>
          <cell r="AC462" t="str">
            <v>Low</v>
          </cell>
          <cell r="AD462">
            <v>618</v>
          </cell>
        </row>
        <row r="463">
          <cell r="A463">
            <v>35</v>
          </cell>
          <cell r="B463" t="str">
            <v>No</v>
          </cell>
          <cell r="C463" t="str">
            <v>Sales</v>
          </cell>
          <cell r="D463">
            <v>1</v>
          </cell>
          <cell r="E463">
            <v>3</v>
          </cell>
          <cell r="F463" t="str">
            <v>Medical</v>
          </cell>
          <cell r="G463">
            <v>1</v>
          </cell>
          <cell r="H463" t="str">
            <v>Female</v>
          </cell>
          <cell r="I463">
            <v>3</v>
          </cell>
          <cell r="J463">
            <v>2</v>
          </cell>
          <cell r="K463" t="str">
            <v>Sales Executive</v>
          </cell>
          <cell r="L463">
            <v>3</v>
          </cell>
          <cell r="M463" t="str">
            <v>Single</v>
          </cell>
          <cell r="N463">
            <v>4859</v>
          </cell>
          <cell r="O463">
            <v>1</v>
          </cell>
          <cell r="P463" t="str">
            <v>No</v>
          </cell>
          <cell r="Q463">
            <v>4</v>
          </cell>
          <cell r="R463">
            <v>5</v>
          </cell>
          <cell r="S463">
            <v>3</v>
          </cell>
          <cell r="T463">
            <v>5</v>
          </cell>
          <cell r="U463">
            <v>4</v>
          </cell>
          <cell r="V463">
            <v>0</v>
          </cell>
          <cell r="W463">
            <v>3</v>
          </cell>
          <cell r="X463">
            <v>16</v>
          </cell>
          <cell r="Y463">
            <v>0</v>
          </cell>
          <cell r="Z463" t="str">
            <v>Mid</v>
          </cell>
          <cell r="AA463" t="str">
            <v>Low</v>
          </cell>
          <cell r="AB463" t="str">
            <v>Mid</v>
          </cell>
          <cell r="AC463" t="str">
            <v>Medium</v>
          </cell>
          <cell r="AD463">
            <v>620</v>
          </cell>
        </row>
        <row r="464">
          <cell r="A464">
            <v>34</v>
          </cell>
          <cell r="B464" t="str">
            <v>No</v>
          </cell>
          <cell r="C464" t="str">
            <v>Sales</v>
          </cell>
          <cell r="D464">
            <v>21</v>
          </cell>
          <cell r="E464">
            <v>4</v>
          </cell>
          <cell r="F464" t="str">
            <v>Life Sciences</v>
          </cell>
          <cell r="G464">
            <v>4</v>
          </cell>
          <cell r="H464" t="str">
            <v>Male</v>
          </cell>
          <cell r="I464">
            <v>4</v>
          </cell>
          <cell r="J464">
            <v>2</v>
          </cell>
          <cell r="K464" t="str">
            <v>Sales Executive</v>
          </cell>
          <cell r="L464">
            <v>4</v>
          </cell>
          <cell r="M464" t="str">
            <v>Single</v>
          </cell>
          <cell r="N464">
            <v>5337</v>
          </cell>
          <cell r="O464">
            <v>1</v>
          </cell>
          <cell r="P464" t="str">
            <v>No</v>
          </cell>
          <cell r="Q464">
            <v>4</v>
          </cell>
          <cell r="R464">
            <v>10</v>
          </cell>
          <cell r="S464">
            <v>3</v>
          </cell>
          <cell r="T464">
            <v>10</v>
          </cell>
          <cell r="U464">
            <v>7</v>
          </cell>
          <cell r="V464">
            <v>5</v>
          </cell>
          <cell r="W464">
            <v>7</v>
          </cell>
          <cell r="X464">
            <v>12</v>
          </cell>
          <cell r="Y464">
            <v>0</v>
          </cell>
          <cell r="Z464" t="str">
            <v>Mid</v>
          </cell>
          <cell r="AA464" t="str">
            <v>Medium</v>
          </cell>
          <cell r="AB464" t="str">
            <v>Long</v>
          </cell>
          <cell r="AC464" t="str">
            <v>Low</v>
          </cell>
          <cell r="AD464">
            <v>621</v>
          </cell>
        </row>
        <row r="465">
          <cell r="A465">
            <v>26</v>
          </cell>
          <cell r="B465" t="str">
            <v>Yes</v>
          </cell>
          <cell r="C465" t="str">
            <v>Research &amp; Development</v>
          </cell>
          <cell r="D465">
            <v>24</v>
          </cell>
          <cell r="E465">
            <v>3</v>
          </cell>
          <cell r="F465" t="str">
            <v>Technical Degree</v>
          </cell>
          <cell r="G465">
            <v>3</v>
          </cell>
          <cell r="H465" t="str">
            <v>Male</v>
          </cell>
          <cell r="I465">
            <v>1</v>
          </cell>
          <cell r="J465">
            <v>1</v>
          </cell>
          <cell r="K465" t="str">
            <v>Laboratory Technician</v>
          </cell>
          <cell r="L465">
            <v>4</v>
          </cell>
          <cell r="M465" t="str">
            <v>Single</v>
          </cell>
          <cell r="N465">
            <v>2340</v>
          </cell>
          <cell r="O465">
            <v>1</v>
          </cell>
          <cell r="P465" t="str">
            <v>Yes</v>
          </cell>
          <cell r="Q465">
            <v>2</v>
          </cell>
          <cell r="R465">
            <v>1</v>
          </cell>
          <cell r="S465">
            <v>1</v>
          </cell>
          <cell r="T465">
            <v>1</v>
          </cell>
          <cell r="U465">
            <v>0</v>
          </cell>
          <cell r="V465">
            <v>0</v>
          </cell>
          <cell r="W465">
            <v>0</v>
          </cell>
          <cell r="X465">
            <v>18</v>
          </cell>
          <cell r="Y465">
            <v>1</v>
          </cell>
          <cell r="Z465" t="str">
            <v>Young</v>
          </cell>
          <cell r="AA465" t="str">
            <v>Low</v>
          </cell>
          <cell r="AB465" t="str">
            <v>Early</v>
          </cell>
          <cell r="AC465" t="str">
            <v>High</v>
          </cell>
          <cell r="AD465">
            <v>622</v>
          </cell>
        </row>
        <row r="466">
          <cell r="A466">
            <v>37</v>
          </cell>
          <cell r="B466" t="str">
            <v>No</v>
          </cell>
          <cell r="C466" t="str">
            <v>Research &amp; Development</v>
          </cell>
          <cell r="D466">
            <v>1</v>
          </cell>
          <cell r="E466">
            <v>3</v>
          </cell>
          <cell r="F466" t="str">
            <v>Technical Degree</v>
          </cell>
          <cell r="G466">
            <v>2</v>
          </cell>
          <cell r="H466" t="str">
            <v>Female</v>
          </cell>
          <cell r="I466">
            <v>3</v>
          </cell>
          <cell r="J466">
            <v>3</v>
          </cell>
          <cell r="K466" t="str">
            <v>Manufacturing Director</v>
          </cell>
          <cell r="L466">
            <v>4</v>
          </cell>
          <cell r="M466" t="str">
            <v>Single</v>
          </cell>
          <cell r="N466">
            <v>7491</v>
          </cell>
          <cell r="O466">
            <v>4</v>
          </cell>
          <cell r="P466" t="str">
            <v>No</v>
          </cell>
          <cell r="Q466">
            <v>4</v>
          </cell>
          <cell r="R466">
            <v>12</v>
          </cell>
          <cell r="S466">
            <v>4</v>
          </cell>
          <cell r="T466">
            <v>6</v>
          </cell>
          <cell r="U466">
            <v>5</v>
          </cell>
          <cell r="V466">
            <v>1</v>
          </cell>
          <cell r="W466">
            <v>2</v>
          </cell>
          <cell r="X466">
            <v>17</v>
          </cell>
          <cell r="Y466">
            <v>0</v>
          </cell>
          <cell r="Z466" t="str">
            <v>Mid</v>
          </cell>
          <cell r="AA466" t="str">
            <v>Medium</v>
          </cell>
          <cell r="AB466" t="str">
            <v>Mid</v>
          </cell>
          <cell r="AC466" t="str">
            <v>Medium</v>
          </cell>
          <cell r="AD466">
            <v>623</v>
          </cell>
        </row>
        <row r="467">
          <cell r="A467">
            <v>46</v>
          </cell>
          <cell r="B467" t="str">
            <v>No</v>
          </cell>
          <cell r="C467" t="str">
            <v>Research &amp; Development</v>
          </cell>
          <cell r="D467">
            <v>18</v>
          </cell>
          <cell r="E467">
            <v>1</v>
          </cell>
          <cell r="F467" t="str">
            <v>Medical</v>
          </cell>
          <cell r="G467">
            <v>1</v>
          </cell>
          <cell r="H467" t="str">
            <v>Female</v>
          </cell>
          <cell r="I467">
            <v>3</v>
          </cell>
          <cell r="J467">
            <v>3</v>
          </cell>
          <cell r="K467" t="str">
            <v>Healthcare Representative</v>
          </cell>
          <cell r="L467">
            <v>3</v>
          </cell>
          <cell r="M467" t="str">
            <v>Married</v>
          </cell>
          <cell r="N467">
            <v>10527</v>
          </cell>
          <cell r="O467">
            <v>5</v>
          </cell>
          <cell r="P467" t="str">
            <v>No</v>
          </cell>
          <cell r="Q467">
            <v>4</v>
          </cell>
          <cell r="R467">
            <v>28</v>
          </cell>
          <cell r="S467">
            <v>2</v>
          </cell>
          <cell r="T467">
            <v>2</v>
          </cell>
          <cell r="U467">
            <v>2</v>
          </cell>
          <cell r="V467">
            <v>1</v>
          </cell>
          <cell r="W467">
            <v>2</v>
          </cell>
          <cell r="X467">
            <v>11</v>
          </cell>
          <cell r="Y467">
            <v>0</v>
          </cell>
          <cell r="Z467" t="str">
            <v>Senior</v>
          </cell>
          <cell r="AA467" t="str">
            <v>High</v>
          </cell>
          <cell r="AB467" t="str">
            <v>Early</v>
          </cell>
          <cell r="AC467" t="str">
            <v>Low</v>
          </cell>
          <cell r="AD467">
            <v>624</v>
          </cell>
        </row>
        <row r="468">
          <cell r="A468">
            <v>41</v>
          </cell>
          <cell r="B468" t="str">
            <v>No</v>
          </cell>
          <cell r="C468" t="str">
            <v>Sales</v>
          </cell>
          <cell r="D468">
            <v>2</v>
          </cell>
          <cell r="E468">
            <v>5</v>
          </cell>
          <cell r="F468" t="str">
            <v>Life Sciences</v>
          </cell>
          <cell r="G468">
            <v>2</v>
          </cell>
          <cell r="H468" t="str">
            <v>Female</v>
          </cell>
          <cell r="I468">
            <v>3</v>
          </cell>
          <cell r="J468">
            <v>4</v>
          </cell>
          <cell r="K468" t="str">
            <v>Manager</v>
          </cell>
          <cell r="L468">
            <v>1</v>
          </cell>
          <cell r="M468" t="str">
            <v>Married</v>
          </cell>
          <cell r="N468">
            <v>16595</v>
          </cell>
          <cell r="O468">
            <v>7</v>
          </cell>
          <cell r="P468" t="str">
            <v>No</v>
          </cell>
          <cell r="Q468">
            <v>2</v>
          </cell>
          <cell r="R468">
            <v>22</v>
          </cell>
          <cell r="S468">
            <v>3</v>
          </cell>
          <cell r="T468">
            <v>18</v>
          </cell>
          <cell r="U468">
            <v>16</v>
          </cell>
          <cell r="V468">
            <v>11</v>
          </cell>
          <cell r="W468">
            <v>8</v>
          </cell>
          <cell r="X468">
            <v>16</v>
          </cell>
          <cell r="Y468">
            <v>0</v>
          </cell>
          <cell r="Z468" t="str">
            <v>Mid</v>
          </cell>
          <cell r="AA468" t="str">
            <v>High</v>
          </cell>
          <cell r="AB468" t="str">
            <v>Long</v>
          </cell>
          <cell r="AC468" t="str">
            <v>Medium</v>
          </cell>
          <cell r="AD468">
            <v>625</v>
          </cell>
        </row>
        <row r="469">
          <cell r="A469">
            <v>37</v>
          </cell>
          <cell r="B469" t="str">
            <v>No</v>
          </cell>
          <cell r="C469" t="str">
            <v>Sales</v>
          </cell>
          <cell r="D469">
            <v>9</v>
          </cell>
          <cell r="E469">
            <v>4</v>
          </cell>
          <cell r="F469" t="str">
            <v>Medical</v>
          </cell>
          <cell r="G469">
            <v>1</v>
          </cell>
          <cell r="H469" t="str">
            <v>Male</v>
          </cell>
          <cell r="I469">
            <v>3</v>
          </cell>
          <cell r="J469">
            <v>3</v>
          </cell>
          <cell r="K469" t="str">
            <v>Sales Executive</v>
          </cell>
          <cell r="L469">
            <v>2</v>
          </cell>
          <cell r="M469" t="str">
            <v>Divorced</v>
          </cell>
          <cell r="N469">
            <v>8834</v>
          </cell>
          <cell r="O469">
            <v>1</v>
          </cell>
          <cell r="P469" t="str">
            <v>No</v>
          </cell>
          <cell r="Q469">
            <v>4</v>
          </cell>
          <cell r="R469">
            <v>9</v>
          </cell>
          <cell r="S469">
            <v>3</v>
          </cell>
          <cell r="T469">
            <v>9</v>
          </cell>
          <cell r="U469">
            <v>5</v>
          </cell>
          <cell r="V469">
            <v>7</v>
          </cell>
          <cell r="W469">
            <v>7</v>
          </cell>
          <cell r="X469">
            <v>13</v>
          </cell>
          <cell r="Y469">
            <v>0</v>
          </cell>
          <cell r="Z469" t="str">
            <v>Mid</v>
          </cell>
          <cell r="AA469" t="str">
            <v>Medium</v>
          </cell>
          <cell r="AB469" t="str">
            <v>Long</v>
          </cell>
          <cell r="AC469" t="str">
            <v>Medium</v>
          </cell>
          <cell r="AD469">
            <v>626</v>
          </cell>
        </row>
        <row r="470">
          <cell r="A470">
            <v>52</v>
          </cell>
          <cell r="B470" t="str">
            <v>No</v>
          </cell>
          <cell r="C470" t="str">
            <v>Research &amp; Development</v>
          </cell>
          <cell r="D470">
            <v>6</v>
          </cell>
          <cell r="E470">
            <v>2</v>
          </cell>
          <cell r="F470" t="str">
            <v>Technical Degree</v>
          </cell>
          <cell r="G470">
            <v>4</v>
          </cell>
          <cell r="H470" t="str">
            <v>Male</v>
          </cell>
          <cell r="I470">
            <v>3</v>
          </cell>
          <cell r="J470">
            <v>2</v>
          </cell>
          <cell r="K470" t="str">
            <v>Research Scientist</v>
          </cell>
          <cell r="L470">
            <v>1</v>
          </cell>
          <cell r="M470" t="str">
            <v>Divorced</v>
          </cell>
          <cell r="N470">
            <v>5577</v>
          </cell>
          <cell r="O470">
            <v>3</v>
          </cell>
          <cell r="P470" t="str">
            <v>Yes</v>
          </cell>
          <cell r="Q470">
            <v>2</v>
          </cell>
          <cell r="R470">
            <v>18</v>
          </cell>
          <cell r="S470">
            <v>3</v>
          </cell>
          <cell r="T470">
            <v>10</v>
          </cell>
          <cell r="U470">
            <v>9</v>
          </cell>
          <cell r="V470">
            <v>6</v>
          </cell>
          <cell r="W470">
            <v>9</v>
          </cell>
          <cell r="X470">
            <v>12</v>
          </cell>
          <cell r="Y470">
            <v>0</v>
          </cell>
          <cell r="Z470" t="str">
            <v>Senior</v>
          </cell>
          <cell r="AA470" t="str">
            <v>Medium</v>
          </cell>
          <cell r="AB470" t="str">
            <v>Long</v>
          </cell>
          <cell r="AC470" t="str">
            <v>Low</v>
          </cell>
          <cell r="AD470">
            <v>630</v>
          </cell>
        </row>
        <row r="471">
          <cell r="A471">
            <v>32</v>
          </cell>
          <cell r="B471" t="str">
            <v>Yes</v>
          </cell>
          <cell r="C471" t="str">
            <v>Sales</v>
          </cell>
          <cell r="D471">
            <v>11</v>
          </cell>
          <cell r="E471">
            <v>4</v>
          </cell>
          <cell r="F471" t="str">
            <v>Other</v>
          </cell>
          <cell r="G471">
            <v>4</v>
          </cell>
          <cell r="H471" t="str">
            <v>Male</v>
          </cell>
          <cell r="I471">
            <v>4</v>
          </cell>
          <cell r="J471">
            <v>2</v>
          </cell>
          <cell r="K471" t="str">
            <v>Sales Executive</v>
          </cell>
          <cell r="L471">
            <v>3</v>
          </cell>
          <cell r="M471" t="str">
            <v>Married</v>
          </cell>
          <cell r="N471">
            <v>4707</v>
          </cell>
          <cell r="O471">
            <v>8</v>
          </cell>
          <cell r="P471" t="str">
            <v>No</v>
          </cell>
          <cell r="Q471">
            <v>4</v>
          </cell>
          <cell r="R471">
            <v>6</v>
          </cell>
          <cell r="S471">
            <v>3</v>
          </cell>
          <cell r="T471">
            <v>4</v>
          </cell>
          <cell r="U471">
            <v>2</v>
          </cell>
          <cell r="V471">
            <v>1</v>
          </cell>
          <cell r="W471">
            <v>2</v>
          </cell>
          <cell r="X471">
            <v>12</v>
          </cell>
          <cell r="Y471">
            <v>1</v>
          </cell>
          <cell r="Z471" t="str">
            <v>Mid</v>
          </cell>
          <cell r="AA471" t="str">
            <v>Low</v>
          </cell>
          <cell r="AB471" t="str">
            <v>Mid</v>
          </cell>
          <cell r="AC471" t="str">
            <v>Low</v>
          </cell>
          <cell r="AD471">
            <v>631</v>
          </cell>
        </row>
        <row r="472">
          <cell r="A472">
            <v>24</v>
          </cell>
          <cell r="B472" t="str">
            <v>No</v>
          </cell>
          <cell r="C472" t="str">
            <v>Sales</v>
          </cell>
          <cell r="D472">
            <v>24</v>
          </cell>
          <cell r="E472">
            <v>3</v>
          </cell>
          <cell r="F472" t="str">
            <v>Medical</v>
          </cell>
          <cell r="G472">
            <v>4</v>
          </cell>
          <cell r="H472" t="str">
            <v>Male</v>
          </cell>
          <cell r="I472">
            <v>3</v>
          </cell>
          <cell r="J472">
            <v>1</v>
          </cell>
          <cell r="K472" t="str">
            <v>Sales Representative</v>
          </cell>
          <cell r="L472">
            <v>4</v>
          </cell>
          <cell r="M472" t="str">
            <v>Married</v>
          </cell>
          <cell r="N472">
            <v>2400</v>
          </cell>
          <cell r="O472">
            <v>0</v>
          </cell>
          <cell r="P472" t="str">
            <v>No</v>
          </cell>
          <cell r="Q472">
            <v>3</v>
          </cell>
          <cell r="R472">
            <v>3</v>
          </cell>
          <cell r="S472">
            <v>3</v>
          </cell>
          <cell r="T472">
            <v>2</v>
          </cell>
          <cell r="U472">
            <v>2</v>
          </cell>
          <cell r="V472">
            <v>2</v>
          </cell>
          <cell r="W472">
            <v>1</v>
          </cell>
          <cell r="X472">
            <v>13</v>
          </cell>
          <cell r="Y472">
            <v>0</v>
          </cell>
          <cell r="Z472" t="str">
            <v>Young</v>
          </cell>
          <cell r="AA472" t="str">
            <v>Low</v>
          </cell>
          <cell r="AB472" t="str">
            <v>Early</v>
          </cell>
          <cell r="AC472" t="str">
            <v>Medium</v>
          </cell>
          <cell r="AD472">
            <v>632</v>
          </cell>
        </row>
        <row r="473">
          <cell r="A473">
            <v>38</v>
          </cell>
          <cell r="B473" t="str">
            <v>No</v>
          </cell>
          <cell r="C473" t="str">
            <v>Research &amp; Development</v>
          </cell>
          <cell r="D473">
            <v>10</v>
          </cell>
          <cell r="E473">
            <v>3</v>
          </cell>
          <cell r="F473" t="str">
            <v>Medical</v>
          </cell>
          <cell r="G473">
            <v>3</v>
          </cell>
          <cell r="H473" t="str">
            <v>Female</v>
          </cell>
          <cell r="I473">
            <v>3</v>
          </cell>
          <cell r="J473">
            <v>2</v>
          </cell>
          <cell r="K473" t="str">
            <v>Healthcare Representative</v>
          </cell>
          <cell r="L473">
            <v>3</v>
          </cell>
          <cell r="M473" t="str">
            <v>Married</v>
          </cell>
          <cell r="N473">
            <v>9824</v>
          </cell>
          <cell r="O473">
            <v>3</v>
          </cell>
          <cell r="P473" t="str">
            <v>No</v>
          </cell>
          <cell r="Q473">
            <v>3</v>
          </cell>
          <cell r="R473">
            <v>18</v>
          </cell>
          <cell r="S473">
            <v>3</v>
          </cell>
          <cell r="T473">
            <v>1</v>
          </cell>
          <cell r="U473">
            <v>0</v>
          </cell>
          <cell r="V473">
            <v>0</v>
          </cell>
          <cell r="W473">
            <v>0</v>
          </cell>
          <cell r="X473">
            <v>19</v>
          </cell>
          <cell r="Y473">
            <v>0</v>
          </cell>
          <cell r="Z473" t="str">
            <v>Mid</v>
          </cell>
          <cell r="AA473" t="str">
            <v>Medium</v>
          </cell>
          <cell r="AB473" t="str">
            <v>Early</v>
          </cell>
          <cell r="AC473" t="str">
            <v>High</v>
          </cell>
          <cell r="AD473">
            <v>634</v>
          </cell>
        </row>
        <row r="474">
          <cell r="A474">
            <v>37</v>
          </cell>
          <cell r="B474" t="str">
            <v>No</v>
          </cell>
          <cell r="C474" t="str">
            <v>Research &amp; Development</v>
          </cell>
          <cell r="D474">
            <v>1</v>
          </cell>
          <cell r="E474">
            <v>4</v>
          </cell>
          <cell r="F474" t="str">
            <v>Life Sciences</v>
          </cell>
          <cell r="G474">
            <v>2</v>
          </cell>
          <cell r="H474" t="str">
            <v>Female</v>
          </cell>
          <cell r="I474">
            <v>3</v>
          </cell>
          <cell r="J474">
            <v>2</v>
          </cell>
          <cell r="K474" t="str">
            <v>Manufacturing Director</v>
          </cell>
          <cell r="L474">
            <v>2</v>
          </cell>
          <cell r="M474" t="str">
            <v>Married</v>
          </cell>
          <cell r="N474">
            <v>6447</v>
          </cell>
          <cell r="O474">
            <v>6</v>
          </cell>
          <cell r="P474" t="str">
            <v>No</v>
          </cell>
          <cell r="Q474">
            <v>2</v>
          </cell>
          <cell r="R474">
            <v>8</v>
          </cell>
          <cell r="S474">
            <v>2</v>
          </cell>
          <cell r="T474">
            <v>6</v>
          </cell>
          <cell r="U474">
            <v>5</v>
          </cell>
          <cell r="V474">
            <v>4</v>
          </cell>
          <cell r="W474">
            <v>3</v>
          </cell>
          <cell r="X474">
            <v>12</v>
          </cell>
          <cell r="Y474">
            <v>0</v>
          </cell>
          <cell r="Z474" t="str">
            <v>Mid</v>
          </cell>
          <cell r="AA474" t="str">
            <v>Medium</v>
          </cell>
          <cell r="AB474" t="str">
            <v>Mid</v>
          </cell>
          <cell r="AC474" t="str">
            <v>Low</v>
          </cell>
          <cell r="AD474">
            <v>635</v>
          </cell>
        </row>
        <row r="475">
          <cell r="A475">
            <v>49</v>
          </cell>
          <cell r="B475" t="str">
            <v>No</v>
          </cell>
          <cell r="C475" t="str">
            <v>Research &amp; Development</v>
          </cell>
          <cell r="D475">
            <v>18</v>
          </cell>
          <cell r="E475">
            <v>4</v>
          </cell>
          <cell r="F475" t="str">
            <v>Life Sciences</v>
          </cell>
          <cell r="G475">
            <v>4</v>
          </cell>
          <cell r="H475" t="str">
            <v>Male</v>
          </cell>
          <cell r="I475">
            <v>2</v>
          </cell>
          <cell r="J475">
            <v>5</v>
          </cell>
          <cell r="K475" t="str">
            <v>Research Director</v>
          </cell>
          <cell r="L475">
            <v>3</v>
          </cell>
          <cell r="M475" t="str">
            <v>Divorced</v>
          </cell>
          <cell r="N475">
            <v>19502</v>
          </cell>
          <cell r="O475">
            <v>1</v>
          </cell>
          <cell r="P475" t="str">
            <v>Yes</v>
          </cell>
          <cell r="Q475">
            <v>3</v>
          </cell>
          <cell r="R475">
            <v>31</v>
          </cell>
          <cell r="S475">
            <v>3</v>
          </cell>
          <cell r="T475">
            <v>31</v>
          </cell>
          <cell r="U475">
            <v>9</v>
          </cell>
          <cell r="V475">
            <v>0</v>
          </cell>
          <cell r="W475">
            <v>9</v>
          </cell>
          <cell r="X475">
            <v>17</v>
          </cell>
          <cell r="Y475">
            <v>0</v>
          </cell>
          <cell r="Z475" t="str">
            <v>Senior</v>
          </cell>
          <cell r="AA475" t="str">
            <v>High</v>
          </cell>
          <cell r="AB475" t="str">
            <v>Long</v>
          </cell>
          <cell r="AC475" t="str">
            <v>Medium</v>
          </cell>
          <cell r="AD475">
            <v>638</v>
          </cell>
        </row>
        <row r="476">
          <cell r="A476">
            <v>24</v>
          </cell>
          <cell r="B476" t="str">
            <v>No</v>
          </cell>
          <cell r="C476" t="str">
            <v>Research &amp; Development</v>
          </cell>
          <cell r="D476">
            <v>23</v>
          </cell>
          <cell r="E476">
            <v>3</v>
          </cell>
          <cell r="F476" t="str">
            <v>Medical</v>
          </cell>
          <cell r="G476">
            <v>2</v>
          </cell>
          <cell r="H476" t="str">
            <v>Male</v>
          </cell>
          <cell r="I476">
            <v>4</v>
          </cell>
          <cell r="J476">
            <v>1</v>
          </cell>
          <cell r="K476" t="str">
            <v>Research Scientist</v>
          </cell>
          <cell r="L476">
            <v>4</v>
          </cell>
          <cell r="M476" t="str">
            <v>Married</v>
          </cell>
          <cell r="N476">
            <v>2725</v>
          </cell>
          <cell r="O476">
            <v>1</v>
          </cell>
          <cell r="P476" t="str">
            <v>Yes</v>
          </cell>
          <cell r="Q476">
            <v>2</v>
          </cell>
          <cell r="R476">
            <v>6</v>
          </cell>
          <cell r="S476">
            <v>3</v>
          </cell>
          <cell r="T476">
            <v>6</v>
          </cell>
          <cell r="U476">
            <v>5</v>
          </cell>
          <cell r="V476">
            <v>1</v>
          </cell>
          <cell r="W476">
            <v>4</v>
          </cell>
          <cell r="X476">
            <v>11</v>
          </cell>
          <cell r="Y476">
            <v>0</v>
          </cell>
          <cell r="Z476" t="str">
            <v>Young</v>
          </cell>
          <cell r="AA476" t="str">
            <v>Low</v>
          </cell>
          <cell r="AB476" t="str">
            <v>Mid</v>
          </cell>
          <cell r="AC476" t="str">
            <v>Low</v>
          </cell>
          <cell r="AD476">
            <v>639</v>
          </cell>
        </row>
        <row r="477">
          <cell r="A477">
            <v>26</v>
          </cell>
          <cell r="B477" t="str">
            <v>No</v>
          </cell>
          <cell r="C477" t="str">
            <v>Sales</v>
          </cell>
          <cell r="D477">
            <v>28</v>
          </cell>
          <cell r="E477">
            <v>2</v>
          </cell>
          <cell r="F477" t="str">
            <v>Marketing</v>
          </cell>
          <cell r="G477">
            <v>1</v>
          </cell>
          <cell r="H477" t="str">
            <v>Male</v>
          </cell>
          <cell r="I477">
            <v>3</v>
          </cell>
          <cell r="J477">
            <v>2</v>
          </cell>
          <cell r="K477" t="str">
            <v>Sales Executive</v>
          </cell>
          <cell r="L477">
            <v>2</v>
          </cell>
          <cell r="M477" t="str">
            <v>Married</v>
          </cell>
          <cell r="N477">
            <v>6272</v>
          </cell>
          <cell r="O477">
            <v>1</v>
          </cell>
          <cell r="P477" t="str">
            <v>No</v>
          </cell>
          <cell r="Q477">
            <v>4</v>
          </cell>
          <cell r="R477">
            <v>6</v>
          </cell>
          <cell r="S477">
            <v>4</v>
          </cell>
          <cell r="T477">
            <v>5</v>
          </cell>
          <cell r="U477">
            <v>3</v>
          </cell>
          <cell r="V477">
            <v>1</v>
          </cell>
          <cell r="W477">
            <v>4</v>
          </cell>
          <cell r="X477">
            <v>20</v>
          </cell>
          <cell r="Y477">
            <v>0</v>
          </cell>
          <cell r="Z477" t="str">
            <v>Young</v>
          </cell>
          <cell r="AA477" t="str">
            <v>Medium</v>
          </cell>
          <cell r="AB477" t="str">
            <v>Mid</v>
          </cell>
          <cell r="AC477" t="str">
            <v>High</v>
          </cell>
          <cell r="AD477">
            <v>641</v>
          </cell>
        </row>
        <row r="478">
          <cell r="A478">
            <v>24</v>
          </cell>
          <cell r="B478" t="str">
            <v>No</v>
          </cell>
          <cell r="C478" t="str">
            <v>Research &amp; Development</v>
          </cell>
          <cell r="D478">
            <v>17</v>
          </cell>
          <cell r="E478">
            <v>2</v>
          </cell>
          <cell r="F478" t="str">
            <v>Other</v>
          </cell>
          <cell r="G478">
            <v>4</v>
          </cell>
          <cell r="H478" t="str">
            <v>Male</v>
          </cell>
          <cell r="I478">
            <v>2</v>
          </cell>
          <cell r="J478">
            <v>1</v>
          </cell>
          <cell r="K478" t="str">
            <v>Laboratory Technician</v>
          </cell>
          <cell r="L478">
            <v>2</v>
          </cell>
          <cell r="M478" t="str">
            <v>Married</v>
          </cell>
          <cell r="N478">
            <v>2127</v>
          </cell>
          <cell r="O478">
            <v>1</v>
          </cell>
          <cell r="P478" t="str">
            <v>No</v>
          </cell>
          <cell r="Q478">
            <v>4</v>
          </cell>
          <cell r="R478">
            <v>1</v>
          </cell>
          <cell r="S478">
            <v>3</v>
          </cell>
          <cell r="T478">
            <v>1</v>
          </cell>
          <cell r="U478">
            <v>0</v>
          </cell>
          <cell r="V478">
            <v>0</v>
          </cell>
          <cell r="W478">
            <v>0</v>
          </cell>
          <cell r="X478">
            <v>21</v>
          </cell>
          <cell r="Y478">
            <v>0</v>
          </cell>
          <cell r="Z478" t="str">
            <v>Young</v>
          </cell>
          <cell r="AA478" t="str">
            <v>Low</v>
          </cell>
          <cell r="AB478" t="str">
            <v>Early</v>
          </cell>
          <cell r="AC478" t="str">
            <v>High</v>
          </cell>
          <cell r="AD478">
            <v>643</v>
          </cell>
        </row>
        <row r="479">
          <cell r="A479">
            <v>50</v>
          </cell>
          <cell r="B479" t="str">
            <v>No</v>
          </cell>
          <cell r="C479" t="str">
            <v>Human Resources</v>
          </cell>
          <cell r="D479">
            <v>3</v>
          </cell>
          <cell r="E479">
            <v>3</v>
          </cell>
          <cell r="F479" t="str">
            <v>Medical</v>
          </cell>
          <cell r="G479">
            <v>1</v>
          </cell>
          <cell r="H479" t="str">
            <v>Male</v>
          </cell>
          <cell r="I479">
            <v>3</v>
          </cell>
          <cell r="J479">
            <v>5</v>
          </cell>
          <cell r="K479" t="str">
            <v>Manager</v>
          </cell>
          <cell r="L479">
            <v>2</v>
          </cell>
          <cell r="M479" t="str">
            <v>Married</v>
          </cell>
          <cell r="N479">
            <v>18200</v>
          </cell>
          <cell r="O479">
            <v>1</v>
          </cell>
          <cell r="P479" t="str">
            <v>No</v>
          </cell>
          <cell r="Q479">
            <v>3</v>
          </cell>
          <cell r="R479">
            <v>32</v>
          </cell>
          <cell r="S479">
            <v>3</v>
          </cell>
          <cell r="T479">
            <v>32</v>
          </cell>
          <cell r="U479">
            <v>5</v>
          </cell>
          <cell r="V479">
            <v>10</v>
          </cell>
          <cell r="W479">
            <v>7</v>
          </cell>
          <cell r="X479">
            <v>11</v>
          </cell>
          <cell r="Y479">
            <v>0</v>
          </cell>
          <cell r="Z479" t="str">
            <v>Senior</v>
          </cell>
          <cell r="AA479" t="str">
            <v>High</v>
          </cell>
          <cell r="AB479" t="str">
            <v>Long</v>
          </cell>
          <cell r="AC479" t="str">
            <v>Low</v>
          </cell>
          <cell r="AD479">
            <v>644</v>
          </cell>
        </row>
        <row r="480">
          <cell r="A480">
            <v>25</v>
          </cell>
          <cell r="B480" t="str">
            <v>No</v>
          </cell>
          <cell r="C480" t="str">
            <v>Sales</v>
          </cell>
          <cell r="D480">
            <v>13</v>
          </cell>
          <cell r="E480">
            <v>1</v>
          </cell>
          <cell r="F480" t="str">
            <v>Medical</v>
          </cell>
          <cell r="G480">
            <v>2</v>
          </cell>
          <cell r="H480" t="str">
            <v>Male</v>
          </cell>
          <cell r="I480">
            <v>3</v>
          </cell>
          <cell r="J480">
            <v>1</v>
          </cell>
          <cell r="K480" t="str">
            <v>Sales Representative</v>
          </cell>
          <cell r="L480">
            <v>3</v>
          </cell>
          <cell r="M480" t="str">
            <v>Married</v>
          </cell>
          <cell r="N480">
            <v>2096</v>
          </cell>
          <cell r="O480">
            <v>1</v>
          </cell>
          <cell r="P480" t="str">
            <v>No</v>
          </cell>
          <cell r="Q480">
            <v>3</v>
          </cell>
          <cell r="R480">
            <v>7</v>
          </cell>
          <cell r="S480">
            <v>3</v>
          </cell>
          <cell r="T480">
            <v>7</v>
          </cell>
          <cell r="U480">
            <v>4</v>
          </cell>
          <cell r="V480">
            <v>0</v>
          </cell>
          <cell r="W480">
            <v>6</v>
          </cell>
          <cell r="X480">
            <v>11</v>
          </cell>
          <cell r="Y480">
            <v>0</v>
          </cell>
          <cell r="Z480" t="str">
            <v>Young</v>
          </cell>
          <cell r="AA480" t="str">
            <v>Low</v>
          </cell>
          <cell r="AB480" t="str">
            <v>Long</v>
          </cell>
          <cell r="AC480" t="str">
            <v>Low</v>
          </cell>
          <cell r="AD480">
            <v>645</v>
          </cell>
        </row>
        <row r="481">
          <cell r="A481">
            <v>24</v>
          </cell>
          <cell r="B481" t="str">
            <v>Yes</v>
          </cell>
          <cell r="C481" t="str">
            <v>Research &amp; Development</v>
          </cell>
          <cell r="D481">
            <v>7</v>
          </cell>
          <cell r="E481">
            <v>3</v>
          </cell>
          <cell r="F481" t="str">
            <v>Life Sciences</v>
          </cell>
          <cell r="G481">
            <v>1</v>
          </cell>
          <cell r="H481" t="str">
            <v>Female</v>
          </cell>
          <cell r="I481">
            <v>3</v>
          </cell>
          <cell r="J481">
            <v>1</v>
          </cell>
          <cell r="K481" t="str">
            <v>Laboratory Technician</v>
          </cell>
          <cell r="L481">
            <v>3</v>
          </cell>
          <cell r="M481" t="str">
            <v>Married</v>
          </cell>
          <cell r="N481">
            <v>2886</v>
          </cell>
          <cell r="O481">
            <v>1</v>
          </cell>
          <cell r="P481" t="str">
            <v>Yes</v>
          </cell>
          <cell r="Q481">
            <v>4</v>
          </cell>
          <cell r="R481">
            <v>6</v>
          </cell>
          <cell r="S481">
            <v>3</v>
          </cell>
          <cell r="T481">
            <v>6</v>
          </cell>
          <cell r="U481">
            <v>3</v>
          </cell>
          <cell r="V481">
            <v>1</v>
          </cell>
          <cell r="W481">
            <v>2</v>
          </cell>
          <cell r="X481">
            <v>16</v>
          </cell>
          <cell r="Y481">
            <v>1</v>
          </cell>
          <cell r="Z481" t="str">
            <v>Young</v>
          </cell>
          <cell r="AA481" t="str">
            <v>Low</v>
          </cell>
          <cell r="AB481" t="str">
            <v>Mid</v>
          </cell>
          <cell r="AC481" t="str">
            <v>Medium</v>
          </cell>
          <cell r="AD481">
            <v>647</v>
          </cell>
        </row>
        <row r="482">
          <cell r="A482">
            <v>30</v>
          </cell>
          <cell r="B482" t="str">
            <v>Yes</v>
          </cell>
          <cell r="C482" t="str">
            <v>Sales</v>
          </cell>
          <cell r="D482">
            <v>12</v>
          </cell>
          <cell r="E482">
            <v>4</v>
          </cell>
          <cell r="F482" t="str">
            <v>Life Sciences</v>
          </cell>
          <cell r="G482">
            <v>2</v>
          </cell>
          <cell r="H482" t="str">
            <v>Male</v>
          </cell>
          <cell r="I482">
            <v>2</v>
          </cell>
          <cell r="J482">
            <v>1</v>
          </cell>
          <cell r="K482" t="str">
            <v>Sales Representative</v>
          </cell>
          <cell r="L482">
            <v>1</v>
          </cell>
          <cell r="M482" t="str">
            <v>Married</v>
          </cell>
          <cell r="N482">
            <v>2033</v>
          </cell>
          <cell r="O482">
            <v>1</v>
          </cell>
          <cell r="P482" t="str">
            <v>No</v>
          </cell>
          <cell r="Q482">
            <v>3</v>
          </cell>
          <cell r="R482">
            <v>1</v>
          </cell>
          <cell r="S482">
            <v>4</v>
          </cell>
          <cell r="T482">
            <v>1</v>
          </cell>
          <cell r="U482">
            <v>0</v>
          </cell>
          <cell r="V482">
            <v>0</v>
          </cell>
          <cell r="W482">
            <v>0</v>
          </cell>
          <cell r="X482">
            <v>18</v>
          </cell>
          <cell r="Y482">
            <v>1</v>
          </cell>
          <cell r="Z482" t="str">
            <v>Mid</v>
          </cell>
          <cell r="AA482" t="str">
            <v>Low</v>
          </cell>
          <cell r="AB482" t="str">
            <v>Early</v>
          </cell>
          <cell r="AC482" t="str">
            <v>High</v>
          </cell>
          <cell r="AD482">
            <v>648</v>
          </cell>
        </row>
        <row r="483">
          <cell r="A483">
            <v>34</v>
          </cell>
          <cell r="B483" t="str">
            <v>No</v>
          </cell>
          <cell r="C483" t="str">
            <v>Research &amp; Development</v>
          </cell>
          <cell r="D483">
            <v>1</v>
          </cell>
          <cell r="E483">
            <v>2</v>
          </cell>
          <cell r="F483" t="str">
            <v>Life Sciences</v>
          </cell>
          <cell r="G483">
            <v>2</v>
          </cell>
          <cell r="H483" t="str">
            <v>Male</v>
          </cell>
          <cell r="I483">
            <v>2</v>
          </cell>
          <cell r="J483">
            <v>1</v>
          </cell>
          <cell r="K483" t="str">
            <v>Research Scientist</v>
          </cell>
          <cell r="L483">
            <v>4</v>
          </cell>
          <cell r="M483" t="str">
            <v>Married</v>
          </cell>
          <cell r="N483">
            <v>3622</v>
          </cell>
          <cell r="O483">
            <v>1</v>
          </cell>
          <cell r="P483" t="str">
            <v>Yes</v>
          </cell>
          <cell r="Q483">
            <v>4</v>
          </cell>
          <cell r="R483">
            <v>6</v>
          </cell>
          <cell r="S483">
            <v>3</v>
          </cell>
          <cell r="T483">
            <v>6</v>
          </cell>
          <cell r="U483">
            <v>5</v>
          </cell>
          <cell r="V483">
            <v>1</v>
          </cell>
          <cell r="W483">
            <v>3</v>
          </cell>
          <cell r="X483">
            <v>13</v>
          </cell>
          <cell r="Y483">
            <v>0</v>
          </cell>
          <cell r="Z483" t="str">
            <v>Mid</v>
          </cell>
          <cell r="AA483" t="str">
            <v>Low</v>
          </cell>
          <cell r="AB483" t="str">
            <v>Mid</v>
          </cell>
          <cell r="AC483" t="str">
            <v>Medium</v>
          </cell>
          <cell r="AD483">
            <v>649</v>
          </cell>
        </row>
        <row r="484">
          <cell r="A484">
            <v>31</v>
          </cell>
          <cell r="B484" t="str">
            <v>Yes</v>
          </cell>
          <cell r="C484" t="str">
            <v>Sales</v>
          </cell>
          <cell r="D484">
            <v>13</v>
          </cell>
          <cell r="E484">
            <v>4</v>
          </cell>
          <cell r="F484" t="str">
            <v>Medical</v>
          </cell>
          <cell r="G484">
            <v>2</v>
          </cell>
          <cell r="H484" t="str">
            <v>Male</v>
          </cell>
          <cell r="I484">
            <v>3</v>
          </cell>
          <cell r="J484">
            <v>2</v>
          </cell>
          <cell r="K484" t="str">
            <v>Sales Executive</v>
          </cell>
          <cell r="L484">
            <v>1</v>
          </cell>
          <cell r="M484" t="str">
            <v>Divorced</v>
          </cell>
          <cell r="N484">
            <v>4233</v>
          </cell>
          <cell r="O484">
            <v>2</v>
          </cell>
          <cell r="P484" t="str">
            <v>No</v>
          </cell>
          <cell r="Q484">
            <v>3</v>
          </cell>
          <cell r="R484">
            <v>9</v>
          </cell>
          <cell r="S484">
            <v>1</v>
          </cell>
          <cell r="T484">
            <v>3</v>
          </cell>
          <cell r="U484">
            <v>1</v>
          </cell>
          <cell r="V484">
            <v>1</v>
          </cell>
          <cell r="W484">
            <v>2</v>
          </cell>
          <cell r="X484">
            <v>17</v>
          </cell>
          <cell r="Y484">
            <v>1</v>
          </cell>
          <cell r="Z484" t="str">
            <v>Mid</v>
          </cell>
          <cell r="AA484" t="str">
            <v>Low</v>
          </cell>
          <cell r="AB484" t="str">
            <v>Mid</v>
          </cell>
          <cell r="AC484" t="str">
            <v>Medium</v>
          </cell>
          <cell r="AD484">
            <v>650</v>
          </cell>
        </row>
        <row r="485">
          <cell r="A485">
            <v>35</v>
          </cell>
          <cell r="B485" t="str">
            <v>No</v>
          </cell>
          <cell r="C485" t="str">
            <v>Research &amp; Development</v>
          </cell>
          <cell r="D485">
            <v>25</v>
          </cell>
          <cell r="E485">
            <v>2</v>
          </cell>
          <cell r="F485" t="str">
            <v>Other</v>
          </cell>
          <cell r="G485">
            <v>1</v>
          </cell>
          <cell r="H485" t="str">
            <v>Male</v>
          </cell>
          <cell r="I485">
            <v>2</v>
          </cell>
          <cell r="J485">
            <v>2</v>
          </cell>
          <cell r="K485" t="str">
            <v>Laboratory Technician</v>
          </cell>
          <cell r="L485">
            <v>4</v>
          </cell>
          <cell r="M485" t="str">
            <v>Single</v>
          </cell>
          <cell r="N485">
            <v>3681</v>
          </cell>
          <cell r="O485">
            <v>4</v>
          </cell>
          <cell r="P485" t="str">
            <v>No</v>
          </cell>
          <cell r="Q485">
            <v>4</v>
          </cell>
          <cell r="R485">
            <v>9</v>
          </cell>
          <cell r="S485">
            <v>3</v>
          </cell>
          <cell r="T485">
            <v>3</v>
          </cell>
          <cell r="U485">
            <v>2</v>
          </cell>
          <cell r="V485">
            <v>0</v>
          </cell>
          <cell r="W485">
            <v>2</v>
          </cell>
          <cell r="X485">
            <v>14</v>
          </cell>
          <cell r="Y485">
            <v>0</v>
          </cell>
          <cell r="Z485" t="str">
            <v>Mid</v>
          </cell>
          <cell r="AA485" t="str">
            <v>Low</v>
          </cell>
          <cell r="AB485" t="str">
            <v>Mid</v>
          </cell>
          <cell r="AC485" t="str">
            <v>Medium</v>
          </cell>
          <cell r="AD485">
            <v>652</v>
          </cell>
        </row>
        <row r="486">
          <cell r="A486">
            <v>31</v>
          </cell>
          <cell r="B486" t="str">
            <v>No</v>
          </cell>
          <cell r="C486" t="str">
            <v>Sales</v>
          </cell>
          <cell r="D486">
            <v>6</v>
          </cell>
          <cell r="E486">
            <v>4</v>
          </cell>
          <cell r="F486" t="str">
            <v>Medical</v>
          </cell>
          <cell r="G486">
            <v>1</v>
          </cell>
          <cell r="H486" t="str">
            <v>Male</v>
          </cell>
          <cell r="I486">
            <v>4</v>
          </cell>
          <cell r="J486">
            <v>2</v>
          </cell>
          <cell r="K486" t="str">
            <v>Sales Executive</v>
          </cell>
          <cell r="L486">
            <v>4</v>
          </cell>
          <cell r="M486" t="str">
            <v>Divorced</v>
          </cell>
          <cell r="N486">
            <v>5460</v>
          </cell>
          <cell r="O486">
            <v>4</v>
          </cell>
          <cell r="P486" t="str">
            <v>No</v>
          </cell>
          <cell r="Q486">
            <v>4</v>
          </cell>
          <cell r="R486">
            <v>13</v>
          </cell>
          <cell r="S486">
            <v>4</v>
          </cell>
          <cell r="T486">
            <v>7</v>
          </cell>
          <cell r="U486">
            <v>7</v>
          </cell>
          <cell r="V486">
            <v>5</v>
          </cell>
          <cell r="W486">
            <v>7</v>
          </cell>
          <cell r="X486">
            <v>22</v>
          </cell>
          <cell r="Y486">
            <v>0</v>
          </cell>
          <cell r="Z486" t="str">
            <v>Mid</v>
          </cell>
          <cell r="AA486" t="str">
            <v>Medium</v>
          </cell>
          <cell r="AB486" t="str">
            <v>Long</v>
          </cell>
          <cell r="AC486" t="str">
            <v>High</v>
          </cell>
          <cell r="AD486">
            <v>653</v>
          </cell>
        </row>
        <row r="487">
          <cell r="A487">
            <v>27</v>
          </cell>
          <cell r="B487" t="str">
            <v>No</v>
          </cell>
          <cell r="C487" t="str">
            <v>Research &amp; Development</v>
          </cell>
          <cell r="D487">
            <v>6</v>
          </cell>
          <cell r="E487">
            <v>4</v>
          </cell>
          <cell r="F487" t="str">
            <v>Medical</v>
          </cell>
          <cell r="G487">
            <v>1</v>
          </cell>
          <cell r="H487" t="str">
            <v>Female</v>
          </cell>
          <cell r="I487">
            <v>2</v>
          </cell>
          <cell r="J487">
            <v>1</v>
          </cell>
          <cell r="K487" t="str">
            <v>Research Scientist</v>
          </cell>
          <cell r="L487">
            <v>3</v>
          </cell>
          <cell r="M487" t="str">
            <v>Divorced</v>
          </cell>
          <cell r="N487">
            <v>2187</v>
          </cell>
          <cell r="O487">
            <v>0</v>
          </cell>
          <cell r="P487" t="str">
            <v>No</v>
          </cell>
          <cell r="Q487">
            <v>3</v>
          </cell>
          <cell r="R487">
            <v>6</v>
          </cell>
          <cell r="S487">
            <v>2</v>
          </cell>
          <cell r="T487">
            <v>5</v>
          </cell>
          <cell r="U487">
            <v>3</v>
          </cell>
          <cell r="V487">
            <v>0</v>
          </cell>
          <cell r="W487">
            <v>3</v>
          </cell>
          <cell r="X487">
            <v>12</v>
          </cell>
          <cell r="Y487">
            <v>0</v>
          </cell>
          <cell r="Z487" t="str">
            <v>Young</v>
          </cell>
          <cell r="AA487" t="str">
            <v>Low</v>
          </cell>
          <cell r="AB487" t="str">
            <v>Mid</v>
          </cell>
          <cell r="AC487" t="str">
            <v>Low</v>
          </cell>
          <cell r="AD487">
            <v>655</v>
          </cell>
        </row>
        <row r="488">
          <cell r="A488">
            <v>37</v>
          </cell>
          <cell r="B488" t="str">
            <v>No</v>
          </cell>
          <cell r="C488" t="str">
            <v>Sales</v>
          </cell>
          <cell r="D488">
            <v>2</v>
          </cell>
          <cell r="E488">
            <v>3</v>
          </cell>
          <cell r="F488" t="str">
            <v>Marketing</v>
          </cell>
          <cell r="G488">
            <v>4</v>
          </cell>
          <cell r="H488" t="str">
            <v>Male</v>
          </cell>
          <cell r="I488">
            <v>3</v>
          </cell>
          <cell r="J488">
            <v>2</v>
          </cell>
          <cell r="K488" t="str">
            <v>Sales Executive</v>
          </cell>
          <cell r="L488">
            <v>3</v>
          </cell>
          <cell r="M488" t="str">
            <v>Married</v>
          </cell>
          <cell r="N488">
            <v>9602</v>
          </cell>
          <cell r="O488">
            <v>4</v>
          </cell>
          <cell r="P488" t="str">
            <v>Yes</v>
          </cell>
          <cell r="Q488">
            <v>3</v>
          </cell>
          <cell r="R488">
            <v>17</v>
          </cell>
          <cell r="S488">
            <v>2</v>
          </cell>
          <cell r="T488">
            <v>3</v>
          </cell>
          <cell r="U488">
            <v>0</v>
          </cell>
          <cell r="V488">
            <v>1</v>
          </cell>
          <cell r="W488">
            <v>0</v>
          </cell>
          <cell r="X488">
            <v>11</v>
          </cell>
          <cell r="Y488">
            <v>0</v>
          </cell>
          <cell r="Z488" t="str">
            <v>Mid</v>
          </cell>
          <cell r="AA488" t="str">
            <v>Medium</v>
          </cell>
          <cell r="AB488" t="str">
            <v>Mid</v>
          </cell>
          <cell r="AC488" t="str">
            <v>Low</v>
          </cell>
          <cell r="AD488">
            <v>656</v>
          </cell>
        </row>
        <row r="489">
          <cell r="A489">
            <v>20</v>
          </cell>
          <cell r="B489" t="str">
            <v>No</v>
          </cell>
          <cell r="C489" t="str">
            <v>Research &amp; Development</v>
          </cell>
          <cell r="D489">
            <v>1</v>
          </cell>
          <cell r="E489">
            <v>3</v>
          </cell>
          <cell r="F489" t="str">
            <v>Life Sciences</v>
          </cell>
          <cell r="G489">
            <v>4</v>
          </cell>
          <cell r="H489" t="str">
            <v>Female</v>
          </cell>
          <cell r="I489">
            <v>2</v>
          </cell>
          <cell r="J489">
            <v>1</v>
          </cell>
          <cell r="K489" t="str">
            <v>Research Scientist</v>
          </cell>
          <cell r="L489">
            <v>2</v>
          </cell>
          <cell r="M489" t="str">
            <v>Single</v>
          </cell>
          <cell r="N489">
            <v>2836</v>
          </cell>
          <cell r="O489">
            <v>1</v>
          </cell>
          <cell r="P489" t="str">
            <v>No</v>
          </cell>
          <cell r="Q489">
            <v>4</v>
          </cell>
          <cell r="R489">
            <v>1</v>
          </cell>
          <cell r="S489">
            <v>4</v>
          </cell>
          <cell r="T489">
            <v>1</v>
          </cell>
          <cell r="U489">
            <v>0</v>
          </cell>
          <cell r="V489">
            <v>0</v>
          </cell>
          <cell r="W489">
            <v>0</v>
          </cell>
          <cell r="X489">
            <v>13</v>
          </cell>
          <cell r="Y489">
            <v>0</v>
          </cell>
          <cell r="Z489" t="str">
            <v>Young</v>
          </cell>
          <cell r="AA489" t="str">
            <v>Low</v>
          </cell>
          <cell r="AB489" t="str">
            <v>Early</v>
          </cell>
          <cell r="AC489" t="str">
            <v>Medium</v>
          </cell>
          <cell r="AD489">
            <v>657</v>
          </cell>
        </row>
        <row r="490">
          <cell r="A490">
            <v>42</v>
          </cell>
          <cell r="B490" t="str">
            <v>No</v>
          </cell>
          <cell r="C490" t="str">
            <v>Research &amp; Development</v>
          </cell>
          <cell r="D490">
            <v>2</v>
          </cell>
          <cell r="E490">
            <v>4</v>
          </cell>
          <cell r="F490" t="str">
            <v>Life Sciences</v>
          </cell>
          <cell r="G490">
            <v>3</v>
          </cell>
          <cell r="H490" t="str">
            <v>Female</v>
          </cell>
          <cell r="I490">
            <v>3</v>
          </cell>
          <cell r="J490">
            <v>2</v>
          </cell>
          <cell r="K490" t="str">
            <v>Healthcare Representative</v>
          </cell>
          <cell r="L490">
            <v>4</v>
          </cell>
          <cell r="M490" t="str">
            <v>Married</v>
          </cell>
          <cell r="N490">
            <v>4089</v>
          </cell>
          <cell r="O490">
            <v>1</v>
          </cell>
          <cell r="P490" t="str">
            <v>No</v>
          </cell>
          <cell r="Q490">
            <v>2</v>
          </cell>
          <cell r="R490">
            <v>10</v>
          </cell>
          <cell r="S490">
            <v>3</v>
          </cell>
          <cell r="T490">
            <v>10</v>
          </cell>
          <cell r="U490">
            <v>2</v>
          </cell>
          <cell r="V490">
            <v>2</v>
          </cell>
          <cell r="W490">
            <v>2</v>
          </cell>
          <cell r="X490">
            <v>13</v>
          </cell>
          <cell r="Y490">
            <v>0</v>
          </cell>
          <cell r="Z490" t="str">
            <v>Mid</v>
          </cell>
          <cell r="AA490" t="str">
            <v>Low</v>
          </cell>
          <cell r="AB490" t="str">
            <v>Long</v>
          </cell>
          <cell r="AC490" t="str">
            <v>Medium</v>
          </cell>
          <cell r="AD490">
            <v>659</v>
          </cell>
        </row>
        <row r="491">
          <cell r="A491">
            <v>43</v>
          </cell>
          <cell r="B491" t="str">
            <v>No</v>
          </cell>
          <cell r="C491" t="str">
            <v>Research &amp; Development</v>
          </cell>
          <cell r="D491">
            <v>6</v>
          </cell>
          <cell r="E491">
            <v>4</v>
          </cell>
          <cell r="F491" t="str">
            <v>Other</v>
          </cell>
          <cell r="G491">
            <v>2</v>
          </cell>
          <cell r="H491" t="str">
            <v>Male</v>
          </cell>
          <cell r="I491">
            <v>2</v>
          </cell>
          <cell r="J491">
            <v>4</v>
          </cell>
          <cell r="K491" t="str">
            <v>Research Director</v>
          </cell>
          <cell r="L491">
            <v>4</v>
          </cell>
          <cell r="M491" t="str">
            <v>Divorced</v>
          </cell>
          <cell r="N491">
            <v>16627</v>
          </cell>
          <cell r="O491">
            <v>4</v>
          </cell>
          <cell r="P491" t="str">
            <v>Yes</v>
          </cell>
          <cell r="Q491">
            <v>3</v>
          </cell>
          <cell r="R491">
            <v>21</v>
          </cell>
          <cell r="S491">
            <v>2</v>
          </cell>
          <cell r="T491">
            <v>1</v>
          </cell>
          <cell r="U491">
            <v>0</v>
          </cell>
          <cell r="V491">
            <v>0</v>
          </cell>
          <cell r="W491">
            <v>0</v>
          </cell>
          <cell r="X491">
            <v>14</v>
          </cell>
          <cell r="Y491">
            <v>0</v>
          </cell>
          <cell r="Z491" t="str">
            <v>Mid</v>
          </cell>
          <cell r="AA491" t="str">
            <v>High</v>
          </cell>
          <cell r="AB491" t="str">
            <v>Early</v>
          </cell>
          <cell r="AC491" t="str">
            <v>Medium</v>
          </cell>
          <cell r="AD491">
            <v>661</v>
          </cell>
        </row>
        <row r="492">
          <cell r="A492">
            <v>38</v>
          </cell>
          <cell r="B492" t="str">
            <v>No</v>
          </cell>
          <cell r="C492" t="str">
            <v>Research &amp; Development</v>
          </cell>
          <cell r="D492">
            <v>1</v>
          </cell>
          <cell r="E492">
            <v>1</v>
          </cell>
          <cell r="F492" t="str">
            <v>Life Sciences</v>
          </cell>
          <cell r="G492">
            <v>3</v>
          </cell>
          <cell r="H492" t="str">
            <v>Female</v>
          </cell>
          <cell r="I492">
            <v>3</v>
          </cell>
          <cell r="J492">
            <v>1</v>
          </cell>
          <cell r="K492" t="str">
            <v>Research Scientist</v>
          </cell>
          <cell r="L492">
            <v>1</v>
          </cell>
          <cell r="M492" t="str">
            <v>Single</v>
          </cell>
          <cell r="N492">
            <v>2619</v>
          </cell>
          <cell r="O492">
            <v>3</v>
          </cell>
          <cell r="P492" t="str">
            <v>No</v>
          </cell>
          <cell r="Q492">
            <v>4</v>
          </cell>
          <cell r="R492">
            <v>8</v>
          </cell>
          <cell r="S492">
            <v>2</v>
          </cell>
          <cell r="T492">
            <v>0</v>
          </cell>
          <cell r="U492">
            <v>0</v>
          </cell>
          <cell r="V492">
            <v>0</v>
          </cell>
          <cell r="W492">
            <v>0</v>
          </cell>
          <cell r="X492">
            <v>17</v>
          </cell>
          <cell r="Y492">
            <v>0</v>
          </cell>
          <cell r="Z492" t="str">
            <v>Mid</v>
          </cell>
          <cell r="AA492" t="str">
            <v>Low</v>
          </cell>
          <cell r="AB492" t="str">
            <v>Early</v>
          </cell>
          <cell r="AC492" t="str">
            <v>Medium</v>
          </cell>
          <cell r="AD492">
            <v>662</v>
          </cell>
        </row>
        <row r="493">
          <cell r="A493">
            <v>43</v>
          </cell>
          <cell r="B493" t="str">
            <v>No</v>
          </cell>
          <cell r="C493" t="str">
            <v>Research &amp; Development</v>
          </cell>
          <cell r="D493">
            <v>9</v>
          </cell>
          <cell r="E493">
            <v>5</v>
          </cell>
          <cell r="F493" t="str">
            <v>Medical</v>
          </cell>
          <cell r="G493">
            <v>4</v>
          </cell>
          <cell r="H493" t="str">
            <v>Male</v>
          </cell>
          <cell r="I493">
            <v>3</v>
          </cell>
          <cell r="J493">
            <v>2</v>
          </cell>
          <cell r="K493" t="str">
            <v>Laboratory Technician</v>
          </cell>
          <cell r="L493">
            <v>3</v>
          </cell>
          <cell r="M493" t="str">
            <v>Divorced</v>
          </cell>
          <cell r="N493">
            <v>5679</v>
          </cell>
          <cell r="O493">
            <v>3</v>
          </cell>
          <cell r="P493" t="str">
            <v>Yes</v>
          </cell>
          <cell r="Q493">
            <v>2</v>
          </cell>
          <cell r="R493">
            <v>10</v>
          </cell>
          <cell r="S493">
            <v>3</v>
          </cell>
          <cell r="T493">
            <v>8</v>
          </cell>
          <cell r="U493">
            <v>7</v>
          </cell>
          <cell r="V493">
            <v>4</v>
          </cell>
          <cell r="W493">
            <v>7</v>
          </cell>
          <cell r="X493">
            <v>13</v>
          </cell>
          <cell r="Y493">
            <v>0</v>
          </cell>
          <cell r="Z493" t="str">
            <v>Mid</v>
          </cell>
          <cell r="AA493" t="str">
            <v>Medium</v>
          </cell>
          <cell r="AB493" t="str">
            <v>Long</v>
          </cell>
          <cell r="AC493" t="str">
            <v>Medium</v>
          </cell>
          <cell r="AD493">
            <v>663</v>
          </cell>
        </row>
        <row r="494">
          <cell r="A494">
            <v>48</v>
          </cell>
          <cell r="B494" t="str">
            <v>No</v>
          </cell>
          <cell r="C494" t="str">
            <v>Research &amp; Development</v>
          </cell>
          <cell r="D494">
            <v>1</v>
          </cell>
          <cell r="E494">
            <v>4</v>
          </cell>
          <cell r="F494" t="str">
            <v>Life Sciences</v>
          </cell>
          <cell r="G494">
            <v>4</v>
          </cell>
          <cell r="H494" t="str">
            <v>Female</v>
          </cell>
          <cell r="I494">
            <v>2</v>
          </cell>
          <cell r="J494">
            <v>4</v>
          </cell>
          <cell r="K494" t="str">
            <v>Manager</v>
          </cell>
          <cell r="L494">
            <v>1</v>
          </cell>
          <cell r="M494" t="str">
            <v>Married</v>
          </cell>
          <cell r="N494">
            <v>15402</v>
          </cell>
          <cell r="O494">
            <v>7</v>
          </cell>
          <cell r="P494" t="str">
            <v>No</v>
          </cell>
          <cell r="Q494">
            <v>1</v>
          </cell>
          <cell r="R494">
            <v>21</v>
          </cell>
          <cell r="S494">
            <v>1</v>
          </cell>
          <cell r="T494">
            <v>3</v>
          </cell>
          <cell r="U494">
            <v>2</v>
          </cell>
          <cell r="V494">
            <v>0</v>
          </cell>
          <cell r="W494">
            <v>2</v>
          </cell>
          <cell r="X494">
            <v>11</v>
          </cell>
          <cell r="Y494">
            <v>0</v>
          </cell>
          <cell r="Z494" t="str">
            <v>Senior</v>
          </cell>
          <cell r="AA494" t="str">
            <v>High</v>
          </cell>
          <cell r="AB494" t="str">
            <v>Mid</v>
          </cell>
          <cell r="AC494" t="str">
            <v>Low</v>
          </cell>
          <cell r="AD494">
            <v>664</v>
          </cell>
        </row>
        <row r="495">
          <cell r="A495">
            <v>44</v>
          </cell>
          <cell r="B495" t="str">
            <v>No</v>
          </cell>
          <cell r="C495" t="str">
            <v>Human Resources</v>
          </cell>
          <cell r="D495">
            <v>1</v>
          </cell>
          <cell r="E495">
            <v>4</v>
          </cell>
          <cell r="F495" t="str">
            <v>Life Sciences</v>
          </cell>
          <cell r="G495">
            <v>1</v>
          </cell>
          <cell r="H495" t="str">
            <v>Female</v>
          </cell>
          <cell r="I495">
            <v>2</v>
          </cell>
          <cell r="J495">
            <v>2</v>
          </cell>
          <cell r="K495" t="str">
            <v>Human Resources</v>
          </cell>
          <cell r="L495">
            <v>3</v>
          </cell>
          <cell r="M495" t="str">
            <v>Single</v>
          </cell>
          <cell r="N495">
            <v>5985</v>
          </cell>
          <cell r="O495">
            <v>4</v>
          </cell>
          <cell r="P495" t="str">
            <v>No</v>
          </cell>
          <cell r="Q495">
            <v>2</v>
          </cell>
          <cell r="R495">
            <v>10</v>
          </cell>
          <cell r="S495">
            <v>4</v>
          </cell>
          <cell r="T495">
            <v>2</v>
          </cell>
          <cell r="U495">
            <v>2</v>
          </cell>
          <cell r="V495">
            <v>0</v>
          </cell>
          <cell r="W495">
            <v>2</v>
          </cell>
          <cell r="X495">
            <v>11</v>
          </cell>
          <cell r="Y495">
            <v>0</v>
          </cell>
          <cell r="Z495" t="str">
            <v>Mid</v>
          </cell>
          <cell r="AA495" t="str">
            <v>Medium</v>
          </cell>
          <cell r="AB495" t="str">
            <v>Early</v>
          </cell>
          <cell r="AC495" t="str">
            <v>Low</v>
          </cell>
          <cell r="AD495">
            <v>665</v>
          </cell>
        </row>
        <row r="496">
          <cell r="A496">
            <v>34</v>
          </cell>
          <cell r="B496" t="str">
            <v>No</v>
          </cell>
          <cell r="C496" t="str">
            <v>Sales</v>
          </cell>
          <cell r="D496">
            <v>14</v>
          </cell>
          <cell r="E496">
            <v>3</v>
          </cell>
          <cell r="F496" t="str">
            <v>Technical Degree</v>
          </cell>
          <cell r="G496">
            <v>3</v>
          </cell>
          <cell r="H496" t="str">
            <v>Female</v>
          </cell>
          <cell r="I496">
            <v>3</v>
          </cell>
          <cell r="J496">
            <v>1</v>
          </cell>
          <cell r="K496" t="str">
            <v>Sales Representative</v>
          </cell>
          <cell r="L496">
            <v>3</v>
          </cell>
          <cell r="M496" t="str">
            <v>Divorced</v>
          </cell>
          <cell r="N496">
            <v>2579</v>
          </cell>
          <cell r="O496">
            <v>1</v>
          </cell>
          <cell r="P496" t="str">
            <v>Yes</v>
          </cell>
          <cell r="Q496">
            <v>4</v>
          </cell>
          <cell r="R496">
            <v>8</v>
          </cell>
          <cell r="S496">
            <v>3</v>
          </cell>
          <cell r="T496">
            <v>8</v>
          </cell>
          <cell r="U496">
            <v>2</v>
          </cell>
          <cell r="V496">
            <v>0</v>
          </cell>
          <cell r="W496">
            <v>6</v>
          </cell>
          <cell r="X496">
            <v>18</v>
          </cell>
          <cell r="Y496">
            <v>0</v>
          </cell>
          <cell r="Z496" t="str">
            <v>Mid</v>
          </cell>
          <cell r="AA496" t="str">
            <v>Low</v>
          </cell>
          <cell r="AB496" t="str">
            <v>Long</v>
          </cell>
          <cell r="AC496" t="str">
            <v>High</v>
          </cell>
          <cell r="AD496">
            <v>666</v>
          </cell>
        </row>
        <row r="497">
          <cell r="A497">
            <v>27</v>
          </cell>
          <cell r="B497" t="str">
            <v>Yes</v>
          </cell>
          <cell r="C497" t="str">
            <v>Sales</v>
          </cell>
          <cell r="D497">
            <v>2</v>
          </cell>
          <cell r="E497">
            <v>1</v>
          </cell>
          <cell r="F497" t="str">
            <v>Marketing</v>
          </cell>
          <cell r="G497">
            <v>3</v>
          </cell>
          <cell r="H497" t="str">
            <v>Male</v>
          </cell>
          <cell r="I497">
            <v>3</v>
          </cell>
          <cell r="J497">
            <v>1</v>
          </cell>
          <cell r="K497" t="str">
            <v>Sales Representative</v>
          </cell>
          <cell r="L497">
            <v>1</v>
          </cell>
          <cell r="M497" t="str">
            <v>Divorced</v>
          </cell>
          <cell r="N497">
            <v>3041</v>
          </cell>
          <cell r="O497">
            <v>0</v>
          </cell>
          <cell r="P497" t="str">
            <v>No</v>
          </cell>
          <cell r="Q497">
            <v>2</v>
          </cell>
          <cell r="R497">
            <v>5</v>
          </cell>
          <cell r="S497">
            <v>3</v>
          </cell>
          <cell r="T497">
            <v>4</v>
          </cell>
          <cell r="U497">
            <v>3</v>
          </cell>
          <cell r="V497">
            <v>0</v>
          </cell>
          <cell r="W497">
            <v>2</v>
          </cell>
          <cell r="X497">
            <v>11</v>
          </cell>
          <cell r="Y497">
            <v>1</v>
          </cell>
          <cell r="Z497" t="str">
            <v>Young</v>
          </cell>
          <cell r="AA497" t="str">
            <v>Low</v>
          </cell>
          <cell r="AB497" t="str">
            <v>Mid</v>
          </cell>
          <cell r="AC497" t="str">
            <v>Low</v>
          </cell>
          <cell r="AD497">
            <v>667</v>
          </cell>
        </row>
        <row r="498">
          <cell r="A498">
            <v>21</v>
          </cell>
          <cell r="B498" t="str">
            <v>No</v>
          </cell>
          <cell r="C498" t="str">
            <v>Sales</v>
          </cell>
          <cell r="D498">
            <v>22</v>
          </cell>
          <cell r="E498">
            <v>1</v>
          </cell>
          <cell r="F498" t="str">
            <v>Technical Degree</v>
          </cell>
          <cell r="G498">
            <v>3</v>
          </cell>
          <cell r="H498" t="str">
            <v>Male</v>
          </cell>
          <cell r="I498">
            <v>3</v>
          </cell>
          <cell r="J498">
            <v>1</v>
          </cell>
          <cell r="K498" t="str">
            <v>Sales Representative</v>
          </cell>
          <cell r="L498">
            <v>3</v>
          </cell>
          <cell r="M498" t="str">
            <v>Single</v>
          </cell>
          <cell r="N498">
            <v>3447</v>
          </cell>
          <cell r="O498">
            <v>1</v>
          </cell>
          <cell r="P498" t="str">
            <v>No</v>
          </cell>
          <cell r="Q498">
            <v>3</v>
          </cell>
          <cell r="R498">
            <v>3</v>
          </cell>
          <cell r="S498">
            <v>3</v>
          </cell>
          <cell r="T498">
            <v>3</v>
          </cell>
          <cell r="U498">
            <v>2</v>
          </cell>
          <cell r="V498">
            <v>1</v>
          </cell>
          <cell r="W498">
            <v>2</v>
          </cell>
          <cell r="X498">
            <v>11</v>
          </cell>
          <cell r="Y498">
            <v>0</v>
          </cell>
          <cell r="Z498" t="str">
            <v>Young</v>
          </cell>
          <cell r="AA498" t="str">
            <v>Low</v>
          </cell>
          <cell r="AB498" t="str">
            <v>Mid</v>
          </cell>
          <cell r="AC498" t="str">
            <v>Low</v>
          </cell>
          <cell r="AD498">
            <v>669</v>
          </cell>
        </row>
        <row r="499">
          <cell r="A499">
            <v>44</v>
          </cell>
          <cell r="B499" t="str">
            <v>No</v>
          </cell>
          <cell r="C499" t="str">
            <v>Research &amp; Development</v>
          </cell>
          <cell r="D499">
            <v>3</v>
          </cell>
          <cell r="E499">
            <v>4</v>
          </cell>
          <cell r="F499" t="str">
            <v>Other</v>
          </cell>
          <cell r="G499">
            <v>4</v>
          </cell>
          <cell r="H499" t="str">
            <v>Male</v>
          </cell>
          <cell r="I499">
            <v>3</v>
          </cell>
          <cell r="J499">
            <v>5</v>
          </cell>
          <cell r="K499" t="str">
            <v>Manager</v>
          </cell>
          <cell r="L499">
            <v>4</v>
          </cell>
          <cell r="M499" t="str">
            <v>Married</v>
          </cell>
          <cell r="N499">
            <v>19513</v>
          </cell>
          <cell r="O499">
            <v>4</v>
          </cell>
          <cell r="P499" t="str">
            <v>Yes</v>
          </cell>
          <cell r="Q499">
            <v>1</v>
          </cell>
          <cell r="R499">
            <v>26</v>
          </cell>
          <cell r="S499">
            <v>4</v>
          </cell>
          <cell r="T499">
            <v>2</v>
          </cell>
          <cell r="U499">
            <v>2</v>
          </cell>
          <cell r="V499">
            <v>0</v>
          </cell>
          <cell r="W499">
            <v>1</v>
          </cell>
          <cell r="X499">
            <v>12</v>
          </cell>
          <cell r="Y499">
            <v>0</v>
          </cell>
          <cell r="Z499" t="str">
            <v>Mid</v>
          </cell>
          <cell r="AA499" t="str">
            <v>High</v>
          </cell>
          <cell r="AB499" t="str">
            <v>Early</v>
          </cell>
          <cell r="AC499" t="str">
            <v>Low</v>
          </cell>
          <cell r="AD499">
            <v>671</v>
          </cell>
        </row>
        <row r="500">
          <cell r="A500">
            <v>22</v>
          </cell>
          <cell r="B500" t="str">
            <v>No</v>
          </cell>
          <cell r="C500" t="str">
            <v>Research &amp; Development</v>
          </cell>
          <cell r="D500">
            <v>6</v>
          </cell>
          <cell r="E500">
            <v>1</v>
          </cell>
          <cell r="F500" t="str">
            <v>Medical</v>
          </cell>
          <cell r="G500">
            <v>1</v>
          </cell>
          <cell r="H500" t="str">
            <v>Male</v>
          </cell>
          <cell r="I500">
            <v>3</v>
          </cell>
          <cell r="J500">
            <v>1</v>
          </cell>
          <cell r="K500" t="str">
            <v>Research Scientist</v>
          </cell>
          <cell r="L500">
            <v>3</v>
          </cell>
          <cell r="M500" t="str">
            <v>Married</v>
          </cell>
          <cell r="N500">
            <v>2773</v>
          </cell>
          <cell r="O500">
            <v>0</v>
          </cell>
          <cell r="P500" t="str">
            <v>No</v>
          </cell>
          <cell r="Q500">
            <v>4</v>
          </cell>
          <cell r="R500">
            <v>3</v>
          </cell>
          <cell r="S500">
            <v>3</v>
          </cell>
          <cell r="T500">
            <v>2</v>
          </cell>
          <cell r="U500">
            <v>2</v>
          </cell>
          <cell r="V500">
            <v>2</v>
          </cell>
          <cell r="W500">
            <v>2</v>
          </cell>
          <cell r="X500">
            <v>20</v>
          </cell>
          <cell r="Y500">
            <v>0</v>
          </cell>
          <cell r="Z500" t="str">
            <v>Young</v>
          </cell>
          <cell r="AA500" t="str">
            <v>Low</v>
          </cell>
          <cell r="AB500" t="str">
            <v>Early</v>
          </cell>
          <cell r="AC500" t="str">
            <v>High</v>
          </cell>
          <cell r="AD500">
            <v>675</v>
          </cell>
        </row>
        <row r="501">
          <cell r="A501">
            <v>33</v>
          </cell>
          <cell r="B501" t="str">
            <v>No</v>
          </cell>
          <cell r="C501" t="str">
            <v>Sales</v>
          </cell>
          <cell r="D501">
            <v>8</v>
          </cell>
          <cell r="E501">
            <v>4</v>
          </cell>
          <cell r="F501" t="str">
            <v>Marketing</v>
          </cell>
          <cell r="G501">
            <v>3</v>
          </cell>
          <cell r="H501" t="str">
            <v>Male</v>
          </cell>
          <cell r="I501">
            <v>3</v>
          </cell>
          <cell r="J501">
            <v>2</v>
          </cell>
          <cell r="K501" t="str">
            <v>Sales Executive</v>
          </cell>
          <cell r="L501">
            <v>3</v>
          </cell>
          <cell r="M501" t="str">
            <v>Divorced</v>
          </cell>
          <cell r="N501">
            <v>7104</v>
          </cell>
          <cell r="O501">
            <v>0</v>
          </cell>
          <cell r="P501" t="str">
            <v>No</v>
          </cell>
          <cell r="Q501">
            <v>4</v>
          </cell>
          <cell r="R501">
            <v>6</v>
          </cell>
          <cell r="S501">
            <v>3</v>
          </cell>
          <cell r="T501">
            <v>5</v>
          </cell>
          <cell r="U501">
            <v>0</v>
          </cell>
          <cell r="V501">
            <v>1</v>
          </cell>
          <cell r="W501">
            <v>2</v>
          </cell>
          <cell r="X501">
            <v>12</v>
          </cell>
          <cell r="Y501">
            <v>0</v>
          </cell>
          <cell r="Z501" t="str">
            <v>Mid</v>
          </cell>
          <cell r="AA501" t="str">
            <v>Medium</v>
          </cell>
          <cell r="AB501" t="str">
            <v>Mid</v>
          </cell>
          <cell r="AC501" t="str">
            <v>Low</v>
          </cell>
          <cell r="AD501">
            <v>677</v>
          </cell>
        </row>
        <row r="502">
          <cell r="A502">
            <v>32</v>
          </cell>
          <cell r="B502" t="str">
            <v>No</v>
          </cell>
          <cell r="C502" t="str">
            <v>Research &amp; Development</v>
          </cell>
          <cell r="D502">
            <v>9</v>
          </cell>
          <cell r="E502">
            <v>4</v>
          </cell>
          <cell r="F502" t="str">
            <v>Life Sciences</v>
          </cell>
          <cell r="G502">
            <v>1</v>
          </cell>
          <cell r="H502" t="str">
            <v>Female</v>
          </cell>
          <cell r="I502">
            <v>3</v>
          </cell>
          <cell r="J502">
            <v>2</v>
          </cell>
          <cell r="K502" t="str">
            <v>Research Scientist</v>
          </cell>
          <cell r="L502">
            <v>4</v>
          </cell>
          <cell r="M502" t="str">
            <v>Married</v>
          </cell>
          <cell r="N502">
            <v>6322</v>
          </cell>
          <cell r="O502">
            <v>1</v>
          </cell>
          <cell r="P502" t="str">
            <v>Yes</v>
          </cell>
          <cell r="Q502">
            <v>4</v>
          </cell>
          <cell r="R502">
            <v>6</v>
          </cell>
          <cell r="S502">
            <v>2</v>
          </cell>
          <cell r="T502">
            <v>6</v>
          </cell>
          <cell r="U502">
            <v>4</v>
          </cell>
          <cell r="V502">
            <v>0</v>
          </cell>
          <cell r="W502">
            <v>5</v>
          </cell>
          <cell r="X502">
            <v>12</v>
          </cell>
          <cell r="Y502">
            <v>0</v>
          </cell>
          <cell r="Z502" t="str">
            <v>Mid</v>
          </cell>
          <cell r="AA502" t="str">
            <v>Medium</v>
          </cell>
          <cell r="AB502" t="str">
            <v>Mid</v>
          </cell>
          <cell r="AC502" t="str">
            <v>Low</v>
          </cell>
          <cell r="AD502">
            <v>679</v>
          </cell>
        </row>
        <row r="503">
          <cell r="A503">
            <v>30</v>
          </cell>
          <cell r="B503" t="str">
            <v>No</v>
          </cell>
          <cell r="C503" t="str">
            <v>Research &amp; Development</v>
          </cell>
          <cell r="D503">
            <v>3</v>
          </cell>
          <cell r="E503">
            <v>3</v>
          </cell>
          <cell r="F503" t="str">
            <v>Medical</v>
          </cell>
          <cell r="G503">
            <v>3</v>
          </cell>
          <cell r="H503" t="str">
            <v>Female</v>
          </cell>
          <cell r="I503">
            <v>3</v>
          </cell>
          <cell r="J503">
            <v>1</v>
          </cell>
          <cell r="K503" t="str">
            <v>Research Scientist</v>
          </cell>
          <cell r="L503">
            <v>3</v>
          </cell>
          <cell r="M503" t="str">
            <v>Divorced</v>
          </cell>
          <cell r="N503">
            <v>2083</v>
          </cell>
          <cell r="O503">
            <v>1</v>
          </cell>
          <cell r="P503" t="str">
            <v>No</v>
          </cell>
          <cell r="Q503">
            <v>3</v>
          </cell>
          <cell r="R503">
            <v>1</v>
          </cell>
          <cell r="S503">
            <v>3</v>
          </cell>
          <cell r="T503">
            <v>1</v>
          </cell>
          <cell r="U503">
            <v>0</v>
          </cell>
          <cell r="V503">
            <v>0</v>
          </cell>
          <cell r="W503">
            <v>0</v>
          </cell>
          <cell r="X503">
            <v>20</v>
          </cell>
          <cell r="Y503">
            <v>0</v>
          </cell>
          <cell r="Z503" t="str">
            <v>Mid</v>
          </cell>
          <cell r="AA503" t="str">
            <v>Low</v>
          </cell>
          <cell r="AB503" t="str">
            <v>Early</v>
          </cell>
          <cell r="AC503" t="str">
            <v>High</v>
          </cell>
          <cell r="AD503">
            <v>680</v>
          </cell>
        </row>
        <row r="504">
          <cell r="A504">
            <v>53</v>
          </cell>
          <cell r="B504" t="str">
            <v>No</v>
          </cell>
          <cell r="C504" t="str">
            <v>Sales</v>
          </cell>
          <cell r="D504">
            <v>1</v>
          </cell>
          <cell r="E504">
            <v>1</v>
          </cell>
          <cell r="F504" t="str">
            <v>Medical</v>
          </cell>
          <cell r="G504">
            <v>4</v>
          </cell>
          <cell r="H504" t="str">
            <v>Female</v>
          </cell>
          <cell r="I504">
            <v>3</v>
          </cell>
          <cell r="J504">
            <v>2</v>
          </cell>
          <cell r="K504" t="str">
            <v>Sales Executive</v>
          </cell>
          <cell r="L504">
            <v>1</v>
          </cell>
          <cell r="M504" t="str">
            <v>Single</v>
          </cell>
          <cell r="N504">
            <v>8381</v>
          </cell>
          <cell r="O504">
            <v>7</v>
          </cell>
          <cell r="P504" t="str">
            <v>No</v>
          </cell>
          <cell r="Q504">
            <v>4</v>
          </cell>
          <cell r="R504">
            <v>18</v>
          </cell>
          <cell r="S504">
            <v>4</v>
          </cell>
          <cell r="T504">
            <v>14</v>
          </cell>
          <cell r="U504">
            <v>7</v>
          </cell>
          <cell r="V504">
            <v>8</v>
          </cell>
          <cell r="W504">
            <v>10</v>
          </cell>
          <cell r="X504">
            <v>20</v>
          </cell>
          <cell r="Y504">
            <v>0</v>
          </cell>
          <cell r="Z504" t="str">
            <v>Senior</v>
          </cell>
          <cell r="AA504" t="str">
            <v>Medium</v>
          </cell>
          <cell r="AB504" t="str">
            <v>Long</v>
          </cell>
          <cell r="AC504" t="str">
            <v>High</v>
          </cell>
          <cell r="AD504">
            <v>682</v>
          </cell>
        </row>
        <row r="505">
          <cell r="A505">
            <v>34</v>
          </cell>
          <cell r="B505" t="str">
            <v>No</v>
          </cell>
          <cell r="C505" t="str">
            <v>Research &amp; Development</v>
          </cell>
          <cell r="D505">
            <v>1</v>
          </cell>
          <cell r="E505">
            <v>5</v>
          </cell>
          <cell r="F505" t="str">
            <v>Life Sciences</v>
          </cell>
          <cell r="G505">
            <v>2</v>
          </cell>
          <cell r="H505" t="str">
            <v>Male</v>
          </cell>
          <cell r="I505">
            <v>3</v>
          </cell>
          <cell r="J505">
            <v>1</v>
          </cell>
          <cell r="K505" t="str">
            <v>Research Scientist</v>
          </cell>
          <cell r="L505">
            <v>4</v>
          </cell>
          <cell r="M505" t="str">
            <v>Married</v>
          </cell>
          <cell r="N505">
            <v>2691</v>
          </cell>
          <cell r="O505">
            <v>1</v>
          </cell>
          <cell r="P505" t="str">
            <v>No</v>
          </cell>
          <cell r="Q505">
            <v>4</v>
          </cell>
          <cell r="R505">
            <v>10</v>
          </cell>
          <cell r="S505">
            <v>2</v>
          </cell>
          <cell r="T505">
            <v>10</v>
          </cell>
          <cell r="U505">
            <v>9</v>
          </cell>
          <cell r="V505">
            <v>8</v>
          </cell>
          <cell r="W505">
            <v>8</v>
          </cell>
          <cell r="X505">
            <v>12</v>
          </cell>
          <cell r="Y505">
            <v>0</v>
          </cell>
          <cell r="Z505" t="str">
            <v>Mid</v>
          </cell>
          <cell r="AA505" t="str">
            <v>Low</v>
          </cell>
          <cell r="AB505" t="str">
            <v>Long</v>
          </cell>
          <cell r="AC505" t="str">
            <v>Low</v>
          </cell>
          <cell r="AD505">
            <v>683</v>
          </cell>
        </row>
        <row r="506">
          <cell r="A506">
            <v>45</v>
          </cell>
          <cell r="B506" t="str">
            <v>Yes</v>
          </cell>
          <cell r="C506" t="str">
            <v>Sales</v>
          </cell>
          <cell r="D506">
            <v>26</v>
          </cell>
          <cell r="E506">
            <v>4</v>
          </cell>
          <cell r="F506" t="str">
            <v>Life Sciences</v>
          </cell>
          <cell r="G506">
            <v>1</v>
          </cell>
          <cell r="H506" t="str">
            <v>Female</v>
          </cell>
          <cell r="I506">
            <v>3</v>
          </cell>
          <cell r="J506">
            <v>2</v>
          </cell>
          <cell r="K506" t="str">
            <v>Sales Executive</v>
          </cell>
          <cell r="L506">
            <v>1</v>
          </cell>
          <cell r="M506" t="str">
            <v>Married</v>
          </cell>
          <cell r="N506">
            <v>4286</v>
          </cell>
          <cell r="O506">
            <v>2</v>
          </cell>
          <cell r="P506" t="str">
            <v>No</v>
          </cell>
          <cell r="Q506">
            <v>4</v>
          </cell>
          <cell r="R506">
            <v>5</v>
          </cell>
          <cell r="S506">
            <v>3</v>
          </cell>
          <cell r="T506">
            <v>1</v>
          </cell>
          <cell r="U506">
            <v>1</v>
          </cell>
          <cell r="V506">
            <v>0</v>
          </cell>
          <cell r="W506">
            <v>0</v>
          </cell>
          <cell r="X506">
            <v>14</v>
          </cell>
          <cell r="Y506">
            <v>1</v>
          </cell>
          <cell r="Z506" t="str">
            <v>Senior</v>
          </cell>
          <cell r="AA506" t="str">
            <v>Low</v>
          </cell>
          <cell r="AB506" t="str">
            <v>Early</v>
          </cell>
          <cell r="AC506" t="str">
            <v>Medium</v>
          </cell>
          <cell r="AD506">
            <v>684</v>
          </cell>
        </row>
        <row r="507">
          <cell r="A507">
            <v>26</v>
          </cell>
          <cell r="B507" t="str">
            <v>No</v>
          </cell>
          <cell r="C507" t="str">
            <v>Research &amp; Development</v>
          </cell>
          <cell r="D507">
            <v>6</v>
          </cell>
          <cell r="E507">
            <v>3</v>
          </cell>
          <cell r="F507" t="str">
            <v>Life Sciences</v>
          </cell>
          <cell r="G507">
            <v>3</v>
          </cell>
          <cell r="H507" t="str">
            <v>Female</v>
          </cell>
          <cell r="I507">
            <v>3</v>
          </cell>
          <cell r="J507">
            <v>1</v>
          </cell>
          <cell r="K507" t="str">
            <v>Laboratory Technician</v>
          </cell>
          <cell r="L507">
            <v>4</v>
          </cell>
          <cell r="M507" t="str">
            <v>Married</v>
          </cell>
          <cell r="N507">
            <v>2659</v>
          </cell>
          <cell r="O507">
            <v>1</v>
          </cell>
          <cell r="P507" t="str">
            <v>Yes</v>
          </cell>
          <cell r="Q507">
            <v>3</v>
          </cell>
          <cell r="R507">
            <v>3</v>
          </cell>
          <cell r="S507">
            <v>3</v>
          </cell>
          <cell r="T507">
            <v>3</v>
          </cell>
          <cell r="U507">
            <v>2</v>
          </cell>
          <cell r="V507">
            <v>0</v>
          </cell>
          <cell r="W507">
            <v>2</v>
          </cell>
          <cell r="X507">
            <v>13</v>
          </cell>
          <cell r="Y507">
            <v>0</v>
          </cell>
          <cell r="Z507" t="str">
            <v>Young</v>
          </cell>
          <cell r="AA507" t="str">
            <v>Low</v>
          </cell>
          <cell r="AB507" t="str">
            <v>Mid</v>
          </cell>
          <cell r="AC507" t="str">
            <v>Medium</v>
          </cell>
          <cell r="AD507">
            <v>686</v>
          </cell>
        </row>
        <row r="508">
          <cell r="A508">
            <v>37</v>
          </cell>
          <cell r="B508" t="str">
            <v>No</v>
          </cell>
          <cell r="C508" t="str">
            <v>Research &amp; Development</v>
          </cell>
          <cell r="D508">
            <v>3</v>
          </cell>
          <cell r="E508">
            <v>3</v>
          </cell>
          <cell r="F508" t="str">
            <v>Other</v>
          </cell>
          <cell r="G508">
            <v>3</v>
          </cell>
          <cell r="H508" t="str">
            <v>Male</v>
          </cell>
          <cell r="I508">
            <v>3</v>
          </cell>
          <cell r="J508">
            <v>3</v>
          </cell>
          <cell r="K508" t="str">
            <v>Manufacturing Director</v>
          </cell>
          <cell r="L508">
            <v>3</v>
          </cell>
          <cell r="M508" t="str">
            <v>Married</v>
          </cell>
          <cell r="N508">
            <v>9434</v>
          </cell>
          <cell r="O508">
            <v>1</v>
          </cell>
          <cell r="P508" t="str">
            <v>No</v>
          </cell>
          <cell r="Q508">
            <v>3</v>
          </cell>
          <cell r="R508">
            <v>10</v>
          </cell>
          <cell r="S508">
            <v>3</v>
          </cell>
          <cell r="T508">
            <v>10</v>
          </cell>
          <cell r="U508">
            <v>7</v>
          </cell>
          <cell r="V508">
            <v>7</v>
          </cell>
          <cell r="W508">
            <v>8</v>
          </cell>
          <cell r="X508">
            <v>15</v>
          </cell>
          <cell r="Y508">
            <v>0</v>
          </cell>
          <cell r="Z508" t="str">
            <v>Mid</v>
          </cell>
          <cell r="AA508" t="str">
            <v>Medium</v>
          </cell>
          <cell r="AB508" t="str">
            <v>Long</v>
          </cell>
          <cell r="AC508" t="str">
            <v>Medium</v>
          </cell>
          <cell r="AD508">
            <v>689</v>
          </cell>
        </row>
        <row r="509">
          <cell r="A509">
            <v>29</v>
          </cell>
          <cell r="B509" t="str">
            <v>No</v>
          </cell>
          <cell r="C509" t="str">
            <v>Sales</v>
          </cell>
          <cell r="D509">
            <v>3</v>
          </cell>
          <cell r="E509">
            <v>2</v>
          </cell>
          <cell r="F509" t="str">
            <v>Medical</v>
          </cell>
          <cell r="G509">
            <v>2</v>
          </cell>
          <cell r="H509" t="str">
            <v>Female</v>
          </cell>
          <cell r="I509">
            <v>3</v>
          </cell>
          <cell r="J509">
            <v>2</v>
          </cell>
          <cell r="K509" t="str">
            <v>Sales Executive</v>
          </cell>
          <cell r="L509">
            <v>3</v>
          </cell>
          <cell r="M509" t="str">
            <v>Married</v>
          </cell>
          <cell r="N509">
            <v>5561</v>
          </cell>
          <cell r="O509">
            <v>1</v>
          </cell>
          <cell r="P509" t="str">
            <v>No</v>
          </cell>
          <cell r="Q509">
            <v>1</v>
          </cell>
          <cell r="R509">
            <v>6</v>
          </cell>
          <cell r="S509">
            <v>2</v>
          </cell>
          <cell r="T509">
            <v>6</v>
          </cell>
          <cell r="U509">
            <v>0</v>
          </cell>
          <cell r="V509">
            <v>1</v>
          </cell>
          <cell r="W509">
            <v>2</v>
          </cell>
          <cell r="X509">
            <v>14</v>
          </cell>
          <cell r="Y509">
            <v>0</v>
          </cell>
          <cell r="Z509" t="str">
            <v>Young</v>
          </cell>
          <cell r="AA509" t="str">
            <v>Medium</v>
          </cell>
          <cell r="AB509" t="str">
            <v>Mid</v>
          </cell>
          <cell r="AC509" t="str">
            <v>Medium</v>
          </cell>
          <cell r="AD509">
            <v>690</v>
          </cell>
        </row>
        <row r="510">
          <cell r="A510">
            <v>35</v>
          </cell>
          <cell r="B510" t="str">
            <v>No</v>
          </cell>
          <cell r="C510" t="str">
            <v>Research &amp; Development</v>
          </cell>
          <cell r="D510">
            <v>6</v>
          </cell>
          <cell r="E510">
            <v>4</v>
          </cell>
          <cell r="F510" t="str">
            <v>Life Sciences</v>
          </cell>
          <cell r="G510">
            <v>2</v>
          </cell>
          <cell r="H510" t="str">
            <v>Male</v>
          </cell>
          <cell r="I510">
            <v>1</v>
          </cell>
          <cell r="J510">
            <v>2</v>
          </cell>
          <cell r="K510" t="str">
            <v>Research Scientist</v>
          </cell>
          <cell r="L510">
            <v>4</v>
          </cell>
          <cell r="M510" t="str">
            <v>Single</v>
          </cell>
          <cell r="N510">
            <v>6646</v>
          </cell>
          <cell r="O510">
            <v>1</v>
          </cell>
          <cell r="P510" t="str">
            <v>No</v>
          </cell>
          <cell r="Q510">
            <v>2</v>
          </cell>
          <cell r="R510">
            <v>17</v>
          </cell>
          <cell r="S510">
            <v>3</v>
          </cell>
          <cell r="T510">
            <v>17</v>
          </cell>
          <cell r="U510">
            <v>11</v>
          </cell>
          <cell r="V510">
            <v>11</v>
          </cell>
          <cell r="W510">
            <v>8</v>
          </cell>
          <cell r="X510">
            <v>13</v>
          </cell>
          <cell r="Y510">
            <v>0</v>
          </cell>
          <cell r="Z510" t="str">
            <v>Mid</v>
          </cell>
          <cell r="AA510" t="str">
            <v>Medium</v>
          </cell>
          <cell r="AB510" t="str">
            <v>Long</v>
          </cell>
          <cell r="AC510" t="str">
            <v>Medium</v>
          </cell>
          <cell r="AD510">
            <v>691</v>
          </cell>
        </row>
        <row r="511">
          <cell r="A511">
            <v>33</v>
          </cell>
          <cell r="B511" t="str">
            <v>No</v>
          </cell>
          <cell r="C511" t="str">
            <v>Research &amp; Development</v>
          </cell>
          <cell r="D511">
            <v>6</v>
          </cell>
          <cell r="E511">
            <v>3</v>
          </cell>
          <cell r="F511" t="str">
            <v>Life Sciences</v>
          </cell>
          <cell r="G511">
            <v>3</v>
          </cell>
          <cell r="H511" t="str">
            <v>Male</v>
          </cell>
          <cell r="I511">
            <v>3</v>
          </cell>
          <cell r="J511">
            <v>2</v>
          </cell>
          <cell r="K511" t="str">
            <v>Healthcare Representative</v>
          </cell>
          <cell r="L511">
            <v>4</v>
          </cell>
          <cell r="M511" t="str">
            <v>Divorced</v>
          </cell>
          <cell r="N511">
            <v>7725</v>
          </cell>
          <cell r="O511">
            <v>3</v>
          </cell>
          <cell r="P511" t="str">
            <v>No</v>
          </cell>
          <cell r="Q511">
            <v>3</v>
          </cell>
          <cell r="R511">
            <v>15</v>
          </cell>
          <cell r="S511">
            <v>1</v>
          </cell>
          <cell r="T511">
            <v>13</v>
          </cell>
          <cell r="U511">
            <v>11</v>
          </cell>
          <cell r="V511">
            <v>4</v>
          </cell>
          <cell r="W511">
            <v>7</v>
          </cell>
          <cell r="X511">
            <v>23</v>
          </cell>
          <cell r="Y511">
            <v>0</v>
          </cell>
          <cell r="Z511" t="str">
            <v>Mid</v>
          </cell>
          <cell r="AA511" t="str">
            <v>Medium</v>
          </cell>
          <cell r="AB511" t="str">
            <v>Long</v>
          </cell>
          <cell r="AC511" t="str">
            <v>High</v>
          </cell>
          <cell r="AD511">
            <v>692</v>
          </cell>
        </row>
        <row r="512">
          <cell r="A512">
            <v>54</v>
          </cell>
          <cell r="B512" t="str">
            <v>No</v>
          </cell>
          <cell r="C512" t="str">
            <v>Human Resources</v>
          </cell>
          <cell r="D512">
            <v>19</v>
          </cell>
          <cell r="E512">
            <v>4</v>
          </cell>
          <cell r="F512" t="str">
            <v>Medical</v>
          </cell>
          <cell r="G512">
            <v>3</v>
          </cell>
          <cell r="H512" t="str">
            <v>Male</v>
          </cell>
          <cell r="I512">
            <v>3</v>
          </cell>
          <cell r="J512">
            <v>3</v>
          </cell>
          <cell r="K512" t="str">
            <v>Human Resources</v>
          </cell>
          <cell r="L512">
            <v>2</v>
          </cell>
          <cell r="M512" t="str">
            <v>Married</v>
          </cell>
          <cell r="N512">
            <v>10725</v>
          </cell>
          <cell r="O512">
            <v>2</v>
          </cell>
          <cell r="P512" t="str">
            <v>No</v>
          </cell>
          <cell r="Q512">
            <v>3</v>
          </cell>
          <cell r="R512">
            <v>16</v>
          </cell>
          <cell r="S512">
            <v>4</v>
          </cell>
          <cell r="T512">
            <v>9</v>
          </cell>
          <cell r="U512">
            <v>7</v>
          </cell>
          <cell r="V512">
            <v>7</v>
          </cell>
          <cell r="W512">
            <v>1</v>
          </cell>
          <cell r="X512">
            <v>15</v>
          </cell>
          <cell r="Y512">
            <v>0</v>
          </cell>
          <cell r="Z512" t="str">
            <v>Senior</v>
          </cell>
          <cell r="AA512" t="str">
            <v>High</v>
          </cell>
          <cell r="AB512" t="str">
            <v>Long</v>
          </cell>
          <cell r="AC512" t="str">
            <v>Medium</v>
          </cell>
          <cell r="AD512">
            <v>698</v>
          </cell>
        </row>
        <row r="513">
          <cell r="A513">
            <v>36</v>
          </cell>
          <cell r="B513" t="str">
            <v>No</v>
          </cell>
          <cell r="C513" t="str">
            <v>Research &amp; Development</v>
          </cell>
          <cell r="D513">
            <v>9</v>
          </cell>
          <cell r="E513">
            <v>2</v>
          </cell>
          <cell r="F513" t="str">
            <v>Medical</v>
          </cell>
          <cell r="G513">
            <v>2</v>
          </cell>
          <cell r="H513" t="str">
            <v>Male</v>
          </cell>
          <cell r="I513">
            <v>2</v>
          </cell>
          <cell r="J513">
            <v>2</v>
          </cell>
          <cell r="K513" t="str">
            <v>Manufacturing Director</v>
          </cell>
          <cell r="L513">
            <v>2</v>
          </cell>
          <cell r="M513" t="str">
            <v>Divorced</v>
          </cell>
          <cell r="N513">
            <v>8847</v>
          </cell>
          <cell r="O513">
            <v>2</v>
          </cell>
          <cell r="P513" t="str">
            <v>Yes</v>
          </cell>
          <cell r="Q513">
            <v>3</v>
          </cell>
          <cell r="R513">
            <v>13</v>
          </cell>
          <cell r="S513">
            <v>3</v>
          </cell>
          <cell r="T513">
            <v>3</v>
          </cell>
          <cell r="U513">
            <v>2</v>
          </cell>
          <cell r="V513">
            <v>0</v>
          </cell>
          <cell r="W513">
            <v>2</v>
          </cell>
          <cell r="X513">
            <v>11</v>
          </cell>
          <cell r="Y513">
            <v>0</v>
          </cell>
          <cell r="Z513" t="str">
            <v>Mid</v>
          </cell>
          <cell r="AA513" t="str">
            <v>Medium</v>
          </cell>
          <cell r="AB513" t="str">
            <v>Mid</v>
          </cell>
          <cell r="AC513" t="str">
            <v>Low</v>
          </cell>
          <cell r="AD513">
            <v>699</v>
          </cell>
        </row>
        <row r="514">
          <cell r="A514">
            <v>27</v>
          </cell>
          <cell r="B514" t="str">
            <v>No</v>
          </cell>
          <cell r="C514" t="str">
            <v>Research &amp; Development</v>
          </cell>
          <cell r="D514">
            <v>3</v>
          </cell>
          <cell r="E514">
            <v>4</v>
          </cell>
          <cell r="F514" t="str">
            <v>Medical</v>
          </cell>
          <cell r="G514">
            <v>1</v>
          </cell>
          <cell r="H514" t="str">
            <v>Male</v>
          </cell>
          <cell r="I514">
            <v>2</v>
          </cell>
          <cell r="J514">
            <v>1</v>
          </cell>
          <cell r="K514" t="str">
            <v>Research Scientist</v>
          </cell>
          <cell r="L514">
            <v>4</v>
          </cell>
          <cell r="M514" t="str">
            <v>Single</v>
          </cell>
          <cell r="N514">
            <v>2045</v>
          </cell>
          <cell r="O514">
            <v>0</v>
          </cell>
          <cell r="P514" t="str">
            <v>No</v>
          </cell>
          <cell r="Q514">
            <v>4</v>
          </cell>
          <cell r="R514">
            <v>5</v>
          </cell>
          <cell r="S514">
            <v>3</v>
          </cell>
          <cell r="T514">
            <v>4</v>
          </cell>
          <cell r="U514">
            <v>2</v>
          </cell>
          <cell r="V514">
            <v>1</v>
          </cell>
          <cell r="W514">
            <v>1</v>
          </cell>
          <cell r="X514">
            <v>13</v>
          </cell>
          <cell r="Y514">
            <v>0</v>
          </cell>
          <cell r="Z514" t="str">
            <v>Young</v>
          </cell>
          <cell r="AA514" t="str">
            <v>Low</v>
          </cell>
          <cell r="AB514" t="str">
            <v>Mid</v>
          </cell>
          <cell r="AC514" t="str">
            <v>Medium</v>
          </cell>
          <cell r="AD514">
            <v>700</v>
          </cell>
        </row>
        <row r="515">
          <cell r="A515">
            <v>20</v>
          </cell>
          <cell r="B515" t="str">
            <v>Yes</v>
          </cell>
          <cell r="C515" t="str">
            <v>Research &amp; Development</v>
          </cell>
          <cell r="D515">
            <v>10</v>
          </cell>
          <cell r="E515">
            <v>1</v>
          </cell>
          <cell r="F515" t="str">
            <v>Medical</v>
          </cell>
          <cell r="G515">
            <v>4</v>
          </cell>
          <cell r="H515" t="str">
            <v>Male</v>
          </cell>
          <cell r="I515">
            <v>3</v>
          </cell>
          <cell r="J515">
            <v>1</v>
          </cell>
          <cell r="K515" t="str">
            <v>Research Scientist</v>
          </cell>
          <cell r="L515">
            <v>3</v>
          </cell>
          <cell r="M515" t="str">
            <v>Single</v>
          </cell>
          <cell r="N515">
            <v>1009</v>
          </cell>
          <cell r="O515">
            <v>1</v>
          </cell>
          <cell r="P515" t="str">
            <v>Yes</v>
          </cell>
          <cell r="Q515">
            <v>4</v>
          </cell>
          <cell r="R515">
            <v>1</v>
          </cell>
          <cell r="S515">
            <v>3</v>
          </cell>
          <cell r="T515">
            <v>1</v>
          </cell>
          <cell r="U515">
            <v>0</v>
          </cell>
          <cell r="V515">
            <v>1</v>
          </cell>
          <cell r="W515">
            <v>1</v>
          </cell>
          <cell r="X515">
            <v>11</v>
          </cell>
          <cell r="Y515">
            <v>1</v>
          </cell>
          <cell r="Z515" t="str">
            <v>Young</v>
          </cell>
          <cell r="AA515" t="str">
            <v>Low</v>
          </cell>
          <cell r="AB515" t="str">
            <v>Early</v>
          </cell>
          <cell r="AC515" t="str">
            <v>Low</v>
          </cell>
          <cell r="AD515">
            <v>701</v>
          </cell>
        </row>
        <row r="516">
          <cell r="A516">
            <v>33</v>
          </cell>
          <cell r="B516" t="str">
            <v>Yes</v>
          </cell>
          <cell r="C516" t="str">
            <v>Research &amp; Development</v>
          </cell>
          <cell r="D516">
            <v>3</v>
          </cell>
          <cell r="E516">
            <v>3</v>
          </cell>
          <cell r="F516" t="str">
            <v>Life Sciences</v>
          </cell>
          <cell r="G516">
            <v>1</v>
          </cell>
          <cell r="H516" t="str">
            <v>Male</v>
          </cell>
          <cell r="I516">
            <v>3</v>
          </cell>
          <cell r="J516">
            <v>1</v>
          </cell>
          <cell r="K516" t="str">
            <v>Research Scientist</v>
          </cell>
          <cell r="L516">
            <v>1</v>
          </cell>
          <cell r="M516" t="str">
            <v>Single</v>
          </cell>
          <cell r="N516">
            <v>3348</v>
          </cell>
          <cell r="O516">
            <v>1</v>
          </cell>
          <cell r="P516" t="str">
            <v>Yes</v>
          </cell>
          <cell r="Q516">
            <v>1</v>
          </cell>
          <cell r="R516">
            <v>10</v>
          </cell>
          <cell r="S516">
            <v>3</v>
          </cell>
          <cell r="T516">
            <v>10</v>
          </cell>
          <cell r="U516">
            <v>8</v>
          </cell>
          <cell r="V516">
            <v>9</v>
          </cell>
          <cell r="W516">
            <v>7</v>
          </cell>
          <cell r="X516">
            <v>11</v>
          </cell>
          <cell r="Y516">
            <v>1</v>
          </cell>
          <cell r="Z516" t="str">
            <v>Mid</v>
          </cell>
          <cell r="AA516" t="str">
            <v>Low</v>
          </cell>
          <cell r="AB516" t="str">
            <v>Long</v>
          </cell>
          <cell r="AC516" t="str">
            <v>Low</v>
          </cell>
          <cell r="AD516">
            <v>702</v>
          </cell>
        </row>
        <row r="517">
          <cell r="A517">
            <v>35</v>
          </cell>
          <cell r="B517" t="str">
            <v>No</v>
          </cell>
          <cell r="C517" t="str">
            <v>Research &amp; Development</v>
          </cell>
          <cell r="D517">
            <v>3</v>
          </cell>
          <cell r="E517">
            <v>3</v>
          </cell>
          <cell r="F517" t="str">
            <v>Life Sciences</v>
          </cell>
          <cell r="G517">
            <v>3</v>
          </cell>
          <cell r="H517" t="str">
            <v>Male</v>
          </cell>
          <cell r="I517">
            <v>2</v>
          </cell>
          <cell r="J517">
            <v>1</v>
          </cell>
          <cell r="K517" t="str">
            <v>Laboratory Technician</v>
          </cell>
          <cell r="L517">
            <v>3</v>
          </cell>
          <cell r="M517" t="str">
            <v>Married</v>
          </cell>
          <cell r="N517">
            <v>1281</v>
          </cell>
          <cell r="O517">
            <v>1</v>
          </cell>
          <cell r="P517" t="str">
            <v>No</v>
          </cell>
          <cell r="Q517">
            <v>3</v>
          </cell>
          <cell r="R517">
            <v>1</v>
          </cell>
          <cell r="S517">
            <v>3</v>
          </cell>
          <cell r="T517">
            <v>1</v>
          </cell>
          <cell r="U517">
            <v>0</v>
          </cell>
          <cell r="V517">
            <v>0</v>
          </cell>
          <cell r="W517">
            <v>0</v>
          </cell>
          <cell r="X517">
            <v>18</v>
          </cell>
          <cell r="Y517">
            <v>0</v>
          </cell>
          <cell r="Z517" t="str">
            <v>Mid</v>
          </cell>
          <cell r="AA517" t="str">
            <v>Low</v>
          </cell>
          <cell r="AB517" t="str">
            <v>Early</v>
          </cell>
          <cell r="AC517" t="str">
            <v>High</v>
          </cell>
          <cell r="AD517">
            <v>704</v>
          </cell>
        </row>
        <row r="518">
          <cell r="A518">
            <v>23</v>
          </cell>
          <cell r="B518" t="str">
            <v>No</v>
          </cell>
          <cell r="C518" t="str">
            <v>Research &amp; Development</v>
          </cell>
          <cell r="D518">
            <v>4</v>
          </cell>
          <cell r="E518">
            <v>3</v>
          </cell>
          <cell r="F518" t="str">
            <v>Medical</v>
          </cell>
          <cell r="G518">
            <v>1</v>
          </cell>
          <cell r="H518" t="str">
            <v>Male</v>
          </cell>
          <cell r="I518">
            <v>4</v>
          </cell>
          <cell r="J518">
            <v>1</v>
          </cell>
          <cell r="K518" t="str">
            <v>Research Scientist</v>
          </cell>
          <cell r="L518">
            <v>1</v>
          </cell>
          <cell r="M518" t="str">
            <v>Married</v>
          </cell>
          <cell r="N518">
            <v>2819</v>
          </cell>
          <cell r="O518">
            <v>2</v>
          </cell>
          <cell r="P518" t="str">
            <v>No</v>
          </cell>
          <cell r="Q518">
            <v>1</v>
          </cell>
          <cell r="R518">
            <v>5</v>
          </cell>
          <cell r="S518">
            <v>4</v>
          </cell>
          <cell r="T518">
            <v>3</v>
          </cell>
          <cell r="U518">
            <v>2</v>
          </cell>
          <cell r="V518">
            <v>0</v>
          </cell>
          <cell r="W518">
            <v>2</v>
          </cell>
          <cell r="X518">
            <v>16</v>
          </cell>
          <cell r="Y518">
            <v>0</v>
          </cell>
          <cell r="Z518" t="str">
            <v>Young</v>
          </cell>
          <cell r="AA518" t="str">
            <v>Low</v>
          </cell>
          <cell r="AB518" t="str">
            <v>Mid</v>
          </cell>
          <cell r="AC518" t="str">
            <v>Medium</v>
          </cell>
          <cell r="AD518">
            <v>705</v>
          </cell>
        </row>
        <row r="519">
          <cell r="A519">
            <v>25</v>
          </cell>
          <cell r="B519" t="str">
            <v>No</v>
          </cell>
          <cell r="C519" t="str">
            <v>Sales</v>
          </cell>
          <cell r="D519">
            <v>8</v>
          </cell>
          <cell r="E519">
            <v>3</v>
          </cell>
          <cell r="F519" t="str">
            <v>Life Sciences</v>
          </cell>
          <cell r="G519">
            <v>4</v>
          </cell>
          <cell r="H519" t="str">
            <v>Male</v>
          </cell>
          <cell r="I519">
            <v>4</v>
          </cell>
          <cell r="J519">
            <v>2</v>
          </cell>
          <cell r="K519" t="str">
            <v>Sales Executive</v>
          </cell>
          <cell r="L519">
            <v>2</v>
          </cell>
          <cell r="M519" t="str">
            <v>Married</v>
          </cell>
          <cell r="N519">
            <v>4851</v>
          </cell>
          <cell r="O519">
            <v>0</v>
          </cell>
          <cell r="P519" t="str">
            <v>No</v>
          </cell>
          <cell r="Q519">
            <v>3</v>
          </cell>
          <cell r="R519">
            <v>4</v>
          </cell>
          <cell r="S519">
            <v>3</v>
          </cell>
          <cell r="T519">
            <v>3</v>
          </cell>
          <cell r="U519">
            <v>2</v>
          </cell>
          <cell r="V519">
            <v>1</v>
          </cell>
          <cell r="W519">
            <v>2</v>
          </cell>
          <cell r="X519">
            <v>22</v>
          </cell>
          <cell r="Y519">
            <v>0</v>
          </cell>
          <cell r="Z519" t="str">
            <v>Young</v>
          </cell>
          <cell r="AA519" t="str">
            <v>Low</v>
          </cell>
          <cell r="AB519" t="str">
            <v>Mid</v>
          </cell>
          <cell r="AC519" t="str">
            <v>High</v>
          </cell>
          <cell r="AD519">
            <v>707</v>
          </cell>
        </row>
        <row r="520">
          <cell r="A520">
            <v>38</v>
          </cell>
          <cell r="B520" t="str">
            <v>No</v>
          </cell>
          <cell r="C520" t="str">
            <v>Sales</v>
          </cell>
          <cell r="D520">
            <v>7</v>
          </cell>
          <cell r="E520">
            <v>4</v>
          </cell>
          <cell r="F520" t="str">
            <v>Marketing</v>
          </cell>
          <cell r="G520">
            <v>4</v>
          </cell>
          <cell r="H520" t="str">
            <v>Female</v>
          </cell>
          <cell r="I520">
            <v>2</v>
          </cell>
          <cell r="J520">
            <v>2</v>
          </cell>
          <cell r="K520" t="str">
            <v>Sales Executive</v>
          </cell>
          <cell r="L520">
            <v>4</v>
          </cell>
          <cell r="M520" t="str">
            <v>Single</v>
          </cell>
          <cell r="N520">
            <v>4028</v>
          </cell>
          <cell r="O520">
            <v>0</v>
          </cell>
          <cell r="P520" t="str">
            <v>No</v>
          </cell>
          <cell r="Q520">
            <v>1</v>
          </cell>
          <cell r="R520">
            <v>8</v>
          </cell>
          <cell r="S520">
            <v>3</v>
          </cell>
          <cell r="T520">
            <v>7</v>
          </cell>
          <cell r="U520">
            <v>7</v>
          </cell>
          <cell r="V520">
            <v>0</v>
          </cell>
          <cell r="W520">
            <v>5</v>
          </cell>
          <cell r="X520">
            <v>20</v>
          </cell>
          <cell r="Y520">
            <v>0</v>
          </cell>
          <cell r="Z520" t="str">
            <v>Mid</v>
          </cell>
          <cell r="AA520" t="str">
            <v>Low</v>
          </cell>
          <cell r="AB520" t="str">
            <v>Long</v>
          </cell>
          <cell r="AC520" t="str">
            <v>High</v>
          </cell>
          <cell r="AD520">
            <v>709</v>
          </cell>
        </row>
        <row r="521">
          <cell r="A521">
            <v>29</v>
          </cell>
          <cell r="B521" t="str">
            <v>No</v>
          </cell>
          <cell r="C521" t="str">
            <v>Research &amp; Development</v>
          </cell>
          <cell r="D521">
            <v>1</v>
          </cell>
          <cell r="E521">
            <v>4</v>
          </cell>
          <cell r="F521" t="str">
            <v>Life Sciences</v>
          </cell>
          <cell r="G521">
            <v>2</v>
          </cell>
          <cell r="H521" t="str">
            <v>Male</v>
          </cell>
          <cell r="I521">
            <v>1</v>
          </cell>
          <cell r="J521">
            <v>1</v>
          </cell>
          <cell r="K521" t="str">
            <v>Research Scientist</v>
          </cell>
          <cell r="L521">
            <v>4</v>
          </cell>
          <cell r="M521" t="str">
            <v>Divorced</v>
          </cell>
          <cell r="N521">
            <v>2720</v>
          </cell>
          <cell r="O521">
            <v>1</v>
          </cell>
          <cell r="P521" t="str">
            <v>No</v>
          </cell>
          <cell r="Q521">
            <v>4</v>
          </cell>
          <cell r="R521">
            <v>10</v>
          </cell>
          <cell r="S521">
            <v>3</v>
          </cell>
          <cell r="T521">
            <v>10</v>
          </cell>
          <cell r="U521">
            <v>7</v>
          </cell>
          <cell r="V521">
            <v>2</v>
          </cell>
          <cell r="W521">
            <v>8</v>
          </cell>
          <cell r="X521">
            <v>18</v>
          </cell>
          <cell r="Y521">
            <v>0</v>
          </cell>
          <cell r="Z521" t="str">
            <v>Young</v>
          </cell>
          <cell r="AA521" t="str">
            <v>Low</v>
          </cell>
          <cell r="AB521" t="str">
            <v>Long</v>
          </cell>
          <cell r="AC521" t="str">
            <v>High</v>
          </cell>
          <cell r="AD521">
            <v>710</v>
          </cell>
        </row>
        <row r="522">
          <cell r="A522">
            <v>48</v>
          </cell>
          <cell r="B522" t="str">
            <v>No</v>
          </cell>
          <cell r="C522" t="str">
            <v>Sales</v>
          </cell>
          <cell r="D522">
            <v>2</v>
          </cell>
          <cell r="E522">
            <v>1</v>
          </cell>
          <cell r="F522" t="str">
            <v>Marketing</v>
          </cell>
          <cell r="G522">
            <v>2</v>
          </cell>
          <cell r="H522" t="str">
            <v>Male</v>
          </cell>
          <cell r="I522">
            <v>4</v>
          </cell>
          <cell r="J522">
            <v>2</v>
          </cell>
          <cell r="K522" t="str">
            <v>Sales Executive</v>
          </cell>
          <cell r="L522">
            <v>2</v>
          </cell>
          <cell r="M522" t="str">
            <v>Married</v>
          </cell>
          <cell r="N522">
            <v>8120</v>
          </cell>
          <cell r="O522">
            <v>3</v>
          </cell>
          <cell r="P522" t="str">
            <v>No</v>
          </cell>
          <cell r="Q522">
            <v>4</v>
          </cell>
          <cell r="R522">
            <v>12</v>
          </cell>
          <cell r="S522">
            <v>3</v>
          </cell>
          <cell r="T522">
            <v>2</v>
          </cell>
          <cell r="U522">
            <v>2</v>
          </cell>
          <cell r="V522">
            <v>2</v>
          </cell>
          <cell r="W522">
            <v>2</v>
          </cell>
          <cell r="X522">
            <v>12</v>
          </cell>
          <cell r="Y522">
            <v>0</v>
          </cell>
          <cell r="Z522" t="str">
            <v>Senior</v>
          </cell>
          <cell r="AA522" t="str">
            <v>Medium</v>
          </cell>
          <cell r="AB522" t="str">
            <v>Early</v>
          </cell>
          <cell r="AC522" t="str">
            <v>Low</v>
          </cell>
          <cell r="AD522">
            <v>712</v>
          </cell>
        </row>
        <row r="523">
          <cell r="A523">
            <v>27</v>
          </cell>
          <cell r="B523" t="str">
            <v>No</v>
          </cell>
          <cell r="C523" t="str">
            <v>Sales</v>
          </cell>
          <cell r="D523">
            <v>3</v>
          </cell>
          <cell r="E523">
            <v>1</v>
          </cell>
          <cell r="F523" t="str">
            <v>Medical</v>
          </cell>
          <cell r="G523">
            <v>4</v>
          </cell>
          <cell r="H523" t="str">
            <v>Female</v>
          </cell>
          <cell r="I523">
            <v>4</v>
          </cell>
          <cell r="J523">
            <v>2</v>
          </cell>
          <cell r="K523" t="str">
            <v>Sales Executive</v>
          </cell>
          <cell r="L523">
            <v>4</v>
          </cell>
          <cell r="M523" t="str">
            <v>Divorced</v>
          </cell>
          <cell r="N523">
            <v>4647</v>
          </cell>
          <cell r="O523">
            <v>1</v>
          </cell>
          <cell r="P523" t="str">
            <v>Yes</v>
          </cell>
          <cell r="Q523">
            <v>2</v>
          </cell>
          <cell r="R523">
            <v>6</v>
          </cell>
          <cell r="S523">
            <v>3</v>
          </cell>
          <cell r="T523">
            <v>6</v>
          </cell>
          <cell r="U523">
            <v>5</v>
          </cell>
          <cell r="V523">
            <v>0</v>
          </cell>
          <cell r="W523">
            <v>4</v>
          </cell>
          <cell r="X523">
            <v>20</v>
          </cell>
          <cell r="Y523">
            <v>0</v>
          </cell>
          <cell r="Z523" t="str">
            <v>Young</v>
          </cell>
          <cell r="AA523" t="str">
            <v>Low</v>
          </cell>
          <cell r="AB523" t="str">
            <v>Mid</v>
          </cell>
          <cell r="AC523" t="str">
            <v>High</v>
          </cell>
          <cell r="AD523">
            <v>714</v>
          </cell>
        </row>
        <row r="524">
          <cell r="A524">
            <v>37</v>
          </cell>
          <cell r="B524" t="str">
            <v>No</v>
          </cell>
          <cell r="C524" t="str">
            <v>Research &amp; Development</v>
          </cell>
          <cell r="D524">
            <v>10</v>
          </cell>
          <cell r="E524">
            <v>2</v>
          </cell>
          <cell r="F524" t="str">
            <v>Life Sciences</v>
          </cell>
          <cell r="G524">
            <v>4</v>
          </cell>
          <cell r="H524" t="str">
            <v>Male</v>
          </cell>
          <cell r="I524">
            <v>4</v>
          </cell>
          <cell r="J524">
            <v>1</v>
          </cell>
          <cell r="K524" t="str">
            <v>Research Scientist</v>
          </cell>
          <cell r="L524">
            <v>4</v>
          </cell>
          <cell r="M524" t="str">
            <v>Single</v>
          </cell>
          <cell r="N524">
            <v>4680</v>
          </cell>
          <cell r="O524">
            <v>3</v>
          </cell>
          <cell r="P524" t="str">
            <v>No</v>
          </cell>
          <cell r="Q524">
            <v>1</v>
          </cell>
          <cell r="R524">
            <v>4</v>
          </cell>
          <cell r="S524">
            <v>3</v>
          </cell>
          <cell r="T524">
            <v>1</v>
          </cell>
          <cell r="U524">
            <v>0</v>
          </cell>
          <cell r="V524">
            <v>0</v>
          </cell>
          <cell r="W524">
            <v>0</v>
          </cell>
          <cell r="X524">
            <v>17</v>
          </cell>
          <cell r="Y524">
            <v>0</v>
          </cell>
          <cell r="Z524" t="str">
            <v>Mid</v>
          </cell>
          <cell r="AA524" t="str">
            <v>Low</v>
          </cell>
          <cell r="AB524" t="str">
            <v>Early</v>
          </cell>
          <cell r="AC524" t="str">
            <v>Medium</v>
          </cell>
          <cell r="AD524">
            <v>715</v>
          </cell>
        </row>
        <row r="525">
          <cell r="A525">
            <v>50</v>
          </cell>
          <cell r="B525" t="str">
            <v>No</v>
          </cell>
          <cell r="C525" t="str">
            <v>Research &amp; Development</v>
          </cell>
          <cell r="D525">
            <v>28</v>
          </cell>
          <cell r="E525">
            <v>1</v>
          </cell>
          <cell r="F525" t="str">
            <v>Medical</v>
          </cell>
          <cell r="G525">
            <v>4</v>
          </cell>
          <cell r="H525" t="str">
            <v>Male</v>
          </cell>
          <cell r="I525">
            <v>4</v>
          </cell>
          <cell r="J525">
            <v>1</v>
          </cell>
          <cell r="K525" t="str">
            <v>Laboratory Technician</v>
          </cell>
          <cell r="L525">
            <v>3</v>
          </cell>
          <cell r="M525" t="str">
            <v>Married</v>
          </cell>
          <cell r="N525">
            <v>3221</v>
          </cell>
          <cell r="O525">
            <v>1</v>
          </cell>
          <cell r="P525" t="str">
            <v>Yes</v>
          </cell>
          <cell r="Q525">
            <v>3</v>
          </cell>
          <cell r="R525">
            <v>20</v>
          </cell>
          <cell r="S525">
            <v>3</v>
          </cell>
          <cell r="T525">
            <v>20</v>
          </cell>
          <cell r="U525">
            <v>8</v>
          </cell>
          <cell r="V525">
            <v>3</v>
          </cell>
          <cell r="W525">
            <v>8</v>
          </cell>
          <cell r="X525">
            <v>11</v>
          </cell>
          <cell r="Y525">
            <v>0</v>
          </cell>
          <cell r="Z525" t="str">
            <v>Senior</v>
          </cell>
          <cell r="AA525" t="str">
            <v>Low</v>
          </cell>
          <cell r="AB525" t="str">
            <v>Long</v>
          </cell>
          <cell r="AC525" t="str">
            <v>Low</v>
          </cell>
          <cell r="AD525">
            <v>716</v>
          </cell>
        </row>
        <row r="526">
          <cell r="A526">
            <v>34</v>
          </cell>
          <cell r="B526" t="str">
            <v>No</v>
          </cell>
          <cell r="C526" t="str">
            <v>Research &amp; Development</v>
          </cell>
          <cell r="D526">
            <v>9</v>
          </cell>
          <cell r="E526">
            <v>3</v>
          </cell>
          <cell r="F526" t="str">
            <v>Medical</v>
          </cell>
          <cell r="G526">
            <v>4</v>
          </cell>
          <cell r="H526" t="str">
            <v>Female</v>
          </cell>
          <cell r="I526">
            <v>2</v>
          </cell>
          <cell r="J526">
            <v>3</v>
          </cell>
          <cell r="K526" t="str">
            <v>Healthcare Representative</v>
          </cell>
          <cell r="L526">
            <v>2</v>
          </cell>
          <cell r="M526" t="str">
            <v>Single</v>
          </cell>
          <cell r="N526">
            <v>8621</v>
          </cell>
          <cell r="O526">
            <v>1</v>
          </cell>
          <cell r="P526" t="str">
            <v>No</v>
          </cell>
          <cell r="Q526">
            <v>2</v>
          </cell>
          <cell r="R526">
            <v>9</v>
          </cell>
          <cell r="S526">
            <v>4</v>
          </cell>
          <cell r="T526">
            <v>8</v>
          </cell>
          <cell r="U526">
            <v>7</v>
          </cell>
          <cell r="V526">
            <v>7</v>
          </cell>
          <cell r="W526">
            <v>7</v>
          </cell>
          <cell r="X526">
            <v>14</v>
          </cell>
          <cell r="Y526">
            <v>0</v>
          </cell>
          <cell r="Z526" t="str">
            <v>Mid</v>
          </cell>
          <cell r="AA526" t="str">
            <v>Medium</v>
          </cell>
          <cell r="AB526" t="str">
            <v>Long</v>
          </cell>
          <cell r="AC526" t="str">
            <v>Medium</v>
          </cell>
          <cell r="AD526">
            <v>717</v>
          </cell>
        </row>
        <row r="527">
          <cell r="A527">
            <v>24</v>
          </cell>
          <cell r="B527" t="str">
            <v>Yes</v>
          </cell>
          <cell r="C527" t="str">
            <v>Sales</v>
          </cell>
          <cell r="D527">
            <v>3</v>
          </cell>
          <cell r="E527">
            <v>2</v>
          </cell>
          <cell r="F527" t="str">
            <v>Life Sciences</v>
          </cell>
          <cell r="G527">
            <v>1</v>
          </cell>
          <cell r="H527" t="str">
            <v>Female</v>
          </cell>
          <cell r="I527">
            <v>3</v>
          </cell>
          <cell r="J527">
            <v>2</v>
          </cell>
          <cell r="K527" t="str">
            <v>Sales Executive</v>
          </cell>
          <cell r="L527">
            <v>3</v>
          </cell>
          <cell r="M527" t="str">
            <v>Single</v>
          </cell>
          <cell r="N527">
            <v>4577</v>
          </cell>
          <cell r="O527">
            <v>9</v>
          </cell>
          <cell r="P527" t="str">
            <v>No</v>
          </cell>
          <cell r="Q527">
            <v>1</v>
          </cell>
          <cell r="R527">
            <v>4</v>
          </cell>
          <cell r="S527">
            <v>3</v>
          </cell>
          <cell r="T527">
            <v>2</v>
          </cell>
          <cell r="U527">
            <v>2</v>
          </cell>
          <cell r="V527">
            <v>2</v>
          </cell>
          <cell r="W527">
            <v>0</v>
          </cell>
          <cell r="X527">
            <v>14</v>
          </cell>
          <cell r="Y527">
            <v>1</v>
          </cell>
          <cell r="Z527" t="str">
            <v>Young</v>
          </cell>
          <cell r="AA527" t="str">
            <v>Low</v>
          </cell>
          <cell r="AB527" t="str">
            <v>Early</v>
          </cell>
          <cell r="AC527" t="str">
            <v>Medium</v>
          </cell>
          <cell r="AD527">
            <v>720</v>
          </cell>
        </row>
        <row r="528">
          <cell r="A528">
            <v>39</v>
          </cell>
          <cell r="B528" t="str">
            <v>No</v>
          </cell>
          <cell r="C528" t="str">
            <v>Research &amp; Development</v>
          </cell>
          <cell r="D528">
            <v>2</v>
          </cell>
          <cell r="E528">
            <v>4</v>
          </cell>
          <cell r="F528" t="str">
            <v>Technical Degree</v>
          </cell>
          <cell r="G528">
            <v>4</v>
          </cell>
          <cell r="H528" t="str">
            <v>Female</v>
          </cell>
          <cell r="I528">
            <v>2</v>
          </cell>
          <cell r="J528">
            <v>2</v>
          </cell>
          <cell r="K528" t="str">
            <v>Healthcare Representative</v>
          </cell>
          <cell r="L528">
            <v>3</v>
          </cell>
          <cell r="M528" t="str">
            <v>Single</v>
          </cell>
          <cell r="N528">
            <v>4553</v>
          </cell>
          <cell r="O528">
            <v>1</v>
          </cell>
          <cell r="P528" t="str">
            <v>No</v>
          </cell>
          <cell r="Q528">
            <v>1</v>
          </cell>
          <cell r="R528">
            <v>20</v>
          </cell>
          <cell r="S528">
            <v>3</v>
          </cell>
          <cell r="T528">
            <v>20</v>
          </cell>
          <cell r="U528">
            <v>7</v>
          </cell>
          <cell r="V528">
            <v>11</v>
          </cell>
          <cell r="W528">
            <v>10</v>
          </cell>
          <cell r="X528">
            <v>11</v>
          </cell>
          <cell r="Y528">
            <v>0</v>
          </cell>
          <cell r="Z528" t="str">
            <v>Mid</v>
          </cell>
          <cell r="AA528" t="str">
            <v>Low</v>
          </cell>
          <cell r="AB528" t="str">
            <v>Long</v>
          </cell>
          <cell r="AC528" t="str">
            <v>Low</v>
          </cell>
          <cell r="AD528">
            <v>721</v>
          </cell>
        </row>
        <row r="529">
          <cell r="A529">
            <v>32</v>
          </cell>
          <cell r="B529" t="str">
            <v>No</v>
          </cell>
          <cell r="C529" t="str">
            <v>Sales</v>
          </cell>
          <cell r="D529">
            <v>10</v>
          </cell>
          <cell r="E529">
            <v>3</v>
          </cell>
          <cell r="F529" t="str">
            <v>Marketing</v>
          </cell>
          <cell r="G529">
            <v>4</v>
          </cell>
          <cell r="H529" t="str">
            <v>Male</v>
          </cell>
          <cell r="I529">
            <v>3</v>
          </cell>
          <cell r="J529">
            <v>2</v>
          </cell>
          <cell r="K529" t="str">
            <v>Sales Executive</v>
          </cell>
          <cell r="L529">
            <v>4</v>
          </cell>
          <cell r="M529" t="str">
            <v>Single</v>
          </cell>
          <cell r="N529">
            <v>5396</v>
          </cell>
          <cell r="O529">
            <v>1</v>
          </cell>
          <cell r="P529" t="str">
            <v>No</v>
          </cell>
          <cell r="Q529">
            <v>4</v>
          </cell>
          <cell r="R529">
            <v>10</v>
          </cell>
          <cell r="S529">
            <v>2</v>
          </cell>
          <cell r="T529">
            <v>10</v>
          </cell>
          <cell r="U529">
            <v>7</v>
          </cell>
          <cell r="V529">
            <v>0</v>
          </cell>
          <cell r="W529">
            <v>8</v>
          </cell>
          <cell r="X529">
            <v>12</v>
          </cell>
          <cell r="Y529">
            <v>0</v>
          </cell>
          <cell r="Z529" t="str">
            <v>Mid</v>
          </cell>
          <cell r="AA529" t="str">
            <v>Medium</v>
          </cell>
          <cell r="AB529" t="str">
            <v>Long</v>
          </cell>
          <cell r="AC529" t="str">
            <v>Low</v>
          </cell>
          <cell r="AD529">
            <v>722</v>
          </cell>
        </row>
        <row r="530">
          <cell r="A530">
            <v>50</v>
          </cell>
          <cell r="B530" t="str">
            <v>Yes</v>
          </cell>
          <cell r="C530" t="str">
            <v>Sales</v>
          </cell>
          <cell r="D530">
            <v>8</v>
          </cell>
          <cell r="E530">
            <v>2</v>
          </cell>
          <cell r="F530" t="str">
            <v>Technical Degree</v>
          </cell>
          <cell r="G530">
            <v>2</v>
          </cell>
          <cell r="H530" t="str">
            <v>Male</v>
          </cell>
          <cell r="I530">
            <v>3</v>
          </cell>
          <cell r="J530">
            <v>2</v>
          </cell>
          <cell r="K530" t="str">
            <v>Sales Executive</v>
          </cell>
          <cell r="L530">
            <v>3</v>
          </cell>
          <cell r="M530" t="str">
            <v>Married</v>
          </cell>
          <cell r="N530">
            <v>6796</v>
          </cell>
          <cell r="O530">
            <v>3</v>
          </cell>
          <cell r="P530" t="str">
            <v>Yes</v>
          </cell>
          <cell r="Q530">
            <v>1</v>
          </cell>
          <cell r="R530">
            <v>18</v>
          </cell>
          <cell r="S530">
            <v>3</v>
          </cell>
          <cell r="T530">
            <v>4</v>
          </cell>
          <cell r="U530">
            <v>3</v>
          </cell>
          <cell r="V530">
            <v>1</v>
          </cell>
          <cell r="W530">
            <v>3</v>
          </cell>
          <cell r="X530">
            <v>14</v>
          </cell>
          <cell r="Y530">
            <v>1</v>
          </cell>
          <cell r="Z530" t="str">
            <v>Senior</v>
          </cell>
          <cell r="AA530" t="str">
            <v>Medium</v>
          </cell>
          <cell r="AB530" t="str">
            <v>Mid</v>
          </cell>
          <cell r="AC530" t="str">
            <v>Medium</v>
          </cell>
          <cell r="AD530">
            <v>723</v>
          </cell>
        </row>
        <row r="531">
          <cell r="A531">
            <v>38</v>
          </cell>
          <cell r="B531" t="str">
            <v>No</v>
          </cell>
          <cell r="C531" t="str">
            <v>Research &amp; Development</v>
          </cell>
          <cell r="D531">
            <v>1</v>
          </cell>
          <cell r="E531">
            <v>4</v>
          </cell>
          <cell r="F531" t="str">
            <v>Life Sciences</v>
          </cell>
          <cell r="G531">
            <v>2</v>
          </cell>
          <cell r="H531" t="str">
            <v>Female</v>
          </cell>
          <cell r="I531">
            <v>4</v>
          </cell>
          <cell r="J531">
            <v>2</v>
          </cell>
          <cell r="K531" t="str">
            <v>Healthcare Representative</v>
          </cell>
          <cell r="L531">
            <v>4</v>
          </cell>
          <cell r="M531" t="str">
            <v>Single</v>
          </cell>
          <cell r="N531">
            <v>7625</v>
          </cell>
          <cell r="O531">
            <v>0</v>
          </cell>
          <cell r="P531" t="str">
            <v>No</v>
          </cell>
          <cell r="Q531">
            <v>3</v>
          </cell>
          <cell r="R531">
            <v>10</v>
          </cell>
          <cell r="S531">
            <v>2</v>
          </cell>
          <cell r="T531">
            <v>9</v>
          </cell>
          <cell r="U531">
            <v>7</v>
          </cell>
          <cell r="V531">
            <v>1</v>
          </cell>
          <cell r="W531">
            <v>8</v>
          </cell>
          <cell r="X531">
            <v>13</v>
          </cell>
          <cell r="Y531">
            <v>0</v>
          </cell>
          <cell r="Z531" t="str">
            <v>Mid</v>
          </cell>
          <cell r="AA531" t="str">
            <v>Medium</v>
          </cell>
          <cell r="AB531" t="str">
            <v>Long</v>
          </cell>
          <cell r="AC531" t="str">
            <v>Medium</v>
          </cell>
          <cell r="AD531">
            <v>724</v>
          </cell>
        </row>
        <row r="532">
          <cell r="A532">
            <v>27</v>
          </cell>
          <cell r="B532" t="str">
            <v>No</v>
          </cell>
          <cell r="C532" t="str">
            <v>Research &amp; Development</v>
          </cell>
          <cell r="D532">
            <v>1</v>
          </cell>
          <cell r="E532">
            <v>2</v>
          </cell>
          <cell r="F532" t="str">
            <v>Life Sciences</v>
          </cell>
          <cell r="G532">
            <v>3</v>
          </cell>
          <cell r="H532" t="str">
            <v>Female</v>
          </cell>
          <cell r="I532">
            <v>3</v>
          </cell>
          <cell r="J532">
            <v>3</v>
          </cell>
          <cell r="K532" t="str">
            <v>Manufacturing Director</v>
          </cell>
          <cell r="L532">
            <v>1</v>
          </cell>
          <cell r="M532" t="str">
            <v>Married</v>
          </cell>
          <cell r="N532">
            <v>7412</v>
          </cell>
          <cell r="O532">
            <v>1</v>
          </cell>
          <cell r="P532" t="str">
            <v>No</v>
          </cell>
          <cell r="Q532">
            <v>4</v>
          </cell>
          <cell r="R532">
            <v>9</v>
          </cell>
          <cell r="S532">
            <v>3</v>
          </cell>
          <cell r="T532">
            <v>9</v>
          </cell>
          <cell r="U532">
            <v>7</v>
          </cell>
          <cell r="V532">
            <v>0</v>
          </cell>
          <cell r="W532">
            <v>7</v>
          </cell>
          <cell r="X532">
            <v>11</v>
          </cell>
          <cell r="Y532">
            <v>0</v>
          </cell>
          <cell r="Z532" t="str">
            <v>Young</v>
          </cell>
          <cell r="AA532" t="str">
            <v>Medium</v>
          </cell>
          <cell r="AB532" t="str">
            <v>Long</v>
          </cell>
          <cell r="AC532" t="str">
            <v>Low</v>
          </cell>
          <cell r="AD532">
            <v>725</v>
          </cell>
        </row>
        <row r="533">
          <cell r="A533">
            <v>32</v>
          </cell>
          <cell r="B533" t="str">
            <v>No</v>
          </cell>
          <cell r="C533" t="str">
            <v>Research &amp; Development</v>
          </cell>
          <cell r="D533">
            <v>3</v>
          </cell>
          <cell r="E533">
            <v>2</v>
          </cell>
          <cell r="F533" t="str">
            <v>Life Sciences</v>
          </cell>
          <cell r="G533">
            <v>3</v>
          </cell>
          <cell r="H533" t="str">
            <v>Female</v>
          </cell>
          <cell r="I533">
            <v>3</v>
          </cell>
          <cell r="J533">
            <v>3</v>
          </cell>
          <cell r="K533" t="str">
            <v>Research Director</v>
          </cell>
          <cell r="L533">
            <v>4</v>
          </cell>
          <cell r="M533" t="str">
            <v>Single</v>
          </cell>
          <cell r="N533">
            <v>11159</v>
          </cell>
          <cell r="O533">
            <v>3</v>
          </cell>
          <cell r="P533" t="str">
            <v>No</v>
          </cell>
          <cell r="Q533">
            <v>4</v>
          </cell>
          <cell r="R533">
            <v>10</v>
          </cell>
          <cell r="S533">
            <v>3</v>
          </cell>
          <cell r="T533">
            <v>7</v>
          </cell>
          <cell r="U533">
            <v>7</v>
          </cell>
          <cell r="V533">
            <v>7</v>
          </cell>
          <cell r="W533">
            <v>7</v>
          </cell>
          <cell r="X533">
            <v>15</v>
          </cell>
          <cell r="Y533">
            <v>0</v>
          </cell>
          <cell r="Z533" t="str">
            <v>Mid</v>
          </cell>
          <cell r="AA533" t="str">
            <v>High</v>
          </cell>
          <cell r="AB533" t="str">
            <v>Long</v>
          </cell>
          <cell r="AC533" t="str">
            <v>Medium</v>
          </cell>
          <cell r="AD533">
            <v>727</v>
          </cell>
        </row>
        <row r="534">
          <cell r="A534">
            <v>47</v>
          </cell>
          <cell r="B534" t="str">
            <v>No</v>
          </cell>
          <cell r="C534" t="str">
            <v>Sales</v>
          </cell>
          <cell r="D534">
            <v>14</v>
          </cell>
          <cell r="E534">
            <v>4</v>
          </cell>
          <cell r="F534" t="str">
            <v>Marketing</v>
          </cell>
          <cell r="G534">
            <v>4</v>
          </cell>
          <cell r="H534" t="str">
            <v>Male</v>
          </cell>
          <cell r="I534">
            <v>3</v>
          </cell>
          <cell r="J534">
            <v>2</v>
          </cell>
          <cell r="K534" t="str">
            <v>Sales Executive</v>
          </cell>
          <cell r="L534">
            <v>1</v>
          </cell>
          <cell r="M534" t="str">
            <v>Single</v>
          </cell>
          <cell r="N534">
            <v>4960</v>
          </cell>
          <cell r="O534">
            <v>2</v>
          </cell>
          <cell r="P534" t="str">
            <v>No</v>
          </cell>
          <cell r="Q534">
            <v>4</v>
          </cell>
          <cell r="R534">
            <v>20</v>
          </cell>
          <cell r="S534">
            <v>3</v>
          </cell>
          <cell r="T534">
            <v>7</v>
          </cell>
          <cell r="U534">
            <v>7</v>
          </cell>
          <cell r="V534">
            <v>1</v>
          </cell>
          <cell r="W534">
            <v>7</v>
          </cell>
          <cell r="X534">
            <v>12</v>
          </cell>
          <cell r="Y534">
            <v>0</v>
          </cell>
          <cell r="Z534" t="str">
            <v>Senior</v>
          </cell>
          <cell r="AA534" t="str">
            <v>Low</v>
          </cell>
          <cell r="AB534" t="str">
            <v>Long</v>
          </cell>
          <cell r="AC534" t="str">
            <v>Low</v>
          </cell>
          <cell r="AD534">
            <v>728</v>
          </cell>
        </row>
        <row r="535">
          <cell r="A535">
            <v>40</v>
          </cell>
          <cell r="B535" t="str">
            <v>No</v>
          </cell>
          <cell r="C535" t="str">
            <v>Sales</v>
          </cell>
          <cell r="D535">
            <v>5</v>
          </cell>
          <cell r="E535">
            <v>4</v>
          </cell>
          <cell r="F535" t="str">
            <v>Life Sciences</v>
          </cell>
          <cell r="G535">
            <v>4</v>
          </cell>
          <cell r="H535" t="str">
            <v>Male</v>
          </cell>
          <cell r="I535">
            <v>2</v>
          </cell>
          <cell r="J535">
            <v>3</v>
          </cell>
          <cell r="K535" t="str">
            <v>Sales Executive</v>
          </cell>
          <cell r="L535">
            <v>1</v>
          </cell>
          <cell r="M535" t="str">
            <v>Married</v>
          </cell>
          <cell r="N535">
            <v>10475</v>
          </cell>
          <cell r="O535">
            <v>5</v>
          </cell>
          <cell r="P535" t="str">
            <v>Yes</v>
          </cell>
          <cell r="Q535">
            <v>3</v>
          </cell>
          <cell r="R535">
            <v>20</v>
          </cell>
          <cell r="S535">
            <v>3</v>
          </cell>
          <cell r="T535">
            <v>18</v>
          </cell>
          <cell r="U535">
            <v>13</v>
          </cell>
          <cell r="V535">
            <v>1</v>
          </cell>
          <cell r="W535">
            <v>12</v>
          </cell>
          <cell r="X535">
            <v>21</v>
          </cell>
          <cell r="Y535">
            <v>0</v>
          </cell>
          <cell r="Z535" t="str">
            <v>Mid</v>
          </cell>
          <cell r="AA535" t="str">
            <v>High</v>
          </cell>
          <cell r="AB535" t="str">
            <v>Long</v>
          </cell>
          <cell r="AC535" t="str">
            <v>High</v>
          </cell>
          <cell r="AD535">
            <v>729</v>
          </cell>
        </row>
        <row r="536">
          <cell r="A536">
            <v>53</v>
          </cell>
          <cell r="B536" t="str">
            <v>No</v>
          </cell>
          <cell r="C536" t="str">
            <v>Research &amp; Development</v>
          </cell>
          <cell r="D536">
            <v>7</v>
          </cell>
          <cell r="E536">
            <v>3</v>
          </cell>
          <cell r="F536" t="str">
            <v>Life Sciences</v>
          </cell>
          <cell r="G536">
            <v>3</v>
          </cell>
          <cell r="H536" t="str">
            <v>Male</v>
          </cell>
          <cell r="I536">
            <v>4</v>
          </cell>
          <cell r="J536">
            <v>4</v>
          </cell>
          <cell r="K536" t="str">
            <v>Research Director</v>
          </cell>
          <cell r="L536">
            <v>3</v>
          </cell>
          <cell r="M536" t="str">
            <v>Married</v>
          </cell>
          <cell r="N536">
            <v>14814</v>
          </cell>
          <cell r="O536">
            <v>3</v>
          </cell>
          <cell r="P536" t="str">
            <v>No</v>
          </cell>
          <cell r="Q536">
            <v>3</v>
          </cell>
          <cell r="R536">
            <v>32</v>
          </cell>
          <cell r="S536">
            <v>3</v>
          </cell>
          <cell r="T536">
            <v>5</v>
          </cell>
          <cell r="U536">
            <v>1</v>
          </cell>
          <cell r="V536">
            <v>1</v>
          </cell>
          <cell r="W536">
            <v>3</v>
          </cell>
          <cell r="X536">
            <v>19</v>
          </cell>
          <cell r="Y536">
            <v>0</v>
          </cell>
          <cell r="Z536" t="str">
            <v>Senior</v>
          </cell>
          <cell r="AA536" t="str">
            <v>High</v>
          </cell>
          <cell r="AB536" t="str">
            <v>Mid</v>
          </cell>
          <cell r="AC536" t="str">
            <v>High</v>
          </cell>
          <cell r="AD536">
            <v>730</v>
          </cell>
        </row>
        <row r="537">
          <cell r="A537">
            <v>41</v>
          </cell>
          <cell r="B537" t="str">
            <v>No</v>
          </cell>
          <cell r="C537" t="str">
            <v>Human Resources</v>
          </cell>
          <cell r="D537">
            <v>10</v>
          </cell>
          <cell r="E537">
            <v>4</v>
          </cell>
          <cell r="F537" t="str">
            <v>Human Resources</v>
          </cell>
          <cell r="G537">
            <v>2</v>
          </cell>
          <cell r="H537" t="str">
            <v>Male</v>
          </cell>
          <cell r="I537">
            <v>2</v>
          </cell>
          <cell r="J537">
            <v>5</v>
          </cell>
          <cell r="K537" t="str">
            <v>Manager</v>
          </cell>
          <cell r="L537">
            <v>4</v>
          </cell>
          <cell r="M537" t="str">
            <v>Divorced</v>
          </cell>
          <cell r="N537">
            <v>19141</v>
          </cell>
          <cell r="O537">
            <v>3</v>
          </cell>
          <cell r="P537" t="str">
            <v>No</v>
          </cell>
          <cell r="Q537">
            <v>2</v>
          </cell>
          <cell r="R537">
            <v>23</v>
          </cell>
          <cell r="S537">
            <v>2</v>
          </cell>
          <cell r="T537">
            <v>21</v>
          </cell>
          <cell r="U537">
            <v>6</v>
          </cell>
          <cell r="V537">
            <v>12</v>
          </cell>
          <cell r="W537">
            <v>6</v>
          </cell>
          <cell r="X537">
            <v>15</v>
          </cell>
          <cell r="Y537">
            <v>0</v>
          </cell>
          <cell r="Z537" t="str">
            <v>Mid</v>
          </cell>
          <cell r="AA537" t="str">
            <v>High</v>
          </cell>
          <cell r="AB537" t="str">
            <v>Long</v>
          </cell>
          <cell r="AC537" t="str">
            <v>Medium</v>
          </cell>
          <cell r="AD537">
            <v>731</v>
          </cell>
        </row>
        <row r="538">
          <cell r="A538">
            <v>60</v>
          </cell>
          <cell r="B538" t="str">
            <v>No</v>
          </cell>
          <cell r="C538" t="str">
            <v>Sales</v>
          </cell>
          <cell r="D538">
            <v>16</v>
          </cell>
          <cell r="E538">
            <v>4</v>
          </cell>
          <cell r="F538" t="str">
            <v>Marketing</v>
          </cell>
          <cell r="G538">
            <v>1</v>
          </cell>
          <cell r="H538" t="str">
            <v>Male</v>
          </cell>
          <cell r="I538">
            <v>3</v>
          </cell>
          <cell r="J538">
            <v>2</v>
          </cell>
          <cell r="K538" t="str">
            <v>Sales Executive</v>
          </cell>
          <cell r="L538">
            <v>1</v>
          </cell>
          <cell r="M538" t="str">
            <v>Single</v>
          </cell>
          <cell r="N538">
            <v>5405</v>
          </cell>
          <cell r="O538">
            <v>8</v>
          </cell>
          <cell r="P538" t="str">
            <v>No</v>
          </cell>
          <cell r="Q538">
            <v>4</v>
          </cell>
          <cell r="R538">
            <v>10</v>
          </cell>
          <cell r="S538">
            <v>3</v>
          </cell>
          <cell r="T538">
            <v>2</v>
          </cell>
          <cell r="U538">
            <v>2</v>
          </cell>
          <cell r="V538">
            <v>2</v>
          </cell>
          <cell r="W538">
            <v>2</v>
          </cell>
          <cell r="X538">
            <v>14</v>
          </cell>
          <cell r="Y538">
            <v>0</v>
          </cell>
          <cell r="Z538" t="str">
            <v>Senior</v>
          </cell>
          <cell r="AA538" t="str">
            <v>Medium</v>
          </cell>
          <cell r="AB538" t="str">
            <v>Early</v>
          </cell>
          <cell r="AC538" t="str">
            <v>Medium</v>
          </cell>
          <cell r="AD538">
            <v>732</v>
          </cell>
        </row>
        <row r="539">
          <cell r="A539">
            <v>27</v>
          </cell>
          <cell r="B539" t="str">
            <v>No</v>
          </cell>
          <cell r="C539" t="str">
            <v>Research &amp; Development</v>
          </cell>
          <cell r="D539">
            <v>10</v>
          </cell>
          <cell r="E539">
            <v>2</v>
          </cell>
          <cell r="F539" t="str">
            <v>Life Sciences</v>
          </cell>
          <cell r="G539">
            <v>4</v>
          </cell>
          <cell r="H539" t="str">
            <v>Male</v>
          </cell>
          <cell r="I539">
            <v>3</v>
          </cell>
          <cell r="J539">
            <v>3</v>
          </cell>
          <cell r="K539" t="str">
            <v>Manufacturing Director</v>
          </cell>
          <cell r="L539">
            <v>1</v>
          </cell>
          <cell r="M539" t="str">
            <v>Divorced</v>
          </cell>
          <cell r="N539">
            <v>8793</v>
          </cell>
          <cell r="O539">
            <v>1</v>
          </cell>
          <cell r="P539" t="str">
            <v>No</v>
          </cell>
          <cell r="Q539">
            <v>3</v>
          </cell>
          <cell r="R539">
            <v>9</v>
          </cell>
          <cell r="S539">
            <v>2</v>
          </cell>
          <cell r="T539">
            <v>9</v>
          </cell>
          <cell r="U539">
            <v>7</v>
          </cell>
          <cell r="V539">
            <v>1</v>
          </cell>
          <cell r="W539">
            <v>7</v>
          </cell>
          <cell r="X539">
            <v>21</v>
          </cell>
          <cell r="Y539">
            <v>0</v>
          </cell>
          <cell r="Z539" t="str">
            <v>Young</v>
          </cell>
          <cell r="AA539" t="str">
            <v>Medium</v>
          </cell>
          <cell r="AB539" t="str">
            <v>Long</v>
          </cell>
          <cell r="AC539" t="str">
            <v>High</v>
          </cell>
          <cell r="AD539">
            <v>733</v>
          </cell>
        </row>
        <row r="540">
          <cell r="A540">
            <v>41</v>
          </cell>
          <cell r="B540" t="str">
            <v>No</v>
          </cell>
          <cell r="C540" t="str">
            <v>Human Resources</v>
          </cell>
          <cell r="D540">
            <v>1</v>
          </cell>
          <cell r="E540">
            <v>3</v>
          </cell>
          <cell r="F540" t="str">
            <v>Human Resources</v>
          </cell>
          <cell r="G540">
            <v>4</v>
          </cell>
          <cell r="H540" t="str">
            <v>Male</v>
          </cell>
          <cell r="I540">
            <v>2</v>
          </cell>
          <cell r="J540">
            <v>5</v>
          </cell>
          <cell r="K540" t="str">
            <v>Manager</v>
          </cell>
          <cell r="L540">
            <v>3</v>
          </cell>
          <cell r="M540" t="str">
            <v>Married</v>
          </cell>
          <cell r="N540">
            <v>19189</v>
          </cell>
          <cell r="O540">
            <v>1</v>
          </cell>
          <cell r="P540" t="str">
            <v>No</v>
          </cell>
          <cell r="Q540">
            <v>2</v>
          </cell>
          <cell r="R540">
            <v>22</v>
          </cell>
          <cell r="S540">
            <v>3</v>
          </cell>
          <cell r="T540">
            <v>22</v>
          </cell>
          <cell r="U540">
            <v>7</v>
          </cell>
          <cell r="V540">
            <v>2</v>
          </cell>
          <cell r="W540">
            <v>10</v>
          </cell>
          <cell r="X540">
            <v>12</v>
          </cell>
          <cell r="Y540">
            <v>0</v>
          </cell>
          <cell r="Z540" t="str">
            <v>Mid</v>
          </cell>
          <cell r="AA540" t="str">
            <v>High</v>
          </cell>
          <cell r="AB540" t="str">
            <v>Long</v>
          </cell>
          <cell r="AC540" t="str">
            <v>Low</v>
          </cell>
          <cell r="AD540">
            <v>734</v>
          </cell>
        </row>
        <row r="541">
          <cell r="A541">
            <v>50</v>
          </cell>
          <cell r="B541" t="str">
            <v>No</v>
          </cell>
          <cell r="C541" t="str">
            <v>Sales</v>
          </cell>
          <cell r="D541">
            <v>8</v>
          </cell>
          <cell r="E541">
            <v>4</v>
          </cell>
          <cell r="F541" t="str">
            <v>Marketing</v>
          </cell>
          <cell r="G541">
            <v>4</v>
          </cell>
          <cell r="H541" t="str">
            <v>Male</v>
          </cell>
          <cell r="I541">
            <v>3</v>
          </cell>
          <cell r="J541">
            <v>1</v>
          </cell>
          <cell r="K541" t="str">
            <v>Sales Representative</v>
          </cell>
          <cell r="L541">
            <v>2</v>
          </cell>
          <cell r="M541" t="str">
            <v>Married</v>
          </cell>
          <cell r="N541">
            <v>3875</v>
          </cell>
          <cell r="O541">
            <v>7</v>
          </cell>
          <cell r="P541" t="str">
            <v>No</v>
          </cell>
          <cell r="Q541">
            <v>4</v>
          </cell>
          <cell r="R541">
            <v>4</v>
          </cell>
          <cell r="S541">
            <v>3</v>
          </cell>
          <cell r="T541">
            <v>2</v>
          </cell>
          <cell r="U541">
            <v>2</v>
          </cell>
          <cell r="V541">
            <v>2</v>
          </cell>
          <cell r="W541">
            <v>2</v>
          </cell>
          <cell r="X541">
            <v>15</v>
          </cell>
          <cell r="Y541">
            <v>0</v>
          </cell>
          <cell r="Z541" t="str">
            <v>Senior</v>
          </cell>
          <cell r="AA541" t="str">
            <v>Low</v>
          </cell>
          <cell r="AB541" t="str">
            <v>Early</v>
          </cell>
          <cell r="AC541" t="str">
            <v>Medium</v>
          </cell>
          <cell r="AD541">
            <v>738</v>
          </cell>
        </row>
        <row r="542">
          <cell r="A542">
            <v>28</v>
          </cell>
          <cell r="B542" t="str">
            <v>Yes</v>
          </cell>
          <cell r="C542" t="str">
            <v>Research &amp; Development</v>
          </cell>
          <cell r="D542">
            <v>1</v>
          </cell>
          <cell r="E542">
            <v>2</v>
          </cell>
          <cell r="F542" t="str">
            <v>Life Sciences</v>
          </cell>
          <cell r="G542">
            <v>1</v>
          </cell>
          <cell r="H542" t="str">
            <v>Female</v>
          </cell>
          <cell r="I542">
            <v>1</v>
          </cell>
          <cell r="J542">
            <v>1</v>
          </cell>
          <cell r="K542" t="str">
            <v>Research Scientist</v>
          </cell>
          <cell r="L542">
            <v>2</v>
          </cell>
          <cell r="M542" t="str">
            <v>Single</v>
          </cell>
          <cell r="N542">
            <v>2216</v>
          </cell>
          <cell r="O542">
            <v>7</v>
          </cell>
          <cell r="P542" t="str">
            <v>Yes</v>
          </cell>
          <cell r="Q542">
            <v>4</v>
          </cell>
          <cell r="R542">
            <v>10</v>
          </cell>
          <cell r="S542">
            <v>3</v>
          </cell>
          <cell r="T542">
            <v>7</v>
          </cell>
          <cell r="U542">
            <v>7</v>
          </cell>
          <cell r="V542">
            <v>3</v>
          </cell>
          <cell r="W542">
            <v>7</v>
          </cell>
          <cell r="X542">
            <v>13</v>
          </cell>
          <cell r="Y542">
            <v>1</v>
          </cell>
          <cell r="Z542" t="str">
            <v>Young</v>
          </cell>
          <cell r="AA542" t="str">
            <v>Low</v>
          </cell>
          <cell r="AB542" t="str">
            <v>Long</v>
          </cell>
          <cell r="AC542" t="str">
            <v>Medium</v>
          </cell>
          <cell r="AD542">
            <v>741</v>
          </cell>
        </row>
        <row r="543">
          <cell r="A543">
            <v>36</v>
          </cell>
          <cell r="B543" t="str">
            <v>No</v>
          </cell>
          <cell r="C543" t="str">
            <v>Research &amp; Development</v>
          </cell>
          <cell r="D543">
            <v>8</v>
          </cell>
          <cell r="E543">
            <v>3</v>
          </cell>
          <cell r="F543" t="str">
            <v>Life Sciences</v>
          </cell>
          <cell r="G543">
            <v>1</v>
          </cell>
          <cell r="H543" t="str">
            <v>Female</v>
          </cell>
          <cell r="I543">
            <v>4</v>
          </cell>
          <cell r="J543">
            <v>3</v>
          </cell>
          <cell r="K543" t="str">
            <v>Research Director</v>
          </cell>
          <cell r="L543">
            <v>1</v>
          </cell>
          <cell r="M543" t="str">
            <v>Married</v>
          </cell>
          <cell r="N543">
            <v>11713</v>
          </cell>
          <cell r="O543">
            <v>9</v>
          </cell>
          <cell r="P543" t="str">
            <v>No</v>
          </cell>
          <cell r="Q543">
            <v>1</v>
          </cell>
          <cell r="R543">
            <v>10</v>
          </cell>
          <cell r="S543">
            <v>3</v>
          </cell>
          <cell r="T543">
            <v>8</v>
          </cell>
          <cell r="U543">
            <v>7</v>
          </cell>
          <cell r="V543">
            <v>0</v>
          </cell>
          <cell r="W543">
            <v>5</v>
          </cell>
          <cell r="X543">
            <v>14</v>
          </cell>
          <cell r="Y543">
            <v>0</v>
          </cell>
          <cell r="Z543" t="str">
            <v>Mid</v>
          </cell>
          <cell r="AA543" t="str">
            <v>High</v>
          </cell>
          <cell r="AB543" t="str">
            <v>Long</v>
          </cell>
          <cell r="AC543" t="str">
            <v>Medium</v>
          </cell>
          <cell r="AD543">
            <v>742</v>
          </cell>
        </row>
        <row r="544">
          <cell r="A544">
            <v>38</v>
          </cell>
          <cell r="B544" t="str">
            <v>No</v>
          </cell>
          <cell r="C544" t="str">
            <v>Research &amp; Development</v>
          </cell>
          <cell r="D544">
            <v>1</v>
          </cell>
          <cell r="E544">
            <v>3</v>
          </cell>
          <cell r="F544" t="str">
            <v>Life Sciences</v>
          </cell>
          <cell r="G544">
            <v>3</v>
          </cell>
          <cell r="H544" t="str">
            <v>Female</v>
          </cell>
          <cell r="I544">
            <v>3</v>
          </cell>
          <cell r="J544">
            <v>3</v>
          </cell>
          <cell r="K544" t="str">
            <v>Manufacturing Director</v>
          </cell>
          <cell r="L544">
            <v>3</v>
          </cell>
          <cell r="M544" t="str">
            <v>Single</v>
          </cell>
          <cell r="N544">
            <v>7861</v>
          </cell>
          <cell r="O544">
            <v>4</v>
          </cell>
          <cell r="P544" t="str">
            <v>Yes</v>
          </cell>
          <cell r="Q544">
            <v>4</v>
          </cell>
          <cell r="R544">
            <v>10</v>
          </cell>
          <cell r="S544">
            <v>4</v>
          </cell>
          <cell r="T544">
            <v>1</v>
          </cell>
          <cell r="U544">
            <v>0</v>
          </cell>
          <cell r="V544">
            <v>0</v>
          </cell>
          <cell r="W544">
            <v>0</v>
          </cell>
          <cell r="X544">
            <v>14</v>
          </cell>
          <cell r="Y544">
            <v>0</v>
          </cell>
          <cell r="Z544" t="str">
            <v>Mid</v>
          </cell>
          <cell r="AA544" t="str">
            <v>Medium</v>
          </cell>
          <cell r="AB544" t="str">
            <v>Early</v>
          </cell>
          <cell r="AC544" t="str">
            <v>Medium</v>
          </cell>
          <cell r="AD544">
            <v>743</v>
          </cell>
        </row>
        <row r="545">
          <cell r="A545">
            <v>44</v>
          </cell>
          <cell r="B545" t="str">
            <v>No</v>
          </cell>
          <cell r="C545" t="str">
            <v>Research &amp; Development</v>
          </cell>
          <cell r="D545">
            <v>24</v>
          </cell>
          <cell r="E545">
            <v>3</v>
          </cell>
          <cell r="F545" t="str">
            <v>Medical</v>
          </cell>
          <cell r="G545">
            <v>1</v>
          </cell>
          <cell r="H545" t="str">
            <v>Male</v>
          </cell>
          <cell r="I545">
            <v>1</v>
          </cell>
          <cell r="J545">
            <v>1</v>
          </cell>
          <cell r="K545" t="str">
            <v>Laboratory Technician</v>
          </cell>
          <cell r="L545">
            <v>3</v>
          </cell>
          <cell r="M545" t="str">
            <v>Single</v>
          </cell>
          <cell r="N545">
            <v>3708</v>
          </cell>
          <cell r="O545">
            <v>2</v>
          </cell>
          <cell r="P545" t="str">
            <v>No</v>
          </cell>
          <cell r="Q545">
            <v>3</v>
          </cell>
          <cell r="R545">
            <v>9</v>
          </cell>
          <cell r="S545">
            <v>3</v>
          </cell>
          <cell r="T545">
            <v>5</v>
          </cell>
          <cell r="U545">
            <v>2</v>
          </cell>
          <cell r="V545">
            <v>1</v>
          </cell>
          <cell r="W545">
            <v>4</v>
          </cell>
          <cell r="X545">
            <v>14</v>
          </cell>
          <cell r="Y545">
            <v>0</v>
          </cell>
          <cell r="Z545" t="str">
            <v>Mid</v>
          </cell>
          <cell r="AA545" t="str">
            <v>Low</v>
          </cell>
          <cell r="AB545" t="str">
            <v>Mid</v>
          </cell>
          <cell r="AC545" t="str">
            <v>Medium</v>
          </cell>
          <cell r="AD545">
            <v>744</v>
          </cell>
        </row>
        <row r="546">
          <cell r="A546">
            <v>47</v>
          </cell>
          <cell r="B546" t="str">
            <v>No</v>
          </cell>
          <cell r="C546" t="str">
            <v>Sales</v>
          </cell>
          <cell r="D546">
            <v>3</v>
          </cell>
          <cell r="E546">
            <v>3</v>
          </cell>
          <cell r="F546" t="str">
            <v>Medical</v>
          </cell>
          <cell r="G546">
            <v>4</v>
          </cell>
          <cell r="H546" t="str">
            <v>Female</v>
          </cell>
          <cell r="I546">
            <v>3</v>
          </cell>
          <cell r="J546">
            <v>4</v>
          </cell>
          <cell r="K546" t="str">
            <v>Sales Executive</v>
          </cell>
          <cell r="L546">
            <v>3</v>
          </cell>
          <cell r="M546" t="str">
            <v>Divorced</v>
          </cell>
          <cell r="N546">
            <v>13770</v>
          </cell>
          <cell r="O546">
            <v>9</v>
          </cell>
          <cell r="P546" t="str">
            <v>Yes</v>
          </cell>
          <cell r="Q546">
            <v>4</v>
          </cell>
          <cell r="R546">
            <v>28</v>
          </cell>
          <cell r="S546">
            <v>2</v>
          </cell>
          <cell r="T546">
            <v>22</v>
          </cell>
          <cell r="U546">
            <v>2</v>
          </cell>
          <cell r="V546">
            <v>11</v>
          </cell>
          <cell r="W546">
            <v>13</v>
          </cell>
          <cell r="X546">
            <v>12</v>
          </cell>
          <cell r="Y546">
            <v>0</v>
          </cell>
          <cell r="Z546" t="str">
            <v>Senior</v>
          </cell>
          <cell r="AA546" t="str">
            <v>High</v>
          </cell>
          <cell r="AB546" t="str">
            <v>Long</v>
          </cell>
          <cell r="AC546" t="str">
            <v>Low</v>
          </cell>
          <cell r="AD546">
            <v>746</v>
          </cell>
        </row>
        <row r="547">
          <cell r="A547">
            <v>30</v>
          </cell>
          <cell r="B547" t="str">
            <v>No</v>
          </cell>
          <cell r="C547" t="str">
            <v>Sales</v>
          </cell>
          <cell r="D547">
            <v>27</v>
          </cell>
          <cell r="E547">
            <v>5</v>
          </cell>
          <cell r="F547" t="str">
            <v>Marketing</v>
          </cell>
          <cell r="G547">
            <v>3</v>
          </cell>
          <cell r="H547" t="str">
            <v>Male</v>
          </cell>
          <cell r="I547">
            <v>3</v>
          </cell>
          <cell r="J547">
            <v>2</v>
          </cell>
          <cell r="K547" t="str">
            <v>Sales Executive</v>
          </cell>
          <cell r="L547">
            <v>4</v>
          </cell>
          <cell r="M547" t="str">
            <v>Divorced</v>
          </cell>
          <cell r="N547">
            <v>5304</v>
          </cell>
          <cell r="O547">
            <v>7</v>
          </cell>
          <cell r="P547" t="str">
            <v>No</v>
          </cell>
          <cell r="Q547">
            <v>4</v>
          </cell>
          <cell r="R547">
            <v>10</v>
          </cell>
          <cell r="S547">
            <v>2</v>
          </cell>
          <cell r="T547">
            <v>8</v>
          </cell>
          <cell r="U547">
            <v>7</v>
          </cell>
          <cell r="V547">
            <v>7</v>
          </cell>
          <cell r="W547">
            <v>7</v>
          </cell>
          <cell r="X547">
            <v>23</v>
          </cell>
          <cell r="Y547">
            <v>0</v>
          </cell>
          <cell r="Z547" t="str">
            <v>Mid</v>
          </cell>
          <cell r="AA547" t="str">
            <v>Medium</v>
          </cell>
          <cell r="AB547" t="str">
            <v>Long</v>
          </cell>
          <cell r="AC547" t="str">
            <v>High</v>
          </cell>
          <cell r="AD547">
            <v>747</v>
          </cell>
        </row>
        <row r="548">
          <cell r="A548">
            <v>29</v>
          </cell>
          <cell r="B548" t="str">
            <v>No</v>
          </cell>
          <cell r="C548" t="str">
            <v>Sales</v>
          </cell>
          <cell r="D548">
            <v>10</v>
          </cell>
          <cell r="E548">
            <v>3</v>
          </cell>
          <cell r="F548" t="str">
            <v>Life Sciences</v>
          </cell>
          <cell r="G548">
            <v>3</v>
          </cell>
          <cell r="H548" t="str">
            <v>Male</v>
          </cell>
          <cell r="I548">
            <v>3</v>
          </cell>
          <cell r="J548">
            <v>1</v>
          </cell>
          <cell r="K548" t="str">
            <v>Sales Representative</v>
          </cell>
          <cell r="L548">
            <v>3</v>
          </cell>
          <cell r="M548" t="str">
            <v>Single</v>
          </cell>
          <cell r="N548">
            <v>2642</v>
          </cell>
          <cell r="O548">
            <v>1</v>
          </cell>
          <cell r="P548" t="str">
            <v>No</v>
          </cell>
          <cell r="Q548">
            <v>3</v>
          </cell>
          <cell r="R548">
            <v>1</v>
          </cell>
          <cell r="S548">
            <v>3</v>
          </cell>
          <cell r="T548">
            <v>1</v>
          </cell>
          <cell r="U548">
            <v>0</v>
          </cell>
          <cell r="V548">
            <v>0</v>
          </cell>
          <cell r="W548">
            <v>0</v>
          </cell>
          <cell r="X548">
            <v>11</v>
          </cell>
          <cell r="Y548">
            <v>0</v>
          </cell>
          <cell r="Z548" t="str">
            <v>Young</v>
          </cell>
          <cell r="AA548" t="str">
            <v>Low</v>
          </cell>
          <cell r="AB548" t="str">
            <v>Early</v>
          </cell>
          <cell r="AC548" t="str">
            <v>Low</v>
          </cell>
          <cell r="AD548">
            <v>749</v>
          </cell>
        </row>
        <row r="549">
          <cell r="A549">
            <v>42</v>
          </cell>
          <cell r="B549" t="str">
            <v>Yes</v>
          </cell>
          <cell r="C549" t="str">
            <v>Research &amp; Development</v>
          </cell>
          <cell r="D549">
            <v>19</v>
          </cell>
          <cell r="E549">
            <v>3</v>
          </cell>
          <cell r="F549" t="str">
            <v>Medical</v>
          </cell>
          <cell r="G549">
            <v>3</v>
          </cell>
          <cell r="H549" t="str">
            <v>Male</v>
          </cell>
          <cell r="I549">
            <v>4</v>
          </cell>
          <cell r="J549">
            <v>1</v>
          </cell>
          <cell r="K549" t="str">
            <v>Research Scientist</v>
          </cell>
          <cell r="L549">
            <v>3</v>
          </cell>
          <cell r="M549" t="str">
            <v>Divorced</v>
          </cell>
          <cell r="N549">
            <v>2759</v>
          </cell>
          <cell r="O549">
            <v>6</v>
          </cell>
          <cell r="P549" t="str">
            <v>Yes</v>
          </cell>
          <cell r="Q549">
            <v>4</v>
          </cell>
          <cell r="R549">
            <v>7</v>
          </cell>
          <cell r="S549">
            <v>3</v>
          </cell>
          <cell r="T549">
            <v>2</v>
          </cell>
          <cell r="U549">
            <v>2</v>
          </cell>
          <cell r="V549">
            <v>2</v>
          </cell>
          <cell r="W549">
            <v>2</v>
          </cell>
          <cell r="X549">
            <v>12</v>
          </cell>
          <cell r="Y549">
            <v>1</v>
          </cell>
          <cell r="Z549" t="str">
            <v>Mid</v>
          </cell>
          <cell r="AA549" t="str">
            <v>Low</v>
          </cell>
          <cell r="AB549" t="str">
            <v>Early</v>
          </cell>
          <cell r="AC549" t="str">
            <v>Low</v>
          </cell>
          <cell r="AD549">
            <v>752</v>
          </cell>
        </row>
        <row r="550">
          <cell r="A550">
            <v>43</v>
          </cell>
          <cell r="B550" t="str">
            <v>No</v>
          </cell>
          <cell r="C550" t="str">
            <v>Sales</v>
          </cell>
          <cell r="D550">
            <v>15</v>
          </cell>
          <cell r="E550">
            <v>3</v>
          </cell>
          <cell r="F550" t="str">
            <v>Life Sciences</v>
          </cell>
          <cell r="G550">
            <v>4</v>
          </cell>
          <cell r="H550" t="str">
            <v>Male</v>
          </cell>
          <cell r="I550">
            <v>2</v>
          </cell>
          <cell r="J550">
            <v>2</v>
          </cell>
          <cell r="K550" t="str">
            <v>Sales Executive</v>
          </cell>
          <cell r="L550">
            <v>4</v>
          </cell>
          <cell r="M550" t="str">
            <v>Married</v>
          </cell>
          <cell r="N550">
            <v>6804</v>
          </cell>
          <cell r="O550">
            <v>3</v>
          </cell>
          <cell r="P550" t="str">
            <v>No</v>
          </cell>
          <cell r="Q550">
            <v>3</v>
          </cell>
          <cell r="R550">
            <v>7</v>
          </cell>
          <cell r="S550">
            <v>3</v>
          </cell>
          <cell r="T550">
            <v>2</v>
          </cell>
          <cell r="U550">
            <v>2</v>
          </cell>
          <cell r="V550">
            <v>2</v>
          </cell>
          <cell r="W550">
            <v>2</v>
          </cell>
          <cell r="X550">
            <v>18</v>
          </cell>
          <cell r="Y550">
            <v>0</v>
          </cell>
          <cell r="Z550" t="str">
            <v>Mid</v>
          </cell>
          <cell r="AA550" t="str">
            <v>Medium</v>
          </cell>
          <cell r="AB550" t="str">
            <v>Early</v>
          </cell>
          <cell r="AC550" t="str">
            <v>High</v>
          </cell>
          <cell r="AD550">
            <v>754</v>
          </cell>
        </row>
        <row r="551">
          <cell r="A551">
            <v>34</v>
          </cell>
          <cell r="B551" t="str">
            <v>No</v>
          </cell>
          <cell r="C551" t="str">
            <v>Research &amp; Development</v>
          </cell>
          <cell r="D551">
            <v>8</v>
          </cell>
          <cell r="E551">
            <v>2</v>
          </cell>
          <cell r="F551" t="str">
            <v>Medical</v>
          </cell>
          <cell r="G551">
            <v>2</v>
          </cell>
          <cell r="H551" t="str">
            <v>Female</v>
          </cell>
          <cell r="I551">
            <v>3</v>
          </cell>
          <cell r="J551">
            <v>2</v>
          </cell>
          <cell r="K551" t="str">
            <v>Healthcare Representative</v>
          </cell>
          <cell r="L551">
            <v>3</v>
          </cell>
          <cell r="M551" t="str">
            <v>Single</v>
          </cell>
          <cell r="N551">
            <v>6142</v>
          </cell>
          <cell r="O551">
            <v>3</v>
          </cell>
          <cell r="P551" t="str">
            <v>No</v>
          </cell>
          <cell r="Q551">
            <v>4</v>
          </cell>
          <cell r="R551">
            <v>10</v>
          </cell>
          <cell r="S551">
            <v>3</v>
          </cell>
          <cell r="T551">
            <v>5</v>
          </cell>
          <cell r="U551">
            <v>1</v>
          </cell>
          <cell r="V551">
            <v>4</v>
          </cell>
          <cell r="W551">
            <v>3</v>
          </cell>
          <cell r="X551">
            <v>11</v>
          </cell>
          <cell r="Y551">
            <v>0</v>
          </cell>
          <cell r="Z551" t="str">
            <v>Mid</v>
          </cell>
          <cell r="AA551" t="str">
            <v>Medium</v>
          </cell>
          <cell r="AB551" t="str">
            <v>Mid</v>
          </cell>
          <cell r="AC551" t="str">
            <v>Low</v>
          </cell>
          <cell r="AD551">
            <v>757</v>
          </cell>
        </row>
        <row r="552">
          <cell r="A552">
            <v>23</v>
          </cell>
          <cell r="B552" t="str">
            <v>No</v>
          </cell>
          <cell r="C552" t="str">
            <v>Research &amp; Development</v>
          </cell>
          <cell r="D552">
            <v>9</v>
          </cell>
          <cell r="E552">
            <v>1</v>
          </cell>
          <cell r="F552" t="str">
            <v>Medical</v>
          </cell>
          <cell r="G552">
            <v>2</v>
          </cell>
          <cell r="H552" t="str">
            <v>Male</v>
          </cell>
          <cell r="I552">
            <v>3</v>
          </cell>
          <cell r="J552">
            <v>1</v>
          </cell>
          <cell r="K552" t="str">
            <v>Laboratory Technician</v>
          </cell>
          <cell r="L552">
            <v>1</v>
          </cell>
          <cell r="M552" t="str">
            <v>Married</v>
          </cell>
          <cell r="N552">
            <v>2500</v>
          </cell>
          <cell r="O552">
            <v>1</v>
          </cell>
          <cell r="P552" t="str">
            <v>No</v>
          </cell>
          <cell r="Q552">
            <v>4</v>
          </cell>
          <cell r="R552">
            <v>5</v>
          </cell>
          <cell r="S552">
            <v>4</v>
          </cell>
          <cell r="T552">
            <v>4</v>
          </cell>
          <cell r="U552">
            <v>3</v>
          </cell>
          <cell r="V552">
            <v>0</v>
          </cell>
          <cell r="W552">
            <v>2</v>
          </cell>
          <cell r="X552">
            <v>14</v>
          </cell>
          <cell r="Y552">
            <v>0</v>
          </cell>
          <cell r="Z552" t="str">
            <v>Young</v>
          </cell>
          <cell r="AA552" t="str">
            <v>Low</v>
          </cell>
          <cell r="AB552" t="str">
            <v>Mid</v>
          </cell>
          <cell r="AC552" t="str">
            <v>Medium</v>
          </cell>
          <cell r="AD552">
            <v>758</v>
          </cell>
        </row>
        <row r="553">
          <cell r="A553">
            <v>39</v>
          </cell>
          <cell r="B553" t="str">
            <v>No</v>
          </cell>
          <cell r="C553" t="str">
            <v>Human Resources</v>
          </cell>
          <cell r="D553">
            <v>3</v>
          </cell>
          <cell r="E553">
            <v>3</v>
          </cell>
          <cell r="F553" t="str">
            <v>Human Resources</v>
          </cell>
          <cell r="G553">
            <v>3</v>
          </cell>
          <cell r="H553" t="str">
            <v>Female</v>
          </cell>
          <cell r="I553">
            <v>4</v>
          </cell>
          <cell r="J553">
            <v>2</v>
          </cell>
          <cell r="K553" t="str">
            <v>Human Resources</v>
          </cell>
          <cell r="L553">
            <v>2</v>
          </cell>
          <cell r="M553" t="str">
            <v>Married</v>
          </cell>
          <cell r="N553">
            <v>6389</v>
          </cell>
          <cell r="O553">
            <v>9</v>
          </cell>
          <cell r="P553" t="str">
            <v>No</v>
          </cell>
          <cell r="Q553">
            <v>3</v>
          </cell>
          <cell r="R553">
            <v>12</v>
          </cell>
          <cell r="S553">
            <v>1</v>
          </cell>
          <cell r="T553">
            <v>8</v>
          </cell>
          <cell r="U553">
            <v>3</v>
          </cell>
          <cell r="V553">
            <v>3</v>
          </cell>
          <cell r="W553">
            <v>6</v>
          </cell>
          <cell r="X553">
            <v>15</v>
          </cell>
          <cell r="Y553">
            <v>0</v>
          </cell>
          <cell r="Z553" t="str">
            <v>Mid</v>
          </cell>
          <cell r="AA553" t="str">
            <v>Medium</v>
          </cell>
          <cell r="AB553" t="str">
            <v>Long</v>
          </cell>
          <cell r="AC553" t="str">
            <v>Medium</v>
          </cell>
          <cell r="AD553">
            <v>760</v>
          </cell>
        </row>
        <row r="554">
          <cell r="A554">
            <v>56</v>
          </cell>
          <cell r="B554" t="str">
            <v>No</v>
          </cell>
          <cell r="C554" t="str">
            <v>Research &amp; Development</v>
          </cell>
          <cell r="D554">
            <v>9</v>
          </cell>
          <cell r="E554">
            <v>3</v>
          </cell>
          <cell r="F554" t="str">
            <v>Medical</v>
          </cell>
          <cell r="G554">
            <v>3</v>
          </cell>
          <cell r="H554" t="str">
            <v>Male</v>
          </cell>
          <cell r="I554">
            <v>3</v>
          </cell>
          <cell r="J554">
            <v>4</v>
          </cell>
          <cell r="K554" t="str">
            <v>Healthcare Representative</v>
          </cell>
          <cell r="L554">
            <v>4</v>
          </cell>
          <cell r="M554" t="str">
            <v>Married</v>
          </cell>
          <cell r="N554">
            <v>11103</v>
          </cell>
          <cell r="O554">
            <v>7</v>
          </cell>
          <cell r="P554" t="str">
            <v>No</v>
          </cell>
          <cell r="Q554">
            <v>3</v>
          </cell>
          <cell r="R554">
            <v>30</v>
          </cell>
          <cell r="S554">
            <v>2</v>
          </cell>
          <cell r="T554">
            <v>10</v>
          </cell>
          <cell r="U554">
            <v>7</v>
          </cell>
          <cell r="V554">
            <v>1</v>
          </cell>
          <cell r="W554">
            <v>1</v>
          </cell>
          <cell r="X554">
            <v>11</v>
          </cell>
          <cell r="Y554">
            <v>0</v>
          </cell>
          <cell r="Z554" t="str">
            <v>Senior</v>
          </cell>
          <cell r="AA554" t="str">
            <v>High</v>
          </cell>
          <cell r="AB554" t="str">
            <v>Long</v>
          </cell>
          <cell r="AC554" t="str">
            <v>Low</v>
          </cell>
          <cell r="AD554">
            <v>762</v>
          </cell>
        </row>
        <row r="555">
          <cell r="A555">
            <v>40</v>
          </cell>
          <cell r="B555" t="str">
            <v>No</v>
          </cell>
          <cell r="C555" t="str">
            <v>Research &amp; Development</v>
          </cell>
          <cell r="D555">
            <v>2</v>
          </cell>
          <cell r="E555">
            <v>1</v>
          </cell>
          <cell r="F555" t="str">
            <v>Medical</v>
          </cell>
          <cell r="G555">
            <v>4</v>
          </cell>
          <cell r="H555" t="str">
            <v>Female</v>
          </cell>
          <cell r="I555">
            <v>2</v>
          </cell>
          <cell r="J555">
            <v>1</v>
          </cell>
          <cell r="K555" t="str">
            <v>Research Scientist</v>
          </cell>
          <cell r="L555">
            <v>4</v>
          </cell>
          <cell r="M555" t="str">
            <v>Single</v>
          </cell>
          <cell r="N555">
            <v>2342</v>
          </cell>
          <cell r="O555">
            <v>0</v>
          </cell>
          <cell r="P555" t="str">
            <v>Yes</v>
          </cell>
          <cell r="Q555">
            <v>4</v>
          </cell>
          <cell r="R555">
            <v>5</v>
          </cell>
          <cell r="S555">
            <v>2</v>
          </cell>
          <cell r="T555">
            <v>4</v>
          </cell>
          <cell r="U555">
            <v>2</v>
          </cell>
          <cell r="V555">
            <v>2</v>
          </cell>
          <cell r="W555">
            <v>3</v>
          </cell>
          <cell r="X555">
            <v>20</v>
          </cell>
          <cell r="Y555">
            <v>0</v>
          </cell>
          <cell r="Z555" t="str">
            <v>Mid</v>
          </cell>
          <cell r="AA555" t="str">
            <v>Low</v>
          </cell>
          <cell r="AB555" t="str">
            <v>Mid</v>
          </cell>
          <cell r="AC555" t="str">
            <v>High</v>
          </cell>
          <cell r="AD555">
            <v>763</v>
          </cell>
        </row>
        <row r="556">
          <cell r="A556">
            <v>27</v>
          </cell>
          <cell r="B556" t="str">
            <v>No</v>
          </cell>
          <cell r="C556" t="str">
            <v>Research &amp; Development</v>
          </cell>
          <cell r="D556">
            <v>7</v>
          </cell>
          <cell r="E556">
            <v>3</v>
          </cell>
          <cell r="F556" t="str">
            <v>Medical</v>
          </cell>
          <cell r="G556">
            <v>4</v>
          </cell>
          <cell r="H556" t="str">
            <v>Female</v>
          </cell>
          <cell r="I556">
            <v>2</v>
          </cell>
          <cell r="J556">
            <v>2</v>
          </cell>
          <cell r="K556" t="str">
            <v>Healthcare Representative</v>
          </cell>
          <cell r="L556">
            <v>1</v>
          </cell>
          <cell r="M556" t="str">
            <v>Single</v>
          </cell>
          <cell r="N556">
            <v>6811</v>
          </cell>
          <cell r="O556">
            <v>8</v>
          </cell>
          <cell r="P556" t="str">
            <v>No</v>
          </cell>
          <cell r="Q556">
            <v>1</v>
          </cell>
          <cell r="R556">
            <v>9</v>
          </cell>
          <cell r="S556">
            <v>1</v>
          </cell>
          <cell r="T556">
            <v>7</v>
          </cell>
          <cell r="U556">
            <v>6</v>
          </cell>
          <cell r="V556">
            <v>0</v>
          </cell>
          <cell r="W556">
            <v>7</v>
          </cell>
          <cell r="X556">
            <v>19</v>
          </cell>
          <cell r="Y556">
            <v>0</v>
          </cell>
          <cell r="Z556" t="str">
            <v>Young</v>
          </cell>
          <cell r="AA556" t="str">
            <v>Medium</v>
          </cell>
          <cell r="AB556" t="str">
            <v>Long</v>
          </cell>
          <cell r="AC556" t="str">
            <v>High</v>
          </cell>
          <cell r="AD556">
            <v>764</v>
          </cell>
        </row>
        <row r="557">
          <cell r="A557">
            <v>29</v>
          </cell>
          <cell r="B557" t="str">
            <v>No</v>
          </cell>
          <cell r="C557" t="str">
            <v>Sales</v>
          </cell>
          <cell r="D557">
            <v>10</v>
          </cell>
          <cell r="E557">
            <v>3</v>
          </cell>
          <cell r="F557" t="str">
            <v>Marketing</v>
          </cell>
          <cell r="G557">
            <v>4</v>
          </cell>
          <cell r="H557" t="str">
            <v>Male</v>
          </cell>
          <cell r="I557">
            <v>3</v>
          </cell>
          <cell r="J557">
            <v>1</v>
          </cell>
          <cell r="K557" t="str">
            <v>Sales Representative</v>
          </cell>
          <cell r="L557">
            <v>2</v>
          </cell>
          <cell r="M557" t="str">
            <v>Divorced</v>
          </cell>
          <cell r="N557">
            <v>2297</v>
          </cell>
          <cell r="O557">
            <v>1</v>
          </cell>
          <cell r="P557" t="str">
            <v>No</v>
          </cell>
          <cell r="Q557">
            <v>4</v>
          </cell>
          <cell r="R557">
            <v>2</v>
          </cell>
          <cell r="S557">
            <v>3</v>
          </cell>
          <cell r="T557">
            <v>2</v>
          </cell>
          <cell r="U557">
            <v>2</v>
          </cell>
          <cell r="V557">
            <v>2</v>
          </cell>
          <cell r="W557">
            <v>2</v>
          </cell>
          <cell r="X557">
            <v>14</v>
          </cell>
          <cell r="Y557">
            <v>0</v>
          </cell>
          <cell r="Z557" t="str">
            <v>Young</v>
          </cell>
          <cell r="AA557" t="str">
            <v>Low</v>
          </cell>
          <cell r="AB557" t="str">
            <v>Early</v>
          </cell>
          <cell r="AC557" t="str">
            <v>Medium</v>
          </cell>
          <cell r="AD557">
            <v>766</v>
          </cell>
        </row>
        <row r="558">
          <cell r="A558">
            <v>53</v>
          </cell>
          <cell r="B558" t="str">
            <v>No</v>
          </cell>
          <cell r="C558" t="str">
            <v>Research &amp; Development</v>
          </cell>
          <cell r="D558">
            <v>6</v>
          </cell>
          <cell r="E558">
            <v>3</v>
          </cell>
          <cell r="F558" t="str">
            <v>Life Sciences</v>
          </cell>
          <cell r="G558">
            <v>4</v>
          </cell>
          <cell r="H558" t="str">
            <v>Male</v>
          </cell>
          <cell r="I558">
            <v>3</v>
          </cell>
          <cell r="J558">
            <v>2</v>
          </cell>
          <cell r="K558" t="str">
            <v>Laboratory Technician</v>
          </cell>
          <cell r="L558">
            <v>4</v>
          </cell>
          <cell r="M558" t="str">
            <v>Single</v>
          </cell>
          <cell r="N558">
            <v>2450</v>
          </cell>
          <cell r="O558">
            <v>2</v>
          </cell>
          <cell r="P558" t="str">
            <v>No</v>
          </cell>
          <cell r="Q558">
            <v>4</v>
          </cell>
          <cell r="R558">
            <v>19</v>
          </cell>
          <cell r="S558">
            <v>3</v>
          </cell>
          <cell r="T558">
            <v>2</v>
          </cell>
          <cell r="U558">
            <v>2</v>
          </cell>
          <cell r="V558">
            <v>2</v>
          </cell>
          <cell r="W558">
            <v>2</v>
          </cell>
          <cell r="X558">
            <v>17</v>
          </cell>
          <cell r="Y558">
            <v>0</v>
          </cell>
          <cell r="Z558" t="str">
            <v>Senior</v>
          </cell>
          <cell r="AA558" t="str">
            <v>Low</v>
          </cell>
          <cell r="AB558" t="str">
            <v>Early</v>
          </cell>
          <cell r="AC558" t="str">
            <v>Medium</v>
          </cell>
          <cell r="AD558">
            <v>769</v>
          </cell>
        </row>
        <row r="559">
          <cell r="A559">
            <v>35</v>
          </cell>
          <cell r="B559" t="str">
            <v>No</v>
          </cell>
          <cell r="C559" t="str">
            <v>Research &amp; Development</v>
          </cell>
          <cell r="D559">
            <v>2</v>
          </cell>
          <cell r="E559">
            <v>4</v>
          </cell>
          <cell r="F559" t="str">
            <v>Life Sciences</v>
          </cell>
          <cell r="G559">
            <v>4</v>
          </cell>
          <cell r="H559" t="str">
            <v>Female</v>
          </cell>
          <cell r="I559">
            <v>3</v>
          </cell>
          <cell r="J559">
            <v>2</v>
          </cell>
          <cell r="K559" t="str">
            <v>Healthcare Representative</v>
          </cell>
          <cell r="L559">
            <v>1</v>
          </cell>
          <cell r="M559" t="str">
            <v>Divorced</v>
          </cell>
          <cell r="N559">
            <v>5093</v>
          </cell>
          <cell r="O559">
            <v>2</v>
          </cell>
          <cell r="P559" t="str">
            <v>No</v>
          </cell>
          <cell r="Q559">
            <v>1</v>
          </cell>
          <cell r="R559">
            <v>16</v>
          </cell>
          <cell r="S559">
            <v>4</v>
          </cell>
          <cell r="T559">
            <v>1</v>
          </cell>
          <cell r="U559">
            <v>0</v>
          </cell>
          <cell r="V559">
            <v>0</v>
          </cell>
          <cell r="W559">
            <v>0</v>
          </cell>
          <cell r="X559">
            <v>11</v>
          </cell>
          <cell r="Y559">
            <v>0</v>
          </cell>
          <cell r="Z559" t="str">
            <v>Mid</v>
          </cell>
          <cell r="AA559" t="str">
            <v>Medium</v>
          </cell>
          <cell r="AB559" t="str">
            <v>Early</v>
          </cell>
          <cell r="AC559" t="str">
            <v>Low</v>
          </cell>
          <cell r="AD559">
            <v>771</v>
          </cell>
        </row>
        <row r="560">
          <cell r="A560">
            <v>32</v>
          </cell>
          <cell r="B560" t="str">
            <v>No</v>
          </cell>
          <cell r="C560" t="str">
            <v>Research &amp; Development</v>
          </cell>
          <cell r="D560">
            <v>24</v>
          </cell>
          <cell r="E560">
            <v>4</v>
          </cell>
          <cell r="F560" t="str">
            <v>Life Sciences</v>
          </cell>
          <cell r="G560">
            <v>1</v>
          </cell>
          <cell r="H560" t="str">
            <v>Male</v>
          </cell>
          <cell r="I560">
            <v>3</v>
          </cell>
          <cell r="J560">
            <v>2</v>
          </cell>
          <cell r="K560" t="str">
            <v>Laboratory Technician</v>
          </cell>
          <cell r="L560">
            <v>4</v>
          </cell>
          <cell r="M560" t="str">
            <v>Married</v>
          </cell>
          <cell r="N560">
            <v>5309</v>
          </cell>
          <cell r="O560">
            <v>1</v>
          </cell>
          <cell r="P560" t="str">
            <v>No</v>
          </cell>
          <cell r="Q560">
            <v>4</v>
          </cell>
          <cell r="R560">
            <v>10</v>
          </cell>
          <cell r="S560">
            <v>3</v>
          </cell>
          <cell r="T560">
            <v>10</v>
          </cell>
          <cell r="U560">
            <v>8</v>
          </cell>
          <cell r="V560">
            <v>4</v>
          </cell>
          <cell r="W560">
            <v>7</v>
          </cell>
          <cell r="X560">
            <v>15</v>
          </cell>
          <cell r="Y560">
            <v>0</v>
          </cell>
          <cell r="Z560" t="str">
            <v>Mid</v>
          </cell>
          <cell r="AA560" t="str">
            <v>Medium</v>
          </cell>
          <cell r="AB560" t="str">
            <v>Long</v>
          </cell>
          <cell r="AC560" t="str">
            <v>Medium</v>
          </cell>
          <cell r="AD560">
            <v>772</v>
          </cell>
        </row>
        <row r="561">
          <cell r="A561">
            <v>38</v>
          </cell>
          <cell r="B561" t="str">
            <v>No</v>
          </cell>
          <cell r="C561" t="str">
            <v>Research &amp; Development</v>
          </cell>
          <cell r="D561">
            <v>2</v>
          </cell>
          <cell r="E561">
            <v>5</v>
          </cell>
          <cell r="F561" t="str">
            <v>Medical</v>
          </cell>
          <cell r="G561">
            <v>4</v>
          </cell>
          <cell r="H561" t="str">
            <v>Male</v>
          </cell>
          <cell r="I561">
            <v>3</v>
          </cell>
          <cell r="J561">
            <v>1</v>
          </cell>
          <cell r="K561" t="str">
            <v>Research Scientist</v>
          </cell>
          <cell r="L561">
            <v>3</v>
          </cell>
          <cell r="M561" t="str">
            <v>Married</v>
          </cell>
          <cell r="N561">
            <v>3057</v>
          </cell>
          <cell r="O561">
            <v>6</v>
          </cell>
          <cell r="P561" t="str">
            <v>Yes</v>
          </cell>
          <cell r="Q561">
            <v>2</v>
          </cell>
          <cell r="R561">
            <v>6</v>
          </cell>
          <cell r="S561">
            <v>1</v>
          </cell>
          <cell r="T561">
            <v>1</v>
          </cell>
          <cell r="U561">
            <v>0</v>
          </cell>
          <cell r="V561">
            <v>0</v>
          </cell>
          <cell r="W561">
            <v>1</v>
          </cell>
          <cell r="X561">
            <v>13</v>
          </cell>
          <cell r="Y561">
            <v>0</v>
          </cell>
          <cell r="Z561" t="str">
            <v>Mid</v>
          </cell>
          <cell r="AA561" t="str">
            <v>Low</v>
          </cell>
          <cell r="AB561" t="str">
            <v>Early</v>
          </cell>
          <cell r="AC561" t="str">
            <v>Medium</v>
          </cell>
          <cell r="AD561">
            <v>773</v>
          </cell>
        </row>
        <row r="562">
          <cell r="A562">
            <v>34</v>
          </cell>
          <cell r="B562" t="str">
            <v>No</v>
          </cell>
          <cell r="C562" t="str">
            <v>Research &amp; Development</v>
          </cell>
          <cell r="D562">
            <v>8</v>
          </cell>
          <cell r="E562">
            <v>5</v>
          </cell>
          <cell r="F562" t="str">
            <v>Life Sciences</v>
          </cell>
          <cell r="G562">
            <v>2</v>
          </cell>
          <cell r="H562" t="str">
            <v>Female</v>
          </cell>
          <cell r="I562">
            <v>3</v>
          </cell>
          <cell r="J562">
            <v>2</v>
          </cell>
          <cell r="K562" t="str">
            <v>Manufacturing Director</v>
          </cell>
          <cell r="L562">
            <v>1</v>
          </cell>
          <cell r="M562" t="str">
            <v>Divorced</v>
          </cell>
          <cell r="N562">
            <v>5121</v>
          </cell>
          <cell r="O562">
            <v>3</v>
          </cell>
          <cell r="P562" t="str">
            <v>No</v>
          </cell>
          <cell r="Q562">
            <v>3</v>
          </cell>
          <cell r="R562">
            <v>7</v>
          </cell>
          <cell r="S562">
            <v>3</v>
          </cell>
          <cell r="T562">
            <v>0</v>
          </cell>
          <cell r="U562">
            <v>0</v>
          </cell>
          <cell r="V562">
            <v>0</v>
          </cell>
          <cell r="W562">
            <v>0</v>
          </cell>
          <cell r="X562">
            <v>14</v>
          </cell>
          <cell r="Y562">
            <v>0</v>
          </cell>
          <cell r="Z562" t="str">
            <v>Mid</v>
          </cell>
          <cell r="AA562" t="str">
            <v>Medium</v>
          </cell>
          <cell r="AB562" t="str">
            <v>Early</v>
          </cell>
          <cell r="AC562" t="str">
            <v>Medium</v>
          </cell>
          <cell r="AD562">
            <v>775</v>
          </cell>
        </row>
        <row r="563">
          <cell r="A563">
            <v>52</v>
          </cell>
          <cell r="B563" t="str">
            <v>No</v>
          </cell>
          <cell r="C563" t="str">
            <v>Sales</v>
          </cell>
          <cell r="D563">
            <v>3</v>
          </cell>
          <cell r="E563">
            <v>4</v>
          </cell>
          <cell r="F563" t="str">
            <v>Marketing</v>
          </cell>
          <cell r="G563">
            <v>3</v>
          </cell>
          <cell r="H563" t="str">
            <v>Male</v>
          </cell>
          <cell r="I563">
            <v>2</v>
          </cell>
          <cell r="J563">
            <v>4</v>
          </cell>
          <cell r="K563" t="str">
            <v>Manager</v>
          </cell>
          <cell r="L563">
            <v>1</v>
          </cell>
          <cell r="M563" t="str">
            <v>Married</v>
          </cell>
          <cell r="N563">
            <v>16856</v>
          </cell>
          <cell r="O563">
            <v>1</v>
          </cell>
          <cell r="P563" t="str">
            <v>No</v>
          </cell>
          <cell r="Q563">
            <v>1</v>
          </cell>
          <cell r="R563">
            <v>34</v>
          </cell>
          <cell r="S563">
            <v>4</v>
          </cell>
          <cell r="T563">
            <v>34</v>
          </cell>
          <cell r="U563">
            <v>6</v>
          </cell>
          <cell r="V563">
            <v>1</v>
          </cell>
          <cell r="W563">
            <v>16</v>
          </cell>
          <cell r="X563">
            <v>11</v>
          </cell>
          <cell r="Y563">
            <v>0</v>
          </cell>
          <cell r="Z563" t="str">
            <v>Senior</v>
          </cell>
          <cell r="AA563" t="str">
            <v>High</v>
          </cell>
          <cell r="AB563" t="str">
            <v>Long</v>
          </cell>
          <cell r="AC563" t="str">
            <v>Low</v>
          </cell>
          <cell r="AD563">
            <v>776</v>
          </cell>
        </row>
        <row r="564">
          <cell r="A564">
            <v>33</v>
          </cell>
          <cell r="B564" t="str">
            <v>Yes</v>
          </cell>
          <cell r="C564" t="str">
            <v>Research &amp; Development</v>
          </cell>
          <cell r="D564">
            <v>1</v>
          </cell>
          <cell r="E564">
            <v>4</v>
          </cell>
          <cell r="F564" t="str">
            <v>Other</v>
          </cell>
          <cell r="G564">
            <v>4</v>
          </cell>
          <cell r="H564" t="str">
            <v>Male</v>
          </cell>
          <cell r="I564">
            <v>3</v>
          </cell>
          <cell r="J564">
            <v>1</v>
          </cell>
          <cell r="K564" t="str">
            <v>Research Scientist</v>
          </cell>
          <cell r="L564">
            <v>4</v>
          </cell>
          <cell r="M564" t="str">
            <v>Single</v>
          </cell>
          <cell r="N564">
            <v>2686</v>
          </cell>
          <cell r="O564">
            <v>1</v>
          </cell>
          <cell r="P564" t="str">
            <v>Yes</v>
          </cell>
          <cell r="Q564">
            <v>3</v>
          </cell>
          <cell r="R564">
            <v>10</v>
          </cell>
          <cell r="S564">
            <v>2</v>
          </cell>
          <cell r="T564">
            <v>10</v>
          </cell>
          <cell r="U564">
            <v>9</v>
          </cell>
          <cell r="V564">
            <v>7</v>
          </cell>
          <cell r="W564">
            <v>8</v>
          </cell>
          <cell r="X564">
            <v>13</v>
          </cell>
          <cell r="Y564">
            <v>1</v>
          </cell>
          <cell r="Z564" t="str">
            <v>Mid</v>
          </cell>
          <cell r="AA564" t="str">
            <v>Low</v>
          </cell>
          <cell r="AB564" t="str">
            <v>Long</v>
          </cell>
          <cell r="AC564" t="str">
            <v>Medium</v>
          </cell>
          <cell r="AD564">
            <v>780</v>
          </cell>
        </row>
        <row r="565">
          <cell r="A565">
            <v>25</v>
          </cell>
          <cell r="B565" t="str">
            <v>No</v>
          </cell>
          <cell r="C565" t="str">
            <v>Sales</v>
          </cell>
          <cell r="D565">
            <v>26</v>
          </cell>
          <cell r="E565">
            <v>1</v>
          </cell>
          <cell r="F565" t="str">
            <v>Medical</v>
          </cell>
          <cell r="G565">
            <v>3</v>
          </cell>
          <cell r="H565" t="str">
            <v>Female</v>
          </cell>
          <cell r="I565">
            <v>3</v>
          </cell>
          <cell r="J565">
            <v>2</v>
          </cell>
          <cell r="K565" t="str">
            <v>Sales Executive</v>
          </cell>
          <cell r="L565">
            <v>4</v>
          </cell>
          <cell r="M565" t="str">
            <v>Single</v>
          </cell>
          <cell r="N565">
            <v>6180</v>
          </cell>
          <cell r="O565">
            <v>1</v>
          </cell>
          <cell r="P565" t="str">
            <v>No</v>
          </cell>
          <cell r="Q565">
            <v>2</v>
          </cell>
          <cell r="R565">
            <v>6</v>
          </cell>
          <cell r="S565">
            <v>2</v>
          </cell>
          <cell r="T565">
            <v>6</v>
          </cell>
          <cell r="U565">
            <v>5</v>
          </cell>
          <cell r="V565">
            <v>1</v>
          </cell>
          <cell r="W565">
            <v>4</v>
          </cell>
          <cell r="X565">
            <v>23</v>
          </cell>
          <cell r="Y565">
            <v>0</v>
          </cell>
          <cell r="Z565" t="str">
            <v>Young</v>
          </cell>
          <cell r="AA565" t="str">
            <v>Medium</v>
          </cell>
          <cell r="AB565" t="str">
            <v>Mid</v>
          </cell>
          <cell r="AC565" t="str">
            <v>High</v>
          </cell>
          <cell r="AD565">
            <v>781</v>
          </cell>
        </row>
        <row r="566">
          <cell r="A566">
            <v>45</v>
          </cell>
          <cell r="B566" t="str">
            <v>No</v>
          </cell>
          <cell r="C566" t="str">
            <v>Sales</v>
          </cell>
          <cell r="D566">
            <v>2</v>
          </cell>
          <cell r="E566">
            <v>2</v>
          </cell>
          <cell r="F566" t="str">
            <v>Technical Degree</v>
          </cell>
          <cell r="G566">
            <v>2</v>
          </cell>
          <cell r="H566" t="str">
            <v>Male</v>
          </cell>
          <cell r="I566">
            <v>1</v>
          </cell>
          <cell r="J566">
            <v>2</v>
          </cell>
          <cell r="K566" t="str">
            <v>Sales Representative</v>
          </cell>
          <cell r="L566">
            <v>3</v>
          </cell>
          <cell r="M566" t="str">
            <v>Single</v>
          </cell>
          <cell r="N566">
            <v>6632</v>
          </cell>
          <cell r="O566">
            <v>0</v>
          </cell>
          <cell r="P566" t="str">
            <v>No</v>
          </cell>
          <cell r="Q566">
            <v>1</v>
          </cell>
          <cell r="R566">
            <v>9</v>
          </cell>
          <cell r="S566">
            <v>3</v>
          </cell>
          <cell r="T566">
            <v>8</v>
          </cell>
          <cell r="U566">
            <v>7</v>
          </cell>
          <cell r="V566">
            <v>3</v>
          </cell>
          <cell r="W566">
            <v>1</v>
          </cell>
          <cell r="X566">
            <v>13</v>
          </cell>
          <cell r="Y566">
            <v>0</v>
          </cell>
          <cell r="Z566" t="str">
            <v>Senior</v>
          </cell>
          <cell r="AA566" t="str">
            <v>Medium</v>
          </cell>
          <cell r="AB566" t="str">
            <v>Long</v>
          </cell>
          <cell r="AC566" t="str">
            <v>Medium</v>
          </cell>
          <cell r="AD566">
            <v>783</v>
          </cell>
        </row>
        <row r="567">
          <cell r="A567">
            <v>23</v>
          </cell>
          <cell r="B567" t="str">
            <v>No</v>
          </cell>
          <cell r="C567" t="str">
            <v>Research &amp; Development</v>
          </cell>
          <cell r="D567">
            <v>10</v>
          </cell>
          <cell r="E567">
            <v>1</v>
          </cell>
          <cell r="F567" t="str">
            <v>Medical</v>
          </cell>
          <cell r="G567">
            <v>1</v>
          </cell>
          <cell r="H567" t="str">
            <v>Male</v>
          </cell>
          <cell r="I567">
            <v>4</v>
          </cell>
          <cell r="J567">
            <v>1</v>
          </cell>
          <cell r="K567" t="str">
            <v>Research Scientist</v>
          </cell>
          <cell r="L567">
            <v>3</v>
          </cell>
          <cell r="M567" t="str">
            <v>Single</v>
          </cell>
          <cell r="N567">
            <v>3505</v>
          </cell>
          <cell r="O567">
            <v>1</v>
          </cell>
          <cell r="P567" t="str">
            <v>No</v>
          </cell>
          <cell r="Q567">
            <v>4</v>
          </cell>
          <cell r="R567">
            <v>2</v>
          </cell>
          <cell r="S567">
            <v>3</v>
          </cell>
          <cell r="T567">
            <v>2</v>
          </cell>
          <cell r="U567">
            <v>2</v>
          </cell>
          <cell r="V567">
            <v>0</v>
          </cell>
          <cell r="W567">
            <v>2</v>
          </cell>
          <cell r="X567">
            <v>18</v>
          </cell>
          <cell r="Y567">
            <v>0</v>
          </cell>
          <cell r="Z567" t="str">
            <v>Young</v>
          </cell>
          <cell r="AA567" t="str">
            <v>Low</v>
          </cell>
          <cell r="AB567" t="str">
            <v>Early</v>
          </cell>
          <cell r="AC567" t="str">
            <v>High</v>
          </cell>
          <cell r="AD567">
            <v>784</v>
          </cell>
        </row>
        <row r="568">
          <cell r="A568">
            <v>47</v>
          </cell>
          <cell r="B568" t="str">
            <v>Yes</v>
          </cell>
          <cell r="C568" t="str">
            <v>Sales</v>
          </cell>
          <cell r="D568">
            <v>27</v>
          </cell>
          <cell r="E568">
            <v>2</v>
          </cell>
          <cell r="F568" t="str">
            <v>Life Sciences</v>
          </cell>
          <cell r="G568">
            <v>2</v>
          </cell>
          <cell r="H568" t="str">
            <v>Female</v>
          </cell>
          <cell r="I568">
            <v>4</v>
          </cell>
          <cell r="J568">
            <v>2</v>
          </cell>
          <cell r="K568" t="str">
            <v>Sales Executive</v>
          </cell>
          <cell r="L568">
            <v>3</v>
          </cell>
          <cell r="M568" t="str">
            <v>Single</v>
          </cell>
          <cell r="N568">
            <v>6397</v>
          </cell>
          <cell r="O568">
            <v>4</v>
          </cell>
          <cell r="P568" t="str">
            <v>Yes</v>
          </cell>
          <cell r="Q568">
            <v>4</v>
          </cell>
          <cell r="R568">
            <v>8</v>
          </cell>
          <cell r="S568">
            <v>3</v>
          </cell>
          <cell r="T568">
            <v>5</v>
          </cell>
          <cell r="U568">
            <v>4</v>
          </cell>
          <cell r="V568">
            <v>1</v>
          </cell>
          <cell r="W568">
            <v>3</v>
          </cell>
          <cell r="X568">
            <v>12</v>
          </cell>
          <cell r="Y568">
            <v>1</v>
          </cell>
          <cell r="Z568" t="str">
            <v>Senior</v>
          </cell>
          <cell r="AA568" t="str">
            <v>Medium</v>
          </cell>
          <cell r="AB568" t="str">
            <v>Mid</v>
          </cell>
          <cell r="AC568" t="str">
            <v>Low</v>
          </cell>
          <cell r="AD568">
            <v>785</v>
          </cell>
        </row>
        <row r="569">
          <cell r="A569">
            <v>34</v>
          </cell>
          <cell r="B569" t="str">
            <v>No</v>
          </cell>
          <cell r="C569" t="str">
            <v>Sales</v>
          </cell>
          <cell r="D569">
            <v>2</v>
          </cell>
          <cell r="E569">
            <v>3</v>
          </cell>
          <cell r="F569" t="str">
            <v>Other</v>
          </cell>
          <cell r="G569">
            <v>4</v>
          </cell>
          <cell r="H569" t="str">
            <v>Male</v>
          </cell>
          <cell r="I569">
            <v>3</v>
          </cell>
          <cell r="J569">
            <v>2</v>
          </cell>
          <cell r="K569" t="str">
            <v>Sales Executive</v>
          </cell>
          <cell r="L569">
            <v>4</v>
          </cell>
          <cell r="M569" t="str">
            <v>Single</v>
          </cell>
          <cell r="N569">
            <v>6274</v>
          </cell>
          <cell r="O569">
            <v>1</v>
          </cell>
          <cell r="P569" t="str">
            <v>No</v>
          </cell>
          <cell r="Q569">
            <v>3</v>
          </cell>
          <cell r="R569">
            <v>6</v>
          </cell>
          <cell r="S569">
            <v>3</v>
          </cell>
          <cell r="T569">
            <v>6</v>
          </cell>
          <cell r="U569">
            <v>5</v>
          </cell>
          <cell r="V569">
            <v>1</v>
          </cell>
          <cell r="W569">
            <v>4</v>
          </cell>
          <cell r="X569">
            <v>22</v>
          </cell>
          <cell r="Y569">
            <v>0</v>
          </cell>
          <cell r="Z569" t="str">
            <v>Mid</v>
          </cell>
          <cell r="AA569" t="str">
            <v>Medium</v>
          </cell>
          <cell r="AB569" t="str">
            <v>Mid</v>
          </cell>
          <cell r="AC569" t="str">
            <v>High</v>
          </cell>
          <cell r="AD569">
            <v>786</v>
          </cell>
        </row>
        <row r="570">
          <cell r="A570">
            <v>55</v>
          </cell>
          <cell r="B570" t="str">
            <v>Yes</v>
          </cell>
          <cell r="C570" t="str">
            <v>Research &amp; Development</v>
          </cell>
          <cell r="D570">
            <v>2</v>
          </cell>
          <cell r="E570">
            <v>3</v>
          </cell>
          <cell r="F570" t="str">
            <v>Medical</v>
          </cell>
          <cell r="G570">
            <v>4</v>
          </cell>
          <cell r="H570" t="str">
            <v>Male</v>
          </cell>
          <cell r="I570">
            <v>3</v>
          </cell>
          <cell r="J570">
            <v>5</v>
          </cell>
          <cell r="K570" t="str">
            <v>Manager</v>
          </cell>
          <cell r="L570">
            <v>1</v>
          </cell>
          <cell r="M570" t="str">
            <v>Married</v>
          </cell>
          <cell r="N570">
            <v>19859</v>
          </cell>
          <cell r="O570">
            <v>5</v>
          </cell>
          <cell r="P570" t="str">
            <v>Yes</v>
          </cell>
          <cell r="Q570">
            <v>4</v>
          </cell>
          <cell r="R570">
            <v>24</v>
          </cell>
          <cell r="S570">
            <v>3</v>
          </cell>
          <cell r="T570">
            <v>5</v>
          </cell>
          <cell r="U570">
            <v>2</v>
          </cell>
          <cell r="V570">
            <v>1</v>
          </cell>
          <cell r="W570">
            <v>4</v>
          </cell>
          <cell r="X570">
            <v>13</v>
          </cell>
          <cell r="Y570">
            <v>1</v>
          </cell>
          <cell r="Z570" t="str">
            <v>Senior</v>
          </cell>
          <cell r="AA570" t="str">
            <v>High</v>
          </cell>
          <cell r="AB570" t="str">
            <v>Mid</v>
          </cell>
          <cell r="AC570" t="str">
            <v>Medium</v>
          </cell>
          <cell r="AD570">
            <v>787</v>
          </cell>
        </row>
        <row r="571">
          <cell r="A571">
            <v>36</v>
          </cell>
          <cell r="B571" t="str">
            <v>No</v>
          </cell>
          <cell r="C571" t="str">
            <v>Sales</v>
          </cell>
          <cell r="D571">
            <v>8</v>
          </cell>
          <cell r="E571">
            <v>4</v>
          </cell>
          <cell r="F571" t="str">
            <v>Life Sciences</v>
          </cell>
          <cell r="G571">
            <v>1</v>
          </cell>
          <cell r="H571" t="str">
            <v>Male</v>
          </cell>
          <cell r="I571">
            <v>2</v>
          </cell>
          <cell r="J571">
            <v>3</v>
          </cell>
          <cell r="K571" t="str">
            <v>Sales Executive</v>
          </cell>
          <cell r="L571">
            <v>1</v>
          </cell>
          <cell r="M571" t="str">
            <v>Single</v>
          </cell>
          <cell r="N571">
            <v>7587</v>
          </cell>
          <cell r="O571">
            <v>1</v>
          </cell>
          <cell r="P571" t="str">
            <v>No</v>
          </cell>
          <cell r="Q571">
            <v>2</v>
          </cell>
          <cell r="R571">
            <v>10</v>
          </cell>
          <cell r="S571">
            <v>3</v>
          </cell>
          <cell r="T571">
            <v>10</v>
          </cell>
          <cell r="U571">
            <v>7</v>
          </cell>
          <cell r="V571">
            <v>0</v>
          </cell>
          <cell r="W571">
            <v>9</v>
          </cell>
          <cell r="X571">
            <v>15</v>
          </cell>
          <cell r="Y571">
            <v>0</v>
          </cell>
          <cell r="Z571" t="str">
            <v>Mid</v>
          </cell>
          <cell r="AA571" t="str">
            <v>Medium</v>
          </cell>
          <cell r="AB571" t="str">
            <v>Long</v>
          </cell>
          <cell r="AC571" t="str">
            <v>Medium</v>
          </cell>
          <cell r="AD571">
            <v>789</v>
          </cell>
        </row>
        <row r="572">
          <cell r="A572">
            <v>52</v>
          </cell>
          <cell r="B572" t="str">
            <v>No</v>
          </cell>
          <cell r="C572" t="str">
            <v>Research &amp; Development</v>
          </cell>
          <cell r="D572">
            <v>19</v>
          </cell>
          <cell r="E572">
            <v>4</v>
          </cell>
          <cell r="F572" t="str">
            <v>Medical</v>
          </cell>
          <cell r="G572">
            <v>4</v>
          </cell>
          <cell r="H572" t="str">
            <v>Male</v>
          </cell>
          <cell r="I572">
            <v>3</v>
          </cell>
          <cell r="J572">
            <v>1</v>
          </cell>
          <cell r="K572" t="str">
            <v>Research Scientist</v>
          </cell>
          <cell r="L572">
            <v>4</v>
          </cell>
          <cell r="M572" t="str">
            <v>Married</v>
          </cell>
          <cell r="N572">
            <v>4258</v>
          </cell>
          <cell r="O572">
            <v>0</v>
          </cell>
          <cell r="P572" t="str">
            <v>No</v>
          </cell>
          <cell r="Q572">
            <v>1</v>
          </cell>
          <cell r="R572">
            <v>5</v>
          </cell>
          <cell r="S572">
            <v>3</v>
          </cell>
          <cell r="T572">
            <v>4</v>
          </cell>
          <cell r="U572">
            <v>3</v>
          </cell>
          <cell r="V572">
            <v>1</v>
          </cell>
          <cell r="W572">
            <v>2</v>
          </cell>
          <cell r="X572">
            <v>18</v>
          </cell>
          <cell r="Y572">
            <v>0</v>
          </cell>
          <cell r="Z572" t="str">
            <v>Senior</v>
          </cell>
          <cell r="AA572" t="str">
            <v>Low</v>
          </cell>
          <cell r="AB572" t="str">
            <v>Mid</v>
          </cell>
          <cell r="AC572" t="str">
            <v>High</v>
          </cell>
          <cell r="AD572">
            <v>791</v>
          </cell>
        </row>
        <row r="573">
          <cell r="A573">
            <v>26</v>
          </cell>
          <cell r="B573" t="str">
            <v>No</v>
          </cell>
          <cell r="C573" t="str">
            <v>Research &amp; Development</v>
          </cell>
          <cell r="D573">
            <v>1</v>
          </cell>
          <cell r="E573">
            <v>2</v>
          </cell>
          <cell r="F573" t="str">
            <v>Life Sciences</v>
          </cell>
          <cell r="G573">
            <v>1</v>
          </cell>
          <cell r="H573" t="str">
            <v>Female</v>
          </cell>
          <cell r="I573">
            <v>1</v>
          </cell>
          <cell r="J573">
            <v>1</v>
          </cell>
          <cell r="K573" t="str">
            <v>Laboratory Technician</v>
          </cell>
          <cell r="L573">
            <v>4</v>
          </cell>
          <cell r="M573" t="str">
            <v>Divorced</v>
          </cell>
          <cell r="N573">
            <v>4364</v>
          </cell>
          <cell r="O573">
            <v>3</v>
          </cell>
          <cell r="P573" t="str">
            <v>No</v>
          </cell>
          <cell r="Q573">
            <v>1</v>
          </cell>
          <cell r="R573">
            <v>5</v>
          </cell>
          <cell r="S573">
            <v>3</v>
          </cell>
          <cell r="T573">
            <v>2</v>
          </cell>
          <cell r="U573">
            <v>2</v>
          </cell>
          <cell r="V573">
            <v>2</v>
          </cell>
          <cell r="W573">
            <v>0</v>
          </cell>
          <cell r="X573">
            <v>14</v>
          </cell>
          <cell r="Y573">
            <v>0</v>
          </cell>
          <cell r="Z573" t="str">
            <v>Young</v>
          </cell>
          <cell r="AA573" t="str">
            <v>Low</v>
          </cell>
          <cell r="AB573" t="str">
            <v>Early</v>
          </cell>
          <cell r="AC573" t="str">
            <v>Medium</v>
          </cell>
          <cell r="AD573">
            <v>792</v>
          </cell>
        </row>
        <row r="574">
          <cell r="A574">
            <v>29</v>
          </cell>
          <cell r="B574" t="str">
            <v>No</v>
          </cell>
          <cell r="C574" t="str">
            <v>Research &amp; Development</v>
          </cell>
          <cell r="D574">
            <v>27</v>
          </cell>
          <cell r="E574">
            <v>3</v>
          </cell>
          <cell r="F574" t="str">
            <v>Medical</v>
          </cell>
          <cell r="G574">
            <v>2</v>
          </cell>
          <cell r="H574" t="str">
            <v>Female</v>
          </cell>
          <cell r="I574">
            <v>3</v>
          </cell>
          <cell r="J574">
            <v>2</v>
          </cell>
          <cell r="K574" t="str">
            <v>Healthcare Representative</v>
          </cell>
          <cell r="L574">
            <v>3</v>
          </cell>
          <cell r="M574" t="str">
            <v>Married</v>
          </cell>
          <cell r="N574">
            <v>4335</v>
          </cell>
          <cell r="O574">
            <v>4</v>
          </cell>
          <cell r="P574" t="str">
            <v>No</v>
          </cell>
          <cell r="Q574">
            <v>1</v>
          </cell>
          <cell r="R574">
            <v>11</v>
          </cell>
          <cell r="S574">
            <v>2</v>
          </cell>
          <cell r="T574">
            <v>8</v>
          </cell>
          <cell r="U574">
            <v>7</v>
          </cell>
          <cell r="V574">
            <v>1</v>
          </cell>
          <cell r="W574">
            <v>1</v>
          </cell>
          <cell r="X574">
            <v>12</v>
          </cell>
          <cell r="Y574">
            <v>0</v>
          </cell>
          <cell r="Z574" t="str">
            <v>Young</v>
          </cell>
          <cell r="AA574" t="str">
            <v>Low</v>
          </cell>
          <cell r="AB574" t="str">
            <v>Long</v>
          </cell>
          <cell r="AC574" t="str">
            <v>Low</v>
          </cell>
          <cell r="AD574">
            <v>793</v>
          </cell>
        </row>
        <row r="575">
          <cell r="A575">
            <v>26</v>
          </cell>
          <cell r="B575" t="str">
            <v>Yes</v>
          </cell>
          <cell r="C575" t="str">
            <v>Sales</v>
          </cell>
          <cell r="D575">
            <v>8</v>
          </cell>
          <cell r="E575">
            <v>3</v>
          </cell>
          <cell r="F575" t="str">
            <v>Technical Degree</v>
          </cell>
          <cell r="G575">
            <v>4</v>
          </cell>
          <cell r="H575" t="str">
            <v>Male</v>
          </cell>
          <cell r="I575">
            <v>2</v>
          </cell>
          <cell r="J575">
            <v>2</v>
          </cell>
          <cell r="K575" t="str">
            <v>Sales Executive</v>
          </cell>
          <cell r="L575">
            <v>1</v>
          </cell>
          <cell r="M575" t="str">
            <v>Single</v>
          </cell>
          <cell r="N575">
            <v>5326</v>
          </cell>
          <cell r="O575">
            <v>6</v>
          </cell>
          <cell r="P575" t="str">
            <v>No</v>
          </cell>
          <cell r="Q575">
            <v>3</v>
          </cell>
          <cell r="R575">
            <v>6</v>
          </cell>
          <cell r="S575">
            <v>2</v>
          </cell>
          <cell r="T575">
            <v>4</v>
          </cell>
          <cell r="U575">
            <v>3</v>
          </cell>
          <cell r="V575">
            <v>1</v>
          </cell>
          <cell r="W575">
            <v>2</v>
          </cell>
          <cell r="X575">
            <v>17</v>
          </cell>
          <cell r="Y575">
            <v>1</v>
          </cell>
          <cell r="Z575" t="str">
            <v>Young</v>
          </cell>
          <cell r="AA575" t="str">
            <v>Medium</v>
          </cell>
          <cell r="AB575" t="str">
            <v>Mid</v>
          </cell>
          <cell r="AC575" t="str">
            <v>Medium</v>
          </cell>
          <cell r="AD575">
            <v>796</v>
          </cell>
        </row>
        <row r="576">
          <cell r="A576">
            <v>34</v>
          </cell>
          <cell r="B576" t="str">
            <v>No</v>
          </cell>
          <cell r="C576" t="str">
            <v>Research &amp; Development</v>
          </cell>
          <cell r="D576">
            <v>1</v>
          </cell>
          <cell r="E576">
            <v>4</v>
          </cell>
          <cell r="F576" t="str">
            <v>Life Sciences</v>
          </cell>
          <cell r="G576">
            <v>2</v>
          </cell>
          <cell r="H576" t="str">
            <v>Female</v>
          </cell>
          <cell r="I576">
            <v>4</v>
          </cell>
          <cell r="J576">
            <v>1</v>
          </cell>
          <cell r="K576" t="str">
            <v>Research Scientist</v>
          </cell>
          <cell r="L576">
            <v>4</v>
          </cell>
          <cell r="M576" t="str">
            <v>Single</v>
          </cell>
          <cell r="N576">
            <v>3280</v>
          </cell>
          <cell r="O576">
            <v>2</v>
          </cell>
          <cell r="P576" t="str">
            <v>No</v>
          </cell>
          <cell r="Q576">
            <v>3</v>
          </cell>
          <cell r="R576">
            <v>10</v>
          </cell>
          <cell r="S576">
            <v>3</v>
          </cell>
          <cell r="T576">
            <v>4</v>
          </cell>
          <cell r="U576">
            <v>2</v>
          </cell>
          <cell r="V576">
            <v>1</v>
          </cell>
          <cell r="W576">
            <v>3</v>
          </cell>
          <cell r="X576">
            <v>16</v>
          </cell>
          <cell r="Y576">
            <v>0</v>
          </cell>
          <cell r="Z576" t="str">
            <v>Mid</v>
          </cell>
          <cell r="AA576" t="str">
            <v>Low</v>
          </cell>
          <cell r="AB576" t="str">
            <v>Mid</v>
          </cell>
          <cell r="AC576" t="str">
            <v>Medium</v>
          </cell>
          <cell r="AD576">
            <v>797</v>
          </cell>
        </row>
        <row r="577">
          <cell r="A577">
            <v>54</v>
          </cell>
          <cell r="B577" t="str">
            <v>No</v>
          </cell>
          <cell r="C577" t="str">
            <v>Research &amp; Development</v>
          </cell>
          <cell r="D577">
            <v>19</v>
          </cell>
          <cell r="E577">
            <v>4</v>
          </cell>
          <cell r="F577" t="str">
            <v>Medical</v>
          </cell>
          <cell r="G577">
            <v>4</v>
          </cell>
          <cell r="H577" t="str">
            <v>Female</v>
          </cell>
          <cell r="I577">
            <v>3</v>
          </cell>
          <cell r="J577">
            <v>2</v>
          </cell>
          <cell r="K577" t="str">
            <v>Manufacturing Director</v>
          </cell>
          <cell r="L577">
            <v>1</v>
          </cell>
          <cell r="M577" t="str">
            <v>Divorced</v>
          </cell>
          <cell r="N577">
            <v>5485</v>
          </cell>
          <cell r="O577">
            <v>9</v>
          </cell>
          <cell r="P577" t="str">
            <v>Yes</v>
          </cell>
          <cell r="Q577">
            <v>2</v>
          </cell>
          <cell r="R577">
            <v>9</v>
          </cell>
          <cell r="S577">
            <v>3</v>
          </cell>
          <cell r="T577">
            <v>5</v>
          </cell>
          <cell r="U577">
            <v>3</v>
          </cell>
          <cell r="V577">
            <v>1</v>
          </cell>
          <cell r="W577">
            <v>4</v>
          </cell>
          <cell r="X577">
            <v>11</v>
          </cell>
          <cell r="Y577">
            <v>0</v>
          </cell>
          <cell r="Z577" t="str">
            <v>Senior</v>
          </cell>
          <cell r="AA577" t="str">
            <v>Medium</v>
          </cell>
          <cell r="AB577" t="str">
            <v>Mid</v>
          </cell>
          <cell r="AC577" t="str">
            <v>Low</v>
          </cell>
          <cell r="AD577">
            <v>799</v>
          </cell>
        </row>
        <row r="578">
          <cell r="A578">
            <v>27</v>
          </cell>
          <cell r="B578" t="str">
            <v>No</v>
          </cell>
          <cell r="C578" t="str">
            <v>Sales</v>
          </cell>
          <cell r="D578">
            <v>8</v>
          </cell>
          <cell r="E578">
            <v>1</v>
          </cell>
          <cell r="F578" t="str">
            <v>Marketing</v>
          </cell>
          <cell r="G578">
            <v>3</v>
          </cell>
          <cell r="H578" t="str">
            <v>Male</v>
          </cell>
          <cell r="I578">
            <v>3</v>
          </cell>
          <cell r="J578">
            <v>2</v>
          </cell>
          <cell r="K578" t="str">
            <v>Sales Executive</v>
          </cell>
          <cell r="L578">
            <v>4</v>
          </cell>
          <cell r="M578" t="str">
            <v>Married</v>
          </cell>
          <cell r="N578">
            <v>4342</v>
          </cell>
          <cell r="O578">
            <v>0</v>
          </cell>
          <cell r="P578" t="str">
            <v>No</v>
          </cell>
          <cell r="Q578">
            <v>2</v>
          </cell>
          <cell r="R578">
            <v>5</v>
          </cell>
          <cell r="S578">
            <v>3</v>
          </cell>
          <cell r="T578">
            <v>4</v>
          </cell>
          <cell r="U578">
            <v>2</v>
          </cell>
          <cell r="V578">
            <v>1</v>
          </cell>
          <cell r="W578">
            <v>1</v>
          </cell>
          <cell r="X578">
            <v>19</v>
          </cell>
          <cell r="Y578">
            <v>0</v>
          </cell>
          <cell r="Z578" t="str">
            <v>Young</v>
          </cell>
          <cell r="AA578" t="str">
            <v>Low</v>
          </cell>
          <cell r="AB578" t="str">
            <v>Mid</v>
          </cell>
          <cell r="AC578" t="str">
            <v>High</v>
          </cell>
          <cell r="AD578">
            <v>800</v>
          </cell>
        </row>
        <row r="579">
          <cell r="A579">
            <v>37</v>
          </cell>
          <cell r="B579" t="str">
            <v>No</v>
          </cell>
          <cell r="C579" t="str">
            <v>Research &amp; Development</v>
          </cell>
          <cell r="D579">
            <v>10</v>
          </cell>
          <cell r="E579">
            <v>1</v>
          </cell>
          <cell r="F579" t="str">
            <v>Life Sciences</v>
          </cell>
          <cell r="G579">
            <v>4</v>
          </cell>
          <cell r="H579" t="str">
            <v>Female</v>
          </cell>
          <cell r="I579">
            <v>3</v>
          </cell>
          <cell r="J579">
            <v>1</v>
          </cell>
          <cell r="K579" t="str">
            <v>Research Scientist</v>
          </cell>
          <cell r="L579">
            <v>1</v>
          </cell>
          <cell r="M579" t="str">
            <v>Divorced</v>
          </cell>
          <cell r="N579">
            <v>2782</v>
          </cell>
          <cell r="O579">
            <v>0</v>
          </cell>
          <cell r="P579" t="str">
            <v>Yes</v>
          </cell>
          <cell r="Q579">
            <v>2</v>
          </cell>
          <cell r="R579">
            <v>6</v>
          </cell>
          <cell r="S579">
            <v>2</v>
          </cell>
          <cell r="T579">
            <v>5</v>
          </cell>
          <cell r="U579">
            <v>3</v>
          </cell>
          <cell r="V579">
            <v>4</v>
          </cell>
          <cell r="W579">
            <v>3</v>
          </cell>
          <cell r="X579">
            <v>13</v>
          </cell>
          <cell r="Y579">
            <v>0</v>
          </cell>
          <cell r="Z579" t="str">
            <v>Mid</v>
          </cell>
          <cell r="AA579" t="str">
            <v>Low</v>
          </cell>
          <cell r="AB579" t="str">
            <v>Mid</v>
          </cell>
          <cell r="AC579" t="str">
            <v>Medium</v>
          </cell>
          <cell r="AD579">
            <v>802</v>
          </cell>
        </row>
        <row r="580">
          <cell r="A580">
            <v>38</v>
          </cell>
          <cell r="B580" t="str">
            <v>No</v>
          </cell>
          <cell r="C580" t="str">
            <v>Research &amp; Development</v>
          </cell>
          <cell r="D580">
            <v>2</v>
          </cell>
          <cell r="E580">
            <v>4</v>
          </cell>
          <cell r="F580" t="str">
            <v>Life Sciences</v>
          </cell>
          <cell r="G580">
            <v>1</v>
          </cell>
          <cell r="H580" t="str">
            <v>Female</v>
          </cell>
          <cell r="I580">
            <v>4</v>
          </cell>
          <cell r="J580">
            <v>2</v>
          </cell>
          <cell r="K580" t="str">
            <v>Manufacturing Director</v>
          </cell>
          <cell r="L580">
            <v>1</v>
          </cell>
          <cell r="M580" t="str">
            <v>Single</v>
          </cell>
          <cell r="N580">
            <v>5980</v>
          </cell>
          <cell r="O580">
            <v>6</v>
          </cell>
          <cell r="P580" t="str">
            <v>Yes</v>
          </cell>
          <cell r="Q580">
            <v>4</v>
          </cell>
          <cell r="R580">
            <v>17</v>
          </cell>
          <cell r="S580">
            <v>3</v>
          </cell>
          <cell r="T580">
            <v>15</v>
          </cell>
          <cell r="U580">
            <v>7</v>
          </cell>
          <cell r="V580">
            <v>4</v>
          </cell>
          <cell r="W580">
            <v>12</v>
          </cell>
          <cell r="X580">
            <v>12</v>
          </cell>
          <cell r="Y580">
            <v>0</v>
          </cell>
          <cell r="Z580" t="str">
            <v>Mid</v>
          </cell>
          <cell r="AA580" t="str">
            <v>Medium</v>
          </cell>
          <cell r="AB580" t="str">
            <v>Long</v>
          </cell>
          <cell r="AC580" t="str">
            <v>Low</v>
          </cell>
          <cell r="AD580">
            <v>803</v>
          </cell>
        </row>
        <row r="581">
          <cell r="A581">
            <v>34</v>
          </cell>
          <cell r="B581" t="str">
            <v>No</v>
          </cell>
          <cell r="C581" t="str">
            <v>Research &amp; Development</v>
          </cell>
          <cell r="D581">
            <v>2</v>
          </cell>
          <cell r="E581">
            <v>4</v>
          </cell>
          <cell r="F581" t="str">
            <v>Medical</v>
          </cell>
          <cell r="G581">
            <v>3</v>
          </cell>
          <cell r="H581" t="str">
            <v>Female</v>
          </cell>
          <cell r="I581">
            <v>2</v>
          </cell>
          <cell r="J581">
            <v>1</v>
          </cell>
          <cell r="K581" t="str">
            <v>Research Scientist</v>
          </cell>
          <cell r="L581">
            <v>1</v>
          </cell>
          <cell r="M581" t="str">
            <v>Single</v>
          </cell>
          <cell r="N581">
            <v>4381</v>
          </cell>
          <cell r="O581">
            <v>1</v>
          </cell>
          <cell r="P581" t="str">
            <v>No</v>
          </cell>
          <cell r="Q581">
            <v>3</v>
          </cell>
          <cell r="R581">
            <v>6</v>
          </cell>
          <cell r="S581">
            <v>3</v>
          </cell>
          <cell r="T581">
            <v>6</v>
          </cell>
          <cell r="U581">
            <v>5</v>
          </cell>
          <cell r="V581">
            <v>1</v>
          </cell>
          <cell r="W581">
            <v>3</v>
          </cell>
          <cell r="X581">
            <v>11</v>
          </cell>
          <cell r="Y581">
            <v>0</v>
          </cell>
          <cell r="Z581" t="str">
            <v>Mid</v>
          </cell>
          <cell r="AA581" t="str">
            <v>Low</v>
          </cell>
          <cell r="AB581" t="str">
            <v>Mid</v>
          </cell>
          <cell r="AC581" t="str">
            <v>Low</v>
          </cell>
          <cell r="AD581">
            <v>804</v>
          </cell>
        </row>
        <row r="582">
          <cell r="A582">
            <v>35</v>
          </cell>
          <cell r="B582" t="str">
            <v>No</v>
          </cell>
          <cell r="C582" t="str">
            <v>Sales</v>
          </cell>
          <cell r="D582">
            <v>8</v>
          </cell>
          <cell r="E582">
            <v>4</v>
          </cell>
          <cell r="F582" t="str">
            <v>Life Sciences</v>
          </cell>
          <cell r="G582">
            <v>1</v>
          </cell>
          <cell r="H582" t="str">
            <v>Female</v>
          </cell>
          <cell r="I582">
            <v>3</v>
          </cell>
          <cell r="J582">
            <v>1</v>
          </cell>
          <cell r="K582" t="str">
            <v>Sales Representative</v>
          </cell>
          <cell r="L582">
            <v>4</v>
          </cell>
          <cell r="M582" t="str">
            <v>Married</v>
          </cell>
          <cell r="N582">
            <v>2572</v>
          </cell>
          <cell r="O582">
            <v>1</v>
          </cell>
          <cell r="P582" t="str">
            <v>No</v>
          </cell>
          <cell r="Q582">
            <v>2</v>
          </cell>
          <cell r="R582">
            <v>3</v>
          </cell>
          <cell r="S582">
            <v>2</v>
          </cell>
          <cell r="T582">
            <v>3</v>
          </cell>
          <cell r="U582">
            <v>2</v>
          </cell>
          <cell r="V582">
            <v>0</v>
          </cell>
          <cell r="W582">
            <v>2</v>
          </cell>
          <cell r="X582">
            <v>16</v>
          </cell>
          <cell r="Y582">
            <v>0</v>
          </cell>
          <cell r="Z582" t="str">
            <v>Mid</v>
          </cell>
          <cell r="AA582" t="str">
            <v>Low</v>
          </cell>
          <cell r="AB582" t="str">
            <v>Mid</v>
          </cell>
          <cell r="AC582" t="str">
            <v>Medium</v>
          </cell>
          <cell r="AD582">
            <v>805</v>
          </cell>
        </row>
        <row r="583">
          <cell r="A583">
            <v>30</v>
          </cell>
          <cell r="B583" t="str">
            <v>No</v>
          </cell>
          <cell r="C583" t="str">
            <v>Research &amp; Development</v>
          </cell>
          <cell r="D583">
            <v>1</v>
          </cell>
          <cell r="E583">
            <v>3</v>
          </cell>
          <cell r="F583" t="str">
            <v>Life Sciences</v>
          </cell>
          <cell r="G583">
            <v>4</v>
          </cell>
          <cell r="H583" t="str">
            <v>Male</v>
          </cell>
          <cell r="I583">
            <v>1</v>
          </cell>
          <cell r="J583">
            <v>1</v>
          </cell>
          <cell r="K583" t="str">
            <v>Laboratory Technician</v>
          </cell>
          <cell r="L583">
            <v>3</v>
          </cell>
          <cell r="M583" t="str">
            <v>Married</v>
          </cell>
          <cell r="N583">
            <v>3833</v>
          </cell>
          <cell r="O583">
            <v>3</v>
          </cell>
          <cell r="P583" t="str">
            <v>No</v>
          </cell>
          <cell r="Q583">
            <v>3</v>
          </cell>
          <cell r="R583">
            <v>7</v>
          </cell>
          <cell r="S583">
            <v>3</v>
          </cell>
          <cell r="T583">
            <v>2</v>
          </cell>
          <cell r="U583">
            <v>2</v>
          </cell>
          <cell r="V583">
            <v>0</v>
          </cell>
          <cell r="W583">
            <v>2</v>
          </cell>
          <cell r="X583">
            <v>21</v>
          </cell>
          <cell r="Y583">
            <v>0</v>
          </cell>
          <cell r="Z583" t="str">
            <v>Mid</v>
          </cell>
          <cell r="AA583" t="str">
            <v>Low</v>
          </cell>
          <cell r="AB583" t="str">
            <v>Early</v>
          </cell>
          <cell r="AC583" t="str">
            <v>High</v>
          </cell>
          <cell r="AD583">
            <v>806</v>
          </cell>
        </row>
        <row r="584">
          <cell r="A584">
            <v>40</v>
          </cell>
          <cell r="B584" t="str">
            <v>No</v>
          </cell>
          <cell r="C584" t="str">
            <v>Research &amp; Development</v>
          </cell>
          <cell r="D584">
            <v>2</v>
          </cell>
          <cell r="E584">
            <v>2</v>
          </cell>
          <cell r="F584" t="str">
            <v>Medical</v>
          </cell>
          <cell r="G584">
            <v>3</v>
          </cell>
          <cell r="H584" t="str">
            <v>Female</v>
          </cell>
          <cell r="I584">
            <v>4</v>
          </cell>
          <cell r="J584">
            <v>2</v>
          </cell>
          <cell r="K584" t="str">
            <v>Healthcare Representative</v>
          </cell>
          <cell r="L584">
            <v>2</v>
          </cell>
          <cell r="M584" t="str">
            <v>Married</v>
          </cell>
          <cell r="N584">
            <v>4244</v>
          </cell>
          <cell r="O584">
            <v>1</v>
          </cell>
          <cell r="P584" t="str">
            <v>No</v>
          </cell>
          <cell r="Q584">
            <v>4</v>
          </cell>
          <cell r="R584">
            <v>8</v>
          </cell>
          <cell r="S584">
            <v>3</v>
          </cell>
          <cell r="T584">
            <v>8</v>
          </cell>
          <cell r="U584">
            <v>7</v>
          </cell>
          <cell r="V584">
            <v>3</v>
          </cell>
          <cell r="W584">
            <v>7</v>
          </cell>
          <cell r="X584">
            <v>24</v>
          </cell>
          <cell r="Y584">
            <v>0</v>
          </cell>
          <cell r="Z584" t="str">
            <v>Mid</v>
          </cell>
          <cell r="AA584" t="str">
            <v>Low</v>
          </cell>
          <cell r="AB584" t="str">
            <v>Long</v>
          </cell>
          <cell r="AC584" t="str">
            <v>High</v>
          </cell>
          <cell r="AD584">
            <v>807</v>
          </cell>
        </row>
        <row r="585">
          <cell r="A585">
            <v>34</v>
          </cell>
          <cell r="B585" t="str">
            <v>No</v>
          </cell>
          <cell r="C585" t="str">
            <v>Sales</v>
          </cell>
          <cell r="D585">
            <v>8</v>
          </cell>
          <cell r="E585">
            <v>2</v>
          </cell>
          <cell r="F585" t="str">
            <v>Life Sciences</v>
          </cell>
          <cell r="G585">
            <v>3</v>
          </cell>
          <cell r="H585" t="str">
            <v>Female</v>
          </cell>
          <cell r="I585">
            <v>3</v>
          </cell>
          <cell r="J585">
            <v>2</v>
          </cell>
          <cell r="K585" t="str">
            <v>Sales Executive</v>
          </cell>
          <cell r="L585">
            <v>1</v>
          </cell>
          <cell r="M585" t="str">
            <v>Married</v>
          </cell>
          <cell r="N585">
            <v>6500</v>
          </cell>
          <cell r="O585">
            <v>5</v>
          </cell>
          <cell r="P585" t="str">
            <v>No</v>
          </cell>
          <cell r="Q585">
            <v>2</v>
          </cell>
          <cell r="R585">
            <v>6</v>
          </cell>
          <cell r="S585">
            <v>3</v>
          </cell>
          <cell r="T585">
            <v>3</v>
          </cell>
          <cell r="U585">
            <v>2</v>
          </cell>
          <cell r="V585">
            <v>1</v>
          </cell>
          <cell r="W585">
            <v>2</v>
          </cell>
          <cell r="X585">
            <v>17</v>
          </cell>
          <cell r="Y585">
            <v>0</v>
          </cell>
          <cell r="Z585" t="str">
            <v>Mid</v>
          </cell>
          <cell r="AA585" t="str">
            <v>Medium</v>
          </cell>
          <cell r="AB585" t="str">
            <v>Mid</v>
          </cell>
          <cell r="AC585" t="str">
            <v>Medium</v>
          </cell>
          <cell r="AD585">
            <v>808</v>
          </cell>
        </row>
        <row r="586">
          <cell r="A586">
            <v>42</v>
          </cell>
          <cell r="B586" t="str">
            <v>No</v>
          </cell>
          <cell r="C586" t="str">
            <v>Research &amp; Development</v>
          </cell>
          <cell r="D586">
            <v>8</v>
          </cell>
          <cell r="E586">
            <v>3</v>
          </cell>
          <cell r="F586" t="str">
            <v>Life Sciences</v>
          </cell>
          <cell r="G586">
            <v>2</v>
          </cell>
          <cell r="H586" t="str">
            <v>Male</v>
          </cell>
          <cell r="I586">
            <v>3</v>
          </cell>
          <cell r="J586">
            <v>5</v>
          </cell>
          <cell r="K586" t="str">
            <v>Manager</v>
          </cell>
          <cell r="L586">
            <v>4</v>
          </cell>
          <cell r="M586" t="str">
            <v>Divorced</v>
          </cell>
          <cell r="N586">
            <v>18430</v>
          </cell>
          <cell r="O586">
            <v>1</v>
          </cell>
          <cell r="P586" t="str">
            <v>No</v>
          </cell>
          <cell r="Q586">
            <v>2</v>
          </cell>
          <cell r="R586">
            <v>24</v>
          </cell>
          <cell r="S586">
            <v>2</v>
          </cell>
          <cell r="T586">
            <v>24</v>
          </cell>
          <cell r="U586">
            <v>7</v>
          </cell>
          <cell r="V586">
            <v>14</v>
          </cell>
          <cell r="W586">
            <v>9</v>
          </cell>
          <cell r="X586">
            <v>13</v>
          </cell>
          <cell r="Y586">
            <v>0</v>
          </cell>
          <cell r="Z586" t="str">
            <v>Mid</v>
          </cell>
          <cell r="AA586" t="str">
            <v>High</v>
          </cell>
          <cell r="AB586" t="str">
            <v>Long</v>
          </cell>
          <cell r="AC586" t="str">
            <v>Medium</v>
          </cell>
          <cell r="AD586">
            <v>809</v>
          </cell>
        </row>
        <row r="587">
          <cell r="A587">
            <v>23</v>
          </cell>
          <cell r="B587" t="str">
            <v>Yes</v>
          </cell>
          <cell r="C587" t="str">
            <v>Research &amp; Development</v>
          </cell>
          <cell r="D587">
            <v>6</v>
          </cell>
          <cell r="E587">
            <v>3</v>
          </cell>
          <cell r="F587" t="str">
            <v>Life Sciences</v>
          </cell>
          <cell r="G587">
            <v>3</v>
          </cell>
          <cell r="H587" t="str">
            <v>Male</v>
          </cell>
          <cell r="I587">
            <v>4</v>
          </cell>
          <cell r="J587">
            <v>1</v>
          </cell>
          <cell r="K587" t="str">
            <v>Laboratory Technician</v>
          </cell>
          <cell r="L587">
            <v>1</v>
          </cell>
          <cell r="M587" t="str">
            <v>Married</v>
          </cell>
          <cell r="N587">
            <v>1601</v>
          </cell>
          <cell r="O587">
            <v>1</v>
          </cell>
          <cell r="P587" t="str">
            <v>Yes</v>
          </cell>
          <cell r="Q587">
            <v>3</v>
          </cell>
          <cell r="R587">
            <v>1</v>
          </cell>
          <cell r="S587">
            <v>3</v>
          </cell>
          <cell r="T587">
            <v>0</v>
          </cell>
          <cell r="U587">
            <v>0</v>
          </cell>
          <cell r="V587">
            <v>0</v>
          </cell>
          <cell r="W587">
            <v>0</v>
          </cell>
          <cell r="X587">
            <v>21</v>
          </cell>
          <cell r="Y587">
            <v>1</v>
          </cell>
          <cell r="Z587" t="str">
            <v>Young</v>
          </cell>
          <cell r="AA587" t="str">
            <v>Low</v>
          </cell>
          <cell r="AB587" t="str">
            <v>Early</v>
          </cell>
          <cell r="AC587" t="str">
            <v>High</v>
          </cell>
          <cell r="AD587">
            <v>811</v>
          </cell>
        </row>
        <row r="588">
          <cell r="A588">
            <v>24</v>
          </cell>
          <cell r="B588" t="str">
            <v>No</v>
          </cell>
          <cell r="C588" t="str">
            <v>Research &amp; Development</v>
          </cell>
          <cell r="D588">
            <v>9</v>
          </cell>
          <cell r="E588">
            <v>3</v>
          </cell>
          <cell r="F588" t="str">
            <v>Life Sciences</v>
          </cell>
          <cell r="G588">
            <v>3</v>
          </cell>
          <cell r="H588" t="str">
            <v>Male</v>
          </cell>
          <cell r="I588">
            <v>2</v>
          </cell>
          <cell r="J588">
            <v>1</v>
          </cell>
          <cell r="K588" t="str">
            <v>Laboratory Technician</v>
          </cell>
          <cell r="L588">
            <v>2</v>
          </cell>
          <cell r="M588" t="str">
            <v>Divorced</v>
          </cell>
          <cell r="N588">
            <v>2694</v>
          </cell>
          <cell r="O588">
            <v>1</v>
          </cell>
          <cell r="P588" t="str">
            <v>No</v>
          </cell>
          <cell r="Q588">
            <v>3</v>
          </cell>
          <cell r="R588">
            <v>1</v>
          </cell>
          <cell r="S588">
            <v>3</v>
          </cell>
          <cell r="T588">
            <v>1</v>
          </cell>
          <cell r="U588">
            <v>0</v>
          </cell>
          <cell r="V588">
            <v>0</v>
          </cell>
          <cell r="W588">
            <v>0</v>
          </cell>
          <cell r="X588">
            <v>11</v>
          </cell>
          <cell r="Y588">
            <v>0</v>
          </cell>
          <cell r="Z588" t="str">
            <v>Young</v>
          </cell>
          <cell r="AA588" t="str">
            <v>Low</v>
          </cell>
          <cell r="AB588" t="str">
            <v>Early</v>
          </cell>
          <cell r="AC588" t="str">
            <v>Low</v>
          </cell>
          <cell r="AD588">
            <v>812</v>
          </cell>
        </row>
        <row r="589">
          <cell r="A589">
            <v>52</v>
          </cell>
          <cell r="B589" t="str">
            <v>No</v>
          </cell>
          <cell r="C589" t="str">
            <v>Research &amp; Development</v>
          </cell>
          <cell r="D589">
            <v>11</v>
          </cell>
          <cell r="E589">
            <v>4</v>
          </cell>
          <cell r="F589" t="str">
            <v>Life Sciences</v>
          </cell>
          <cell r="G589">
            <v>4</v>
          </cell>
          <cell r="H589" t="str">
            <v>Female</v>
          </cell>
          <cell r="I589">
            <v>3</v>
          </cell>
          <cell r="J589">
            <v>2</v>
          </cell>
          <cell r="K589" t="str">
            <v>Laboratory Technician</v>
          </cell>
          <cell r="L589">
            <v>3</v>
          </cell>
          <cell r="M589" t="str">
            <v>Married</v>
          </cell>
          <cell r="N589">
            <v>3149</v>
          </cell>
          <cell r="O589">
            <v>8</v>
          </cell>
          <cell r="P589" t="str">
            <v>No</v>
          </cell>
          <cell r="Q589">
            <v>2</v>
          </cell>
          <cell r="R589">
            <v>9</v>
          </cell>
          <cell r="S589">
            <v>3</v>
          </cell>
          <cell r="T589">
            <v>5</v>
          </cell>
          <cell r="U589">
            <v>2</v>
          </cell>
          <cell r="V589">
            <v>1</v>
          </cell>
          <cell r="W589">
            <v>4</v>
          </cell>
          <cell r="X589">
            <v>20</v>
          </cell>
          <cell r="Y589">
            <v>0</v>
          </cell>
          <cell r="Z589" t="str">
            <v>Senior</v>
          </cell>
          <cell r="AA589" t="str">
            <v>Low</v>
          </cell>
          <cell r="AB589" t="str">
            <v>Mid</v>
          </cell>
          <cell r="AC589" t="str">
            <v>High</v>
          </cell>
          <cell r="AD589">
            <v>813</v>
          </cell>
        </row>
        <row r="590">
          <cell r="A590">
            <v>50</v>
          </cell>
          <cell r="B590" t="str">
            <v>No</v>
          </cell>
          <cell r="C590" t="str">
            <v>Research &amp; Development</v>
          </cell>
          <cell r="D590">
            <v>2</v>
          </cell>
          <cell r="E590">
            <v>3</v>
          </cell>
          <cell r="F590" t="str">
            <v>Medical</v>
          </cell>
          <cell r="G590">
            <v>3</v>
          </cell>
          <cell r="H590" t="str">
            <v>Male</v>
          </cell>
          <cell r="I590">
            <v>3</v>
          </cell>
          <cell r="J590">
            <v>4</v>
          </cell>
          <cell r="K590" t="str">
            <v>Research Director</v>
          </cell>
          <cell r="L590">
            <v>3</v>
          </cell>
          <cell r="M590" t="str">
            <v>Married</v>
          </cell>
          <cell r="N590">
            <v>17639</v>
          </cell>
          <cell r="O590">
            <v>5</v>
          </cell>
          <cell r="P590" t="str">
            <v>No</v>
          </cell>
          <cell r="Q590">
            <v>4</v>
          </cell>
          <cell r="R590">
            <v>30</v>
          </cell>
          <cell r="S590">
            <v>3</v>
          </cell>
          <cell r="T590">
            <v>4</v>
          </cell>
          <cell r="U590">
            <v>3</v>
          </cell>
          <cell r="V590">
            <v>0</v>
          </cell>
          <cell r="W590">
            <v>3</v>
          </cell>
          <cell r="X590">
            <v>16</v>
          </cell>
          <cell r="Y590">
            <v>0</v>
          </cell>
          <cell r="Z590" t="str">
            <v>Senior</v>
          </cell>
          <cell r="AA590" t="str">
            <v>High</v>
          </cell>
          <cell r="AB590" t="str">
            <v>Mid</v>
          </cell>
          <cell r="AC590" t="str">
            <v>Medium</v>
          </cell>
          <cell r="AD590">
            <v>815</v>
          </cell>
        </row>
        <row r="591">
          <cell r="A591">
            <v>29</v>
          </cell>
          <cell r="B591" t="str">
            <v>Yes</v>
          </cell>
          <cell r="C591" t="str">
            <v>Research &amp; Development</v>
          </cell>
          <cell r="D591">
            <v>1</v>
          </cell>
          <cell r="E591">
            <v>2</v>
          </cell>
          <cell r="F591" t="str">
            <v>Life Sciences</v>
          </cell>
          <cell r="G591">
            <v>2</v>
          </cell>
          <cell r="H591" t="str">
            <v>Female</v>
          </cell>
          <cell r="I591">
            <v>2</v>
          </cell>
          <cell r="J591">
            <v>1</v>
          </cell>
          <cell r="K591" t="str">
            <v>Laboratory Technician</v>
          </cell>
          <cell r="L591">
            <v>1</v>
          </cell>
          <cell r="M591" t="str">
            <v>Married</v>
          </cell>
          <cell r="N591">
            <v>2319</v>
          </cell>
          <cell r="O591">
            <v>1</v>
          </cell>
          <cell r="P591" t="str">
            <v>Yes</v>
          </cell>
          <cell r="Q591">
            <v>4</v>
          </cell>
          <cell r="R591">
            <v>1</v>
          </cell>
          <cell r="S591">
            <v>3</v>
          </cell>
          <cell r="T591">
            <v>1</v>
          </cell>
          <cell r="U591">
            <v>0</v>
          </cell>
          <cell r="V591">
            <v>0</v>
          </cell>
          <cell r="W591">
            <v>0</v>
          </cell>
          <cell r="X591">
            <v>11</v>
          </cell>
          <cell r="Y591">
            <v>1</v>
          </cell>
          <cell r="Z591" t="str">
            <v>Young</v>
          </cell>
          <cell r="AA591" t="str">
            <v>Low</v>
          </cell>
          <cell r="AB591" t="str">
            <v>Early</v>
          </cell>
          <cell r="AC591" t="str">
            <v>Low</v>
          </cell>
          <cell r="AD591">
            <v>816</v>
          </cell>
        </row>
        <row r="592">
          <cell r="A592">
            <v>33</v>
          </cell>
          <cell r="B592" t="str">
            <v>No</v>
          </cell>
          <cell r="C592" t="str">
            <v>Research &amp; Development</v>
          </cell>
          <cell r="D592">
            <v>7</v>
          </cell>
          <cell r="E592">
            <v>3</v>
          </cell>
          <cell r="F592" t="str">
            <v>Medical</v>
          </cell>
          <cell r="G592">
            <v>3</v>
          </cell>
          <cell r="H592" t="str">
            <v>Male</v>
          </cell>
          <cell r="I592">
            <v>3</v>
          </cell>
          <cell r="J592">
            <v>3</v>
          </cell>
          <cell r="K592" t="str">
            <v>Research Director</v>
          </cell>
          <cell r="L592">
            <v>3</v>
          </cell>
          <cell r="M592" t="str">
            <v>Married</v>
          </cell>
          <cell r="N592">
            <v>11691</v>
          </cell>
          <cell r="O592">
            <v>0</v>
          </cell>
          <cell r="P592" t="str">
            <v>No</v>
          </cell>
          <cell r="Q592">
            <v>4</v>
          </cell>
          <cell r="R592">
            <v>14</v>
          </cell>
          <cell r="S592">
            <v>4</v>
          </cell>
          <cell r="T592">
            <v>13</v>
          </cell>
          <cell r="U592">
            <v>9</v>
          </cell>
          <cell r="V592">
            <v>3</v>
          </cell>
          <cell r="W592">
            <v>7</v>
          </cell>
          <cell r="X592">
            <v>11</v>
          </cell>
          <cell r="Y592">
            <v>0</v>
          </cell>
          <cell r="Z592" t="str">
            <v>Mid</v>
          </cell>
          <cell r="AA592" t="str">
            <v>High</v>
          </cell>
          <cell r="AB592" t="str">
            <v>Long</v>
          </cell>
          <cell r="AC592" t="str">
            <v>Low</v>
          </cell>
          <cell r="AD592">
            <v>817</v>
          </cell>
        </row>
        <row r="593">
          <cell r="A593">
            <v>33</v>
          </cell>
          <cell r="B593" t="str">
            <v>Yes</v>
          </cell>
          <cell r="C593" t="str">
            <v>Sales</v>
          </cell>
          <cell r="D593">
            <v>16</v>
          </cell>
          <cell r="E593">
            <v>3</v>
          </cell>
          <cell r="F593" t="str">
            <v>Marketing</v>
          </cell>
          <cell r="G593">
            <v>1</v>
          </cell>
          <cell r="H593" t="str">
            <v>Female</v>
          </cell>
          <cell r="I593">
            <v>3</v>
          </cell>
          <cell r="J593">
            <v>2</v>
          </cell>
          <cell r="K593" t="str">
            <v>Sales Executive</v>
          </cell>
          <cell r="L593">
            <v>1</v>
          </cell>
          <cell r="M593" t="str">
            <v>Single</v>
          </cell>
          <cell r="N593">
            <v>5324</v>
          </cell>
          <cell r="O593">
            <v>5</v>
          </cell>
          <cell r="P593" t="str">
            <v>No</v>
          </cell>
          <cell r="Q593">
            <v>3</v>
          </cell>
          <cell r="R593">
            <v>6</v>
          </cell>
          <cell r="S593">
            <v>3</v>
          </cell>
          <cell r="T593">
            <v>3</v>
          </cell>
          <cell r="U593">
            <v>2</v>
          </cell>
          <cell r="V593">
            <v>0</v>
          </cell>
          <cell r="W593">
            <v>2</v>
          </cell>
          <cell r="X593">
            <v>15</v>
          </cell>
          <cell r="Y593">
            <v>1</v>
          </cell>
          <cell r="Z593" t="str">
            <v>Mid</v>
          </cell>
          <cell r="AA593" t="str">
            <v>Medium</v>
          </cell>
          <cell r="AB593" t="str">
            <v>Mid</v>
          </cell>
          <cell r="AC593" t="str">
            <v>Medium</v>
          </cell>
          <cell r="AD593">
            <v>819</v>
          </cell>
        </row>
        <row r="594">
          <cell r="A594">
            <v>47</v>
          </cell>
          <cell r="B594" t="str">
            <v>No</v>
          </cell>
          <cell r="C594" t="str">
            <v>Research &amp; Development</v>
          </cell>
          <cell r="D594">
            <v>2</v>
          </cell>
          <cell r="E594">
            <v>2</v>
          </cell>
          <cell r="F594" t="str">
            <v>Other</v>
          </cell>
          <cell r="G594">
            <v>3</v>
          </cell>
          <cell r="H594" t="str">
            <v>Female</v>
          </cell>
          <cell r="I594">
            <v>3</v>
          </cell>
          <cell r="J594">
            <v>4</v>
          </cell>
          <cell r="K594" t="str">
            <v>Manager</v>
          </cell>
          <cell r="L594">
            <v>4</v>
          </cell>
          <cell r="M594" t="str">
            <v>Married</v>
          </cell>
          <cell r="N594">
            <v>16752</v>
          </cell>
          <cell r="O594">
            <v>1</v>
          </cell>
          <cell r="P594" t="str">
            <v>Yes</v>
          </cell>
          <cell r="Q594">
            <v>3</v>
          </cell>
          <cell r="R594">
            <v>26</v>
          </cell>
          <cell r="S594">
            <v>2</v>
          </cell>
          <cell r="T594">
            <v>26</v>
          </cell>
          <cell r="U594">
            <v>14</v>
          </cell>
          <cell r="V594">
            <v>3</v>
          </cell>
          <cell r="W594">
            <v>0</v>
          </cell>
          <cell r="X594">
            <v>11</v>
          </cell>
          <cell r="Y594">
            <v>0</v>
          </cell>
          <cell r="Z594" t="str">
            <v>Senior</v>
          </cell>
          <cell r="AA594" t="str">
            <v>High</v>
          </cell>
          <cell r="AB594" t="str">
            <v>Long</v>
          </cell>
          <cell r="AC594" t="str">
            <v>Low</v>
          </cell>
          <cell r="AD594">
            <v>820</v>
          </cell>
        </row>
        <row r="595">
          <cell r="A595">
            <v>36</v>
          </cell>
          <cell r="B595" t="str">
            <v>No</v>
          </cell>
          <cell r="C595" t="str">
            <v>Research &amp; Development</v>
          </cell>
          <cell r="D595">
            <v>1</v>
          </cell>
          <cell r="E595">
            <v>3</v>
          </cell>
          <cell r="F595" t="str">
            <v>Other</v>
          </cell>
          <cell r="G595">
            <v>3</v>
          </cell>
          <cell r="H595" t="str">
            <v>Female</v>
          </cell>
          <cell r="I595">
            <v>3</v>
          </cell>
          <cell r="J595">
            <v>2</v>
          </cell>
          <cell r="K595" t="str">
            <v>Manufacturing Director</v>
          </cell>
          <cell r="L595">
            <v>2</v>
          </cell>
          <cell r="M595" t="str">
            <v>Married</v>
          </cell>
          <cell r="N595">
            <v>5228</v>
          </cell>
          <cell r="O595">
            <v>0</v>
          </cell>
          <cell r="P595" t="str">
            <v>No</v>
          </cell>
          <cell r="Q595">
            <v>1</v>
          </cell>
          <cell r="R595">
            <v>10</v>
          </cell>
          <cell r="S595">
            <v>3</v>
          </cell>
          <cell r="T595">
            <v>9</v>
          </cell>
          <cell r="U595">
            <v>7</v>
          </cell>
          <cell r="V595">
            <v>0</v>
          </cell>
          <cell r="W595">
            <v>5</v>
          </cell>
          <cell r="X595">
            <v>15</v>
          </cell>
          <cell r="Y595">
            <v>0</v>
          </cell>
          <cell r="Z595" t="str">
            <v>Mid</v>
          </cell>
          <cell r="AA595" t="str">
            <v>Medium</v>
          </cell>
          <cell r="AB595" t="str">
            <v>Long</v>
          </cell>
          <cell r="AC595" t="str">
            <v>Medium</v>
          </cell>
          <cell r="AD595">
            <v>823</v>
          </cell>
        </row>
        <row r="596">
          <cell r="A596">
            <v>29</v>
          </cell>
          <cell r="B596" t="str">
            <v>No</v>
          </cell>
          <cell r="C596" t="str">
            <v>Research &amp; Development</v>
          </cell>
          <cell r="D596">
            <v>23</v>
          </cell>
          <cell r="E596">
            <v>2</v>
          </cell>
          <cell r="F596" t="str">
            <v>Life Sciences</v>
          </cell>
          <cell r="G596">
            <v>3</v>
          </cell>
          <cell r="H596" t="str">
            <v>Male</v>
          </cell>
          <cell r="I596">
            <v>4</v>
          </cell>
          <cell r="J596">
            <v>1</v>
          </cell>
          <cell r="K596" t="str">
            <v>Research Scientist</v>
          </cell>
          <cell r="L596">
            <v>3</v>
          </cell>
          <cell r="M596" t="str">
            <v>Married</v>
          </cell>
          <cell r="N596">
            <v>2700</v>
          </cell>
          <cell r="O596">
            <v>1</v>
          </cell>
          <cell r="P596" t="str">
            <v>No</v>
          </cell>
          <cell r="Q596">
            <v>3</v>
          </cell>
          <cell r="R596">
            <v>10</v>
          </cell>
          <cell r="S596">
            <v>3</v>
          </cell>
          <cell r="T596">
            <v>10</v>
          </cell>
          <cell r="U596">
            <v>7</v>
          </cell>
          <cell r="V596">
            <v>0</v>
          </cell>
          <cell r="W596">
            <v>7</v>
          </cell>
          <cell r="X596">
            <v>24</v>
          </cell>
          <cell r="Y596">
            <v>0</v>
          </cell>
          <cell r="Z596" t="str">
            <v>Young</v>
          </cell>
          <cell r="AA596" t="str">
            <v>Low</v>
          </cell>
          <cell r="AB596" t="str">
            <v>Long</v>
          </cell>
          <cell r="AC596" t="str">
            <v>High</v>
          </cell>
          <cell r="AD596">
            <v>824</v>
          </cell>
        </row>
        <row r="597">
          <cell r="A597">
            <v>58</v>
          </cell>
          <cell r="B597" t="str">
            <v>Yes</v>
          </cell>
          <cell r="C597" t="str">
            <v>Research &amp; Development</v>
          </cell>
          <cell r="D597">
            <v>2</v>
          </cell>
          <cell r="E597">
            <v>4</v>
          </cell>
          <cell r="F597" t="str">
            <v>Life Sciences</v>
          </cell>
          <cell r="G597">
            <v>4</v>
          </cell>
          <cell r="H597" t="str">
            <v>Male</v>
          </cell>
          <cell r="I597">
            <v>3</v>
          </cell>
          <cell r="J597">
            <v>5</v>
          </cell>
          <cell r="K597" t="str">
            <v>Research Director</v>
          </cell>
          <cell r="L597">
            <v>2</v>
          </cell>
          <cell r="M597" t="str">
            <v>Single</v>
          </cell>
          <cell r="N597">
            <v>19246</v>
          </cell>
          <cell r="O597">
            <v>7</v>
          </cell>
          <cell r="P597" t="str">
            <v>Yes</v>
          </cell>
          <cell r="Q597">
            <v>4</v>
          </cell>
          <cell r="R597">
            <v>40</v>
          </cell>
          <cell r="S597">
            <v>3</v>
          </cell>
          <cell r="T597">
            <v>31</v>
          </cell>
          <cell r="U597">
            <v>15</v>
          </cell>
          <cell r="V597">
            <v>13</v>
          </cell>
          <cell r="W597">
            <v>8</v>
          </cell>
          <cell r="X597">
            <v>12</v>
          </cell>
          <cell r="Y597">
            <v>1</v>
          </cell>
          <cell r="Z597" t="str">
            <v>Senior</v>
          </cell>
          <cell r="AA597" t="str">
            <v>High</v>
          </cell>
          <cell r="AB597" t="str">
            <v>Long</v>
          </cell>
          <cell r="AC597" t="str">
            <v>Low</v>
          </cell>
          <cell r="AD597">
            <v>825</v>
          </cell>
        </row>
        <row r="598">
          <cell r="A598">
            <v>35</v>
          </cell>
          <cell r="B598" t="str">
            <v>No</v>
          </cell>
          <cell r="C598" t="str">
            <v>Research &amp; Development</v>
          </cell>
          <cell r="D598">
            <v>1</v>
          </cell>
          <cell r="E598">
            <v>4</v>
          </cell>
          <cell r="F598" t="str">
            <v>Life Sciences</v>
          </cell>
          <cell r="G598">
            <v>4</v>
          </cell>
          <cell r="H598" t="str">
            <v>Female</v>
          </cell>
          <cell r="I598">
            <v>4</v>
          </cell>
          <cell r="J598">
            <v>1</v>
          </cell>
          <cell r="K598" t="str">
            <v>Research Scientist</v>
          </cell>
          <cell r="L598">
            <v>3</v>
          </cell>
          <cell r="M598" t="str">
            <v>Single</v>
          </cell>
          <cell r="N598">
            <v>2506</v>
          </cell>
          <cell r="O598">
            <v>3</v>
          </cell>
          <cell r="P598" t="str">
            <v>No</v>
          </cell>
          <cell r="Q598">
            <v>3</v>
          </cell>
          <cell r="R598">
            <v>7</v>
          </cell>
          <cell r="S598">
            <v>3</v>
          </cell>
          <cell r="T598">
            <v>2</v>
          </cell>
          <cell r="U598">
            <v>2</v>
          </cell>
          <cell r="V598">
            <v>2</v>
          </cell>
          <cell r="W598">
            <v>2</v>
          </cell>
          <cell r="X598">
            <v>13</v>
          </cell>
          <cell r="Y598">
            <v>0</v>
          </cell>
          <cell r="Z598" t="str">
            <v>Mid</v>
          </cell>
          <cell r="AA598" t="str">
            <v>Low</v>
          </cell>
          <cell r="AB598" t="str">
            <v>Early</v>
          </cell>
          <cell r="AC598" t="str">
            <v>Medium</v>
          </cell>
          <cell r="AD598">
            <v>826</v>
          </cell>
        </row>
        <row r="599">
          <cell r="A599">
            <v>42</v>
          </cell>
          <cell r="B599" t="str">
            <v>No</v>
          </cell>
          <cell r="C599" t="str">
            <v>Research &amp; Development</v>
          </cell>
          <cell r="D599">
            <v>1</v>
          </cell>
          <cell r="E599">
            <v>2</v>
          </cell>
          <cell r="F599" t="str">
            <v>Life Sciences</v>
          </cell>
          <cell r="G599">
            <v>4</v>
          </cell>
          <cell r="H599" t="str">
            <v>Female</v>
          </cell>
          <cell r="I599">
            <v>2</v>
          </cell>
          <cell r="J599">
            <v>2</v>
          </cell>
          <cell r="K599" t="str">
            <v>Manufacturing Director</v>
          </cell>
          <cell r="L599">
            <v>4</v>
          </cell>
          <cell r="M599" t="str">
            <v>Married</v>
          </cell>
          <cell r="N599">
            <v>6062</v>
          </cell>
          <cell r="O599">
            <v>9</v>
          </cell>
          <cell r="P599" t="str">
            <v>Yes</v>
          </cell>
          <cell r="Q599">
            <v>4</v>
          </cell>
          <cell r="R599">
            <v>8</v>
          </cell>
          <cell r="S599">
            <v>3</v>
          </cell>
          <cell r="T599">
            <v>4</v>
          </cell>
          <cell r="U599">
            <v>3</v>
          </cell>
          <cell r="V599">
            <v>0</v>
          </cell>
          <cell r="W599">
            <v>2</v>
          </cell>
          <cell r="X599">
            <v>13</v>
          </cell>
          <cell r="Y599">
            <v>0</v>
          </cell>
          <cell r="Z599" t="str">
            <v>Mid</v>
          </cell>
          <cell r="AA599" t="str">
            <v>Medium</v>
          </cell>
          <cell r="AB599" t="str">
            <v>Mid</v>
          </cell>
          <cell r="AC599" t="str">
            <v>Medium</v>
          </cell>
          <cell r="AD599">
            <v>827</v>
          </cell>
        </row>
        <row r="600">
          <cell r="A600">
            <v>28</v>
          </cell>
          <cell r="B600" t="str">
            <v>Yes</v>
          </cell>
          <cell r="C600" t="str">
            <v>Research &amp; Development</v>
          </cell>
          <cell r="D600">
            <v>2</v>
          </cell>
          <cell r="E600">
            <v>4</v>
          </cell>
          <cell r="F600" t="str">
            <v>Medical</v>
          </cell>
          <cell r="G600">
            <v>3</v>
          </cell>
          <cell r="H600" t="str">
            <v>Male</v>
          </cell>
          <cell r="I600">
            <v>3</v>
          </cell>
          <cell r="J600">
            <v>1</v>
          </cell>
          <cell r="K600" t="str">
            <v>Research Scientist</v>
          </cell>
          <cell r="L600">
            <v>3</v>
          </cell>
          <cell r="M600" t="str">
            <v>Single</v>
          </cell>
          <cell r="N600">
            <v>4382</v>
          </cell>
          <cell r="O600">
            <v>6</v>
          </cell>
          <cell r="P600" t="str">
            <v>No</v>
          </cell>
          <cell r="Q600">
            <v>4</v>
          </cell>
          <cell r="R600">
            <v>5</v>
          </cell>
          <cell r="S600">
            <v>2</v>
          </cell>
          <cell r="T600">
            <v>2</v>
          </cell>
          <cell r="U600">
            <v>2</v>
          </cell>
          <cell r="V600">
            <v>2</v>
          </cell>
          <cell r="W600">
            <v>1</v>
          </cell>
          <cell r="X600">
            <v>17</v>
          </cell>
          <cell r="Y600">
            <v>1</v>
          </cell>
          <cell r="Z600" t="str">
            <v>Young</v>
          </cell>
          <cell r="AA600" t="str">
            <v>Low</v>
          </cell>
          <cell r="AB600" t="str">
            <v>Early</v>
          </cell>
          <cell r="AC600" t="str">
            <v>Medium</v>
          </cell>
          <cell r="AD600">
            <v>828</v>
          </cell>
        </row>
        <row r="601">
          <cell r="A601">
            <v>36</v>
          </cell>
          <cell r="B601" t="str">
            <v>No</v>
          </cell>
          <cell r="C601" t="str">
            <v>Human Resources</v>
          </cell>
          <cell r="D601">
            <v>13</v>
          </cell>
          <cell r="E601">
            <v>3</v>
          </cell>
          <cell r="F601" t="str">
            <v>Human Resources</v>
          </cell>
          <cell r="G601">
            <v>3</v>
          </cell>
          <cell r="H601" t="str">
            <v>Male</v>
          </cell>
          <cell r="I601">
            <v>3</v>
          </cell>
          <cell r="J601">
            <v>1</v>
          </cell>
          <cell r="K601" t="str">
            <v>Human Resources</v>
          </cell>
          <cell r="L601">
            <v>2</v>
          </cell>
          <cell r="M601" t="str">
            <v>Married</v>
          </cell>
          <cell r="N601">
            <v>2143</v>
          </cell>
          <cell r="O601">
            <v>4</v>
          </cell>
          <cell r="P601" t="str">
            <v>No</v>
          </cell>
          <cell r="Q601">
            <v>2</v>
          </cell>
          <cell r="R601">
            <v>8</v>
          </cell>
          <cell r="S601">
            <v>3</v>
          </cell>
          <cell r="T601">
            <v>5</v>
          </cell>
          <cell r="U601">
            <v>2</v>
          </cell>
          <cell r="V601">
            <v>0</v>
          </cell>
          <cell r="W601">
            <v>4</v>
          </cell>
          <cell r="X601">
            <v>13</v>
          </cell>
          <cell r="Y601">
            <v>0</v>
          </cell>
          <cell r="Z601" t="str">
            <v>Mid</v>
          </cell>
          <cell r="AA601" t="str">
            <v>Low</v>
          </cell>
          <cell r="AB601" t="str">
            <v>Mid</v>
          </cell>
          <cell r="AC601" t="str">
            <v>Medium</v>
          </cell>
          <cell r="AD601">
            <v>829</v>
          </cell>
        </row>
        <row r="602">
          <cell r="A602">
            <v>32</v>
          </cell>
          <cell r="B602" t="str">
            <v>No</v>
          </cell>
          <cell r="C602" t="str">
            <v>Research &amp; Development</v>
          </cell>
          <cell r="D602">
            <v>4</v>
          </cell>
          <cell r="E602">
            <v>3</v>
          </cell>
          <cell r="F602" t="str">
            <v>Life Sciences</v>
          </cell>
          <cell r="G602">
            <v>3</v>
          </cell>
          <cell r="H602" t="str">
            <v>Female</v>
          </cell>
          <cell r="I602">
            <v>2</v>
          </cell>
          <cell r="J602">
            <v>2</v>
          </cell>
          <cell r="K602" t="str">
            <v>Manufacturing Director</v>
          </cell>
          <cell r="L602">
            <v>3</v>
          </cell>
          <cell r="M602" t="str">
            <v>Married</v>
          </cell>
          <cell r="N602">
            <v>6162</v>
          </cell>
          <cell r="O602">
            <v>1</v>
          </cell>
          <cell r="P602" t="str">
            <v>No</v>
          </cell>
          <cell r="Q602">
            <v>3</v>
          </cell>
          <cell r="R602">
            <v>14</v>
          </cell>
          <cell r="S602">
            <v>3</v>
          </cell>
          <cell r="T602">
            <v>14</v>
          </cell>
          <cell r="U602">
            <v>13</v>
          </cell>
          <cell r="V602">
            <v>6</v>
          </cell>
          <cell r="W602">
            <v>8</v>
          </cell>
          <cell r="X602">
            <v>12</v>
          </cell>
          <cell r="Y602">
            <v>0</v>
          </cell>
          <cell r="Z602" t="str">
            <v>Mid</v>
          </cell>
          <cell r="AA602" t="str">
            <v>Medium</v>
          </cell>
          <cell r="AB602" t="str">
            <v>Long</v>
          </cell>
          <cell r="AC602" t="str">
            <v>Low</v>
          </cell>
          <cell r="AD602">
            <v>830</v>
          </cell>
        </row>
        <row r="603">
          <cell r="A603">
            <v>40</v>
          </cell>
          <cell r="B603" t="str">
            <v>No</v>
          </cell>
          <cell r="C603" t="str">
            <v>Research &amp; Development</v>
          </cell>
          <cell r="D603">
            <v>16</v>
          </cell>
          <cell r="E603">
            <v>4</v>
          </cell>
          <cell r="F603" t="str">
            <v>Medical</v>
          </cell>
          <cell r="G603">
            <v>1</v>
          </cell>
          <cell r="H603" t="str">
            <v>Male</v>
          </cell>
          <cell r="I603">
            <v>2</v>
          </cell>
          <cell r="J603">
            <v>2</v>
          </cell>
          <cell r="K603" t="str">
            <v>Laboratory Technician</v>
          </cell>
          <cell r="L603">
            <v>3</v>
          </cell>
          <cell r="M603" t="str">
            <v>Single</v>
          </cell>
          <cell r="N603">
            <v>5094</v>
          </cell>
          <cell r="O603">
            <v>6</v>
          </cell>
          <cell r="P603" t="str">
            <v>No</v>
          </cell>
          <cell r="Q603">
            <v>4</v>
          </cell>
          <cell r="R603">
            <v>10</v>
          </cell>
          <cell r="S603">
            <v>3</v>
          </cell>
          <cell r="T603">
            <v>1</v>
          </cell>
          <cell r="U603">
            <v>0</v>
          </cell>
          <cell r="V603">
            <v>0</v>
          </cell>
          <cell r="W603">
            <v>0</v>
          </cell>
          <cell r="X603">
            <v>14</v>
          </cell>
          <cell r="Y603">
            <v>0</v>
          </cell>
          <cell r="Z603" t="str">
            <v>Mid</v>
          </cell>
          <cell r="AA603" t="str">
            <v>Medium</v>
          </cell>
          <cell r="AB603" t="str">
            <v>Early</v>
          </cell>
          <cell r="AC603" t="str">
            <v>Medium</v>
          </cell>
          <cell r="AD603">
            <v>832</v>
          </cell>
        </row>
        <row r="604">
          <cell r="A604">
            <v>30</v>
          </cell>
          <cell r="B604" t="str">
            <v>No</v>
          </cell>
          <cell r="C604" t="str">
            <v>Research &amp; Development</v>
          </cell>
          <cell r="D604">
            <v>2</v>
          </cell>
          <cell r="E604">
            <v>3</v>
          </cell>
          <cell r="F604" t="str">
            <v>Medical</v>
          </cell>
          <cell r="G604">
            <v>3</v>
          </cell>
          <cell r="H604" t="str">
            <v>Female</v>
          </cell>
          <cell r="I604">
            <v>2</v>
          </cell>
          <cell r="J604">
            <v>2</v>
          </cell>
          <cell r="K604" t="str">
            <v>Manufacturing Director</v>
          </cell>
          <cell r="L604">
            <v>4</v>
          </cell>
          <cell r="M604" t="str">
            <v>Single</v>
          </cell>
          <cell r="N604">
            <v>6877</v>
          </cell>
          <cell r="O604">
            <v>5</v>
          </cell>
          <cell r="P604" t="str">
            <v>Yes</v>
          </cell>
          <cell r="Q604">
            <v>2</v>
          </cell>
          <cell r="R604">
            <v>12</v>
          </cell>
          <cell r="S604">
            <v>2</v>
          </cell>
          <cell r="T604">
            <v>0</v>
          </cell>
          <cell r="U604">
            <v>0</v>
          </cell>
          <cell r="V604">
            <v>0</v>
          </cell>
          <cell r="W604">
            <v>0</v>
          </cell>
          <cell r="X604">
            <v>24</v>
          </cell>
          <cell r="Y604">
            <v>0</v>
          </cell>
          <cell r="Z604" t="str">
            <v>Mid</v>
          </cell>
          <cell r="AA604" t="str">
            <v>Medium</v>
          </cell>
          <cell r="AB604" t="str">
            <v>Early</v>
          </cell>
          <cell r="AC604" t="str">
            <v>High</v>
          </cell>
          <cell r="AD604">
            <v>833</v>
          </cell>
        </row>
        <row r="605">
          <cell r="A605">
            <v>45</v>
          </cell>
          <cell r="B605" t="str">
            <v>No</v>
          </cell>
          <cell r="C605" t="str">
            <v>Research &amp; Development</v>
          </cell>
          <cell r="D605">
            <v>2</v>
          </cell>
          <cell r="E605">
            <v>3</v>
          </cell>
          <cell r="F605" t="str">
            <v>Life Sciences</v>
          </cell>
          <cell r="G605">
            <v>2</v>
          </cell>
          <cell r="H605" t="str">
            <v>Female</v>
          </cell>
          <cell r="I605">
            <v>2</v>
          </cell>
          <cell r="J605">
            <v>1</v>
          </cell>
          <cell r="K605" t="str">
            <v>Research Scientist</v>
          </cell>
          <cell r="L605">
            <v>3</v>
          </cell>
          <cell r="M605" t="str">
            <v>Single</v>
          </cell>
          <cell r="N605">
            <v>2274</v>
          </cell>
          <cell r="O605">
            <v>1</v>
          </cell>
          <cell r="P605" t="str">
            <v>No</v>
          </cell>
          <cell r="Q605">
            <v>4</v>
          </cell>
          <cell r="R605">
            <v>1</v>
          </cell>
          <cell r="S605">
            <v>3</v>
          </cell>
          <cell r="T605">
            <v>1</v>
          </cell>
          <cell r="U605">
            <v>0</v>
          </cell>
          <cell r="V605">
            <v>0</v>
          </cell>
          <cell r="W605">
            <v>0</v>
          </cell>
          <cell r="X605">
            <v>14</v>
          </cell>
          <cell r="Y605">
            <v>0</v>
          </cell>
          <cell r="Z605" t="str">
            <v>Senior</v>
          </cell>
          <cell r="AA605" t="str">
            <v>Low</v>
          </cell>
          <cell r="AB605" t="str">
            <v>Early</v>
          </cell>
          <cell r="AC605" t="str">
            <v>Medium</v>
          </cell>
          <cell r="AD605">
            <v>834</v>
          </cell>
        </row>
        <row r="606">
          <cell r="A606">
            <v>42</v>
          </cell>
          <cell r="B606" t="str">
            <v>No</v>
          </cell>
          <cell r="C606" t="str">
            <v>Research &amp; Development</v>
          </cell>
          <cell r="D606">
            <v>29</v>
          </cell>
          <cell r="E606">
            <v>3</v>
          </cell>
          <cell r="F606" t="str">
            <v>Life Sciences</v>
          </cell>
          <cell r="G606">
            <v>2</v>
          </cell>
          <cell r="H606" t="str">
            <v>Male</v>
          </cell>
          <cell r="I606">
            <v>3</v>
          </cell>
          <cell r="J606">
            <v>2</v>
          </cell>
          <cell r="K606" t="str">
            <v>Manufacturing Director</v>
          </cell>
          <cell r="L606">
            <v>2</v>
          </cell>
          <cell r="M606" t="str">
            <v>Married</v>
          </cell>
          <cell r="N606">
            <v>4434</v>
          </cell>
          <cell r="O606">
            <v>1</v>
          </cell>
          <cell r="P606" t="str">
            <v>No</v>
          </cell>
          <cell r="Q606">
            <v>4</v>
          </cell>
          <cell r="R606">
            <v>10</v>
          </cell>
          <cell r="S606">
            <v>2</v>
          </cell>
          <cell r="T606">
            <v>9</v>
          </cell>
          <cell r="U606">
            <v>8</v>
          </cell>
          <cell r="V606">
            <v>7</v>
          </cell>
          <cell r="W606">
            <v>8</v>
          </cell>
          <cell r="X606">
            <v>13</v>
          </cell>
          <cell r="Y606">
            <v>0</v>
          </cell>
          <cell r="Z606" t="str">
            <v>Mid</v>
          </cell>
          <cell r="AA606" t="str">
            <v>Low</v>
          </cell>
          <cell r="AB606" t="str">
            <v>Long</v>
          </cell>
          <cell r="AC606" t="str">
            <v>Medium</v>
          </cell>
          <cell r="AD606">
            <v>836</v>
          </cell>
        </row>
        <row r="607">
          <cell r="A607">
            <v>38</v>
          </cell>
          <cell r="B607" t="str">
            <v>No</v>
          </cell>
          <cell r="C607" t="str">
            <v>Research &amp; Development</v>
          </cell>
          <cell r="D607">
            <v>12</v>
          </cell>
          <cell r="E607">
            <v>3</v>
          </cell>
          <cell r="F607" t="str">
            <v>Life Sciences</v>
          </cell>
          <cell r="G607">
            <v>1</v>
          </cell>
          <cell r="H607" t="str">
            <v>Male</v>
          </cell>
          <cell r="I607">
            <v>2</v>
          </cell>
          <cell r="J607">
            <v>2</v>
          </cell>
          <cell r="K607" t="str">
            <v>Healthcare Representative</v>
          </cell>
          <cell r="L607">
            <v>1</v>
          </cell>
          <cell r="M607" t="str">
            <v>Divorced</v>
          </cell>
          <cell r="N607">
            <v>6288</v>
          </cell>
          <cell r="O607">
            <v>2</v>
          </cell>
          <cell r="P607" t="str">
            <v>No</v>
          </cell>
          <cell r="Q607">
            <v>3</v>
          </cell>
          <cell r="R607">
            <v>13</v>
          </cell>
          <cell r="S607">
            <v>2</v>
          </cell>
          <cell r="T607">
            <v>4</v>
          </cell>
          <cell r="U607">
            <v>3</v>
          </cell>
          <cell r="V607">
            <v>1</v>
          </cell>
          <cell r="W607">
            <v>2</v>
          </cell>
          <cell r="X607">
            <v>15</v>
          </cell>
          <cell r="Y607">
            <v>0</v>
          </cell>
          <cell r="Z607" t="str">
            <v>Mid</v>
          </cell>
          <cell r="AA607" t="str">
            <v>Medium</v>
          </cell>
          <cell r="AB607" t="str">
            <v>Mid</v>
          </cell>
          <cell r="AC607" t="str">
            <v>Medium</v>
          </cell>
          <cell r="AD607">
            <v>837</v>
          </cell>
        </row>
        <row r="608">
          <cell r="A608">
            <v>34</v>
          </cell>
          <cell r="B608" t="str">
            <v>No</v>
          </cell>
          <cell r="C608" t="str">
            <v>Research &amp; Development</v>
          </cell>
          <cell r="D608">
            <v>16</v>
          </cell>
          <cell r="E608">
            <v>4</v>
          </cell>
          <cell r="F608" t="str">
            <v>Life Sciences</v>
          </cell>
          <cell r="G608">
            <v>3</v>
          </cell>
          <cell r="H608" t="str">
            <v>Female</v>
          </cell>
          <cell r="I608">
            <v>2</v>
          </cell>
          <cell r="J608">
            <v>1</v>
          </cell>
          <cell r="K608" t="str">
            <v>Research Scientist</v>
          </cell>
          <cell r="L608">
            <v>4</v>
          </cell>
          <cell r="M608" t="str">
            <v>Single</v>
          </cell>
          <cell r="N608">
            <v>2553</v>
          </cell>
          <cell r="O608">
            <v>1</v>
          </cell>
          <cell r="P608" t="str">
            <v>No</v>
          </cell>
          <cell r="Q608">
            <v>3</v>
          </cell>
          <cell r="R608">
            <v>6</v>
          </cell>
          <cell r="S608">
            <v>3</v>
          </cell>
          <cell r="T608">
            <v>5</v>
          </cell>
          <cell r="U608">
            <v>2</v>
          </cell>
          <cell r="V608">
            <v>1</v>
          </cell>
          <cell r="W608">
            <v>3</v>
          </cell>
          <cell r="X608">
            <v>16</v>
          </cell>
          <cell r="Y608">
            <v>0</v>
          </cell>
          <cell r="Z608" t="str">
            <v>Mid</v>
          </cell>
          <cell r="AA608" t="str">
            <v>Low</v>
          </cell>
          <cell r="AB608" t="str">
            <v>Mid</v>
          </cell>
          <cell r="AC608" t="str">
            <v>Medium</v>
          </cell>
          <cell r="AD608">
            <v>838</v>
          </cell>
        </row>
        <row r="609">
          <cell r="A609">
            <v>49</v>
          </cell>
          <cell r="B609" t="str">
            <v>Yes</v>
          </cell>
          <cell r="C609" t="str">
            <v>Sales</v>
          </cell>
          <cell r="D609">
            <v>11</v>
          </cell>
          <cell r="E609">
            <v>3</v>
          </cell>
          <cell r="F609" t="str">
            <v>Marketing</v>
          </cell>
          <cell r="G609">
            <v>3</v>
          </cell>
          <cell r="H609" t="str">
            <v>Female</v>
          </cell>
          <cell r="I609">
            <v>3</v>
          </cell>
          <cell r="J609">
            <v>3</v>
          </cell>
          <cell r="K609" t="str">
            <v>Sales Executive</v>
          </cell>
          <cell r="L609">
            <v>4</v>
          </cell>
          <cell r="M609" t="str">
            <v>Married</v>
          </cell>
          <cell r="N609">
            <v>7654</v>
          </cell>
          <cell r="O609">
            <v>1</v>
          </cell>
          <cell r="P609" t="str">
            <v>No</v>
          </cell>
          <cell r="Q609">
            <v>1</v>
          </cell>
          <cell r="R609">
            <v>9</v>
          </cell>
          <cell r="S609">
            <v>4</v>
          </cell>
          <cell r="T609">
            <v>9</v>
          </cell>
          <cell r="U609">
            <v>8</v>
          </cell>
          <cell r="V609">
            <v>7</v>
          </cell>
          <cell r="W609">
            <v>7</v>
          </cell>
          <cell r="X609">
            <v>18</v>
          </cell>
          <cell r="Y609">
            <v>1</v>
          </cell>
          <cell r="Z609" t="str">
            <v>Senior</v>
          </cell>
          <cell r="AA609" t="str">
            <v>Medium</v>
          </cell>
          <cell r="AB609" t="str">
            <v>Long</v>
          </cell>
          <cell r="AC609" t="str">
            <v>High</v>
          </cell>
          <cell r="AD609">
            <v>840</v>
          </cell>
        </row>
        <row r="610">
          <cell r="A610">
            <v>55</v>
          </cell>
          <cell r="B610" t="str">
            <v>Yes</v>
          </cell>
          <cell r="C610" t="str">
            <v>Sales</v>
          </cell>
          <cell r="D610">
            <v>2</v>
          </cell>
          <cell r="E610">
            <v>1</v>
          </cell>
          <cell r="F610" t="str">
            <v>Medical</v>
          </cell>
          <cell r="G610">
            <v>3</v>
          </cell>
          <cell r="H610" t="str">
            <v>Male</v>
          </cell>
          <cell r="I610">
            <v>3</v>
          </cell>
          <cell r="J610">
            <v>2</v>
          </cell>
          <cell r="K610" t="str">
            <v>Sales Executive</v>
          </cell>
          <cell r="L610">
            <v>4</v>
          </cell>
          <cell r="M610" t="str">
            <v>Single</v>
          </cell>
          <cell r="N610">
            <v>5160</v>
          </cell>
          <cell r="O610">
            <v>4</v>
          </cell>
          <cell r="P610" t="str">
            <v>No</v>
          </cell>
          <cell r="Q610">
            <v>3</v>
          </cell>
          <cell r="R610">
            <v>12</v>
          </cell>
          <cell r="S610">
            <v>2</v>
          </cell>
          <cell r="T610">
            <v>9</v>
          </cell>
          <cell r="U610">
            <v>7</v>
          </cell>
          <cell r="V610">
            <v>7</v>
          </cell>
          <cell r="W610">
            <v>3</v>
          </cell>
          <cell r="X610">
            <v>16</v>
          </cell>
          <cell r="Y610">
            <v>1</v>
          </cell>
          <cell r="Z610" t="str">
            <v>Senior</v>
          </cell>
          <cell r="AA610" t="str">
            <v>Medium</v>
          </cell>
          <cell r="AB610" t="str">
            <v>Long</v>
          </cell>
          <cell r="AC610" t="str">
            <v>Medium</v>
          </cell>
          <cell r="AD610">
            <v>842</v>
          </cell>
        </row>
        <row r="611">
          <cell r="A611">
            <v>43</v>
          </cell>
          <cell r="B611" t="str">
            <v>No</v>
          </cell>
          <cell r="C611" t="str">
            <v>Research &amp; Development</v>
          </cell>
          <cell r="D611">
            <v>14</v>
          </cell>
          <cell r="E611">
            <v>2</v>
          </cell>
          <cell r="F611" t="str">
            <v>Life Sciences</v>
          </cell>
          <cell r="G611">
            <v>2</v>
          </cell>
          <cell r="H611" t="str">
            <v>Male</v>
          </cell>
          <cell r="I611">
            <v>3</v>
          </cell>
          <cell r="J611">
            <v>4</v>
          </cell>
          <cell r="K611" t="str">
            <v>Research Director</v>
          </cell>
          <cell r="L611">
            <v>1</v>
          </cell>
          <cell r="M611" t="str">
            <v>Married</v>
          </cell>
          <cell r="N611">
            <v>17159</v>
          </cell>
          <cell r="O611">
            <v>6</v>
          </cell>
          <cell r="P611" t="str">
            <v>No</v>
          </cell>
          <cell r="Q611">
            <v>3</v>
          </cell>
          <cell r="R611">
            <v>22</v>
          </cell>
          <cell r="S611">
            <v>3</v>
          </cell>
          <cell r="T611">
            <v>4</v>
          </cell>
          <cell r="U611">
            <v>1</v>
          </cell>
          <cell r="V611">
            <v>1</v>
          </cell>
          <cell r="W611">
            <v>0</v>
          </cell>
          <cell r="X611">
            <v>24</v>
          </cell>
          <cell r="Y611">
            <v>0</v>
          </cell>
          <cell r="Z611" t="str">
            <v>Mid</v>
          </cell>
          <cell r="AA611" t="str">
            <v>High</v>
          </cell>
          <cell r="AB611" t="str">
            <v>Mid</v>
          </cell>
          <cell r="AC611" t="str">
            <v>High</v>
          </cell>
          <cell r="AD611">
            <v>843</v>
          </cell>
        </row>
        <row r="612">
          <cell r="A612">
            <v>27</v>
          </cell>
          <cell r="B612" t="str">
            <v>No</v>
          </cell>
          <cell r="C612" t="str">
            <v>Research &amp; Development</v>
          </cell>
          <cell r="D612">
            <v>5</v>
          </cell>
          <cell r="E612">
            <v>1</v>
          </cell>
          <cell r="F612" t="str">
            <v>Technical Degree</v>
          </cell>
          <cell r="G612">
            <v>3</v>
          </cell>
          <cell r="H612" t="str">
            <v>Male</v>
          </cell>
          <cell r="I612">
            <v>2</v>
          </cell>
          <cell r="J612">
            <v>3</v>
          </cell>
          <cell r="K612" t="str">
            <v>Research Director</v>
          </cell>
          <cell r="L612">
            <v>4</v>
          </cell>
          <cell r="M612" t="str">
            <v>Divorced</v>
          </cell>
          <cell r="N612">
            <v>12808</v>
          </cell>
          <cell r="O612">
            <v>1</v>
          </cell>
          <cell r="P612" t="str">
            <v>Yes</v>
          </cell>
          <cell r="Q612">
            <v>2</v>
          </cell>
          <cell r="R612">
            <v>9</v>
          </cell>
          <cell r="S612">
            <v>3</v>
          </cell>
          <cell r="T612">
            <v>9</v>
          </cell>
          <cell r="U612">
            <v>8</v>
          </cell>
          <cell r="V612">
            <v>0</v>
          </cell>
          <cell r="W612">
            <v>8</v>
          </cell>
          <cell r="X612">
            <v>16</v>
          </cell>
          <cell r="Y612">
            <v>0</v>
          </cell>
          <cell r="Z612" t="str">
            <v>Young</v>
          </cell>
          <cell r="AA612" t="str">
            <v>High</v>
          </cell>
          <cell r="AB612" t="str">
            <v>Long</v>
          </cell>
          <cell r="AC612" t="str">
            <v>Medium</v>
          </cell>
          <cell r="AD612">
            <v>844</v>
          </cell>
        </row>
        <row r="613">
          <cell r="A613">
            <v>35</v>
          </cell>
          <cell r="B613" t="str">
            <v>No</v>
          </cell>
          <cell r="C613" t="str">
            <v>Research &amp; Development</v>
          </cell>
          <cell r="D613">
            <v>7</v>
          </cell>
          <cell r="E613">
            <v>3</v>
          </cell>
          <cell r="F613" t="str">
            <v>Other</v>
          </cell>
          <cell r="G613">
            <v>3</v>
          </cell>
          <cell r="H613" t="str">
            <v>Male</v>
          </cell>
          <cell r="I613">
            <v>3</v>
          </cell>
          <cell r="J613">
            <v>3</v>
          </cell>
          <cell r="K613" t="str">
            <v>Manufacturing Director</v>
          </cell>
          <cell r="L613">
            <v>3</v>
          </cell>
          <cell r="M613" t="str">
            <v>Single</v>
          </cell>
          <cell r="N613">
            <v>10221</v>
          </cell>
          <cell r="O613">
            <v>3</v>
          </cell>
          <cell r="P613" t="str">
            <v>No</v>
          </cell>
          <cell r="Q613">
            <v>2</v>
          </cell>
          <cell r="R613">
            <v>17</v>
          </cell>
          <cell r="S613">
            <v>4</v>
          </cell>
          <cell r="T613">
            <v>8</v>
          </cell>
          <cell r="U613">
            <v>5</v>
          </cell>
          <cell r="V613">
            <v>1</v>
          </cell>
          <cell r="W613">
            <v>6</v>
          </cell>
          <cell r="X613">
            <v>21</v>
          </cell>
          <cell r="Y613">
            <v>0</v>
          </cell>
          <cell r="Z613" t="str">
            <v>Mid</v>
          </cell>
          <cell r="AA613" t="str">
            <v>High</v>
          </cell>
          <cell r="AB613" t="str">
            <v>Long</v>
          </cell>
          <cell r="AC613" t="str">
            <v>High</v>
          </cell>
          <cell r="AD613">
            <v>845</v>
          </cell>
        </row>
        <row r="614">
          <cell r="A614">
            <v>28</v>
          </cell>
          <cell r="B614" t="str">
            <v>No</v>
          </cell>
          <cell r="C614" t="str">
            <v>Sales</v>
          </cell>
          <cell r="D614">
            <v>2</v>
          </cell>
          <cell r="E614">
            <v>4</v>
          </cell>
          <cell r="F614" t="str">
            <v>Marketing</v>
          </cell>
          <cell r="G614">
            <v>2</v>
          </cell>
          <cell r="H614" t="str">
            <v>Female</v>
          </cell>
          <cell r="I614">
            <v>3</v>
          </cell>
          <cell r="J614">
            <v>2</v>
          </cell>
          <cell r="K614" t="str">
            <v>Sales Executive</v>
          </cell>
          <cell r="L614">
            <v>2</v>
          </cell>
          <cell r="M614" t="str">
            <v>Married</v>
          </cell>
          <cell r="N614">
            <v>4779</v>
          </cell>
          <cell r="O614">
            <v>1</v>
          </cell>
          <cell r="P614" t="str">
            <v>Yes</v>
          </cell>
          <cell r="Q614">
            <v>1</v>
          </cell>
          <cell r="R614">
            <v>8</v>
          </cell>
          <cell r="S614">
            <v>3</v>
          </cell>
          <cell r="T614">
            <v>8</v>
          </cell>
          <cell r="U614">
            <v>7</v>
          </cell>
          <cell r="V614">
            <v>7</v>
          </cell>
          <cell r="W614">
            <v>5</v>
          </cell>
          <cell r="X614">
            <v>20</v>
          </cell>
          <cell r="Y614">
            <v>0</v>
          </cell>
          <cell r="Z614" t="str">
            <v>Young</v>
          </cell>
          <cell r="AA614" t="str">
            <v>Low</v>
          </cell>
          <cell r="AB614" t="str">
            <v>Long</v>
          </cell>
          <cell r="AC614" t="str">
            <v>High</v>
          </cell>
          <cell r="AD614">
            <v>846</v>
          </cell>
        </row>
        <row r="615">
          <cell r="A615">
            <v>34</v>
          </cell>
          <cell r="B615" t="str">
            <v>No</v>
          </cell>
          <cell r="C615" t="str">
            <v>Human Resources</v>
          </cell>
          <cell r="D615">
            <v>3</v>
          </cell>
          <cell r="E615">
            <v>2</v>
          </cell>
          <cell r="F615" t="str">
            <v>Human Resources</v>
          </cell>
          <cell r="G615">
            <v>3</v>
          </cell>
          <cell r="H615" t="str">
            <v>Male</v>
          </cell>
          <cell r="I615">
            <v>3</v>
          </cell>
          <cell r="J615">
            <v>1</v>
          </cell>
          <cell r="K615" t="str">
            <v>Human Resources</v>
          </cell>
          <cell r="L615">
            <v>4</v>
          </cell>
          <cell r="M615" t="str">
            <v>Married</v>
          </cell>
          <cell r="N615">
            <v>3737</v>
          </cell>
          <cell r="O615">
            <v>0</v>
          </cell>
          <cell r="P615" t="str">
            <v>No</v>
          </cell>
          <cell r="Q615">
            <v>3</v>
          </cell>
          <cell r="R615">
            <v>4</v>
          </cell>
          <cell r="S615">
            <v>1</v>
          </cell>
          <cell r="T615">
            <v>3</v>
          </cell>
          <cell r="U615">
            <v>2</v>
          </cell>
          <cell r="V615">
            <v>0</v>
          </cell>
          <cell r="W615">
            <v>2</v>
          </cell>
          <cell r="X615">
            <v>19</v>
          </cell>
          <cell r="Y615">
            <v>0</v>
          </cell>
          <cell r="Z615" t="str">
            <v>Mid</v>
          </cell>
          <cell r="AA615" t="str">
            <v>Low</v>
          </cell>
          <cell r="AB615" t="str">
            <v>Mid</v>
          </cell>
          <cell r="AC615" t="str">
            <v>High</v>
          </cell>
          <cell r="AD615">
            <v>847</v>
          </cell>
        </row>
        <row r="616">
          <cell r="A616">
            <v>26</v>
          </cell>
          <cell r="B616" t="str">
            <v>Yes</v>
          </cell>
          <cell r="C616" t="str">
            <v>Research &amp; Development</v>
          </cell>
          <cell r="D616">
            <v>5</v>
          </cell>
          <cell r="E616">
            <v>2</v>
          </cell>
          <cell r="F616" t="str">
            <v>Medical</v>
          </cell>
          <cell r="G616">
            <v>3</v>
          </cell>
          <cell r="H616" t="str">
            <v>Female</v>
          </cell>
          <cell r="I616">
            <v>2</v>
          </cell>
          <cell r="J616">
            <v>1</v>
          </cell>
          <cell r="K616" t="str">
            <v>Research Scientist</v>
          </cell>
          <cell r="L616">
            <v>3</v>
          </cell>
          <cell r="M616" t="str">
            <v>Married</v>
          </cell>
          <cell r="N616">
            <v>2366</v>
          </cell>
          <cell r="O616">
            <v>1</v>
          </cell>
          <cell r="P616" t="str">
            <v>Yes</v>
          </cell>
          <cell r="Q616">
            <v>1</v>
          </cell>
          <cell r="R616">
            <v>8</v>
          </cell>
          <cell r="S616">
            <v>3</v>
          </cell>
          <cell r="T616">
            <v>8</v>
          </cell>
          <cell r="U616">
            <v>7</v>
          </cell>
          <cell r="V616">
            <v>1</v>
          </cell>
          <cell r="W616">
            <v>7</v>
          </cell>
          <cell r="X616">
            <v>14</v>
          </cell>
          <cell r="Y616">
            <v>1</v>
          </cell>
          <cell r="Z616" t="str">
            <v>Young</v>
          </cell>
          <cell r="AA616" t="str">
            <v>Low</v>
          </cell>
          <cell r="AB616" t="str">
            <v>Long</v>
          </cell>
          <cell r="AC616" t="str">
            <v>Medium</v>
          </cell>
          <cell r="AD616">
            <v>848</v>
          </cell>
        </row>
        <row r="617">
          <cell r="A617">
            <v>27</v>
          </cell>
          <cell r="B617" t="str">
            <v>No</v>
          </cell>
          <cell r="C617" t="str">
            <v>Research &amp; Development</v>
          </cell>
          <cell r="D617">
            <v>3</v>
          </cell>
          <cell r="E617">
            <v>3</v>
          </cell>
          <cell r="F617" t="str">
            <v>Medical</v>
          </cell>
          <cell r="G617">
            <v>4</v>
          </cell>
          <cell r="H617" t="str">
            <v>Male</v>
          </cell>
          <cell r="I617">
            <v>3</v>
          </cell>
          <cell r="J617">
            <v>1</v>
          </cell>
          <cell r="K617" t="str">
            <v>Research Scientist</v>
          </cell>
          <cell r="L617">
            <v>4</v>
          </cell>
          <cell r="M617" t="str">
            <v>Married</v>
          </cell>
          <cell r="N617">
            <v>1706</v>
          </cell>
          <cell r="O617">
            <v>1</v>
          </cell>
          <cell r="P617" t="str">
            <v>No</v>
          </cell>
          <cell r="Q617">
            <v>3</v>
          </cell>
          <cell r="R617">
            <v>0</v>
          </cell>
          <cell r="S617">
            <v>2</v>
          </cell>
          <cell r="T617">
            <v>0</v>
          </cell>
          <cell r="U617">
            <v>0</v>
          </cell>
          <cell r="V617">
            <v>0</v>
          </cell>
          <cell r="W617">
            <v>0</v>
          </cell>
          <cell r="X617">
            <v>11</v>
          </cell>
          <cell r="Y617">
            <v>0</v>
          </cell>
          <cell r="Z617" t="str">
            <v>Young</v>
          </cell>
          <cell r="AA617" t="str">
            <v>Low</v>
          </cell>
          <cell r="AB617" t="str">
            <v>Early</v>
          </cell>
          <cell r="AC617" t="str">
            <v>Low</v>
          </cell>
          <cell r="AD617">
            <v>850</v>
          </cell>
        </row>
        <row r="618">
          <cell r="A618">
            <v>51</v>
          </cell>
          <cell r="B618" t="str">
            <v>No</v>
          </cell>
          <cell r="C618" t="str">
            <v>Sales</v>
          </cell>
          <cell r="D618">
            <v>26</v>
          </cell>
          <cell r="E618">
            <v>4</v>
          </cell>
          <cell r="F618" t="str">
            <v>Marketing</v>
          </cell>
          <cell r="G618">
            <v>1</v>
          </cell>
          <cell r="H618" t="str">
            <v>Female</v>
          </cell>
          <cell r="I618">
            <v>3</v>
          </cell>
          <cell r="J618">
            <v>4</v>
          </cell>
          <cell r="K618" t="str">
            <v>Manager</v>
          </cell>
          <cell r="L618">
            <v>3</v>
          </cell>
          <cell r="M618" t="str">
            <v>Married</v>
          </cell>
          <cell r="N618">
            <v>16307</v>
          </cell>
          <cell r="O618">
            <v>2</v>
          </cell>
          <cell r="P618" t="str">
            <v>No</v>
          </cell>
          <cell r="Q618">
            <v>3</v>
          </cell>
          <cell r="R618">
            <v>29</v>
          </cell>
          <cell r="S618">
            <v>2</v>
          </cell>
          <cell r="T618">
            <v>20</v>
          </cell>
          <cell r="U618">
            <v>6</v>
          </cell>
          <cell r="V618">
            <v>4</v>
          </cell>
          <cell r="W618">
            <v>17</v>
          </cell>
          <cell r="X618">
            <v>14</v>
          </cell>
          <cell r="Y618">
            <v>0</v>
          </cell>
          <cell r="Z618" t="str">
            <v>Senior</v>
          </cell>
          <cell r="AA618" t="str">
            <v>High</v>
          </cell>
          <cell r="AB618" t="str">
            <v>Long</v>
          </cell>
          <cell r="AC618" t="str">
            <v>Medium</v>
          </cell>
          <cell r="AD618">
            <v>851</v>
          </cell>
        </row>
        <row r="619">
          <cell r="A619">
            <v>44</v>
          </cell>
          <cell r="B619" t="str">
            <v>No</v>
          </cell>
          <cell r="C619" t="str">
            <v>Research &amp; Development</v>
          </cell>
          <cell r="D619">
            <v>4</v>
          </cell>
          <cell r="E619">
            <v>3</v>
          </cell>
          <cell r="F619" t="str">
            <v>Medical</v>
          </cell>
          <cell r="G619">
            <v>4</v>
          </cell>
          <cell r="H619" t="str">
            <v>Male</v>
          </cell>
          <cell r="I619">
            <v>3</v>
          </cell>
          <cell r="J619">
            <v>2</v>
          </cell>
          <cell r="K619" t="str">
            <v>Healthcare Representative</v>
          </cell>
          <cell r="L619">
            <v>2</v>
          </cell>
          <cell r="M619" t="str">
            <v>Single</v>
          </cell>
          <cell r="N619">
            <v>5933</v>
          </cell>
          <cell r="O619">
            <v>9</v>
          </cell>
          <cell r="P619" t="str">
            <v>No</v>
          </cell>
          <cell r="Q619">
            <v>4</v>
          </cell>
          <cell r="R619">
            <v>10</v>
          </cell>
          <cell r="S619">
            <v>2</v>
          </cell>
          <cell r="T619">
            <v>5</v>
          </cell>
          <cell r="U619">
            <v>2</v>
          </cell>
          <cell r="V619">
            <v>2</v>
          </cell>
          <cell r="W619">
            <v>3</v>
          </cell>
          <cell r="X619">
            <v>12</v>
          </cell>
          <cell r="Y619">
            <v>0</v>
          </cell>
          <cell r="Z619" t="str">
            <v>Mid</v>
          </cell>
          <cell r="AA619" t="str">
            <v>Medium</v>
          </cell>
          <cell r="AB619" t="str">
            <v>Mid</v>
          </cell>
          <cell r="AC619" t="str">
            <v>Low</v>
          </cell>
          <cell r="AD619">
            <v>852</v>
          </cell>
        </row>
        <row r="620">
          <cell r="A620">
            <v>25</v>
          </cell>
          <cell r="B620" t="str">
            <v>No</v>
          </cell>
          <cell r="C620" t="str">
            <v>Research &amp; Development</v>
          </cell>
          <cell r="D620">
            <v>2</v>
          </cell>
          <cell r="E620">
            <v>1</v>
          </cell>
          <cell r="F620" t="str">
            <v>Medical</v>
          </cell>
          <cell r="G620">
            <v>1</v>
          </cell>
          <cell r="H620" t="str">
            <v>Male</v>
          </cell>
          <cell r="I620">
            <v>4</v>
          </cell>
          <cell r="J620">
            <v>1</v>
          </cell>
          <cell r="K620" t="str">
            <v>Research Scientist</v>
          </cell>
          <cell r="L620">
            <v>1</v>
          </cell>
          <cell r="M620" t="str">
            <v>Single</v>
          </cell>
          <cell r="N620">
            <v>3424</v>
          </cell>
          <cell r="O620">
            <v>7</v>
          </cell>
          <cell r="P620" t="str">
            <v>No</v>
          </cell>
          <cell r="Q620">
            <v>3</v>
          </cell>
          <cell r="R620">
            <v>6</v>
          </cell>
          <cell r="S620">
            <v>2</v>
          </cell>
          <cell r="T620">
            <v>4</v>
          </cell>
          <cell r="U620">
            <v>3</v>
          </cell>
          <cell r="V620">
            <v>0</v>
          </cell>
          <cell r="W620">
            <v>1</v>
          </cell>
          <cell r="X620">
            <v>13</v>
          </cell>
          <cell r="Y620">
            <v>0</v>
          </cell>
          <cell r="Z620" t="str">
            <v>Young</v>
          </cell>
          <cell r="AA620" t="str">
            <v>Low</v>
          </cell>
          <cell r="AB620" t="str">
            <v>Mid</v>
          </cell>
          <cell r="AC620" t="str">
            <v>Medium</v>
          </cell>
          <cell r="AD620">
            <v>854</v>
          </cell>
        </row>
        <row r="621">
          <cell r="A621">
            <v>33</v>
          </cell>
          <cell r="B621" t="str">
            <v>No</v>
          </cell>
          <cell r="C621" t="str">
            <v>Sales</v>
          </cell>
          <cell r="D621">
            <v>1</v>
          </cell>
          <cell r="E621">
            <v>3</v>
          </cell>
          <cell r="F621" t="str">
            <v>Medical</v>
          </cell>
          <cell r="G621">
            <v>1</v>
          </cell>
          <cell r="H621" t="str">
            <v>Male</v>
          </cell>
          <cell r="I621">
            <v>4</v>
          </cell>
          <cell r="J621">
            <v>2</v>
          </cell>
          <cell r="K621" t="str">
            <v>Sales Executive</v>
          </cell>
          <cell r="L621">
            <v>1</v>
          </cell>
          <cell r="M621" t="str">
            <v>Divorced</v>
          </cell>
          <cell r="N621">
            <v>4037</v>
          </cell>
          <cell r="O621">
            <v>1</v>
          </cell>
          <cell r="P621" t="str">
            <v>No</v>
          </cell>
          <cell r="Q621">
            <v>1</v>
          </cell>
          <cell r="R621">
            <v>9</v>
          </cell>
          <cell r="S621">
            <v>3</v>
          </cell>
          <cell r="T621">
            <v>9</v>
          </cell>
          <cell r="U621">
            <v>8</v>
          </cell>
          <cell r="V621">
            <v>0</v>
          </cell>
          <cell r="W621">
            <v>8</v>
          </cell>
          <cell r="X621">
            <v>22</v>
          </cell>
          <cell r="Y621">
            <v>0</v>
          </cell>
          <cell r="Z621" t="str">
            <v>Mid</v>
          </cell>
          <cell r="AA621" t="str">
            <v>Low</v>
          </cell>
          <cell r="AB621" t="str">
            <v>Long</v>
          </cell>
          <cell r="AC621" t="str">
            <v>High</v>
          </cell>
          <cell r="AD621">
            <v>855</v>
          </cell>
        </row>
        <row r="622">
          <cell r="A622">
            <v>35</v>
          </cell>
          <cell r="B622" t="str">
            <v>No</v>
          </cell>
          <cell r="C622" t="str">
            <v>Research &amp; Development</v>
          </cell>
          <cell r="D622">
            <v>27</v>
          </cell>
          <cell r="E622">
            <v>1</v>
          </cell>
          <cell r="F622" t="str">
            <v>Medical</v>
          </cell>
          <cell r="G622">
            <v>3</v>
          </cell>
          <cell r="H622" t="str">
            <v>Female</v>
          </cell>
          <cell r="I622">
            <v>2</v>
          </cell>
          <cell r="J622">
            <v>1</v>
          </cell>
          <cell r="K622" t="str">
            <v>Research Scientist</v>
          </cell>
          <cell r="L622">
            <v>1</v>
          </cell>
          <cell r="M622" t="str">
            <v>Single</v>
          </cell>
          <cell r="N622">
            <v>2559</v>
          </cell>
          <cell r="O622">
            <v>1</v>
          </cell>
          <cell r="P622" t="str">
            <v>No</v>
          </cell>
          <cell r="Q622">
            <v>4</v>
          </cell>
          <cell r="R622">
            <v>6</v>
          </cell>
          <cell r="S622">
            <v>2</v>
          </cell>
          <cell r="T622">
            <v>6</v>
          </cell>
          <cell r="U622">
            <v>5</v>
          </cell>
          <cell r="V622">
            <v>1</v>
          </cell>
          <cell r="W622">
            <v>1</v>
          </cell>
          <cell r="X622">
            <v>11</v>
          </cell>
          <cell r="Y622">
            <v>0</v>
          </cell>
          <cell r="Z622" t="str">
            <v>Mid</v>
          </cell>
          <cell r="AA622" t="str">
            <v>Low</v>
          </cell>
          <cell r="AB622" t="str">
            <v>Mid</v>
          </cell>
          <cell r="AC622" t="str">
            <v>Low</v>
          </cell>
          <cell r="AD622">
            <v>856</v>
          </cell>
        </row>
        <row r="623">
          <cell r="A623">
            <v>36</v>
          </cell>
          <cell r="B623" t="str">
            <v>No</v>
          </cell>
          <cell r="C623" t="str">
            <v>Sales</v>
          </cell>
          <cell r="D623">
            <v>1</v>
          </cell>
          <cell r="E623">
            <v>2</v>
          </cell>
          <cell r="F623" t="str">
            <v>Life Sciences</v>
          </cell>
          <cell r="G623">
            <v>2</v>
          </cell>
          <cell r="H623" t="str">
            <v>Male</v>
          </cell>
          <cell r="I623">
            <v>3</v>
          </cell>
          <cell r="J623">
            <v>2</v>
          </cell>
          <cell r="K623" t="str">
            <v>Sales Executive</v>
          </cell>
          <cell r="L623">
            <v>4</v>
          </cell>
          <cell r="M623" t="str">
            <v>Married</v>
          </cell>
          <cell r="N623">
            <v>6201</v>
          </cell>
          <cell r="O623">
            <v>1</v>
          </cell>
          <cell r="P623" t="str">
            <v>Yes</v>
          </cell>
          <cell r="Q623">
            <v>4</v>
          </cell>
          <cell r="R623">
            <v>18</v>
          </cell>
          <cell r="S623">
            <v>2</v>
          </cell>
          <cell r="T623">
            <v>18</v>
          </cell>
          <cell r="U623">
            <v>14</v>
          </cell>
          <cell r="V623">
            <v>4</v>
          </cell>
          <cell r="W623">
            <v>11</v>
          </cell>
          <cell r="X623">
            <v>14</v>
          </cell>
          <cell r="Y623">
            <v>0</v>
          </cell>
          <cell r="Z623" t="str">
            <v>Mid</v>
          </cell>
          <cell r="AA623" t="str">
            <v>Medium</v>
          </cell>
          <cell r="AB623" t="str">
            <v>Long</v>
          </cell>
          <cell r="AC623" t="str">
            <v>Medium</v>
          </cell>
          <cell r="AD623">
            <v>857</v>
          </cell>
        </row>
        <row r="624">
          <cell r="A624">
            <v>32</v>
          </cell>
          <cell r="B624" t="str">
            <v>No</v>
          </cell>
          <cell r="C624" t="str">
            <v>Sales</v>
          </cell>
          <cell r="D624">
            <v>13</v>
          </cell>
          <cell r="E624">
            <v>4</v>
          </cell>
          <cell r="F624" t="str">
            <v>Life Sciences</v>
          </cell>
          <cell r="G624">
            <v>2</v>
          </cell>
          <cell r="H624" t="str">
            <v>Male</v>
          </cell>
          <cell r="I624">
            <v>3</v>
          </cell>
          <cell r="J624">
            <v>2</v>
          </cell>
          <cell r="K624" t="str">
            <v>Sales Executive</v>
          </cell>
          <cell r="L624">
            <v>4</v>
          </cell>
          <cell r="M624" t="str">
            <v>Divorced</v>
          </cell>
          <cell r="N624">
            <v>4403</v>
          </cell>
          <cell r="O624">
            <v>2</v>
          </cell>
          <cell r="P624" t="str">
            <v>No</v>
          </cell>
          <cell r="Q624">
            <v>3</v>
          </cell>
          <cell r="R624">
            <v>8</v>
          </cell>
          <cell r="S624">
            <v>2</v>
          </cell>
          <cell r="T624">
            <v>5</v>
          </cell>
          <cell r="U624">
            <v>2</v>
          </cell>
          <cell r="V624">
            <v>0</v>
          </cell>
          <cell r="W624">
            <v>3</v>
          </cell>
          <cell r="X624">
            <v>11</v>
          </cell>
          <cell r="Y624">
            <v>0</v>
          </cell>
          <cell r="Z624" t="str">
            <v>Mid</v>
          </cell>
          <cell r="AA624" t="str">
            <v>Low</v>
          </cell>
          <cell r="AB624" t="str">
            <v>Mid</v>
          </cell>
          <cell r="AC624" t="str">
            <v>Low</v>
          </cell>
          <cell r="AD624">
            <v>859</v>
          </cell>
        </row>
        <row r="625">
          <cell r="A625">
            <v>30</v>
          </cell>
          <cell r="B625" t="str">
            <v>No</v>
          </cell>
          <cell r="C625" t="str">
            <v>Research &amp; Development</v>
          </cell>
          <cell r="D625">
            <v>5</v>
          </cell>
          <cell r="E625">
            <v>4</v>
          </cell>
          <cell r="F625" t="str">
            <v>Life Sciences</v>
          </cell>
          <cell r="G625">
            <v>2</v>
          </cell>
          <cell r="H625" t="str">
            <v>Male</v>
          </cell>
          <cell r="I625">
            <v>2</v>
          </cell>
          <cell r="J625">
            <v>1</v>
          </cell>
          <cell r="K625" t="str">
            <v>Research Scientist</v>
          </cell>
          <cell r="L625">
            <v>4</v>
          </cell>
          <cell r="M625" t="str">
            <v>Divorced</v>
          </cell>
          <cell r="N625">
            <v>3761</v>
          </cell>
          <cell r="O625">
            <v>9</v>
          </cell>
          <cell r="P625" t="str">
            <v>No</v>
          </cell>
          <cell r="Q625">
            <v>2</v>
          </cell>
          <cell r="R625">
            <v>10</v>
          </cell>
          <cell r="S625">
            <v>2</v>
          </cell>
          <cell r="T625">
            <v>5</v>
          </cell>
          <cell r="U625">
            <v>4</v>
          </cell>
          <cell r="V625">
            <v>0</v>
          </cell>
          <cell r="W625">
            <v>3</v>
          </cell>
          <cell r="X625">
            <v>12</v>
          </cell>
          <cell r="Y625">
            <v>0</v>
          </cell>
          <cell r="Z625" t="str">
            <v>Mid</v>
          </cell>
          <cell r="AA625" t="str">
            <v>Low</v>
          </cell>
          <cell r="AB625" t="str">
            <v>Mid</v>
          </cell>
          <cell r="AC625" t="str">
            <v>Low</v>
          </cell>
          <cell r="AD625">
            <v>861</v>
          </cell>
        </row>
        <row r="626">
          <cell r="A626">
            <v>53</v>
          </cell>
          <cell r="B626" t="str">
            <v>No</v>
          </cell>
          <cell r="C626" t="str">
            <v>Sales</v>
          </cell>
          <cell r="D626">
            <v>7</v>
          </cell>
          <cell r="E626">
            <v>2</v>
          </cell>
          <cell r="F626" t="str">
            <v>Marketing</v>
          </cell>
          <cell r="G626">
            <v>1</v>
          </cell>
          <cell r="H626" t="str">
            <v>Female</v>
          </cell>
          <cell r="I626">
            <v>2</v>
          </cell>
          <cell r="J626">
            <v>3</v>
          </cell>
          <cell r="K626" t="str">
            <v>Sales Executive</v>
          </cell>
          <cell r="L626">
            <v>4</v>
          </cell>
          <cell r="M626" t="str">
            <v>Married</v>
          </cell>
          <cell r="N626">
            <v>10934</v>
          </cell>
          <cell r="O626">
            <v>7</v>
          </cell>
          <cell r="P626" t="str">
            <v>Yes</v>
          </cell>
          <cell r="Q626">
            <v>4</v>
          </cell>
          <cell r="R626">
            <v>35</v>
          </cell>
          <cell r="S626">
            <v>3</v>
          </cell>
          <cell r="T626">
            <v>5</v>
          </cell>
          <cell r="U626">
            <v>2</v>
          </cell>
          <cell r="V626">
            <v>0</v>
          </cell>
          <cell r="W626">
            <v>4</v>
          </cell>
          <cell r="X626">
            <v>18</v>
          </cell>
          <cell r="Y626">
            <v>0</v>
          </cell>
          <cell r="Z626" t="str">
            <v>Senior</v>
          </cell>
          <cell r="AA626" t="str">
            <v>High</v>
          </cell>
          <cell r="AB626" t="str">
            <v>Mid</v>
          </cell>
          <cell r="AC626" t="str">
            <v>High</v>
          </cell>
          <cell r="AD626">
            <v>862</v>
          </cell>
        </row>
        <row r="627">
          <cell r="A627">
            <v>45</v>
          </cell>
          <cell r="B627" t="str">
            <v>No</v>
          </cell>
          <cell r="C627" t="str">
            <v>Sales</v>
          </cell>
          <cell r="D627">
            <v>9</v>
          </cell>
          <cell r="E627">
            <v>3</v>
          </cell>
          <cell r="F627" t="str">
            <v>Marketing</v>
          </cell>
          <cell r="G627">
            <v>4</v>
          </cell>
          <cell r="H627" t="str">
            <v>Male</v>
          </cell>
          <cell r="I627">
            <v>3</v>
          </cell>
          <cell r="J627">
            <v>3</v>
          </cell>
          <cell r="K627" t="str">
            <v>Sales Executive</v>
          </cell>
          <cell r="L627">
            <v>1</v>
          </cell>
          <cell r="M627" t="str">
            <v>Divorced</v>
          </cell>
          <cell r="N627">
            <v>10761</v>
          </cell>
          <cell r="O627">
            <v>4</v>
          </cell>
          <cell r="P627" t="str">
            <v>Yes</v>
          </cell>
          <cell r="Q627">
            <v>3</v>
          </cell>
          <cell r="R627">
            <v>18</v>
          </cell>
          <cell r="S627">
            <v>3</v>
          </cell>
          <cell r="T627">
            <v>5</v>
          </cell>
          <cell r="U627">
            <v>4</v>
          </cell>
          <cell r="V627">
            <v>0</v>
          </cell>
          <cell r="W627">
            <v>2</v>
          </cell>
          <cell r="X627">
            <v>12</v>
          </cell>
          <cell r="Y627">
            <v>0</v>
          </cell>
          <cell r="Z627" t="str">
            <v>Senior</v>
          </cell>
          <cell r="AA627" t="str">
            <v>High</v>
          </cell>
          <cell r="AB627" t="str">
            <v>Mid</v>
          </cell>
          <cell r="AC627" t="str">
            <v>Low</v>
          </cell>
          <cell r="AD627">
            <v>864</v>
          </cell>
        </row>
        <row r="628">
          <cell r="A628">
            <v>32</v>
          </cell>
          <cell r="B628" t="str">
            <v>No</v>
          </cell>
          <cell r="C628" t="str">
            <v>Research &amp; Development</v>
          </cell>
          <cell r="D628">
            <v>8</v>
          </cell>
          <cell r="E628">
            <v>2</v>
          </cell>
          <cell r="F628" t="str">
            <v>Medical</v>
          </cell>
          <cell r="G628">
            <v>3</v>
          </cell>
          <cell r="H628" t="str">
            <v>Female</v>
          </cell>
          <cell r="I628">
            <v>4</v>
          </cell>
          <cell r="J628">
            <v>2</v>
          </cell>
          <cell r="K628" t="str">
            <v>Research Scientist</v>
          </cell>
          <cell r="L628">
            <v>3</v>
          </cell>
          <cell r="M628" t="str">
            <v>Married</v>
          </cell>
          <cell r="N628">
            <v>5175</v>
          </cell>
          <cell r="O628">
            <v>5</v>
          </cell>
          <cell r="P628" t="str">
            <v>No</v>
          </cell>
          <cell r="Q628">
            <v>3</v>
          </cell>
          <cell r="R628">
            <v>9</v>
          </cell>
          <cell r="S628">
            <v>2</v>
          </cell>
          <cell r="T628">
            <v>5</v>
          </cell>
          <cell r="U628">
            <v>3</v>
          </cell>
          <cell r="V628">
            <v>1</v>
          </cell>
          <cell r="W628">
            <v>3</v>
          </cell>
          <cell r="X628">
            <v>12</v>
          </cell>
          <cell r="Y628">
            <v>0</v>
          </cell>
          <cell r="Z628" t="str">
            <v>Mid</v>
          </cell>
          <cell r="AA628" t="str">
            <v>Medium</v>
          </cell>
          <cell r="AB628" t="str">
            <v>Mid</v>
          </cell>
          <cell r="AC628" t="str">
            <v>Low</v>
          </cell>
          <cell r="AD628">
            <v>865</v>
          </cell>
        </row>
        <row r="629">
          <cell r="A629">
            <v>52</v>
          </cell>
          <cell r="B629" t="str">
            <v>No</v>
          </cell>
          <cell r="C629" t="str">
            <v>Research &amp; Development</v>
          </cell>
          <cell r="D629">
            <v>25</v>
          </cell>
          <cell r="E629">
            <v>4</v>
          </cell>
          <cell r="F629" t="str">
            <v>Medical</v>
          </cell>
          <cell r="G629">
            <v>3</v>
          </cell>
          <cell r="H629" t="str">
            <v>Female</v>
          </cell>
          <cell r="I629">
            <v>2</v>
          </cell>
          <cell r="J629">
            <v>4</v>
          </cell>
          <cell r="K629" t="str">
            <v>Manufacturing Director</v>
          </cell>
          <cell r="L629">
            <v>4</v>
          </cell>
          <cell r="M629" t="str">
            <v>Married</v>
          </cell>
          <cell r="N629">
            <v>13826</v>
          </cell>
          <cell r="O629">
            <v>3</v>
          </cell>
          <cell r="P629" t="str">
            <v>No</v>
          </cell>
          <cell r="Q629">
            <v>3</v>
          </cell>
          <cell r="R629">
            <v>31</v>
          </cell>
          <cell r="S629">
            <v>3</v>
          </cell>
          <cell r="T629">
            <v>9</v>
          </cell>
          <cell r="U629">
            <v>8</v>
          </cell>
          <cell r="V629">
            <v>0</v>
          </cell>
          <cell r="W629">
            <v>0</v>
          </cell>
          <cell r="X629">
            <v>22</v>
          </cell>
          <cell r="Y629">
            <v>0</v>
          </cell>
          <cell r="Z629" t="str">
            <v>Senior</v>
          </cell>
          <cell r="AA629" t="str">
            <v>High</v>
          </cell>
          <cell r="AB629" t="str">
            <v>Long</v>
          </cell>
          <cell r="AC629" t="str">
            <v>High</v>
          </cell>
          <cell r="AD629">
            <v>867</v>
          </cell>
        </row>
        <row r="630">
          <cell r="A630">
            <v>37</v>
          </cell>
          <cell r="B630" t="str">
            <v>No</v>
          </cell>
          <cell r="C630" t="str">
            <v>Sales</v>
          </cell>
          <cell r="D630">
            <v>16</v>
          </cell>
          <cell r="E630">
            <v>4</v>
          </cell>
          <cell r="F630" t="str">
            <v>Marketing</v>
          </cell>
          <cell r="G630">
            <v>4</v>
          </cell>
          <cell r="H630" t="str">
            <v>Male</v>
          </cell>
          <cell r="I630">
            <v>2</v>
          </cell>
          <cell r="J630">
            <v>2</v>
          </cell>
          <cell r="K630" t="str">
            <v>Sales Executive</v>
          </cell>
          <cell r="L630">
            <v>3</v>
          </cell>
          <cell r="M630" t="str">
            <v>Divorced</v>
          </cell>
          <cell r="N630">
            <v>6334</v>
          </cell>
          <cell r="O630">
            <v>4</v>
          </cell>
          <cell r="P630" t="str">
            <v>No</v>
          </cell>
          <cell r="Q630">
            <v>4</v>
          </cell>
          <cell r="R630">
            <v>9</v>
          </cell>
          <cell r="S630">
            <v>3</v>
          </cell>
          <cell r="T630">
            <v>1</v>
          </cell>
          <cell r="U630">
            <v>0</v>
          </cell>
          <cell r="V630">
            <v>0</v>
          </cell>
          <cell r="W630">
            <v>0</v>
          </cell>
          <cell r="X630">
            <v>19</v>
          </cell>
          <cell r="Y630">
            <v>0</v>
          </cell>
          <cell r="Z630" t="str">
            <v>Mid</v>
          </cell>
          <cell r="AA630" t="str">
            <v>Medium</v>
          </cell>
          <cell r="AB630" t="str">
            <v>Early</v>
          </cell>
          <cell r="AC630" t="str">
            <v>High</v>
          </cell>
          <cell r="AD630">
            <v>868</v>
          </cell>
        </row>
        <row r="631">
          <cell r="A631">
            <v>28</v>
          </cell>
          <cell r="B631" t="str">
            <v>No</v>
          </cell>
          <cell r="C631" t="str">
            <v>Human Resources</v>
          </cell>
          <cell r="D631">
            <v>8</v>
          </cell>
          <cell r="E631">
            <v>2</v>
          </cell>
          <cell r="F631" t="str">
            <v>Medical</v>
          </cell>
          <cell r="G631">
            <v>2</v>
          </cell>
          <cell r="H631" t="str">
            <v>Male</v>
          </cell>
          <cell r="I631">
            <v>2</v>
          </cell>
          <cell r="J631">
            <v>1</v>
          </cell>
          <cell r="K631" t="str">
            <v>Human Resources</v>
          </cell>
          <cell r="L631">
            <v>4</v>
          </cell>
          <cell r="M631" t="str">
            <v>Divorced</v>
          </cell>
          <cell r="N631">
            <v>4936</v>
          </cell>
          <cell r="O631">
            <v>1</v>
          </cell>
          <cell r="P631" t="str">
            <v>No</v>
          </cell>
          <cell r="Q631">
            <v>4</v>
          </cell>
          <cell r="R631">
            <v>6</v>
          </cell>
          <cell r="S631">
            <v>3</v>
          </cell>
          <cell r="T631">
            <v>5</v>
          </cell>
          <cell r="U631">
            <v>1</v>
          </cell>
          <cell r="V631">
            <v>0</v>
          </cell>
          <cell r="W631">
            <v>4</v>
          </cell>
          <cell r="X631">
            <v>13</v>
          </cell>
          <cell r="Y631">
            <v>0</v>
          </cell>
          <cell r="Z631" t="str">
            <v>Young</v>
          </cell>
          <cell r="AA631" t="str">
            <v>Low</v>
          </cell>
          <cell r="AB631" t="str">
            <v>Mid</v>
          </cell>
          <cell r="AC631" t="str">
            <v>Medium</v>
          </cell>
          <cell r="AD631">
            <v>869</v>
          </cell>
        </row>
        <row r="632">
          <cell r="A632">
            <v>22</v>
          </cell>
          <cell r="B632" t="str">
            <v>No</v>
          </cell>
          <cell r="C632" t="str">
            <v>Research &amp; Development</v>
          </cell>
          <cell r="D632">
            <v>1</v>
          </cell>
          <cell r="E632">
            <v>2</v>
          </cell>
          <cell r="F632" t="str">
            <v>Life Sciences</v>
          </cell>
          <cell r="G632">
            <v>4</v>
          </cell>
          <cell r="H632" t="str">
            <v>Male</v>
          </cell>
          <cell r="I632">
            <v>2</v>
          </cell>
          <cell r="J632">
            <v>2</v>
          </cell>
          <cell r="K632" t="str">
            <v>Manufacturing Director</v>
          </cell>
          <cell r="L632">
            <v>4</v>
          </cell>
          <cell r="M632" t="str">
            <v>Married</v>
          </cell>
          <cell r="N632">
            <v>4775</v>
          </cell>
          <cell r="O632">
            <v>6</v>
          </cell>
          <cell r="P632" t="str">
            <v>No</v>
          </cell>
          <cell r="Q632">
            <v>1</v>
          </cell>
          <cell r="R632">
            <v>4</v>
          </cell>
          <cell r="S632">
            <v>1</v>
          </cell>
          <cell r="T632">
            <v>2</v>
          </cell>
          <cell r="U632">
            <v>2</v>
          </cell>
          <cell r="V632">
            <v>2</v>
          </cell>
          <cell r="W632">
            <v>2</v>
          </cell>
          <cell r="X632">
            <v>22</v>
          </cell>
          <cell r="Y632">
            <v>0</v>
          </cell>
          <cell r="Z632" t="str">
            <v>Young</v>
          </cell>
          <cell r="AA632" t="str">
            <v>Low</v>
          </cell>
          <cell r="AB632" t="str">
            <v>Early</v>
          </cell>
          <cell r="AC632" t="str">
            <v>High</v>
          </cell>
          <cell r="AD632">
            <v>872</v>
          </cell>
        </row>
        <row r="633">
          <cell r="A633">
            <v>44</v>
          </cell>
          <cell r="B633" t="str">
            <v>No</v>
          </cell>
          <cell r="C633" t="str">
            <v>Research &amp; Development</v>
          </cell>
          <cell r="D633">
            <v>8</v>
          </cell>
          <cell r="E633">
            <v>4</v>
          </cell>
          <cell r="F633" t="str">
            <v>Life Sciences</v>
          </cell>
          <cell r="G633">
            <v>1</v>
          </cell>
          <cell r="H633" t="str">
            <v>Male</v>
          </cell>
          <cell r="I633">
            <v>4</v>
          </cell>
          <cell r="J633">
            <v>1</v>
          </cell>
          <cell r="K633" t="str">
            <v>Laboratory Technician</v>
          </cell>
          <cell r="L633">
            <v>4</v>
          </cell>
          <cell r="M633" t="str">
            <v>Married</v>
          </cell>
          <cell r="N633">
            <v>2818</v>
          </cell>
          <cell r="O633">
            <v>2</v>
          </cell>
          <cell r="P633" t="str">
            <v>Yes</v>
          </cell>
          <cell r="Q633">
            <v>3</v>
          </cell>
          <cell r="R633">
            <v>10</v>
          </cell>
          <cell r="S633">
            <v>2</v>
          </cell>
          <cell r="T633">
            <v>3</v>
          </cell>
          <cell r="U633">
            <v>2</v>
          </cell>
          <cell r="V633">
            <v>0</v>
          </cell>
          <cell r="W633">
            <v>2</v>
          </cell>
          <cell r="X633">
            <v>24</v>
          </cell>
          <cell r="Y633">
            <v>0</v>
          </cell>
          <cell r="Z633" t="str">
            <v>Mid</v>
          </cell>
          <cell r="AA633" t="str">
            <v>Low</v>
          </cell>
          <cell r="AB633" t="str">
            <v>Mid</v>
          </cell>
          <cell r="AC633" t="str">
            <v>High</v>
          </cell>
          <cell r="AD633">
            <v>874</v>
          </cell>
        </row>
        <row r="634">
          <cell r="A634">
            <v>42</v>
          </cell>
          <cell r="B634" t="str">
            <v>No</v>
          </cell>
          <cell r="C634" t="str">
            <v>Research &amp; Development</v>
          </cell>
          <cell r="D634">
            <v>2</v>
          </cell>
          <cell r="E634">
            <v>1</v>
          </cell>
          <cell r="F634" t="str">
            <v>Medical</v>
          </cell>
          <cell r="G634">
            <v>2</v>
          </cell>
          <cell r="H634" t="str">
            <v>Male</v>
          </cell>
          <cell r="I634">
            <v>3</v>
          </cell>
          <cell r="J634">
            <v>1</v>
          </cell>
          <cell r="K634" t="str">
            <v>Research Scientist</v>
          </cell>
          <cell r="L634">
            <v>4</v>
          </cell>
          <cell r="M634" t="str">
            <v>Single</v>
          </cell>
          <cell r="N634">
            <v>2515</v>
          </cell>
          <cell r="O634">
            <v>5</v>
          </cell>
          <cell r="P634" t="str">
            <v>Yes</v>
          </cell>
          <cell r="Q634">
            <v>4</v>
          </cell>
          <cell r="R634">
            <v>8</v>
          </cell>
          <cell r="S634">
            <v>3</v>
          </cell>
          <cell r="T634">
            <v>2</v>
          </cell>
          <cell r="U634">
            <v>1</v>
          </cell>
          <cell r="V634">
            <v>2</v>
          </cell>
          <cell r="W634">
            <v>2</v>
          </cell>
          <cell r="X634">
            <v>14</v>
          </cell>
          <cell r="Y634">
            <v>0</v>
          </cell>
          <cell r="Z634" t="str">
            <v>Mid</v>
          </cell>
          <cell r="AA634" t="str">
            <v>Low</v>
          </cell>
          <cell r="AB634" t="str">
            <v>Early</v>
          </cell>
          <cell r="AC634" t="str">
            <v>Medium</v>
          </cell>
          <cell r="AD634">
            <v>875</v>
          </cell>
        </row>
        <row r="635">
          <cell r="A635">
            <v>36</v>
          </cell>
          <cell r="B635" t="str">
            <v>No</v>
          </cell>
          <cell r="C635" t="str">
            <v>Human Resources</v>
          </cell>
          <cell r="D635">
            <v>8</v>
          </cell>
          <cell r="E635">
            <v>3</v>
          </cell>
          <cell r="F635" t="str">
            <v>Life Sciences</v>
          </cell>
          <cell r="G635">
            <v>1</v>
          </cell>
          <cell r="H635" t="str">
            <v>Male</v>
          </cell>
          <cell r="I635">
            <v>2</v>
          </cell>
          <cell r="J635">
            <v>1</v>
          </cell>
          <cell r="K635" t="str">
            <v>Human Resources</v>
          </cell>
          <cell r="L635">
            <v>1</v>
          </cell>
          <cell r="M635" t="str">
            <v>Married</v>
          </cell>
          <cell r="N635">
            <v>2342</v>
          </cell>
          <cell r="O635">
            <v>0</v>
          </cell>
          <cell r="P635" t="str">
            <v>No</v>
          </cell>
          <cell r="Q635">
            <v>3</v>
          </cell>
          <cell r="R635">
            <v>6</v>
          </cell>
          <cell r="S635">
            <v>3</v>
          </cell>
          <cell r="T635">
            <v>5</v>
          </cell>
          <cell r="U635">
            <v>4</v>
          </cell>
          <cell r="V635">
            <v>0</v>
          </cell>
          <cell r="W635">
            <v>3</v>
          </cell>
          <cell r="X635">
            <v>21</v>
          </cell>
          <cell r="Y635">
            <v>0</v>
          </cell>
          <cell r="Z635" t="str">
            <v>Mid</v>
          </cell>
          <cell r="AA635" t="str">
            <v>Low</v>
          </cell>
          <cell r="AB635" t="str">
            <v>Mid</v>
          </cell>
          <cell r="AC635" t="str">
            <v>High</v>
          </cell>
          <cell r="AD635">
            <v>878</v>
          </cell>
        </row>
        <row r="636">
          <cell r="A636">
            <v>25</v>
          </cell>
          <cell r="B636" t="str">
            <v>No</v>
          </cell>
          <cell r="C636" t="str">
            <v>Sales</v>
          </cell>
          <cell r="D636">
            <v>3</v>
          </cell>
          <cell r="E636">
            <v>1</v>
          </cell>
          <cell r="F636" t="str">
            <v>Other</v>
          </cell>
          <cell r="G636">
            <v>3</v>
          </cell>
          <cell r="H636" t="str">
            <v>Male</v>
          </cell>
          <cell r="I636">
            <v>3</v>
          </cell>
          <cell r="J636">
            <v>2</v>
          </cell>
          <cell r="K636" t="str">
            <v>Sales Executive</v>
          </cell>
          <cell r="L636">
            <v>1</v>
          </cell>
          <cell r="M636" t="str">
            <v>Married</v>
          </cell>
          <cell r="N636">
            <v>4194</v>
          </cell>
          <cell r="O636">
            <v>1</v>
          </cell>
          <cell r="P636" t="str">
            <v>Yes</v>
          </cell>
          <cell r="Q636">
            <v>4</v>
          </cell>
          <cell r="R636">
            <v>5</v>
          </cell>
          <cell r="S636">
            <v>3</v>
          </cell>
          <cell r="T636">
            <v>5</v>
          </cell>
          <cell r="U636">
            <v>3</v>
          </cell>
          <cell r="V636">
            <v>0</v>
          </cell>
          <cell r="W636">
            <v>3</v>
          </cell>
          <cell r="X636">
            <v>18</v>
          </cell>
          <cell r="Y636">
            <v>0</v>
          </cell>
          <cell r="Z636" t="str">
            <v>Young</v>
          </cell>
          <cell r="AA636" t="str">
            <v>Low</v>
          </cell>
          <cell r="AB636" t="str">
            <v>Mid</v>
          </cell>
          <cell r="AC636" t="str">
            <v>High</v>
          </cell>
          <cell r="AD636">
            <v>879</v>
          </cell>
        </row>
        <row r="637">
          <cell r="A637">
            <v>35</v>
          </cell>
          <cell r="B637" t="str">
            <v>No</v>
          </cell>
          <cell r="C637" t="str">
            <v>Research &amp; Development</v>
          </cell>
          <cell r="D637">
            <v>9</v>
          </cell>
          <cell r="E637">
            <v>3</v>
          </cell>
          <cell r="F637" t="str">
            <v>Life Sciences</v>
          </cell>
          <cell r="G637">
            <v>4</v>
          </cell>
          <cell r="H637" t="str">
            <v>Female</v>
          </cell>
          <cell r="I637">
            <v>2</v>
          </cell>
          <cell r="J637">
            <v>3</v>
          </cell>
          <cell r="K637" t="str">
            <v>Manufacturing Director</v>
          </cell>
          <cell r="L637">
            <v>3</v>
          </cell>
          <cell r="M637" t="str">
            <v>Married</v>
          </cell>
          <cell r="N637">
            <v>10685</v>
          </cell>
          <cell r="O637">
            <v>1</v>
          </cell>
          <cell r="P637" t="str">
            <v>Yes</v>
          </cell>
          <cell r="Q637">
            <v>2</v>
          </cell>
          <cell r="R637">
            <v>17</v>
          </cell>
          <cell r="S637">
            <v>3</v>
          </cell>
          <cell r="T637">
            <v>17</v>
          </cell>
          <cell r="U637">
            <v>14</v>
          </cell>
          <cell r="V637">
            <v>5</v>
          </cell>
          <cell r="W637">
            <v>15</v>
          </cell>
          <cell r="X637">
            <v>20</v>
          </cell>
          <cell r="Y637">
            <v>0</v>
          </cell>
          <cell r="Z637" t="str">
            <v>Mid</v>
          </cell>
          <cell r="AA637" t="str">
            <v>High</v>
          </cell>
          <cell r="AB637" t="str">
            <v>Long</v>
          </cell>
          <cell r="AC637" t="str">
            <v>High</v>
          </cell>
          <cell r="AD637">
            <v>880</v>
          </cell>
        </row>
        <row r="638">
          <cell r="A638">
            <v>35</v>
          </cell>
          <cell r="B638" t="str">
            <v>Yes</v>
          </cell>
          <cell r="C638" t="str">
            <v>Research &amp; Development</v>
          </cell>
          <cell r="D638">
            <v>25</v>
          </cell>
          <cell r="E638">
            <v>4</v>
          </cell>
          <cell r="F638" t="str">
            <v>Life Sciences</v>
          </cell>
          <cell r="G638">
            <v>4</v>
          </cell>
          <cell r="H638" t="str">
            <v>Female</v>
          </cell>
          <cell r="I638">
            <v>3</v>
          </cell>
          <cell r="J638">
            <v>1</v>
          </cell>
          <cell r="K638" t="str">
            <v>Research Scientist</v>
          </cell>
          <cell r="L638">
            <v>2</v>
          </cell>
          <cell r="M638" t="str">
            <v>Divorced</v>
          </cell>
          <cell r="N638">
            <v>2022</v>
          </cell>
          <cell r="O638">
            <v>1</v>
          </cell>
          <cell r="P638" t="str">
            <v>Yes</v>
          </cell>
          <cell r="Q638">
            <v>1</v>
          </cell>
          <cell r="R638">
            <v>10</v>
          </cell>
          <cell r="S638">
            <v>2</v>
          </cell>
          <cell r="T638">
            <v>10</v>
          </cell>
          <cell r="U638">
            <v>2</v>
          </cell>
          <cell r="V638">
            <v>7</v>
          </cell>
          <cell r="W638">
            <v>8</v>
          </cell>
          <cell r="X638">
            <v>19</v>
          </cell>
          <cell r="Y638">
            <v>1</v>
          </cell>
          <cell r="Z638" t="str">
            <v>Mid</v>
          </cell>
          <cell r="AA638" t="str">
            <v>Low</v>
          </cell>
          <cell r="AB638" t="str">
            <v>Long</v>
          </cell>
          <cell r="AC638" t="str">
            <v>High</v>
          </cell>
          <cell r="AD638">
            <v>881</v>
          </cell>
        </row>
        <row r="639">
          <cell r="A639">
            <v>32</v>
          </cell>
          <cell r="B639" t="str">
            <v>No</v>
          </cell>
          <cell r="C639" t="str">
            <v>Research &amp; Development</v>
          </cell>
          <cell r="D639">
            <v>1</v>
          </cell>
          <cell r="E639">
            <v>3</v>
          </cell>
          <cell r="F639" t="str">
            <v>Life Sciences</v>
          </cell>
          <cell r="G639">
            <v>4</v>
          </cell>
          <cell r="H639" t="str">
            <v>Male</v>
          </cell>
          <cell r="I639">
            <v>3</v>
          </cell>
          <cell r="J639">
            <v>1</v>
          </cell>
          <cell r="K639" t="str">
            <v>Laboratory Technician</v>
          </cell>
          <cell r="L639">
            <v>4</v>
          </cell>
          <cell r="M639" t="str">
            <v>Divorced</v>
          </cell>
          <cell r="N639">
            <v>2314</v>
          </cell>
          <cell r="O639">
            <v>0</v>
          </cell>
          <cell r="P639" t="str">
            <v>No</v>
          </cell>
          <cell r="Q639">
            <v>2</v>
          </cell>
          <cell r="R639">
            <v>4</v>
          </cell>
          <cell r="S639">
            <v>3</v>
          </cell>
          <cell r="T639">
            <v>3</v>
          </cell>
          <cell r="U639">
            <v>0</v>
          </cell>
          <cell r="V639">
            <v>0</v>
          </cell>
          <cell r="W639">
            <v>2</v>
          </cell>
          <cell r="X639">
            <v>12</v>
          </cell>
          <cell r="Y639">
            <v>0</v>
          </cell>
          <cell r="Z639" t="str">
            <v>Mid</v>
          </cell>
          <cell r="AA639" t="str">
            <v>Low</v>
          </cell>
          <cell r="AB639" t="str">
            <v>Mid</v>
          </cell>
          <cell r="AC639" t="str">
            <v>Low</v>
          </cell>
          <cell r="AD639">
            <v>882</v>
          </cell>
        </row>
        <row r="640">
          <cell r="A640">
            <v>25</v>
          </cell>
          <cell r="B640" t="str">
            <v>No</v>
          </cell>
          <cell r="C640" t="str">
            <v>Sales</v>
          </cell>
          <cell r="D640">
            <v>4</v>
          </cell>
          <cell r="E640">
            <v>1</v>
          </cell>
          <cell r="F640" t="str">
            <v>Marketing</v>
          </cell>
          <cell r="G640">
            <v>3</v>
          </cell>
          <cell r="H640" t="str">
            <v>Male</v>
          </cell>
          <cell r="I640">
            <v>2</v>
          </cell>
          <cell r="J640">
            <v>2</v>
          </cell>
          <cell r="K640" t="str">
            <v>Sales Executive</v>
          </cell>
          <cell r="L640">
            <v>1</v>
          </cell>
          <cell r="M640" t="str">
            <v>Married</v>
          </cell>
          <cell r="N640">
            <v>4256</v>
          </cell>
          <cell r="O640">
            <v>1</v>
          </cell>
          <cell r="P640" t="str">
            <v>No</v>
          </cell>
          <cell r="Q640">
            <v>1</v>
          </cell>
          <cell r="R640">
            <v>5</v>
          </cell>
          <cell r="S640">
            <v>4</v>
          </cell>
          <cell r="T640">
            <v>5</v>
          </cell>
          <cell r="U640">
            <v>2</v>
          </cell>
          <cell r="V640">
            <v>0</v>
          </cell>
          <cell r="W640">
            <v>3</v>
          </cell>
          <cell r="X640">
            <v>12</v>
          </cell>
          <cell r="Y640">
            <v>0</v>
          </cell>
          <cell r="Z640" t="str">
            <v>Young</v>
          </cell>
          <cell r="AA640" t="str">
            <v>Low</v>
          </cell>
          <cell r="AB640" t="str">
            <v>Mid</v>
          </cell>
          <cell r="AC640" t="str">
            <v>Low</v>
          </cell>
          <cell r="AD640">
            <v>885</v>
          </cell>
        </row>
        <row r="641">
          <cell r="A641">
            <v>49</v>
          </cell>
          <cell r="B641" t="str">
            <v>No</v>
          </cell>
          <cell r="C641" t="str">
            <v>Research &amp; Development</v>
          </cell>
          <cell r="D641">
            <v>1</v>
          </cell>
          <cell r="E641">
            <v>3</v>
          </cell>
          <cell r="F641" t="str">
            <v>Technical Degree</v>
          </cell>
          <cell r="G641">
            <v>3</v>
          </cell>
          <cell r="H641" t="str">
            <v>Female</v>
          </cell>
          <cell r="I641">
            <v>3</v>
          </cell>
          <cell r="J641">
            <v>1</v>
          </cell>
          <cell r="K641" t="str">
            <v>Research Scientist</v>
          </cell>
          <cell r="L641">
            <v>1</v>
          </cell>
          <cell r="M641" t="str">
            <v>Married</v>
          </cell>
          <cell r="N641">
            <v>3580</v>
          </cell>
          <cell r="O641">
            <v>2</v>
          </cell>
          <cell r="P641" t="str">
            <v>No</v>
          </cell>
          <cell r="Q641">
            <v>2</v>
          </cell>
          <cell r="R641">
            <v>7</v>
          </cell>
          <cell r="S641">
            <v>3</v>
          </cell>
          <cell r="T641">
            <v>4</v>
          </cell>
          <cell r="U641">
            <v>2</v>
          </cell>
          <cell r="V641">
            <v>0</v>
          </cell>
          <cell r="W641">
            <v>2</v>
          </cell>
          <cell r="X641">
            <v>16</v>
          </cell>
          <cell r="Y641">
            <v>0</v>
          </cell>
          <cell r="Z641" t="str">
            <v>Senior</v>
          </cell>
          <cell r="AA641" t="str">
            <v>Low</v>
          </cell>
          <cell r="AB641" t="str">
            <v>Mid</v>
          </cell>
          <cell r="AC641" t="str">
            <v>Medium</v>
          </cell>
          <cell r="AD641">
            <v>887</v>
          </cell>
        </row>
        <row r="642">
          <cell r="A642">
            <v>24</v>
          </cell>
          <cell r="B642" t="str">
            <v>No</v>
          </cell>
          <cell r="C642" t="str">
            <v>Research &amp; Development</v>
          </cell>
          <cell r="D642">
            <v>4</v>
          </cell>
          <cell r="E642">
            <v>1</v>
          </cell>
          <cell r="F642" t="str">
            <v>Life Sciences</v>
          </cell>
          <cell r="G642">
            <v>1</v>
          </cell>
          <cell r="H642" t="str">
            <v>Male</v>
          </cell>
          <cell r="I642">
            <v>2</v>
          </cell>
          <cell r="J642">
            <v>1</v>
          </cell>
          <cell r="K642" t="str">
            <v>Laboratory Technician</v>
          </cell>
          <cell r="L642">
            <v>4</v>
          </cell>
          <cell r="M642" t="str">
            <v>Married</v>
          </cell>
          <cell r="N642">
            <v>3162</v>
          </cell>
          <cell r="O642">
            <v>0</v>
          </cell>
          <cell r="P642" t="str">
            <v>No</v>
          </cell>
          <cell r="Q642">
            <v>4</v>
          </cell>
          <cell r="R642">
            <v>6</v>
          </cell>
          <cell r="S642">
            <v>2</v>
          </cell>
          <cell r="T642">
            <v>5</v>
          </cell>
          <cell r="U642">
            <v>2</v>
          </cell>
          <cell r="V642">
            <v>3</v>
          </cell>
          <cell r="W642">
            <v>4</v>
          </cell>
          <cell r="X642">
            <v>17</v>
          </cell>
          <cell r="Y642">
            <v>0</v>
          </cell>
          <cell r="Z642" t="str">
            <v>Young</v>
          </cell>
          <cell r="AA642" t="str">
            <v>Low</v>
          </cell>
          <cell r="AB642" t="str">
            <v>Mid</v>
          </cell>
          <cell r="AC642" t="str">
            <v>Medium</v>
          </cell>
          <cell r="AD642">
            <v>888</v>
          </cell>
        </row>
        <row r="643">
          <cell r="A643">
            <v>32</v>
          </cell>
          <cell r="B643" t="str">
            <v>No</v>
          </cell>
          <cell r="C643" t="str">
            <v>Sales</v>
          </cell>
          <cell r="D643">
            <v>5</v>
          </cell>
          <cell r="E643">
            <v>2</v>
          </cell>
          <cell r="F643" t="str">
            <v>Life Sciences</v>
          </cell>
          <cell r="G643">
            <v>2</v>
          </cell>
          <cell r="H643" t="str">
            <v>Male</v>
          </cell>
          <cell r="I643">
            <v>3</v>
          </cell>
          <cell r="J643">
            <v>2</v>
          </cell>
          <cell r="K643" t="str">
            <v>Sales Executive</v>
          </cell>
          <cell r="L643">
            <v>2</v>
          </cell>
          <cell r="M643" t="str">
            <v>Married</v>
          </cell>
          <cell r="N643">
            <v>6524</v>
          </cell>
          <cell r="O643">
            <v>1</v>
          </cell>
          <cell r="P643" t="str">
            <v>No</v>
          </cell>
          <cell r="Q643">
            <v>4</v>
          </cell>
          <cell r="R643">
            <v>10</v>
          </cell>
          <cell r="S643">
            <v>3</v>
          </cell>
          <cell r="T643">
            <v>10</v>
          </cell>
          <cell r="U643">
            <v>8</v>
          </cell>
          <cell r="V643">
            <v>5</v>
          </cell>
          <cell r="W643">
            <v>3</v>
          </cell>
          <cell r="X643">
            <v>14</v>
          </cell>
          <cell r="Y643">
            <v>0</v>
          </cell>
          <cell r="Z643" t="str">
            <v>Mid</v>
          </cell>
          <cell r="AA643" t="str">
            <v>Medium</v>
          </cell>
          <cell r="AB643" t="str">
            <v>Long</v>
          </cell>
          <cell r="AC643" t="str">
            <v>Medium</v>
          </cell>
          <cell r="AD643">
            <v>889</v>
          </cell>
        </row>
        <row r="644">
          <cell r="A644">
            <v>38</v>
          </cell>
          <cell r="B644" t="str">
            <v>No</v>
          </cell>
          <cell r="C644" t="str">
            <v>Sales</v>
          </cell>
          <cell r="D644">
            <v>9</v>
          </cell>
          <cell r="E644">
            <v>3</v>
          </cell>
          <cell r="F644" t="str">
            <v>Marketing</v>
          </cell>
          <cell r="G644">
            <v>2</v>
          </cell>
          <cell r="H644" t="str">
            <v>Male</v>
          </cell>
          <cell r="I644">
            <v>2</v>
          </cell>
          <cell r="J644">
            <v>1</v>
          </cell>
          <cell r="K644" t="str">
            <v>Sales Representative</v>
          </cell>
          <cell r="L644">
            <v>2</v>
          </cell>
          <cell r="M644" t="str">
            <v>Married</v>
          </cell>
          <cell r="N644">
            <v>2899</v>
          </cell>
          <cell r="O644">
            <v>0</v>
          </cell>
          <cell r="P644" t="str">
            <v>No</v>
          </cell>
          <cell r="Q644">
            <v>4</v>
          </cell>
          <cell r="R644">
            <v>3</v>
          </cell>
          <cell r="S644">
            <v>3</v>
          </cell>
          <cell r="T644">
            <v>2</v>
          </cell>
          <cell r="U644">
            <v>2</v>
          </cell>
          <cell r="V644">
            <v>1</v>
          </cell>
          <cell r="W644">
            <v>2</v>
          </cell>
          <cell r="X644">
            <v>19</v>
          </cell>
          <cell r="Y644">
            <v>0</v>
          </cell>
          <cell r="Z644" t="str">
            <v>Mid</v>
          </cell>
          <cell r="AA644" t="str">
            <v>Low</v>
          </cell>
          <cell r="AB644" t="str">
            <v>Early</v>
          </cell>
          <cell r="AC644" t="str">
            <v>High</v>
          </cell>
          <cell r="AD644">
            <v>893</v>
          </cell>
        </row>
        <row r="645">
          <cell r="A645">
            <v>42</v>
          </cell>
          <cell r="B645" t="str">
            <v>No</v>
          </cell>
          <cell r="C645" t="str">
            <v>Research &amp; Development</v>
          </cell>
          <cell r="D645">
            <v>3</v>
          </cell>
          <cell r="E645">
            <v>3</v>
          </cell>
          <cell r="F645" t="str">
            <v>Life Sciences</v>
          </cell>
          <cell r="G645">
            <v>3</v>
          </cell>
          <cell r="H645" t="str">
            <v>Female</v>
          </cell>
          <cell r="I645">
            <v>4</v>
          </cell>
          <cell r="J645">
            <v>2</v>
          </cell>
          <cell r="K645" t="str">
            <v>Laboratory Technician</v>
          </cell>
          <cell r="L645">
            <v>4</v>
          </cell>
          <cell r="M645" t="str">
            <v>Married</v>
          </cell>
          <cell r="N645">
            <v>5231</v>
          </cell>
          <cell r="O645">
            <v>2</v>
          </cell>
          <cell r="P645" t="str">
            <v>Yes</v>
          </cell>
          <cell r="Q645">
            <v>2</v>
          </cell>
          <cell r="R645">
            <v>17</v>
          </cell>
          <cell r="S645">
            <v>2</v>
          </cell>
          <cell r="T645">
            <v>5</v>
          </cell>
          <cell r="U645">
            <v>3</v>
          </cell>
          <cell r="V645">
            <v>1</v>
          </cell>
          <cell r="W645">
            <v>3</v>
          </cell>
          <cell r="X645">
            <v>13</v>
          </cell>
          <cell r="Y645">
            <v>0</v>
          </cell>
          <cell r="Z645" t="str">
            <v>Mid</v>
          </cell>
          <cell r="AA645" t="str">
            <v>Medium</v>
          </cell>
          <cell r="AB645" t="str">
            <v>Mid</v>
          </cell>
          <cell r="AC645" t="str">
            <v>Medium</v>
          </cell>
          <cell r="AD645">
            <v>894</v>
          </cell>
        </row>
        <row r="646">
          <cell r="A646">
            <v>31</v>
          </cell>
          <cell r="B646" t="str">
            <v>No</v>
          </cell>
          <cell r="C646" t="str">
            <v>Research &amp; Development</v>
          </cell>
          <cell r="D646">
            <v>11</v>
          </cell>
          <cell r="E646">
            <v>4</v>
          </cell>
          <cell r="F646" t="str">
            <v>Life Sciences</v>
          </cell>
          <cell r="G646">
            <v>4</v>
          </cell>
          <cell r="H646" t="str">
            <v>Male</v>
          </cell>
          <cell r="I646">
            <v>3</v>
          </cell>
          <cell r="J646">
            <v>1</v>
          </cell>
          <cell r="K646" t="str">
            <v>Research Scientist</v>
          </cell>
          <cell r="L646">
            <v>4</v>
          </cell>
          <cell r="M646" t="str">
            <v>Married</v>
          </cell>
          <cell r="N646">
            <v>2356</v>
          </cell>
          <cell r="O646">
            <v>3</v>
          </cell>
          <cell r="P646" t="str">
            <v>Yes</v>
          </cell>
          <cell r="Q646">
            <v>2</v>
          </cell>
          <cell r="R646">
            <v>8</v>
          </cell>
          <cell r="S646">
            <v>3</v>
          </cell>
          <cell r="T646">
            <v>6</v>
          </cell>
          <cell r="U646">
            <v>4</v>
          </cell>
          <cell r="V646">
            <v>0</v>
          </cell>
          <cell r="W646">
            <v>2</v>
          </cell>
          <cell r="X646">
            <v>19</v>
          </cell>
          <cell r="Y646">
            <v>0</v>
          </cell>
          <cell r="Z646" t="str">
            <v>Mid</v>
          </cell>
          <cell r="AA646" t="str">
            <v>Low</v>
          </cell>
          <cell r="AB646" t="str">
            <v>Mid</v>
          </cell>
          <cell r="AC646" t="str">
            <v>High</v>
          </cell>
          <cell r="AD646">
            <v>895</v>
          </cell>
        </row>
        <row r="647">
          <cell r="A647">
            <v>29</v>
          </cell>
          <cell r="B647" t="str">
            <v>Yes</v>
          </cell>
          <cell r="C647" t="str">
            <v>Sales</v>
          </cell>
          <cell r="D647">
            <v>1</v>
          </cell>
          <cell r="E647">
            <v>3</v>
          </cell>
          <cell r="F647" t="str">
            <v>Medical</v>
          </cell>
          <cell r="G647">
            <v>2</v>
          </cell>
          <cell r="H647" t="str">
            <v>Female</v>
          </cell>
          <cell r="I647">
            <v>2</v>
          </cell>
          <cell r="J647">
            <v>1</v>
          </cell>
          <cell r="K647" t="str">
            <v>Sales Representative</v>
          </cell>
          <cell r="L647">
            <v>3</v>
          </cell>
          <cell r="M647" t="str">
            <v>Divorced</v>
          </cell>
          <cell r="N647">
            <v>2800</v>
          </cell>
          <cell r="O647">
            <v>6</v>
          </cell>
          <cell r="P647" t="str">
            <v>Yes</v>
          </cell>
          <cell r="Q647">
            <v>3</v>
          </cell>
          <cell r="R647">
            <v>5</v>
          </cell>
          <cell r="S647">
            <v>3</v>
          </cell>
          <cell r="T647">
            <v>3</v>
          </cell>
          <cell r="U647">
            <v>2</v>
          </cell>
          <cell r="V647">
            <v>0</v>
          </cell>
          <cell r="W647">
            <v>2</v>
          </cell>
          <cell r="X647">
            <v>19</v>
          </cell>
          <cell r="Y647">
            <v>1</v>
          </cell>
          <cell r="Z647" t="str">
            <v>Young</v>
          </cell>
          <cell r="AA647" t="str">
            <v>Low</v>
          </cell>
          <cell r="AB647" t="str">
            <v>Mid</v>
          </cell>
          <cell r="AC647" t="str">
            <v>High</v>
          </cell>
          <cell r="AD647">
            <v>896</v>
          </cell>
        </row>
        <row r="648">
          <cell r="A648">
            <v>53</v>
          </cell>
          <cell r="B648" t="str">
            <v>No</v>
          </cell>
          <cell r="C648" t="str">
            <v>Sales</v>
          </cell>
          <cell r="D648">
            <v>8</v>
          </cell>
          <cell r="E648">
            <v>3</v>
          </cell>
          <cell r="F648" t="str">
            <v>Marketing</v>
          </cell>
          <cell r="G648">
            <v>1</v>
          </cell>
          <cell r="H648" t="str">
            <v>Male</v>
          </cell>
          <cell r="I648">
            <v>3</v>
          </cell>
          <cell r="J648">
            <v>4</v>
          </cell>
          <cell r="K648" t="str">
            <v>Sales Executive</v>
          </cell>
          <cell r="L648">
            <v>4</v>
          </cell>
          <cell r="M648" t="str">
            <v>Married</v>
          </cell>
          <cell r="N648">
            <v>11836</v>
          </cell>
          <cell r="O648">
            <v>5</v>
          </cell>
          <cell r="P648" t="str">
            <v>No</v>
          </cell>
          <cell r="Q648">
            <v>3</v>
          </cell>
          <cell r="R648">
            <v>28</v>
          </cell>
          <cell r="S648">
            <v>3</v>
          </cell>
          <cell r="T648">
            <v>2</v>
          </cell>
          <cell r="U648">
            <v>0</v>
          </cell>
          <cell r="V648">
            <v>2</v>
          </cell>
          <cell r="W648">
            <v>2</v>
          </cell>
          <cell r="X648">
            <v>14</v>
          </cell>
          <cell r="Y648">
            <v>0</v>
          </cell>
          <cell r="Z648" t="str">
            <v>Senior</v>
          </cell>
          <cell r="AA648" t="str">
            <v>High</v>
          </cell>
          <cell r="AB648" t="str">
            <v>Early</v>
          </cell>
          <cell r="AC648" t="str">
            <v>Medium</v>
          </cell>
          <cell r="AD648">
            <v>897</v>
          </cell>
        </row>
        <row r="649">
          <cell r="A649">
            <v>35</v>
          </cell>
          <cell r="B649" t="str">
            <v>No</v>
          </cell>
          <cell r="C649" t="str">
            <v>Research &amp; Development</v>
          </cell>
          <cell r="D649">
            <v>25</v>
          </cell>
          <cell r="E649">
            <v>3</v>
          </cell>
          <cell r="F649" t="str">
            <v>Technical Degree</v>
          </cell>
          <cell r="G649">
            <v>4</v>
          </cell>
          <cell r="H649" t="str">
            <v>Male</v>
          </cell>
          <cell r="I649">
            <v>2</v>
          </cell>
          <cell r="J649">
            <v>3</v>
          </cell>
          <cell r="K649" t="str">
            <v>Manufacturing Director</v>
          </cell>
          <cell r="L649">
            <v>2</v>
          </cell>
          <cell r="M649" t="str">
            <v>Married</v>
          </cell>
          <cell r="N649">
            <v>10903</v>
          </cell>
          <cell r="O649">
            <v>3</v>
          </cell>
          <cell r="P649" t="str">
            <v>No</v>
          </cell>
          <cell r="Q649">
            <v>1</v>
          </cell>
          <cell r="R649">
            <v>16</v>
          </cell>
          <cell r="S649">
            <v>3</v>
          </cell>
          <cell r="T649">
            <v>13</v>
          </cell>
          <cell r="U649">
            <v>10</v>
          </cell>
          <cell r="V649">
            <v>4</v>
          </cell>
          <cell r="W649">
            <v>8</v>
          </cell>
          <cell r="X649">
            <v>16</v>
          </cell>
          <cell r="Y649">
            <v>0</v>
          </cell>
          <cell r="Z649" t="str">
            <v>Mid</v>
          </cell>
          <cell r="AA649" t="str">
            <v>High</v>
          </cell>
          <cell r="AB649" t="str">
            <v>Long</v>
          </cell>
          <cell r="AC649" t="str">
            <v>Medium</v>
          </cell>
          <cell r="AD649">
            <v>899</v>
          </cell>
        </row>
        <row r="650">
          <cell r="A650">
            <v>37</v>
          </cell>
          <cell r="B650" t="str">
            <v>No</v>
          </cell>
          <cell r="C650" t="str">
            <v>Sales</v>
          </cell>
          <cell r="D650">
            <v>21</v>
          </cell>
          <cell r="E650">
            <v>2</v>
          </cell>
          <cell r="F650" t="str">
            <v>Medical</v>
          </cell>
          <cell r="G650">
            <v>3</v>
          </cell>
          <cell r="H650" t="str">
            <v>Female</v>
          </cell>
          <cell r="I650">
            <v>3</v>
          </cell>
          <cell r="J650">
            <v>1</v>
          </cell>
          <cell r="K650" t="str">
            <v>Sales Representative</v>
          </cell>
          <cell r="L650">
            <v>4</v>
          </cell>
          <cell r="M650" t="str">
            <v>Married</v>
          </cell>
          <cell r="N650">
            <v>2973</v>
          </cell>
          <cell r="O650">
            <v>5</v>
          </cell>
          <cell r="P650" t="str">
            <v>No</v>
          </cell>
          <cell r="Q650">
            <v>2</v>
          </cell>
          <cell r="R650">
            <v>10</v>
          </cell>
          <cell r="S650">
            <v>3</v>
          </cell>
          <cell r="T650">
            <v>5</v>
          </cell>
          <cell r="U650">
            <v>4</v>
          </cell>
          <cell r="V650">
            <v>0</v>
          </cell>
          <cell r="W650">
            <v>0</v>
          </cell>
          <cell r="X650">
            <v>15</v>
          </cell>
          <cell r="Y650">
            <v>0</v>
          </cell>
          <cell r="Z650" t="str">
            <v>Mid</v>
          </cell>
          <cell r="AA650" t="str">
            <v>Low</v>
          </cell>
          <cell r="AB650" t="str">
            <v>Mid</v>
          </cell>
          <cell r="AC650" t="str">
            <v>Medium</v>
          </cell>
          <cell r="AD650">
            <v>900</v>
          </cell>
        </row>
        <row r="651">
          <cell r="A651">
            <v>53</v>
          </cell>
          <cell r="B651" t="str">
            <v>No</v>
          </cell>
          <cell r="C651" t="str">
            <v>Research &amp; Development</v>
          </cell>
          <cell r="D651">
            <v>23</v>
          </cell>
          <cell r="E651">
            <v>4</v>
          </cell>
          <cell r="F651" t="str">
            <v>Life Sciences</v>
          </cell>
          <cell r="G651">
            <v>4</v>
          </cell>
          <cell r="H651" t="str">
            <v>Female</v>
          </cell>
          <cell r="I651">
            <v>3</v>
          </cell>
          <cell r="J651">
            <v>4</v>
          </cell>
          <cell r="K651" t="str">
            <v>Research Director</v>
          </cell>
          <cell r="L651">
            <v>4</v>
          </cell>
          <cell r="M651" t="str">
            <v>Single</v>
          </cell>
          <cell r="N651">
            <v>14275</v>
          </cell>
          <cell r="O651">
            <v>6</v>
          </cell>
          <cell r="P651" t="str">
            <v>No</v>
          </cell>
          <cell r="Q651">
            <v>3</v>
          </cell>
          <cell r="R651">
            <v>33</v>
          </cell>
          <cell r="S651">
            <v>3</v>
          </cell>
          <cell r="T651">
            <v>12</v>
          </cell>
          <cell r="U651">
            <v>9</v>
          </cell>
          <cell r="V651">
            <v>3</v>
          </cell>
          <cell r="W651">
            <v>8</v>
          </cell>
          <cell r="X651">
            <v>18</v>
          </cell>
          <cell r="Y651">
            <v>0</v>
          </cell>
          <cell r="Z651" t="str">
            <v>Senior</v>
          </cell>
          <cell r="AA651" t="str">
            <v>High</v>
          </cell>
          <cell r="AB651" t="str">
            <v>Long</v>
          </cell>
          <cell r="AC651" t="str">
            <v>High</v>
          </cell>
          <cell r="AD651">
            <v>901</v>
          </cell>
        </row>
        <row r="652">
          <cell r="A652">
            <v>43</v>
          </cell>
          <cell r="B652" t="str">
            <v>No</v>
          </cell>
          <cell r="C652" t="str">
            <v>Research &amp; Development</v>
          </cell>
          <cell r="D652">
            <v>1</v>
          </cell>
          <cell r="E652">
            <v>3</v>
          </cell>
          <cell r="F652" t="str">
            <v>Life Sciences</v>
          </cell>
          <cell r="G652">
            <v>4</v>
          </cell>
          <cell r="H652" t="str">
            <v>Female</v>
          </cell>
          <cell r="I652">
            <v>3</v>
          </cell>
          <cell r="J652">
            <v>2</v>
          </cell>
          <cell r="K652" t="str">
            <v>Healthcare Representative</v>
          </cell>
          <cell r="L652">
            <v>4</v>
          </cell>
          <cell r="M652" t="str">
            <v>Married</v>
          </cell>
          <cell r="N652">
            <v>5562</v>
          </cell>
          <cell r="O652">
            <v>4</v>
          </cell>
          <cell r="P652" t="str">
            <v>No</v>
          </cell>
          <cell r="Q652">
            <v>2</v>
          </cell>
          <cell r="R652">
            <v>12</v>
          </cell>
          <cell r="S652">
            <v>2</v>
          </cell>
          <cell r="T652">
            <v>5</v>
          </cell>
          <cell r="U652">
            <v>2</v>
          </cell>
          <cell r="V652">
            <v>2</v>
          </cell>
          <cell r="W652">
            <v>2</v>
          </cell>
          <cell r="X652">
            <v>13</v>
          </cell>
          <cell r="Y652">
            <v>0</v>
          </cell>
          <cell r="Z652" t="str">
            <v>Mid</v>
          </cell>
          <cell r="AA652" t="str">
            <v>Medium</v>
          </cell>
          <cell r="AB652" t="str">
            <v>Mid</v>
          </cell>
          <cell r="AC652" t="str">
            <v>Medium</v>
          </cell>
          <cell r="AD652">
            <v>902</v>
          </cell>
        </row>
        <row r="653">
          <cell r="A653">
            <v>47</v>
          </cell>
          <cell r="B653" t="str">
            <v>No</v>
          </cell>
          <cell r="C653" t="str">
            <v>Sales</v>
          </cell>
          <cell r="D653">
            <v>2</v>
          </cell>
          <cell r="E653">
            <v>2</v>
          </cell>
          <cell r="F653" t="str">
            <v>Marketing</v>
          </cell>
          <cell r="G653">
            <v>3</v>
          </cell>
          <cell r="H653" t="str">
            <v>Female</v>
          </cell>
          <cell r="I653">
            <v>3</v>
          </cell>
          <cell r="J653">
            <v>2</v>
          </cell>
          <cell r="K653" t="str">
            <v>Sales Executive</v>
          </cell>
          <cell r="L653">
            <v>4</v>
          </cell>
          <cell r="M653" t="str">
            <v>Married</v>
          </cell>
          <cell r="N653">
            <v>4537</v>
          </cell>
          <cell r="O653">
            <v>0</v>
          </cell>
          <cell r="P653" t="str">
            <v>Yes</v>
          </cell>
          <cell r="Q653">
            <v>1</v>
          </cell>
          <cell r="R653">
            <v>8</v>
          </cell>
          <cell r="S653">
            <v>3</v>
          </cell>
          <cell r="T653">
            <v>7</v>
          </cell>
          <cell r="U653">
            <v>6</v>
          </cell>
          <cell r="V653">
            <v>7</v>
          </cell>
          <cell r="W653">
            <v>7</v>
          </cell>
          <cell r="X653">
            <v>22</v>
          </cell>
          <cell r="Y653">
            <v>0</v>
          </cell>
          <cell r="Z653" t="str">
            <v>Senior</v>
          </cell>
          <cell r="AA653" t="str">
            <v>Low</v>
          </cell>
          <cell r="AB653" t="str">
            <v>Long</v>
          </cell>
          <cell r="AC653" t="str">
            <v>High</v>
          </cell>
          <cell r="AD653">
            <v>903</v>
          </cell>
        </row>
        <row r="654">
          <cell r="A654">
            <v>37</v>
          </cell>
          <cell r="B654" t="str">
            <v>No</v>
          </cell>
          <cell r="C654" t="str">
            <v>Sales</v>
          </cell>
          <cell r="D654">
            <v>19</v>
          </cell>
          <cell r="E654">
            <v>2</v>
          </cell>
          <cell r="F654" t="str">
            <v>Medical</v>
          </cell>
          <cell r="G654">
            <v>1</v>
          </cell>
          <cell r="H654" t="str">
            <v>Male</v>
          </cell>
          <cell r="I654">
            <v>3</v>
          </cell>
          <cell r="J654">
            <v>3</v>
          </cell>
          <cell r="K654" t="str">
            <v>Sales Executive</v>
          </cell>
          <cell r="L654">
            <v>2</v>
          </cell>
          <cell r="M654" t="str">
            <v>Single</v>
          </cell>
          <cell r="N654">
            <v>7642</v>
          </cell>
          <cell r="O654">
            <v>1</v>
          </cell>
          <cell r="P654" t="str">
            <v>Yes</v>
          </cell>
          <cell r="Q654">
            <v>4</v>
          </cell>
          <cell r="R654">
            <v>10</v>
          </cell>
          <cell r="S654">
            <v>3</v>
          </cell>
          <cell r="T654">
            <v>10</v>
          </cell>
          <cell r="U654">
            <v>0</v>
          </cell>
          <cell r="V654">
            <v>0</v>
          </cell>
          <cell r="W654">
            <v>9</v>
          </cell>
          <cell r="X654">
            <v>13</v>
          </cell>
          <cell r="Y654">
            <v>0</v>
          </cell>
          <cell r="Z654" t="str">
            <v>Mid</v>
          </cell>
          <cell r="AA654" t="str">
            <v>Medium</v>
          </cell>
          <cell r="AB654" t="str">
            <v>Long</v>
          </cell>
          <cell r="AC654" t="str">
            <v>Medium</v>
          </cell>
          <cell r="AD654">
            <v>904</v>
          </cell>
        </row>
        <row r="655">
          <cell r="A655">
            <v>50</v>
          </cell>
          <cell r="B655" t="str">
            <v>No</v>
          </cell>
          <cell r="C655" t="str">
            <v>Research &amp; Development</v>
          </cell>
          <cell r="D655">
            <v>2</v>
          </cell>
          <cell r="E655">
            <v>4</v>
          </cell>
          <cell r="F655" t="str">
            <v>Life Sciences</v>
          </cell>
          <cell r="G655">
            <v>1</v>
          </cell>
          <cell r="H655" t="str">
            <v>Male</v>
          </cell>
          <cell r="I655">
            <v>3</v>
          </cell>
          <cell r="J655">
            <v>4</v>
          </cell>
          <cell r="K655" t="str">
            <v>Manager</v>
          </cell>
          <cell r="L655">
            <v>1</v>
          </cell>
          <cell r="M655" t="str">
            <v>Divorced</v>
          </cell>
          <cell r="N655">
            <v>17924</v>
          </cell>
          <cell r="O655">
            <v>1</v>
          </cell>
          <cell r="P655" t="str">
            <v>No</v>
          </cell>
          <cell r="Q655">
            <v>4</v>
          </cell>
          <cell r="R655">
            <v>31</v>
          </cell>
          <cell r="S655">
            <v>3</v>
          </cell>
          <cell r="T655">
            <v>31</v>
          </cell>
          <cell r="U655">
            <v>6</v>
          </cell>
          <cell r="V655">
            <v>14</v>
          </cell>
          <cell r="W655">
            <v>7</v>
          </cell>
          <cell r="X655">
            <v>11</v>
          </cell>
          <cell r="Y655">
            <v>0</v>
          </cell>
          <cell r="Z655" t="str">
            <v>Senior</v>
          </cell>
          <cell r="AA655" t="str">
            <v>High</v>
          </cell>
          <cell r="AB655" t="str">
            <v>Long</v>
          </cell>
          <cell r="AC655" t="str">
            <v>Low</v>
          </cell>
          <cell r="AD655">
            <v>905</v>
          </cell>
        </row>
        <row r="656">
          <cell r="A656">
            <v>39</v>
          </cell>
          <cell r="B656" t="str">
            <v>No</v>
          </cell>
          <cell r="C656" t="str">
            <v>Human Resources</v>
          </cell>
          <cell r="D656">
            <v>2</v>
          </cell>
          <cell r="E656">
            <v>3</v>
          </cell>
          <cell r="F656" t="str">
            <v>Life Sciences</v>
          </cell>
          <cell r="G656">
            <v>4</v>
          </cell>
          <cell r="H656" t="str">
            <v>Female</v>
          </cell>
          <cell r="I656">
            <v>2</v>
          </cell>
          <cell r="J656">
            <v>2</v>
          </cell>
          <cell r="K656" t="str">
            <v>Human Resources</v>
          </cell>
          <cell r="L656">
            <v>4</v>
          </cell>
          <cell r="M656" t="str">
            <v>Married</v>
          </cell>
          <cell r="N656">
            <v>5204</v>
          </cell>
          <cell r="O656">
            <v>8</v>
          </cell>
          <cell r="P656" t="str">
            <v>No</v>
          </cell>
          <cell r="Q656">
            <v>3</v>
          </cell>
          <cell r="R656">
            <v>13</v>
          </cell>
          <cell r="S656">
            <v>3</v>
          </cell>
          <cell r="T656">
            <v>5</v>
          </cell>
          <cell r="U656">
            <v>4</v>
          </cell>
          <cell r="V656">
            <v>0</v>
          </cell>
          <cell r="W656">
            <v>4</v>
          </cell>
          <cell r="X656">
            <v>11</v>
          </cell>
          <cell r="Y656">
            <v>0</v>
          </cell>
          <cell r="Z656" t="str">
            <v>Mid</v>
          </cell>
          <cell r="AA656" t="str">
            <v>Medium</v>
          </cell>
          <cell r="AB656" t="str">
            <v>Mid</v>
          </cell>
          <cell r="AC656" t="str">
            <v>Low</v>
          </cell>
          <cell r="AD656">
            <v>909</v>
          </cell>
        </row>
        <row r="657">
          <cell r="A657">
            <v>33</v>
          </cell>
          <cell r="B657" t="str">
            <v>No</v>
          </cell>
          <cell r="C657" t="str">
            <v>Human Resources</v>
          </cell>
          <cell r="D657">
            <v>3</v>
          </cell>
          <cell r="E657">
            <v>2</v>
          </cell>
          <cell r="F657" t="str">
            <v>Human Resources</v>
          </cell>
          <cell r="G657">
            <v>4</v>
          </cell>
          <cell r="H657" t="str">
            <v>Male</v>
          </cell>
          <cell r="I657">
            <v>3</v>
          </cell>
          <cell r="J657">
            <v>1</v>
          </cell>
          <cell r="K657" t="str">
            <v>Human Resources</v>
          </cell>
          <cell r="L657">
            <v>2</v>
          </cell>
          <cell r="M657" t="str">
            <v>Divorced</v>
          </cell>
          <cell r="N657">
            <v>2277</v>
          </cell>
          <cell r="O657">
            <v>3</v>
          </cell>
          <cell r="P657" t="str">
            <v>Yes</v>
          </cell>
          <cell r="Q657">
            <v>3</v>
          </cell>
          <cell r="R657">
            <v>7</v>
          </cell>
          <cell r="S657">
            <v>4</v>
          </cell>
          <cell r="T657">
            <v>4</v>
          </cell>
          <cell r="U657">
            <v>3</v>
          </cell>
          <cell r="V657">
            <v>0</v>
          </cell>
          <cell r="W657">
            <v>3</v>
          </cell>
          <cell r="X657">
            <v>11</v>
          </cell>
          <cell r="Y657">
            <v>0</v>
          </cell>
          <cell r="Z657" t="str">
            <v>Mid</v>
          </cell>
          <cell r="AA657" t="str">
            <v>Low</v>
          </cell>
          <cell r="AB657" t="str">
            <v>Mid</v>
          </cell>
          <cell r="AC657" t="str">
            <v>Low</v>
          </cell>
          <cell r="AD657">
            <v>910</v>
          </cell>
        </row>
        <row r="658">
          <cell r="A658">
            <v>32</v>
          </cell>
          <cell r="B658" t="str">
            <v>Yes</v>
          </cell>
          <cell r="C658" t="str">
            <v>Research &amp; Development</v>
          </cell>
          <cell r="D658">
            <v>25</v>
          </cell>
          <cell r="E658">
            <v>4</v>
          </cell>
          <cell r="F658" t="str">
            <v>Life Sciences</v>
          </cell>
          <cell r="G658">
            <v>1</v>
          </cell>
          <cell r="H658" t="str">
            <v>Male</v>
          </cell>
          <cell r="I658">
            <v>3</v>
          </cell>
          <cell r="J658">
            <v>1</v>
          </cell>
          <cell r="K658" t="str">
            <v>Laboratory Technician</v>
          </cell>
          <cell r="L658">
            <v>4</v>
          </cell>
          <cell r="M658" t="str">
            <v>Single</v>
          </cell>
          <cell r="N658">
            <v>2795</v>
          </cell>
          <cell r="O658">
            <v>1</v>
          </cell>
          <cell r="P658" t="str">
            <v>Yes</v>
          </cell>
          <cell r="Q658">
            <v>3</v>
          </cell>
          <cell r="R658">
            <v>1</v>
          </cell>
          <cell r="S658">
            <v>1</v>
          </cell>
          <cell r="T658">
            <v>1</v>
          </cell>
          <cell r="U658">
            <v>0</v>
          </cell>
          <cell r="V658">
            <v>0</v>
          </cell>
          <cell r="W658">
            <v>1</v>
          </cell>
          <cell r="X658">
            <v>24</v>
          </cell>
          <cell r="Y658">
            <v>1</v>
          </cell>
          <cell r="Z658" t="str">
            <v>Mid</v>
          </cell>
          <cell r="AA658" t="str">
            <v>Low</v>
          </cell>
          <cell r="AB658" t="str">
            <v>Early</v>
          </cell>
          <cell r="AC658" t="str">
            <v>High</v>
          </cell>
          <cell r="AD658">
            <v>911</v>
          </cell>
        </row>
        <row r="659">
          <cell r="A659">
            <v>29</v>
          </cell>
          <cell r="B659" t="str">
            <v>No</v>
          </cell>
          <cell r="C659" t="str">
            <v>Research &amp; Development</v>
          </cell>
          <cell r="D659">
            <v>7</v>
          </cell>
          <cell r="E659">
            <v>1</v>
          </cell>
          <cell r="F659" t="str">
            <v>Medical</v>
          </cell>
          <cell r="G659">
            <v>1</v>
          </cell>
          <cell r="H659" t="str">
            <v>Female</v>
          </cell>
          <cell r="I659">
            <v>2</v>
          </cell>
          <cell r="J659">
            <v>1</v>
          </cell>
          <cell r="K659" t="str">
            <v>Laboratory Technician</v>
          </cell>
          <cell r="L659">
            <v>4</v>
          </cell>
          <cell r="M659" t="str">
            <v>Divorced</v>
          </cell>
          <cell r="N659">
            <v>2532</v>
          </cell>
          <cell r="O659">
            <v>6</v>
          </cell>
          <cell r="P659" t="str">
            <v>No</v>
          </cell>
          <cell r="Q659">
            <v>3</v>
          </cell>
          <cell r="R659">
            <v>8</v>
          </cell>
          <cell r="S659">
            <v>3</v>
          </cell>
          <cell r="T659">
            <v>4</v>
          </cell>
          <cell r="U659">
            <v>3</v>
          </cell>
          <cell r="V659">
            <v>0</v>
          </cell>
          <cell r="W659">
            <v>3</v>
          </cell>
          <cell r="X659">
            <v>14</v>
          </cell>
          <cell r="Y659">
            <v>0</v>
          </cell>
          <cell r="Z659" t="str">
            <v>Young</v>
          </cell>
          <cell r="AA659" t="str">
            <v>Low</v>
          </cell>
          <cell r="AB659" t="str">
            <v>Mid</v>
          </cell>
          <cell r="AC659" t="str">
            <v>Medium</v>
          </cell>
          <cell r="AD659">
            <v>912</v>
          </cell>
        </row>
        <row r="660">
          <cell r="A660">
            <v>44</v>
          </cell>
          <cell r="B660" t="str">
            <v>No</v>
          </cell>
          <cell r="C660" t="str">
            <v>Research &amp; Development</v>
          </cell>
          <cell r="D660">
            <v>9</v>
          </cell>
          <cell r="E660">
            <v>2</v>
          </cell>
          <cell r="F660" t="str">
            <v>Life Sciences</v>
          </cell>
          <cell r="G660">
            <v>2</v>
          </cell>
          <cell r="H660" t="str">
            <v>Male</v>
          </cell>
          <cell r="I660">
            <v>3</v>
          </cell>
          <cell r="J660">
            <v>1</v>
          </cell>
          <cell r="K660" t="str">
            <v>Research Scientist</v>
          </cell>
          <cell r="L660">
            <v>1</v>
          </cell>
          <cell r="M660" t="str">
            <v>Married</v>
          </cell>
          <cell r="N660">
            <v>2559</v>
          </cell>
          <cell r="O660">
            <v>1</v>
          </cell>
          <cell r="P660" t="str">
            <v>Yes</v>
          </cell>
          <cell r="Q660">
            <v>4</v>
          </cell>
          <cell r="R660">
            <v>8</v>
          </cell>
          <cell r="S660">
            <v>3</v>
          </cell>
          <cell r="T660">
            <v>8</v>
          </cell>
          <cell r="U660">
            <v>7</v>
          </cell>
          <cell r="V660">
            <v>7</v>
          </cell>
          <cell r="W660">
            <v>1</v>
          </cell>
          <cell r="X660">
            <v>13</v>
          </cell>
          <cell r="Y660">
            <v>0</v>
          </cell>
          <cell r="Z660" t="str">
            <v>Mid</v>
          </cell>
          <cell r="AA660" t="str">
            <v>Low</v>
          </cell>
          <cell r="AB660" t="str">
            <v>Long</v>
          </cell>
          <cell r="AC660" t="str">
            <v>Medium</v>
          </cell>
          <cell r="AD660">
            <v>913</v>
          </cell>
        </row>
        <row r="661">
          <cell r="A661">
            <v>28</v>
          </cell>
          <cell r="B661" t="str">
            <v>No</v>
          </cell>
          <cell r="C661" t="str">
            <v>Sales</v>
          </cell>
          <cell r="D661">
            <v>5</v>
          </cell>
          <cell r="E661">
            <v>4</v>
          </cell>
          <cell r="F661" t="str">
            <v>Medical</v>
          </cell>
          <cell r="G661">
            <v>1</v>
          </cell>
          <cell r="H661" t="str">
            <v>Male</v>
          </cell>
          <cell r="I661">
            <v>3</v>
          </cell>
          <cell r="J661">
            <v>2</v>
          </cell>
          <cell r="K661" t="str">
            <v>Sales Executive</v>
          </cell>
          <cell r="L661">
            <v>4</v>
          </cell>
          <cell r="M661" t="str">
            <v>Single</v>
          </cell>
          <cell r="N661">
            <v>4908</v>
          </cell>
          <cell r="O661">
            <v>1</v>
          </cell>
          <cell r="P661" t="str">
            <v>No</v>
          </cell>
          <cell r="Q661">
            <v>2</v>
          </cell>
          <cell r="R661">
            <v>4</v>
          </cell>
          <cell r="S661">
            <v>3</v>
          </cell>
          <cell r="T661">
            <v>4</v>
          </cell>
          <cell r="U661">
            <v>2</v>
          </cell>
          <cell r="V661">
            <v>0</v>
          </cell>
          <cell r="W661">
            <v>2</v>
          </cell>
          <cell r="X661">
            <v>14</v>
          </cell>
          <cell r="Y661">
            <v>0</v>
          </cell>
          <cell r="Z661" t="str">
            <v>Young</v>
          </cell>
          <cell r="AA661" t="str">
            <v>Low</v>
          </cell>
          <cell r="AB661" t="str">
            <v>Mid</v>
          </cell>
          <cell r="AC661" t="str">
            <v>Medium</v>
          </cell>
          <cell r="AD661">
            <v>916</v>
          </cell>
        </row>
        <row r="662">
          <cell r="A662">
            <v>58</v>
          </cell>
          <cell r="B662" t="str">
            <v>Yes</v>
          </cell>
          <cell r="C662" t="str">
            <v>Research &amp; Development</v>
          </cell>
          <cell r="D662">
            <v>2</v>
          </cell>
          <cell r="E662">
            <v>1</v>
          </cell>
          <cell r="F662" t="str">
            <v>Life Sciences</v>
          </cell>
          <cell r="G662">
            <v>4</v>
          </cell>
          <cell r="H662" t="str">
            <v>Male</v>
          </cell>
          <cell r="I662">
            <v>2</v>
          </cell>
          <cell r="J662">
            <v>1</v>
          </cell>
          <cell r="K662" t="str">
            <v>Laboratory Technician</v>
          </cell>
          <cell r="L662">
            <v>4</v>
          </cell>
          <cell r="M662" t="str">
            <v>Divorced</v>
          </cell>
          <cell r="N662">
            <v>2380</v>
          </cell>
          <cell r="O662">
            <v>9</v>
          </cell>
          <cell r="P662" t="str">
            <v>Yes</v>
          </cell>
          <cell r="Q662">
            <v>4</v>
          </cell>
          <cell r="R662">
            <v>3</v>
          </cell>
          <cell r="S662">
            <v>2</v>
          </cell>
          <cell r="T662">
            <v>1</v>
          </cell>
          <cell r="U662">
            <v>0</v>
          </cell>
          <cell r="V662">
            <v>0</v>
          </cell>
          <cell r="W662">
            <v>0</v>
          </cell>
          <cell r="X662">
            <v>14</v>
          </cell>
          <cell r="Y662">
            <v>1</v>
          </cell>
          <cell r="Z662" t="str">
            <v>Senior</v>
          </cell>
          <cell r="AA662" t="str">
            <v>Low</v>
          </cell>
          <cell r="AB662" t="str">
            <v>Early</v>
          </cell>
          <cell r="AC662" t="str">
            <v>Medium</v>
          </cell>
          <cell r="AD662">
            <v>918</v>
          </cell>
        </row>
        <row r="663">
          <cell r="A663">
            <v>43</v>
          </cell>
          <cell r="B663" t="str">
            <v>No</v>
          </cell>
          <cell r="C663" t="str">
            <v>Research &amp; Development</v>
          </cell>
          <cell r="D663">
            <v>8</v>
          </cell>
          <cell r="E663">
            <v>3</v>
          </cell>
          <cell r="F663" t="str">
            <v>Life Sciences</v>
          </cell>
          <cell r="G663">
            <v>1</v>
          </cell>
          <cell r="H663" t="str">
            <v>Female</v>
          </cell>
          <cell r="I663">
            <v>3</v>
          </cell>
          <cell r="J663">
            <v>2</v>
          </cell>
          <cell r="K663" t="str">
            <v>Manufacturing Director</v>
          </cell>
          <cell r="L663">
            <v>2</v>
          </cell>
          <cell r="M663" t="str">
            <v>Divorced</v>
          </cell>
          <cell r="N663">
            <v>4765</v>
          </cell>
          <cell r="O663">
            <v>4</v>
          </cell>
          <cell r="P663" t="str">
            <v>No</v>
          </cell>
          <cell r="Q663">
            <v>3</v>
          </cell>
          <cell r="R663">
            <v>4</v>
          </cell>
          <cell r="S663">
            <v>4</v>
          </cell>
          <cell r="T663">
            <v>1</v>
          </cell>
          <cell r="U663">
            <v>0</v>
          </cell>
          <cell r="V663">
            <v>0</v>
          </cell>
          <cell r="W663">
            <v>0</v>
          </cell>
          <cell r="X663">
            <v>21</v>
          </cell>
          <cell r="Y663">
            <v>0</v>
          </cell>
          <cell r="Z663" t="str">
            <v>Mid</v>
          </cell>
          <cell r="AA663" t="str">
            <v>Low</v>
          </cell>
          <cell r="AB663" t="str">
            <v>Early</v>
          </cell>
          <cell r="AC663" t="str">
            <v>High</v>
          </cell>
          <cell r="AD663">
            <v>920</v>
          </cell>
        </row>
        <row r="664">
          <cell r="A664">
            <v>20</v>
          </cell>
          <cell r="B664" t="str">
            <v>Yes</v>
          </cell>
          <cell r="C664" t="str">
            <v>Sales</v>
          </cell>
          <cell r="D664">
            <v>2</v>
          </cell>
          <cell r="E664">
            <v>3</v>
          </cell>
          <cell r="F664" t="str">
            <v>Medical</v>
          </cell>
          <cell r="G664">
            <v>3</v>
          </cell>
          <cell r="H664" t="str">
            <v>Female</v>
          </cell>
          <cell r="I664">
            <v>2</v>
          </cell>
          <cell r="J664">
            <v>1</v>
          </cell>
          <cell r="K664" t="str">
            <v>Sales Representative</v>
          </cell>
          <cell r="L664">
            <v>3</v>
          </cell>
          <cell r="M664" t="str">
            <v>Single</v>
          </cell>
          <cell r="N664">
            <v>2044</v>
          </cell>
          <cell r="O664">
            <v>1</v>
          </cell>
          <cell r="P664" t="str">
            <v>No</v>
          </cell>
          <cell r="Q664">
            <v>4</v>
          </cell>
          <cell r="R664">
            <v>2</v>
          </cell>
          <cell r="S664">
            <v>2</v>
          </cell>
          <cell r="T664">
            <v>2</v>
          </cell>
          <cell r="U664">
            <v>2</v>
          </cell>
          <cell r="V664">
            <v>0</v>
          </cell>
          <cell r="W664">
            <v>2</v>
          </cell>
          <cell r="X664">
            <v>13</v>
          </cell>
          <cell r="Y664">
            <v>1</v>
          </cell>
          <cell r="Z664" t="str">
            <v>Young</v>
          </cell>
          <cell r="AA664" t="str">
            <v>Low</v>
          </cell>
          <cell r="AB664" t="str">
            <v>Early</v>
          </cell>
          <cell r="AC664" t="str">
            <v>Medium</v>
          </cell>
          <cell r="AD664">
            <v>922</v>
          </cell>
        </row>
        <row r="665">
          <cell r="A665">
            <v>21</v>
          </cell>
          <cell r="B665" t="str">
            <v>Yes</v>
          </cell>
          <cell r="C665" t="str">
            <v>Research &amp; Development</v>
          </cell>
          <cell r="D665">
            <v>18</v>
          </cell>
          <cell r="E665">
            <v>1</v>
          </cell>
          <cell r="F665" t="str">
            <v>Other</v>
          </cell>
          <cell r="G665">
            <v>4</v>
          </cell>
          <cell r="H665" t="str">
            <v>Female</v>
          </cell>
          <cell r="I665">
            <v>3</v>
          </cell>
          <cell r="J665">
            <v>1</v>
          </cell>
          <cell r="K665" t="str">
            <v>Research Scientist</v>
          </cell>
          <cell r="L665">
            <v>4</v>
          </cell>
          <cell r="M665" t="str">
            <v>Single</v>
          </cell>
          <cell r="N665">
            <v>2693</v>
          </cell>
          <cell r="O665">
            <v>1</v>
          </cell>
          <cell r="P665" t="str">
            <v>No</v>
          </cell>
          <cell r="Q665">
            <v>1</v>
          </cell>
          <cell r="R665">
            <v>1</v>
          </cell>
          <cell r="S665">
            <v>2</v>
          </cell>
          <cell r="T665">
            <v>1</v>
          </cell>
          <cell r="U665">
            <v>0</v>
          </cell>
          <cell r="V665">
            <v>0</v>
          </cell>
          <cell r="W665">
            <v>0</v>
          </cell>
          <cell r="X665">
            <v>19</v>
          </cell>
          <cell r="Y665">
            <v>1</v>
          </cell>
          <cell r="Z665" t="str">
            <v>Young</v>
          </cell>
          <cell r="AA665" t="str">
            <v>Low</v>
          </cell>
          <cell r="AB665" t="str">
            <v>Early</v>
          </cell>
          <cell r="AC665" t="str">
            <v>High</v>
          </cell>
          <cell r="AD665">
            <v>923</v>
          </cell>
        </row>
        <row r="666">
          <cell r="A666">
            <v>36</v>
          </cell>
          <cell r="B666" t="str">
            <v>No</v>
          </cell>
          <cell r="C666" t="str">
            <v>Research &amp; Development</v>
          </cell>
          <cell r="D666">
            <v>14</v>
          </cell>
          <cell r="E666">
            <v>1</v>
          </cell>
          <cell r="F666" t="str">
            <v>Life Sciences</v>
          </cell>
          <cell r="G666">
            <v>3</v>
          </cell>
          <cell r="H666" t="str">
            <v>Male</v>
          </cell>
          <cell r="I666">
            <v>3</v>
          </cell>
          <cell r="J666">
            <v>2</v>
          </cell>
          <cell r="K666" t="str">
            <v>Healthcare Representative</v>
          </cell>
          <cell r="L666">
            <v>4</v>
          </cell>
          <cell r="M666" t="str">
            <v>Married</v>
          </cell>
          <cell r="N666">
            <v>6586</v>
          </cell>
          <cell r="O666">
            <v>0</v>
          </cell>
          <cell r="P666" t="str">
            <v>Yes</v>
          </cell>
          <cell r="Q666">
            <v>1</v>
          </cell>
          <cell r="R666">
            <v>17</v>
          </cell>
          <cell r="S666">
            <v>2</v>
          </cell>
          <cell r="T666">
            <v>16</v>
          </cell>
          <cell r="U666">
            <v>8</v>
          </cell>
          <cell r="V666">
            <v>4</v>
          </cell>
          <cell r="W666">
            <v>11</v>
          </cell>
          <cell r="X666">
            <v>17</v>
          </cell>
          <cell r="Y666">
            <v>0</v>
          </cell>
          <cell r="Z666" t="str">
            <v>Mid</v>
          </cell>
          <cell r="AA666" t="str">
            <v>Medium</v>
          </cell>
          <cell r="AB666" t="str">
            <v>Long</v>
          </cell>
          <cell r="AC666" t="str">
            <v>Medium</v>
          </cell>
          <cell r="AD666">
            <v>924</v>
          </cell>
        </row>
        <row r="667">
          <cell r="A667">
            <v>47</v>
          </cell>
          <cell r="B667" t="str">
            <v>No</v>
          </cell>
          <cell r="C667" t="str">
            <v>Sales</v>
          </cell>
          <cell r="D667">
            <v>2</v>
          </cell>
          <cell r="E667">
            <v>4</v>
          </cell>
          <cell r="F667" t="str">
            <v>Life Sciences</v>
          </cell>
          <cell r="G667">
            <v>4</v>
          </cell>
          <cell r="H667" t="str">
            <v>Female</v>
          </cell>
          <cell r="I667">
            <v>2</v>
          </cell>
          <cell r="J667">
            <v>1</v>
          </cell>
          <cell r="K667" t="str">
            <v>Sales Representative</v>
          </cell>
          <cell r="L667">
            <v>4</v>
          </cell>
          <cell r="M667" t="str">
            <v>Single</v>
          </cell>
          <cell r="N667">
            <v>3294</v>
          </cell>
          <cell r="O667">
            <v>1</v>
          </cell>
          <cell r="P667" t="str">
            <v>Yes</v>
          </cell>
          <cell r="Q667">
            <v>1</v>
          </cell>
          <cell r="R667">
            <v>3</v>
          </cell>
          <cell r="S667">
            <v>2</v>
          </cell>
          <cell r="T667">
            <v>3</v>
          </cell>
          <cell r="U667">
            <v>2</v>
          </cell>
          <cell r="V667">
            <v>1</v>
          </cell>
          <cell r="W667">
            <v>2</v>
          </cell>
          <cell r="X667">
            <v>18</v>
          </cell>
          <cell r="Y667">
            <v>0</v>
          </cell>
          <cell r="Z667" t="str">
            <v>Senior</v>
          </cell>
          <cell r="AA667" t="str">
            <v>Low</v>
          </cell>
          <cell r="AB667" t="str">
            <v>Mid</v>
          </cell>
          <cell r="AC667" t="str">
            <v>High</v>
          </cell>
          <cell r="AD667">
            <v>925</v>
          </cell>
        </row>
        <row r="668">
          <cell r="A668">
            <v>22</v>
          </cell>
          <cell r="B668" t="str">
            <v>Yes</v>
          </cell>
          <cell r="C668" t="str">
            <v>Research &amp; Development</v>
          </cell>
          <cell r="D668">
            <v>3</v>
          </cell>
          <cell r="E668">
            <v>1</v>
          </cell>
          <cell r="F668" t="str">
            <v>Life Sciences</v>
          </cell>
          <cell r="G668">
            <v>2</v>
          </cell>
          <cell r="H668" t="str">
            <v>Female</v>
          </cell>
          <cell r="I668">
            <v>3</v>
          </cell>
          <cell r="J668">
            <v>2</v>
          </cell>
          <cell r="K668" t="str">
            <v>Manufacturing Director</v>
          </cell>
          <cell r="L668">
            <v>3</v>
          </cell>
          <cell r="M668" t="str">
            <v>Married</v>
          </cell>
          <cell r="N668">
            <v>4171</v>
          </cell>
          <cell r="O668">
            <v>0</v>
          </cell>
          <cell r="P668" t="str">
            <v>Yes</v>
          </cell>
          <cell r="Q668">
            <v>1</v>
          </cell>
          <cell r="R668">
            <v>4</v>
          </cell>
          <cell r="S668">
            <v>4</v>
          </cell>
          <cell r="T668">
            <v>3</v>
          </cell>
          <cell r="U668">
            <v>2</v>
          </cell>
          <cell r="V668">
            <v>0</v>
          </cell>
          <cell r="W668">
            <v>2</v>
          </cell>
          <cell r="X668">
            <v>19</v>
          </cell>
          <cell r="Y668">
            <v>1</v>
          </cell>
          <cell r="Z668" t="str">
            <v>Young</v>
          </cell>
          <cell r="AA668" t="str">
            <v>Low</v>
          </cell>
          <cell r="AB668" t="str">
            <v>Mid</v>
          </cell>
          <cell r="AC668" t="str">
            <v>High</v>
          </cell>
          <cell r="AD668">
            <v>926</v>
          </cell>
        </row>
        <row r="669">
          <cell r="A669">
            <v>41</v>
          </cell>
          <cell r="B669" t="str">
            <v>Yes</v>
          </cell>
          <cell r="C669" t="str">
            <v>Research &amp; Development</v>
          </cell>
          <cell r="D669">
            <v>2</v>
          </cell>
          <cell r="E669">
            <v>4</v>
          </cell>
          <cell r="F669" t="str">
            <v>Life Sciences</v>
          </cell>
          <cell r="G669">
            <v>2</v>
          </cell>
          <cell r="H669" t="str">
            <v>Female</v>
          </cell>
          <cell r="I669">
            <v>1</v>
          </cell>
          <cell r="J669">
            <v>1</v>
          </cell>
          <cell r="K669" t="str">
            <v>Laboratory Technician</v>
          </cell>
          <cell r="L669">
            <v>4</v>
          </cell>
          <cell r="M669" t="str">
            <v>Divorced</v>
          </cell>
          <cell r="N669">
            <v>2778</v>
          </cell>
          <cell r="O669">
            <v>4</v>
          </cell>
          <cell r="P669" t="str">
            <v>Yes</v>
          </cell>
          <cell r="Q669">
            <v>3</v>
          </cell>
          <cell r="R669">
            <v>10</v>
          </cell>
          <cell r="S669">
            <v>2</v>
          </cell>
          <cell r="T669">
            <v>7</v>
          </cell>
          <cell r="U669">
            <v>7</v>
          </cell>
          <cell r="V669">
            <v>1</v>
          </cell>
          <cell r="W669">
            <v>0</v>
          </cell>
          <cell r="X669">
            <v>13</v>
          </cell>
          <cell r="Y669">
            <v>1</v>
          </cell>
          <cell r="Z669" t="str">
            <v>Mid</v>
          </cell>
          <cell r="AA669" t="str">
            <v>Low</v>
          </cell>
          <cell r="AB669" t="str">
            <v>Long</v>
          </cell>
          <cell r="AC669" t="str">
            <v>Medium</v>
          </cell>
          <cell r="AD669">
            <v>927</v>
          </cell>
        </row>
        <row r="670">
          <cell r="A670">
            <v>28</v>
          </cell>
          <cell r="B670" t="str">
            <v>No</v>
          </cell>
          <cell r="C670" t="str">
            <v>Research &amp; Development</v>
          </cell>
          <cell r="D670">
            <v>9</v>
          </cell>
          <cell r="E670">
            <v>3</v>
          </cell>
          <cell r="F670" t="str">
            <v>Medical</v>
          </cell>
          <cell r="G670">
            <v>3</v>
          </cell>
          <cell r="H670" t="str">
            <v>Female</v>
          </cell>
          <cell r="I670">
            <v>3</v>
          </cell>
          <cell r="J670">
            <v>1</v>
          </cell>
          <cell r="K670" t="str">
            <v>Research Scientist</v>
          </cell>
          <cell r="L670">
            <v>3</v>
          </cell>
          <cell r="M670" t="str">
            <v>Divorced</v>
          </cell>
          <cell r="N670">
            <v>2377</v>
          </cell>
          <cell r="O670">
            <v>5</v>
          </cell>
          <cell r="P670" t="str">
            <v>No</v>
          </cell>
          <cell r="Q670">
            <v>2</v>
          </cell>
          <cell r="R670">
            <v>6</v>
          </cell>
          <cell r="S670">
            <v>3</v>
          </cell>
          <cell r="T670">
            <v>2</v>
          </cell>
          <cell r="U670">
            <v>2</v>
          </cell>
          <cell r="V670">
            <v>2</v>
          </cell>
          <cell r="W670">
            <v>2</v>
          </cell>
          <cell r="X670">
            <v>18</v>
          </cell>
          <cell r="Y670">
            <v>0</v>
          </cell>
          <cell r="Z670" t="str">
            <v>Young</v>
          </cell>
          <cell r="AA670" t="str">
            <v>Low</v>
          </cell>
          <cell r="AB670" t="str">
            <v>Early</v>
          </cell>
          <cell r="AC670" t="str">
            <v>High</v>
          </cell>
          <cell r="AD670">
            <v>930</v>
          </cell>
        </row>
        <row r="671">
          <cell r="A671">
            <v>39</v>
          </cell>
          <cell r="B671" t="str">
            <v>Yes</v>
          </cell>
          <cell r="C671" t="str">
            <v>Research &amp; Development</v>
          </cell>
          <cell r="D671">
            <v>6</v>
          </cell>
          <cell r="E671">
            <v>3</v>
          </cell>
          <cell r="F671" t="str">
            <v>Medical</v>
          </cell>
          <cell r="G671">
            <v>4</v>
          </cell>
          <cell r="H671" t="str">
            <v>Male</v>
          </cell>
          <cell r="I671">
            <v>3</v>
          </cell>
          <cell r="J671">
            <v>1</v>
          </cell>
          <cell r="K671" t="str">
            <v>Laboratory Technician</v>
          </cell>
          <cell r="L671">
            <v>1</v>
          </cell>
          <cell r="M671" t="str">
            <v>Married</v>
          </cell>
          <cell r="N671">
            <v>2404</v>
          </cell>
          <cell r="O671">
            <v>7</v>
          </cell>
          <cell r="P671" t="str">
            <v>Yes</v>
          </cell>
          <cell r="Q671">
            <v>4</v>
          </cell>
          <cell r="R671">
            <v>8</v>
          </cell>
          <cell r="S671">
            <v>1</v>
          </cell>
          <cell r="T671">
            <v>2</v>
          </cell>
          <cell r="U671">
            <v>2</v>
          </cell>
          <cell r="V671">
            <v>2</v>
          </cell>
          <cell r="W671">
            <v>2</v>
          </cell>
          <cell r="X671">
            <v>21</v>
          </cell>
          <cell r="Y671">
            <v>1</v>
          </cell>
          <cell r="Z671" t="str">
            <v>Mid</v>
          </cell>
          <cell r="AA671" t="str">
            <v>Low</v>
          </cell>
          <cell r="AB671" t="str">
            <v>Early</v>
          </cell>
          <cell r="AC671" t="str">
            <v>High</v>
          </cell>
          <cell r="AD671">
            <v>932</v>
          </cell>
        </row>
        <row r="672">
          <cell r="A672">
            <v>27</v>
          </cell>
          <cell r="B672" t="str">
            <v>No</v>
          </cell>
          <cell r="C672" t="str">
            <v>Research &amp; Development</v>
          </cell>
          <cell r="D672">
            <v>4</v>
          </cell>
          <cell r="E672">
            <v>3</v>
          </cell>
          <cell r="F672" t="str">
            <v>Life Sciences</v>
          </cell>
          <cell r="G672">
            <v>2</v>
          </cell>
          <cell r="H672" t="str">
            <v>Female</v>
          </cell>
          <cell r="I672">
            <v>3</v>
          </cell>
          <cell r="J672">
            <v>1</v>
          </cell>
          <cell r="K672" t="str">
            <v>Research Scientist</v>
          </cell>
          <cell r="L672">
            <v>3</v>
          </cell>
          <cell r="M672" t="str">
            <v>Single</v>
          </cell>
          <cell r="N672">
            <v>2318</v>
          </cell>
          <cell r="O672">
            <v>1</v>
          </cell>
          <cell r="P672" t="str">
            <v>No</v>
          </cell>
          <cell r="Q672">
            <v>3</v>
          </cell>
          <cell r="R672">
            <v>1</v>
          </cell>
          <cell r="S672">
            <v>3</v>
          </cell>
          <cell r="T672">
            <v>1</v>
          </cell>
          <cell r="U672">
            <v>1</v>
          </cell>
          <cell r="V672">
            <v>0</v>
          </cell>
          <cell r="W672">
            <v>0</v>
          </cell>
          <cell r="X672">
            <v>19</v>
          </cell>
          <cell r="Y672">
            <v>0</v>
          </cell>
          <cell r="Z672" t="str">
            <v>Young</v>
          </cell>
          <cell r="AA672" t="str">
            <v>Low</v>
          </cell>
          <cell r="AB672" t="str">
            <v>Early</v>
          </cell>
          <cell r="AC672" t="str">
            <v>High</v>
          </cell>
          <cell r="AD672">
            <v>933</v>
          </cell>
        </row>
        <row r="673">
          <cell r="A673">
            <v>34</v>
          </cell>
          <cell r="B673" t="str">
            <v>No</v>
          </cell>
          <cell r="C673" t="str">
            <v>Research &amp; Development</v>
          </cell>
          <cell r="D673">
            <v>10</v>
          </cell>
          <cell r="E673">
            <v>3</v>
          </cell>
          <cell r="F673" t="str">
            <v>Life Sciences</v>
          </cell>
          <cell r="G673">
            <v>2</v>
          </cell>
          <cell r="H673" t="str">
            <v>Male</v>
          </cell>
          <cell r="I673">
            <v>3</v>
          </cell>
          <cell r="J673">
            <v>1</v>
          </cell>
          <cell r="K673" t="str">
            <v>Laboratory Technician</v>
          </cell>
          <cell r="L673">
            <v>2</v>
          </cell>
          <cell r="M673" t="str">
            <v>Divorced</v>
          </cell>
          <cell r="N673">
            <v>2008</v>
          </cell>
          <cell r="O673">
            <v>1</v>
          </cell>
          <cell r="P673" t="str">
            <v>No</v>
          </cell>
          <cell r="Q673">
            <v>2</v>
          </cell>
          <cell r="R673">
            <v>1</v>
          </cell>
          <cell r="S673">
            <v>3</v>
          </cell>
          <cell r="T673">
            <v>1</v>
          </cell>
          <cell r="U673">
            <v>0</v>
          </cell>
          <cell r="V673">
            <v>1</v>
          </cell>
          <cell r="W673">
            <v>0</v>
          </cell>
          <cell r="X673">
            <v>14</v>
          </cell>
          <cell r="Y673">
            <v>0</v>
          </cell>
          <cell r="Z673" t="str">
            <v>Mid</v>
          </cell>
          <cell r="AA673" t="str">
            <v>Low</v>
          </cell>
          <cell r="AB673" t="str">
            <v>Early</v>
          </cell>
          <cell r="AC673" t="str">
            <v>Medium</v>
          </cell>
          <cell r="AD673">
            <v>934</v>
          </cell>
        </row>
        <row r="674">
          <cell r="A674">
            <v>42</v>
          </cell>
          <cell r="B674" t="str">
            <v>No</v>
          </cell>
          <cell r="C674" t="str">
            <v>Sales</v>
          </cell>
          <cell r="D674">
            <v>14</v>
          </cell>
          <cell r="E674">
            <v>2</v>
          </cell>
          <cell r="F674" t="str">
            <v>Medical</v>
          </cell>
          <cell r="G674">
            <v>3</v>
          </cell>
          <cell r="H674" t="str">
            <v>Female</v>
          </cell>
          <cell r="I674">
            <v>2</v>
          </cell>
          <cell r="J674">
            <v>2</v>
          </cell>
          <cell r="K674" t="str">
            <v>Sales Executive</v>
          </cell>
          <cell r="L674">
            <v>3</v>
          </cell>
          <cell r="M674" t="str">
            <v>Single</v>
          </cell>
          <cell r="N674">
            <v>6244</v>
          </cell>
          <cell r="O674">
            <v>7</v>
          </cell>
          <cell r="P674" t="str">
            <v>No</v>
          </cell>
          <cell r="Q674">
            <v>1</v>
          </cell>
          <cell r="R674">
            <v>10</v>
          </cell>
          <cell r="S674">
            <v>3</v>
          </cell>
          <cell r="T674">
            <v>5</v>
          </cell>
          <cell r="U674">
            <v>4</v>
          </cell>
          <cell r="V674">
            <v>0</v>
          </cell>
          <cell r="W674">
            <v>3</v>
          </cell>
          <cell r="X674">
            <v>17</v>
          </cell>
          <cell r="Y674">
            <v>0</v>
          </cell>
          <cell r="Z674" t="str">
            <v>Mid</v>
          </cell>
          <cell r="AA674" t="str">
            <v>Medium</v>
          </cell>
          <cell r="AB674" t="str">
            <v>Mid</v>
          </cell>
          <cell r="AC674" t="str">
            <v>Medium</v>
          </cell>
          <cell r="AD674">
            <v>936</v>
          </cell>
        </row>
        <row r="675">
          <cell r="A675">
            <v>33</v>
          </cell>
          <cell r="B675" t="str">
            <v>No</v>
          </cell>
          <cell r="C675" t="str">
            <v>Research &amp; Development</v>
          </cell>
          <cell r="D675">
            <v>1</v>
          </cell>
          <cell r="E675">
            <v>4</v>
          </cell>
          <cell r="F675" t="str">
            <v>Other</v>
          </cell>
          <cell r="G675">
            <v>3</v>
          </cell>
          <cell r="H675" t="str">
            <v>Male</v>
          </cell>
          <cell r="I675">
            <v>2</v>
          </cell>
          <cell r="J675">
            <v>1</v>
          </cell>
          <cell r="K675" t="str">
            <v>Research Scientist</v>
          </cell>
          <cell r="L675">
            <v>1</v>
          </cell>
          <cell r="M675" t="str">
            <v>Single</v>
          </cell>
          <cell r="N675">
            <v>2799</v>
          </cell>
          <cell r="O675">
            <v>3</v>
          </cell>
          <cell r="P675" t="str">
            <v>Yes</v>
          </cell>
          <cell r="Q675">
            <v>2</v>
          </cell>
          <cell r="R675">
            <v>6</v>
          </cell>
          <cell r="S675">
            <v>3</v>
          </cell>
          <cell r="T675">
            <v>3</v>
          </cell>
          <cell r="U675">
            <v>2</v>
          </cell>
          <cell r="V675">
            <v>0</v>
          </cell>
          <cell r="W675">
            <v>2</v>
          </cell>
          <cell r="X675">
            <v>11</v>
          </cell>
          <cell r="Y675">
            <v>0</v>
          </cell>
          <cell r="Z675" t="str">
            <v>Mid</v>
          </cell>
          <cell r="AA675" t="str">
            <v>Low</v>
          </cell>
          <cell r="AB675" t="str">
            <v>Mid</v>
          </cell>
          <cell r="AC675" t="str">
            <v>Low</v>
          </cell>
          <cell r="AD675">
            <v>939</v>
          </cell>
        </row>
        <row r="676">
          <cell r="A676">
            <v>58</v>
          </cell>
          <cell r="B676" t="str">
            <v>No</v>
          </cell>
          <cell r="C676" t="str">
            <v>Research &amp; Development</v>
          </cell>
          <cell r="D676">
            <v>5</v>
          </cell>
          <cell r="E676">
            <v>3</v>
          </cell>
          <cell r="F676" t="str">
            <v>Technical Degree</v>
          </cell>
          <cell r="G676">
            <v>3</v>
          </cell>
          <cell r="H676" t="str">
            <v>Female</v>
          </cell>
          <cell r="I676">
            <v>2</v>
          </cell>
          <cell r="J676">
            <v>3</v>
          </cell>
          <cell r="K676" t="str">
            <v>Healthcare Representative</v>
          </cell>
          <cell r="L676">
            <v>2</v>
          </cell>
          <cell r="M676" t="str">
            <v>Divorced</v>
          </cell>
          <cell r="N676">
            <v>10552</v>
          </cell>
          <cell r="O676">
            <v>2</v>
          </cell>
          <cell r="P676" t="str">
            <v>Yes</v>
          </cell>
          <cell r="Q676">
            <v>4</v>
          </cell>
          <cell r="R676">
            <v>24</v>
          </cell>
          <cell r="S676">
            <v>3</v>
          </cell>
          <cell r="T676">
            <v>6</v>
          </cell>
          <cell r="U676">
            <v>0</v>
          </cell>
          <cell r="V676">
            <v>0</v>
          </cell>
          <cell r="W676">
            <v>4</v>
          </cell>
          <cell r="X676">
            <v>13</v>
          </cell>
          <cell r="Y676">
            <v>0</v>
          </cell>
          <cell r="Z676" t="str">
            <v>Senior</v>
          </cell>
          <cell r="AA676" t="str">
            <v>High</v>
          </cell>
          <cell r="AB676" t="str">
            <v>Mid</v>
          </cell>
          <cell r="AC676" t="str">
            <v>Medium</v>
          </cell>
          <cell r="AD676">
            <v>940</v>
          </cell>
        </row>
        <row r="677">
          <cell r="A677">
            <v>31</v>
          </cell>
          <cell r="B677" t="str">
            <v>No</v>
          </cell>
          <cell r="C677" t="str">
            <v>Sales</v>
          </cell>
          <cell r="D677">
            <v>7</v>
          </cell>
          <cell r="E677">
            <v>4</v>
          </cell>
          <cell r="F677" t="str">
            <v>Life Sciences</v>
          </cell>
          <cell r="G677">
            <v>2</v>
          </cell>
          <cell r="H677" t="str">
            <v>Male</v>
          </cell>
          <cell r="I677">
            <v>2</v>
          </cell>
          <cell r="J677">
            <v>1</v>
          </cell>
          <cell r="K677" t="str">
            <v>Sales Representative</v>
          </cell>
          <cell r="L677">
            <v>3</v>
          </cell>
          <cell r="M677" t="str">
            <v>Married</v>
          </cell>
          <cell r="N677">
            <v>2329</v>
          </cell>
          <cell r="O677">
            <v>3</v>
          </cell>
          <cell r="P677" t="str">
            <v>No</v>
          </cell>
          <cell r="Q677">
            <v>2</v>
          </cell>
          <cell r="R677">
            <v>13</v>
          </cell>
          <cell r="S677">
            <v>4</v>
          </cell>
          <cell r="T677">
            <v>7</v>
          </cell>
          <cell r="U677">
            <v>7</v>
          </cell>
          <cell r="V677">
            <v>5</v>
          </cell>
          <cell r="W677">
            <v>2</v>
          </cell>
          <cell r="X677">
            <v>15</v>
          </cell>
          <cell r="Y677">
            <v>0</v>
          </cell>
          <cell r="Z677" t="str">
            <v>Mid</v>
          </cell>
          <cell r="AA677" t="str">
            <v>Low</v>
          </cell>
          <cell r="AB677" t="str">
            <v>Long</v>
          </cell>
          <cell r="AC677" t="str">
            <v>Medium</v>
          </cell>
          <cell r="AD677">
            <v>941</v>
          </cell>
        </row>
        <row r="678">
          <cell r="A678">
            <v>35</v>
          </cell>
          <cell r="B678" t="str">
            <v>No</v>
          </cell>
          <cell r="C678" t="str">
            <v>Research &amp; Development</v>
          </cell>
          <cell r="D678">
            <v>21</v>
          </cell>
          <cell r="E678">
            <v>1</v>
          </cell>
          <cell r="F678" t="str">
            <v>Life Sciences</v>
          </cell>
          <cell r="G678">
            <v>4</v>
          </cell>
          <cell r="H678" t="str">
            <v>Female</v>
          </cell>
          <cell r="I678">
            <v>3</v>
          </cell>
          <cell r="J678">
            <v>2</v>
          </cell>
          <cell r="K678" t="str">
            <v>Healthcare Representative</v>
          </cell>
          <cell r="L678">
            <v>4</v>
          </cell>
          <cell r="M678" t="str">
            <v>Married</v>
          </cell>
          <cell r="N678">
            <v>4014</v>
          </cell>
          <cell r="O678">
            <v>1</v>
          </cell>
          <cell r="P678" t="str">
            <v>Yes</v>
          </cell>
          <cell r="Q678">
            <v>4</v>
          </cell>
          <cell r="R678">
            <v>10</v>
          </cell>
          <cell r="S678">
            <v>1</v>
          </cell>
          <cell r="T678">
            <v>10</v>
          </cell>
          <cell r="U678">
            <v>6</v>
          </cell>
          <cell r="V678">
            <v>0</v>
          </cell>
          <cell r="W678">
            <v>7</v>
          </cell>
          <cell r="X678">
            <v>25</v>
          </cell>
          <cell r="Y678">
            <v>0</v>
          </cell>
          <cell r="Z678" t="str">
            <v>Mid</v>
          </cell>
          <cell r="AA678" t="str">
            <v>Low</v>
          </cell>
          <cell r="AB678" t="str">
            <v>Long</v>
          </cell>
          <cell r="AC678" t="str">
            <v>High</v>
          </cell>
          <cell r="AD678">
            <v>942</v>
          </cell>
        </row>
        <row r="679">
          <cell r="A679">
            <v>49</v>
          </cell>
          <cell r="B679" t="str">
            <v>No</v>
          </cell>
          <cell r="C679" t="str">
            <v>Research &amp; Development</v>
          </cell>
          <cell r="D679">
            <v>8</v>
          </cell>
          <cell r="E679">
            <v>2</v>
          </cell>
          <cell r="F679" t="str">
            <v>Other</v>
          </cell>
          <cell r="G679">
            <v>1</v>
          </cell>
          <cell r="H679" t="str">
            <v>Female</v>
          </cell>
          <cell r="I679">
            <v>3</v>
          </cell>
          <cell r="J679">
            <v>3</v>
          </cell>
          <cell r="K679" t="str">
            <v>Laboratory Technician</v>
          </cell>
          <cell r="L679">
            <v>2</v>
          </cell>
          <cell r="M679" t="str">
            <v>Married</v>
          </cell>
          <cell r="N679">
            <v>7403</v>
          </cell>
          <cell r="O679">
            <v>4</v>
          </cell>
          <cell r="P679" t="str">
            <v>No</v>
          </cell>
          <cell r="Q679">
            <v>3</v>
          </cell>
          <cell r="R679">
            <v>29</v>
          </cell>
          <cell r="S679">
            <v>2</v>
          </cell>
          <cell r="T679">
            <v>26</v>
          </cell>
          <cell r="U679">
            <v>9</v>
          </cell>
          <cell r="V679">
            <v>1</v>
          </cell>
          <cell r="W679">
            <v>7</v>
          </cell>
          <cell r="X679">
            <v>11</v>
          </cell>
          <cell r="Y679">
            <v>0</v>
          </cell>
          <cell r="Z679" t="str">
            <v>Senior</v>
          </cell>
          <cell r="AA679" t="str">
            <v>Medium</v>
          </cell>
          <cell r="AB679" t="str">
            <v>Long</v>
          </cell>
          <cell r="AC679" t="str">
            <v>Low</v>
          </cell>
          <cell r="AD679">
            <v>944</v>
          </cell>
        </row>
        <row r="680">
          <cell r="A680">
            <v>48</v>
          </cell>
          <cell r="B680" t="str">
            <v>No</v>
          </cell>
          <cell r="C680" t="str">
            <v>Research &amp; Development</v>
          </cell>
          <cell r="D680">
            <v>20</v>
          </cell>
          <cell r="E680">
            <v>4</v>
          </cell>
          <cell r="F680" t="str">
            <v>Medical</v>
          </cell>
          <cell r="G680">
            <v>4</v>
          </cell>
          <cell r="H680" t="str">
            <v>Male</v>
          </cell>
          <cell r="I680">
            <v>3</v>
          </cell>
          <cell r="J680">
            <v>1</v>
          </cell>
          <cell r="K680" t="str">
            <v>Research Scientist</v>
          </cell>
          <cell r="L680">
            <v>3</v>
          </cell>
          <cell r="M680" t="str">
            <v>Married</v>
          </cell>
          <cell r="N680">
            <v>2259</v>
          </cell>
          <cell r="O680">
            <v>4</v>
          </cell>
          <cell r="P680" t="str">
            <v>No</v>
          </cell>
          <cell r="Q680">
            <v>1</v>
          </cell>
          <cell r="R680">
            <v>13</v>
          </cell>
          <cell r="S680">
            <v>2</v>
          </cell>
          <cell r="T680">
            <v>0</v>
          </cell>
          <cell r="U680">
            <v>0</v>
          </cell>
          <cell r="V680">
            <v>0</v>
          </cell>
          <cell r="W680">
            <v>0</v>
          </cell>
          <cell r="X680">
            <v>17</v>
          </cell>
          <cell r="Y680">
            <v>0</v>
          </cell>
          <cell r="Z680" t="str">
            <v>Senior</v>
          </cell>
          <cell r="AA680" t="str">
            <v>Low</v>
          </cell>
          <cell r="AB680" t="str">
            <v>Early</v>
          </cell>
          <cell r="AC680" t="str">
            <v>Medium</v>
          </cell>
          <cell r="AD680">
            <v>945</v>
          </cell>
        </row>
        <row r="681">
          <cell r="A681">
            <v>31</v>
          </cell>
          <cell r="B681" t="str">
            <v>No</v>
          </cell>
          <cell r="C681" t="str">
            <v>Sales</v>
          </cell>
          <cell r="D681">
            <v>20</v>
          </cell>
          <cell r="E681">
            <v>2</v>
          </cell>
          <cell r="F681" t="str">
            <v>Marketing</v>
          </cell>
          <cell r="G681">
            <v>4</v>
          </cell>
          <cell r="H681" t="str">
            <v>Female</v>
          </cell>
          <cell r="I681">
            <v>3</v>
          </cell>
          <cell r="J681">
            <v>2</v>
          </cell>
          <cell r="K681" t="str">
            <v>Sales Executive</v>
          </cell>
          <cell r="L681">
            <v>3</v>
          </cell>
          <cell r="M681" t="str">
            <v>Married</v>
          </cell>
          <cell r="N681">
            <v>6932</v>
          </cell>
          <cell r="O681">
            <v>1</v>
          </cell>
          <cell r="P681" t="str">
            <v>No</v>
          </cell>
          <cell r="Q681">
            <v>4</v>
          </cell>
          <cell r="R681">
            <v>9</v>
          </cell>
          <cell r="S681">
            <v>2</v>
          </cell>
          <cell r="T681">
            <v>9</v>
          </cell>
          <cell r="U681">
            <v>8</v>
          </cell>
          <cell r="V681">
            <v>0</v>
          </cell>
          <cell r="W681">
            <v>0</v>
          </cell>
          <cell r="X681">
            <v>13</v>
          </cell>
          <cell r="Y681">
            <v>0</v>
          </cell>
          <cell r="Z681" t="str">
            <v>Mid</v>
          </cell>
          <cell r="AA681" t="str">
            <v>Medium</v>
          </cell>
          <cell r="AB681" t="str">
            <v>Long</v>
          </cell>
          <cell r="AC681" t="str">
            <v>Medium</v>
          </cell>
          <cell r="AD681">
            <v>947</v>
          </cell>
        </row>
        <row r="682">
          <cell r="A682">
            <v>36</v>
          </cell>
          <cell r="B682" t="str">
            <v>No</v>
          </cell>
          <cell r="C682" t="str">
            <v>Research &amp; Development</v>
          </cell>
          <cell r="D682">
            <v>7</v>
          </cell>
          <cell r="E682">
            <v>4</v>
          </cell>
          <cell r="F682" t="str">
            <v>Other</v>
          </cell>
          <cell r="G682">
            <v>2</v>
          </cell>
          <cell r="H682" t="str">
            <v>Male</v>
          </cell>
          <cell r="I682">
            <v>3</v>
          </cell>
          <cell r="J682">
            <v>1</v>
          </cell>
          <cell r="K682" t="str">
            <v>Research Scientist</v>
          </cell>
          <cell r="L682">
            <v>4</v>
          </cell>
          <cell r="M682" t="str">
            <v>Single</v>
          </cell>
          <cell r="N682">
            <v>4678</v>
          </cell>
          <cell r="O682">
            <v>2</v>
          </cell>
          <cell r="P682" t="str">
            <v>No</v>
          </cell>
          <cell r="Q682">
            <v>3</v>
          </cell>
          <cell r="R682">
            <v>8</v>
          </cell>
          <cell r="S682">
            <v>3</v>
          </cell>
          <cell r="T682">
            <v>6</v>
          </cell>
          <cell r="U682">
            <v>2</v>
          </cell>
          <cell r="V682">
            <v>0</v>
          </cell>
          <cell r="W682">
            <v>1</v>
          </cell>
          <cell r="X682">
            <v>18</v>
          </cell>
          <cell r="Y682">
            <v>0</v>
          </cell>
          <cell r="Z682" t="str">
            <v>Mid</v>
          </cell>
          <cell r="AA682" t="str">
            <v>Low</v>
          </cell>
          <cell r="AB682" t="str">
            <v>Mid</v>
          </cell>
          <cell r="AC682" t="str">
            <v>High</v>
          </cell>
          <cell r="AD682">
            <v>949</v>
          </cell>
        </row>
        <row r="683">
          <cell r="A683">
            <v>38</v>
          </cell>
          <cell r="B683" t="str">
            <v>No</v>
          </cell>
          <cell r="C683" t="str">
            <v>Research &amp; Development</v>
          </cell>
          <cell r="D683">
            <v>1</v>
          </cell>
          <cell r="E683">
            <v>3</v>
          </cell>
          <cell r="F683" t="str">
            <v>Technical Degree</v>
          </cell>
          <cell r="G683">
            <v>4</v>
          </cell>
          <cell r="H683" t="str">
            <v>Female</v>
          </cell>
          <cell r="I683">
            <v>3</v>
          </cell>
          <cell r="J683">
            <v>3</v>
          </cell>
          <cell r="K683" t="str">
            <v>Research Director</v>
          </cell>
          <cell r="L683">
            <v>1</v>
          </cell>
          <cell r="M683" t="str">
            <v>Married</v>
          </cell>
          <cell r="N683">
            <v>13582</v>
          </cell>
          <cell r="O683">
            <v>1</v>
          </cell>
          <cell r="P683" t="str">
            <v>No</v>
          </cell>
          <cell r="Q683">
            <v>2</v>
          </cell>
          <cell r="R683">
            <v>15</v>
          </cell>
          <cell r="S683">
            <v>3</v>
          </cell>
          <cell r="T683">
            <v>15</v>
          </cell>
          <cell r="U683">
            <v>12</v>
          </cell>
          <cell r="V683">
            <v>5</v>
          </cell>
          <cell r="W683">
            <v>11</v>
          </cell>
          <cell r="X683">
            <v>13</v>
          </cell>
          <cell r="Y683">
            <v>0</v>
          </cell>
          <cell r="Z683" t="str">
            <v>Mid</v>
          </cell>
          <cell r="AA683" t="str">
            <v>High</v>
          </cell>
          <cell r="AB683" t="str">
            <v>Long</v>
          </cell>
          <cell r="AC683" t="str">
            <v>Medium</v>
          </cell>
          <cell r="AD683">
            <v>950</v>
          </cell>
        </row>
        <row r="684">
          <cell r="A684">
            <v>32</v>
          </cell>
          <cell r="B684" t="str">
            <v>No</v>
          </cell>
          <cell r="C684" t="str">
            <v>Research &amp; Development</v>
          </cell>
          <cell r="D684">
            <v>1</v>
          </cell>
          <cell r="E684">
            <v>3</v>
          </cell>
          <cell r="F684" t="str">
            <v>Life Sciences</v>
          </cell>
          <cell r="G684">
            <v>3</v>
          </cell>
          <cell r="H684" t="str">
            <v>Female</v>
          </cell>
          <cell r="I684">
            <v>2</v>
          </cell>
          <cell r="J684">
            <v>1</v>
          </cell>
          <cell r="K684" t="str">
            <v>Laboratory Technician</v>
          </cell>
          <cell r="L684">
            <v>2</v>
          </cell>
          <cell r="M684" t="str">
            <v>Married</v>
          </cell>
          <cell r="N684">
            <v>2332</v>
          </cell>
          <cell r="O684">
            <v>6</v>
          </cell>
          <cell r="P684" t="str">
            <v>No</v>
          </cell>
          <cell r="Q684">
            <v>3</v>
          </cell>
          <cell r="R684">
            <v>5</v>
          </cell>
          <cell r="S684">
            <v>3</v>
          </cell>
          <cell r="T684">
            <v>3</v>
          </cell>
          <cell r="U684">
            <v>0</v>
          </cell>
          <cell r="V684">
            <v>0</v>
          </cell>
          <cell r="W684">
            <v>2</v>
          </cell>
          <cell r="X684">
            <v>20</v>
          </cell>
          <cell r="Y684">
            <v>0</v>
          </cell>
          <cell r="Z684" t="str">
            <v>Mid</v>
          </cell>
          <cell r="AA684" t="str">
            <v>Low</v>
          </cell>
          <cell r="AB684" t="str">
            <v>Mid</v>
          </cell>
          <cell r="AC684" t="str">
            <v>High</v>
          </cell>
          <cell r="AD684">
            <v>951</v>
          </cell>
        </row>
        <row r="685">
          <cell r="A685">
            <v>25</v>
          </cell>
          <cell r="B685" t="str">
            <v>Yes</v>
          </cell>
          <cell r="C685" t="str">
            <v>Sales</v>
          </cell>
          <cell r="D685">
            <v>19</v>
          </cell>
          <cell r="E685">
            <v>2</v>
          </cell>
          <cell r="F685" t="str">
            <v>Marketing</v>
          </cell>
          <cell r="G685">
            <v>3</v>
          </cell>
          <cell r="H685" t="str">
            <v>Male</v>
          </cell>
          <cell r="I685">
            <v>2</v>
          </cell>
          <cell r="J685">
            <v>1</v>
          </cell>
          <cell r="K685" t="str">
            <v>Sales Representative</v>
          </cell>
          <cell r="L685">
            <v>2</v>
          </cell>
          <cell r="M685" t="str">
            <v>Married</v>
          </cell>
          <cell r="N685">
            <v>2413</v>
          </cell>
          <cell r="O685">
            <v>1</v>
          </cell>
          <cell r="P685" t="str">
            <v>Yes</v>
          </cell>
          <cell r="Q685">
            <v>3</v>
          </cell>
          <cell r="R685">
            <v>1</v>
          </cell>
          <cell r="S685">
            <v>3</v>
          </cell>
          <cell r="T685">
            <v>1</v>
          </cell>
          <cell r="U685">
            <v>0</v>
          </cell>
          <cell r="V685">
            <v>0</v>
          </cell>
          <cell r="W685">
            <v>0</v>
          </cell>
          <cell r="X685">
            <v>18</v>
          </cell>
          <cell r="Y685">
            <v>1</v>
          </cell>
          <cell r="Z685" t="str">
            <v>Young</v>
          </cell>
          <cell r="AA685" t="str">
            <v>Low</v>
          </cell>
          <cell r="AB685" t="str">
            <v>Early</v>
          </cell>
          <cell r="AC685" t="str">
            <v>High</v>
          </cell>
          <cell r="AD685">
            <v>952</v>
          </cell>
        </row>
        <row r="686">
          <cell r="A686">
            <v>40</v>
          </cell>
          <cell r="B686" t="str">
            <v>No</v>
          </cell>
          <cell r="C686" t="str">
            <v>Sales</v>
          </cell>
          <cell r="D686">
            <v>10</v>
          </cell>
          <cell r="E686">
            <v>4</v>
          </cell>
          <cell r="F686" t="str">
            <v>Marketing</v>
          </cell>
          <cell r="G686">
            <v>1</v>
          </cell>
          <cell r="H686" t="str">
            <v>Male</v>
          </cell>
          <cell r="I686">
            <v>2</v>
          </cell>
          <cell r="J686">
            <v>3</v>
          </cell>
          <cell r="K686" t="str">
            <v>Sales Executive</v>
          </cell>
          <cell r="L686">
            <v>2</v>
          </cell>
          <cell r="M686" t="str">
            <v>Divorced</v>
          </cell>
          <cell r="N686">
            <v>9705</v>
          </cell>
          <cell r="O686">
            <v>2</v>
          </cell>
          <cell r="P686" t="str">
            <v>No</v>
          </cell>
          <cell r="Q686">
            <v>2</v>
          </cell>
          <cell r="R686">
            <v>11</v>
          </cell>
          <cell r="S686">
            <v>2</v>
          </cell>
          <cell r="T686">
            <v>1</v>
          </cell>
          <cell r="U686">
            <v>0</v>
          </cell>
          <cell r="V686">
            <v>0</v>
          </cell>
          <cell r="W686">
            <v>0</v>
          </cell>
          <cell r="X686">
            <v>12</v>
          </cell>
          <cell r="Y686">
            <v>0</v>
          </cell>
          <cell r="Z686" t="str">
            <v>Mid</v>
          </cell>
          <cell r="AA686" t="str">
            <v>Medium</v>
          </cell>
          <cell r="AB686" t="str">
            <v>Early</v>
          </cell>
          <cell r="AC686" t="str">
            <v>Low</v>
          </cell>
          <cell r="AD686">
            <v>954</v>
          </cell>
        </row>
        <row r="687">
          <cell r="A687">
            <v>26</v>
          </cell>
          <cell r="B687" t="str">
            <v>No</v>
          </cell>
          <cell r="C687" t="str">
            <v>Sales</v>
          </cell>
          <cell r="D687">
            <v>1</v>
          </cell>
          <cell r="E687">
            <v>3</v>
          </cell>
          <cell r="F687" t="str">
            <v>Medical</v>
          </cell>
          <cell r="G687">
            <v>3</v>
          </cell>
          <cell r="H687" t="str">
            <v>Male</v>
          </cell>
          <cell r="I687">
            <v>2</v>
          </cell>
          <cell r="J687">
            <v>2</v>
          </cell>
          <cell r="K687" t="str">
            <v>Sales Executive</v>
          </cell>
          <cell r="L687">
            <v>1</v>
          </cell>
          <cell r="M687" t="str">
            <v>Single</v>
          </cell>
          <cell r="N687">
            <v>4294</v>
          </cell>
          <cell r="O687">
            <v>1</v>
          </cell>
          <cell r="P687" t="str">
            <v>No</v>
          </cell>
          <cell r="Q687">
            <v>2</v>
          </cell>
          <cell r="R687">
            <v>7</v>
          </cell>
          <cell r="S687">
            <v>3</v>
          </cell>
          <cell r="T687">
            <v>7</v>
          </cell>
          <cell r="U687">
            <v>7</v>
          </cell>
          <cell r="V687">
            <v>0</v>
          </cell>
          <cell r="W687">
            <v>7</v>
          </cell>
          <cell r="X687">
            <v>12</v>
          </cell>
          <cell r="Y687">
            <v>0</v>
          </cell>
          <cell r="Z687" t="str">
            <v>Young</v>
          </cell>
          <cell r="AA687" t="str">
            <v>Low</v>
          </cell>
          <cell r="AB687" t="str">
            <v>Long</v>
          </cell>
          <cell r="AC687" t="str">
            <v>Low</v>
          </cell>
          <cell r="AD687">
            <v>956</v>
          </cell>
        </row>
        <row r="688">
          <cell r="A688">
            <v>41</v>
          </cell>
          <cell r="B688" t="str">
            <v>No</v>
          </cell>
          <cell r="C688" t="str">
            <v>Research &amp; Development</v>
          </cell>
          <cell r="D688">
            <v>6</v>
          </cell>
          <cell r="E688">
            <v>3</v>
          </cell>
          <cell r="F688" t="str">
            <v>Medical</v>
          </cell>
          <cell r="G688">
            <v>4</v>
          </cell>
          <cell r="H688" t="str">
            <v>Male</v>
          </cell>
          <cell r="I688">
            <v>3</v>
          </cell>
          <cell r="J688">
            <v>1</v>
          </cell>
          <cell r="K688" t="str">
            <v>Laboratory Technician</v>
          </cell>
          <cell r="L688">
            <v>1</v>
          </cell>
          <cell r="M688" t="str">
            <v>Single</v>
          </cell>
          <cell r="N688">
            <v>4721</v>
          </cell>
          <cell r="O688">
            <v>2</v>
          </cell>
          <cell r="P688" t="str">
            <v>Yes</v>
          </cell>
          <cell r="Q688">
            <v>3</v>
          </cell>
          <cell r="R688">
            <v>20</v>
          </cell>
          <cell r="S688">
            <v>3</v>
          </cell>
          <cell r="T688">
            <v>18</v>
          </cell>
          <cell r="U688">
            <v>13</v>
          </cell>
          <cell r="V688">
            <v>2</v>
          </cell>
          <cell r="W688">
            <v>17</v>
          </cell>
          <cell r="X688">
            <v>13</v>
          </cell>
          <cell r="Y688">
            <v>0</v>
          </cell>
          <cell r="Z688" t="str">
            <v>Mid</v>
          </cell>
          <cell r="AA688" t="str">
            <v>Low</v>
          </cell>
          <cell r="AB688" t="str">
            <v>Long</v>
          </cell>
          <cell r="AC688" t="str">
            <v>Medium</v>
          </cell>
          <cell r="AD688">
            <v>957</v>
          </cell>
        </row>
        <row r="689">
          <cell r="A689">
            <v>36</v>
          </cell>
          <cell r="B689" t="str">
            <v>No</v>
          </cell>
          <cell r="C689" t="str">
            <v>Research &amp; Development</v>
          </cell>
          <cell r="D689">
            <v>2</v>
          </cell>
          <cell r="E689">
            <v>4</v>
          </cell>
          <cell r="F689" t="str">
            <v>Medical</v>
          </cell>
          <cell r="G689">
            <v>3</v>
          </cell>
          <cell r="H689" t="str">
            <v>Male</v>
          </cell>
          <cell r="I689">
            <v>3</v>
          </cell>
          <cell r="J689">
            <v>1</v>
          </cell>
          <cell r="K689" t="str">
            <v>Laboratory Technician</v>
          </cell>
          <cell r="L689">
            <v>3</v>
          </cell>
          <cell r="M689" t="str">
            <v>Single</v>
          </cell>
          <cell r="N689">
            <v>2519</v>
          </cell>
          <cell r="O689">
            <v>4</v>
          </cell>
          <cell r="P689" t="str">
            <v>No</v>
          </cell>
          <cell r="Q689">
            <v>3</v>
          </cell>
          <cell r="R689">
            <v>16</v>
          </cell>
          <cell r="S689">
            <v>3</v>
          </cell>
          <cell r="T689">
            <v>11</v>
          </cell>
          <cell r="U689">
            <v>8</v>
          </cell>
          <cell r="V689">
            <v>3</v>
          </cell>
          <cell r="W689">
            <v>9</v>
          </cell>
          <cell r="X689">
            <v>21</v>
          </cell>
          <cell r="Y689">
            <v>0</v>
          </cell>
          <cell r="Z689" t="str">
            <v>Mid</v>
          </cell>
          <cell r="AA689" t="str">
            <v>Low</v>
          </cell>
          <cell r="AB689" t="str">
            <v>Long</v>
          </cell>
          <cell r="AC689" t="str">
            <v>High</v>
          </cell>
          <cell r="AD689">
            <v>958</v>
          </cell>
        </row>
        <row r="690">
          <cell r="A690">
            <v>19</v>
          </cell>
          <cell r="B690" t="str">
            <v>Yes</v>
          </cell>
          <cell r="C690" t="str">
            <v>Sales</v>
          </cell>
          <cell r="D690">
            <v>21</v>
          </cell>
          <cell r="E690">
            <v>3</v>
          </cell>
          <cell r="F690" t="str">
            <v>Other</v>
          </cell>
          <cell r="G690">
            <v>4</v>
          </cell>
          <cell r="H690" t="str">
            <v>Male</v>
          </cell>
          <cell r="I690">
            <v>2</v>
          </cell>
          <cell r="J690">
            <v>1</v>
          </cell>
          <cell r="K690" t="str">
            <v>Sales Representative</v>
          </cell>
          <cell r="L690">
            <v>2</v>
          </cell>
          <cell r="M690" t="str">
            <v>Single</v>
          </cell>
          <cell r="N690">
            <v>2121</v>
          </cell>
          <cell r="O690">
            <v>1</v>
          </cell>
          <cell r="P690" t="str">
            <v>Yes</v>
          </cell>
          <cell r="Q690">
            <v>2</v>
          </cell>
          <cell r="R690">
            <v>1</v>
          </cell>
          <cell r="S690">
            <v>4</v>
          </cell>
          <cell r="T690">
            <v>1</v>
          </cell>
          <cell r="U690">
            <v>0</v>
          </cell>
          <cell r="V690">
            <v>0</v>
          </cell>
          <cell r="W690">
            <v>0</v>
          </cell>
          <cell r="X690">
            <v>13</v>
          </cell>
          <cell r="Y690">
            <v>1</v>
          </cell>
          <cell r="Z690" t="str">
            <v>Young</v>
          </cell>
          <cell r="AA690" t="str">
            <v>Low</v>
          </cell>
          <cell r="AB690" t="str">
            <v>Early</v>
          </cell>
          <cell r="AC690" t="str">
            <v>Medium</v>
          </cell>
          <cell r="AD690">
            <v>959</v>
          </cell>
        </row>
        <row r="691">
          <cell r="A691">
            <v>20</v>
          </cell>
          <cell r="B691" t="str">
            <v>Yes</v>
          </cell>
          <cell r="C691" t="str">
            <v>Research &amp; Development</v>
          </cell>
          <cell r="D691">
            <v>4</v>
          </cell>
          <cell r="E691">
            <v>3</v>
          </cell>
          <cell r="F691" t="str">
            <v>Technical Degree</v>
          </cell>
          <cell r="G691">
            <v>1</v>
          </cell>
          <cell r="H691" t="str">
            <v>Male</v>
          </cell>
          <cell r="I691">
            <v>3</v>
          </cell>
          <cell r="J691">
            <v>1</v>
          </cell>
          <cell r="K691" t="str">
            <v>Laboratory Technician</v>
          </cell>
          <cell r="L691">
            <v>1</v>
          </cell>
          <cell r="M691" t="str">
            <v>Single</v>
          </cell>
          <cell r="N691">
            <v>2973</v>
          </cell>
          <cell r="O691">
            <v>1</v>
          </cell>
          <cell r="P691" t="str">
            <v>No</v>
          </cell>
          <cell r="Q691">
            <v>2</v>
          </cell>
          <cell r="R691">
            <v>1</v>
          </cell>
          <cell r="S691">
            <v>3</v>
          </cell>
          <cell r="T691">
            <v>1</v>
          </cell>
          <cell r="U691">
            <v>0</v>
          </cell>
          <cell r="V691">
            <v>0</v>
          </cell>
          <cell r="W691">
            <v>0</v>
          </cell>
          <cell r="X691">
            <v>19</v>
          </cell>
          <cell r="Y691">
            <v>1</v>
          </cell>
          <cell r="Z691" t="str">
            <v>Young</v>
          </cell>
          <cell r="AA691" t="str">
            <v>Low</v>
          </cell>
          <cell r="AB691" t="str">
            <v>Early</v>
          </cell>
          <cell r="AC691" t="str">
            <v>High</v>
          </cell>
          <cell r="AD691">
            <v>960</v>
          </cell>
        </row>
        <row r="692">
          <cell r="A692">
            <v>31</v>
          </cell>
          <cell r="B692" t="str">
            <v>No</v>
          </cell>
          <cell r="C692" t="str">
            <v>Research &amp; Development</v>
          </cell>
          <cell r="D692">
            <v>12</v>
          </cell>
          <cell r="E692">
            <v>3</v>
          </cell>
          <cell r="F692" t="str">
            <v>Medical</v>
          </cell>
          <cell r="G692">
            <v>4</v>
          </cell>
          <cell r="H692" t="str">
            <v>Female</v>
          </cell>
          <cell r="I692">
            <v>3</v>
          </cell>
          <cell r="J692">
            <v>2</v>
          </cell>
          <cell r="K692" t="str">
            <v>Healthcare Representative</v>
          </cell>
          <cell r="L692">
            <v>4</v>
          </cell>
          <cell r="M692" t="str">
            <v>Married</v>
          </cell>
          <cell r="N692">
            <v>5855</v>
          </cell>
          <cell r="O692">
            <v>0</v>
          </cell>
          <cell r="P692" t="str">
            <v>Yes</v>
          </cell>
          <cell r="Q692">
            <v>3</v>
          </cell>
          <cell r="R692">
            <v>10</v>
          </cell>
          <cell r="S692">
            <v>1</v>
          </cell>
          <cell r="T692">
            <v>9</v>
          </cell>
          <cell r="U692">
            <v>7</v>
          </cell>
          <cell r="V692">
            <v>8</v>
          </cell>
          <cell r="W692">
            <v>5</v>
          </cell>
          <cell r="X692">
            <v>11</v>
          </cell>
          <cell r="Y692">
            <v>0</v>
          </cell>
          <cell r="Z692" t="str">
            <v>Mid</v>
          </cell>
          <cell r="AA692" t="str">
            <v>Medium</v>
          </cell>
          <cell r="AB692" t="str">
            <v>Long</v>
          </cell>
          <cell r="AC692" t="str">
            <v>Low</v>
          </cell>
          <cell r="AD692">
            <v>961</v>
          </cell>
        </row>
        <row r="693">
          <cell r="A693">
            <v>40</v>
          </cell>
          <cell r="B693" t="str">
            <v>No</v>
          </cell>
          <cell r="C693" t="str">
            <v>Research &amp; Development</v>
          </cell>
          <cell r="D693">
            <v>9</v>
          </cell>
          <cell r="E693">
            <v>4</v>
          </cell>
          <cell r="F693" t="str">
            <v>Medical</v>
          </cell>
          <cell r="G693">
            <v>4</v>
          </cell>
          <cell r="H693" t="str">
            <v>Male</v>
          </cell>
          <cell r="I693">
            <v>3</v>
          </cell>
          <cell r="J693">
            <v>1</v>
          </cell>
          <cell r="K693" t="str">
            <v>Research Scientist</v>
          </cell>
          <cell r="L693">
            <v>2</v>
          </cell>
          <cell r="M693" t="str">
            <v>Divorced</v>
          </cell>
          <cell r="N693">
            <v>3617</v>
          </cell>
          <cell r="O693">
            <v>8</v>
          </cell>
          <cell r="P693" t="str">
            <v>Yes</v>
          </cell>
          <cell r="Q693">
            <v>4</v>
          </cell>
          <cell r="R693">
            <v>3</v>
          </cell>
          <cell r="S693">
            <v>3</v>
          </cell>
          <cell r="T693">
            <v>1</v>
          </cell>
          <cell r="U693">
            <v>1</v>
          </cell>
          <cell r="V693">
            <v>0</v>
          </cell>
          <cell r="W693">
            <v>0</v>
          </cell>
          <cell r="X693">
            <v>14</v>
          </cell>
          <cell r="Y693">
            <v>0</v>
          </cell>
          <cell r="Z693" t="str">
            <v>Mid</v>
          </cell>
          <cell r="AA693" t="str">
            <v>Low</v>
          </cell>
          <cell r="AB693" t="str">
            <v>Early</v>
          </cell>
          <cell r="AC693" t="str">
            <v>Medium</v>
          </cell>
          <cell r="AD693">
            <v>964</v>
          </cell>
        </row>
        <row r="694">
          <cell r="A694">
            <v>32</v>
          </cell>
          <cell r="B694" t="str">
            <v>No</v>
          </cell>
          <cell r="C694" t="str">
            <v>Research &amp; Development</v>
          </cell>
          <cell r="D694">
            <v>3</v>
          </cell>
          <cell r="E694">
            <v>4</v>
          </cell>
          <cell r="F694" t="str">
            <v>Medical</v>
          </cell>
          <cell r="G694">
            <v>3</v>
          </cell>
          <cell r="H694" t="str">
            <v>Female</v>
          </cell>
          <cell r="I694">
            <v>3</v>
          </cell>
          <cell r="J694">
            <v>2</v>
          </cell>
          <cell r="K694" t="str">
            <v>Manufacturing Director</v>
          </cell>
          <cell r="L694">
            <v>1</v>
          </cell>
          <cell r="M694" t="str">
            <v>Married</v>
          </cell>
          <cell r="N694">
            <v>6725</v>
          </cell>
          <cell r="O694">
            <v>1</v>
          </cell>
          <cell r="P694" t="str">
            <v>No</v>
          </cell>
          <cell r="Q694">
            <v>3</v>
          </cell>
          <cell r="R694">
            <v>8</v>
          </cell>
          <cell r="S694">
            <v>4</v>
          </cell>
          <cell r="T694">
            <v>8</v>
          </cell>
          <cell r="U694">
            <v>7</v>
          </cell>
          <cell r="V694">
            <v>6</v>
          </cell>
          <cell r="W694">
            <v>3</v>
          </cell>
          <cell r="X694">
            <v>12</v>
          </cell>
          <cell r="Y694">
            <v>0</v>
          </cell>
          <cell r="Z694" t="str">
            <v>Mid</v>
          </cell>
          <cell r="AA694" t="str">
            <v>Medium</v>
          </cell>
          <cell r="AB694" t="str">
            <v>Long</v>
          </cell>
          <cell r="AC694" t="str">
            <v>Low</v>
          </cell>
          <cell r="AD694">
            <v>966</v>
          </cell>
        </row>
        <row r="695">
          <cell r="A695">
            <v>36</v>
          </cell>
          <cell r="B695" t="str">
            <v>Yes</v>
          </cell>
          <cell r="C695" t="str">
            <v>Sales</v>
          </cell>
          <cell r="D695">
            <v>3</v>
          </cell>
          <cell r="E695">
            <v>1</v>
          </cell>
          <cell r="F695" t="str">
            <v>Life Sciences</v>
          </cell>
          <cell r="G695">
            <v>3</v>
          </cell>
          <cell r="H695" t="str">
            <v>Male</v>
          </cell>
          <cell r="I695">
            <v>2</v>
          </cell>
          <cell r="J695">
            <v>3</v>
          </cell>
          <cell r="K695" t="str">
            <v>Sales Executive</v>
          </cell>
          <cell r="L695">
            <v>4</v>
          </cell>
          <cell r="M695" t="str">
            <v>Married</v>
          </cell>
          <cell r="N695">
            <v>10325</v>
          </cell>
          <cell r="O695">
            <v>1</v>
          </cell>
          <cell r="P695" t="str">
            <v>Yes</v>
          </cell>
          <cell r="Q695">
            <v>1</v>
          </cell>
          <cell r="R695">
            <v>16</v>
          </cell>
          <cell r="S695">
            <v>3</v>
          </cell>
          <cell r="T695">
            <v>16</v>
          </cell>
          <cell r="U695">
            <v>7</v>
          </cell>
          <cell r="V695">
            <v>3</v>
          </cell>
          <cell r="W695">
            <v>7</v>
          </cell>
          <cell r="X695">
            <v>11</v>
          </cell>
          <cell r="Y695">
            <v>1</v>
          </cell>
          <cell r="Z695" t="str">
            <v>Mid</v>
          </cell>
          <cell r="AA695" t="str">
            <v>High</v>
          </cell>
          <cell r="AB695" t="str">
            <v>Long</v>
          </cell>
          <cell r="AC695" t="str">
            <v>Low</v>
          </cell>
          <cell r="AD695">
            <v>967</v>
          </cell>
        </row>
        <row r="696">
          <cell r="A696">
            <v>33</v>
          </cell>
          <cell r="B696" t="str">
            <v>No</v>
          </cell>
          <cell r="C696" t="str">
            <v>Research &amp; Development</v>
          </cell>
          <cell r="D696">
            <v>1</v>
          </cell>
          <cell r="E696">
            <v>3</v>
          </cell>
          <cell r="F696" t="str">
            <v>Life Sciences</v>
          </cell>
          <cell r="G696">
            <v>2</v>
          </cell>
          <cell r="H696" t="str">
            <v>Female</v>
          </cell>
          <cell r="I696">
            <v>2</v>
          </cell>
          <cell r="J696">
            <v>2</v>
          </cell>
          <cell r="K696" t="str">
            <v>Healthcare Representative</v>
          </cell>
          <cell r="L696">
            <v>4</v>
          </cell>
          <cell r="M696" t="str">
            <v>Single</v>
          </cell>
          <cell r="N696">
            <v>6949</v>
          </cell>
          <cell r="O696">
            <v>0</v>
          </cell>
          <cell r="P696" t="str">
            <v>No</v>
          </cell>
          <cell r="Q696">
            <v>1</v>
          </cell>
          <cell r="R696">
            <v>6</v>
          </cell>
          <cell r="S696">
            <v>3</v>
          </cell>
          <cell r="T696">
            <v>5</v>
          </cell>
          <cell r="U696">
            <v>0</v>
          </cell>
          <cell r="V696">
            <v>1</v>
          </cell>
          <cell r="W696">
            <v>4</v>
          </cell>
          <cell r="X696">
            <v>14</v>
          </cell>
          <cell r="Y696">
            <v>0</v>
          </cell>
          <cell r="Z696" t="str">
            <v>Mid</v>
          </cell>
          <cell r="AA696" t="str">
            <v>Medium</v>
          </cell>
          <cell r="AB696" t="str">
            <v>Mid</v>
          </cell>
          <cell r="AC696" t="str">
            <v>Medium</v>
          </cell>
          <cell r="AD696">
            <v>969</v>
          </cell>
        </row>
        <row r="697">
          <cell r="A697">
            <v>37</v>
          </cell>
          <cell r="B697" t="str">
            <v>Yes</v>
          </cell>
          <cell r="C697" t="str">
            <v>Sales</v>
          </cell>
          <cell r="D697">
            <v>1</v>
          </cell>
          <cell r="E697">
            <v>4</v>
          </cell>
          <cell r="F697" t="str">
            <v>Life Sciences</v>
          </cell>
          <cell r="G697">
            <v>1</v>
          </cell>
          <cell r="H697" t="str">
            <v>Male</v>
          </cell>
          <cell r="I697">
            <v>2</v>
          </cell>
          <cell r="J697">
            <v>3</v>
          </cell>
          <cell r="K697" t="str">
            <v>Sales Executive</v>
          </cell>
          <cell r="L697">
            <v>3</v>
          </cell>
          <cell r="M697" t="str">
            <v>Married</v>
          </cell>
          <cell r="N697">
            <v>10609</v>
          </cell>
          <cell r="O697">
            <v>5</v>
          </cell>
          <cell r="P697" t="str">
            <v>No</v>
          </cell>
          <cell r="Q697">
            <v>3</v>
          </cell>
          <cell r="R697">
            <v>17</v>
          </cell>
          <cell r="S697">
            <v>1</v>
          </cell>
          <cell r="T697">
            <v>14</v>
          </cell>
          <cell r="U697">
            <v>1</v>
          </cell>
          <cell r="V697">
            <v>11</v>
          </cell>
          <cell r="W697">
            <v>7</v>
          </cell>
          <cell r="X697">
            <v>11</v>
          </cell>
          <cell r="Y697">
            <v>1</v>
          </cell>
          <cell r="Z697" t="str">
            <v>Mid</v>
          </cell>
          <cell r="AA697" t="str">
            <v>High</v>
          </cell>
          <cell r="AB697" t="str">
            <v>Long</v>
          </cell>
          <cell r="AC697" t="str">
            <v>Low</v>
          </cell>
          <cell r="AD697">
            <v>970</v>
          </cell>
        </row>
        <row r="698">
          <cell r="A698">
            <v>45</v>
          </cell>
          <cell r="B698" t="str">
            <v>No</v>
          </cell>
          <cell r="C698" t="str">
            <v>Research &amp; Development</v>
          </cell>
          <cell r="D698">
            <v>4</v>
          </cell>
          <cell r="E698">
            <v>2</v>
          </cell>
          <cell r="F698" t="str">
            <v>Life Sciences</v>
          </cell>
          <cell r="G698">
            <v>3</v>
          </cell>
          <cell r="H698" t="str">
            <v>Male</v>
          </cell>
          <cell r="I698">
            <v>3</v>
          </cell>
          <cell r="J698">
            <v>2</v>
          </cell>
          <cell r="K698" t="str">
            <v>Laboratory Technician</v>
          </cell>
          <cell r="L698">
            <v>2</v>
          </cell>
          <cell r="M698" t="str">
            <v>Married</v>
          </cell>
          <cell r="N698">
            <v>4447</v>
          </cell>
          <cell r="O698">
            <v>1</v>
          </cell>
          <cell r="P698" t="str">
            <v>No</v>
          </cell>
          <cell r="Q698">
            <v>2</v>
          </cell>
          <cell r="R698">
            <v>9</v>
          </cell>
          <cell r="S698">
            <v>2</v>
          </cell>
          <cell r="T698">
            <v>9</v>
          </cell>
          <cell r="U698">
            <v>7</v>
          </cell>
          <cell r="V698">
            <v>0</v>
          </cell>
          <cell r="W698">
            <v>8</v>
          </cell>
          <cell r="X698">
            <v>12</v>
          </cell>
          <cell r="Y698">
            <v>0</v>
          </cell>
          <cell r="Z698" t="str">
            <v>Senior</v>
          </cell>
          <cell r="AA698" t="str">
            <v>Low</v>
          </cell>
          <cell r="AB698" t="str">
            <v>Long</v>
          </cell>
          <cell r="AC698" t="str">
            <v>Low</v>
          </cell>
          <cell r="AD698">
            <v>972</v>
          </cell>
        </row>
        <row r="699">
          <cell r="A699">
            <v>29</v>
          </cell>
          <cell r="B699" t="str">
            <v>No</v>
          </cell>
          <cell r="C699" t="str">
            <v>Sales</v>
          </cell>
          <cell r="D699">
            <v>20</v>
          </cell>
          <cell r="E699">
            <v>3</v>
          </cell>
          <cell r="F699" t="str">
            <v>Technical Degree</v>
          </cell>
          <cell r="G699">
            <v>3</v>
          </cell>
          <cell r="H699" t="str">
            <v>Female</v>
          </cell>
          <cell r="I699">
            <v>3</v>
          </cell>
          <cell r="J699">
            <v>1</v>
          </cell>
          <cell r="K699" t="str">
            <v>Sales Representative</v>
          </cell>
          <cell r="L699">
            <v>4</v>
          </cell>
          <cell r="M699" t="str">
            <v>Married</v>
          </cell>
          <cell r="N699">
            <v>2157</v>
          </cell>
          <cell r="O699">
            <v>1</v>
          </cell>
          <cell r="P699" t="str">
            <v>No</v>
          </cell>
          <cell r="Q699">
            <v>2</v>
          </cell>
          <cell r="R699">
            <v>3</v>
          </cell>
          <cell r="S699">
            <v>3</v>
          </cell>
          <cell r="T699">
            <v>3</v>
          </cell>
          <cell r="U699">
            <v>1</v>
          </cell>
          <cell r="V699">
            <v>0</v>
          </cell>
          <cell r="W699">
            <v>2</v>
          </cell>
          <cell r="X699">
            <v>15</v>
          </cell>
          <cell r="Y699">
            <v>0</v>
          </cell>
          <cell r="Z699" t="str">
            <v>Young</v>
          </cell>
          <cell r="AA699" t="str">
            <v>Low</v>
          </cell>
          <cell r="AB699" t="str">
            <v>Mid</v>
          </cell>
          <cell r="AC699" t="str">
            <v>Medium</v>
          </cell>
          <cell r="AD699">
            <v>974</v>
          </cell>
        </row>
        <row r="700">
          <cell r="A700">
            <v>35</v>
          </cell>
          <cell r="B700" t="str">
            <v>No</v>
          </cell>
          <cell r="C700" t="str">
            <v>Sales</v>
          </cell>
          <cell r="D700">
            <v>18</v>
          </cell>
          <cell r="E700">
            <v>3</v>
          </cell>
          <cell r="F700" t="str">
            <v>Medical</v>
          </cell>
          <cell r="G700">
            <v>3</v>
          </cell>
          <cell r="H700" t="str">
            <v>Female</v>
          </cell>
          <cell r="I700">
            <v>3</v>
          </cell>
          <cell r="J700">
            <v>2</v>
          </cell>
          <cell r="K700" t="str">
            <v>Sales Executive</v>
          </cell>
          <cell r="L700">
            <v>3</v>
          </cell>
          <cell r="M700" t="str">
            <v>Married</v>
          </cell>
          <cell r="N700">
            <v>4601</v>
          </cell>
          <cell r="O700">
            <v>1</v>
          </cell>
          <cell r="P700" t="str">
            <v>No</v>
          </cell>
          <cell r="Q700">
            <v>2</v>
          </cell>
          <cell r="R700">
            <v>5</v>
          </cell>
          <cell r="S700">
            <v>3</v>
          </cell>
          <cell r="T700">
            <v>5</v>
          </cell>
          <cell r="U700">
            <v>2</v>
          </cell>
          <cell r="V700">
            <v>1</v>
          </cell>
          <cell r="W700">
            <v>0</v>
          </cell>
          <cell r="X700">
            <v>16</v>
          </cell>
          <cell r="Y700">
            <v>0</v>
          </cell>
          <cell r="Z700" t="str">
            <v>Mid</v>
          </cell>
          <cell r="AA700" t="str">
            <v>Low</v>
          </cell>
          <cell r="AB700" t="str">
            <v>Mid</v>
          </cell>
          <cell r="AC700" t="str">
            <v>Medium</v>
          </cell>
          <cell r="AD700">
            <v>975</v>
          </cell>
        </row>
        <row r="701">
          <cell r="A701">
            <v>52</v>
          </cell>
          <cell r="B701" t="str">
            <v>No</v>
          </cell>
          <cell r="C701" t="str">
            <v>Research &amp; Development</v>
          </cell>
          <cell r="D701">
            <v>1</v>
          </cell>
          <cell r="E701">
            <v>2</v>
          </cell>
          <cell r="F701" t="str">
            <v>Life Sciences</v>
          </cell>
          <cell r="G701">
            <v>4</v>
          </cell>
          <cell r="H701" t="str">
            <v>Male</v>
          </cell>
          <cell r="I701">
            <v>3</v>
          </cell>
          <cell r="J701">
            <v>4</v>
          </cell>
          <cell r="K701" t="str">
            <v>Manager</v>
          </cell>
          <cell r="L701">
            <v>4</v>
          </cell>
          <cell r="M701" t="str">
            <v>Married</v>
          </cell>
          <cell r="N701">
            <v>17099</v>
          </cell>
          <cell r="O701">
            <v>2</v>
          </cell>
          <cell r="P701" t="str">
            <v>No</v>
          </cell>
          <cell r="Q701">
            <v>2</v>
          </cell>
          <cell r="R701">
            <v>26</v>
          </cell>
          <cell r="S701">
            <v>2</v>
          </cell>
          <cell r="T701">
            <v>9</v>
          </cell>
          <cell r="U701">
            <v>8</v>
          </cell>
          <cell r="V701">
            <v>7</v>
          </cell>
          <cell r="W701">
            <v>8</v>
          </cell>
          <cell r="X701">
            <v>15</v>
          </cell>
          <cell r="Y701">
            <v>0</v>
          </cell>
          <cell r="Z701" t="str">
            <v>Senior</v>
          </cell>
          <cell r="AA701" t="str">
            <v>High</v>
          </cell>
          <cell r="AB701" t="str">
            <v>Long</v>
          </cell>
          <cell r="AC701" t="str">
            <v>Medium</v>
          </cell>
          <cell r="AD701">
            <v>976</v>
          </cell>
        </row>
        <row r="702">
          <cell r="A702">
            <v>58</v>
          </cell>
          <cell r="B702" t="str">
            <v>Yes</v>
          </cell>
          <cell r="C702" t="str">
            <v>Research &amp; Development</v>
          </cell>
          <cell r="D702">
            <v>2</v>
          </cell>
          <cell r="E702">
            <v>3</v>
          </cell>
          <cell r="F702" t="str">
            <v>Technical Degree</v>
          </cell>
          <cell r="G702">
            <v>4</v>
          </cell>
          <cell r="H702" t="str">
            <v>Male</v>
          </cell>
          <cell r="I702">
            <v>3</v>
          </cell>
          <cell r="J702">
            <v>1</v>
          </cell>
          <cell r="K702" t="str">
            <v>Research Scientist</v>
          </cell>
          <cell r="L702">
            <v>3</v>
          </cell>
          <cell r="M702" t="str">
            <v>Single</v>
          </cell>
          <cell r="N702">
            <v>2479</v>
          </cell>
          <cell r="O702">
            <v>4</v>
          </cell>
          <cell r="P702" t="str">
            <v>No</v>
          </cell>
          <cell r="Q702">
            <v>1</v>
          </cell>
          <cell r="R702">
            <v>7</v>
          </cell>
          <cell r="S702">
            <v>3</v>
          </cell>
          <cell r="T702">
            <v>1</v>
          </cell>
          <cell r="U702">
            <v>0</v>
          </cell>
          <cell r="V702">
            <v>0</v>
          </cell>
          <cell r="W702">
            <v>0</v>
          </cell>
          <cell r="X702">
            <v>24</v>
          </cell>
          <cell r="Y702">
            <v>1</v>
          </cell>
          <cell r="Z702" t="str">
            <v>Senior</v>
          </cell>
          <cell r="AA702" t="str">
            <v>Low</v>
          </cell>
          <cell r="AB702" t="str">
            <v>Early</v>
          </cell>
          <cell r="AC702" t="str">
            <v>High</v>
          </cell>
          <cell r="AD702">
            <v>977</v>
          </cell>
        </row>
        <row r="703">
          <cell r="A703">
            <v>53</v>
          </cell>
          <cell r="B703" t="str">
            <v>No</v>
          </cell>
          <cell r="C703" t="str">
            <v>Sales</v>
          </cell>
          <cell r="D703">
            <v>2</v>
          </cell>
          <cell r="E703">
            <v>2</v>
          </cell>
          <cell r="F703" t="str">
            <v>Medical</v>
          </cell>
          <cell r="G703">
            <v>3</v>
          </cell>
          <cell r="H703" t="str">
            <v>Male</v>
          </cell>
          <cell r="I703">
            <v>3</v>
          </cell>
          <cell r="J703">
            <v>4</v>
          </cell>
          <cell r="K703" t="str">
            <v>Manager</v>
          </cell>
          <cell r="L703">
            <v>3</v>
          </cell>
          <cell r="M703" t="str">
            <v>Divorced</v>
          </cell>
          <cell r="N703">
            <v>14852</v>
          </cell>
          <cell r="O703">
            <v>6</v>
          </cell>
          <cell r="P703" t="str">
            <v>No</v>
          </cell>
          <cell r="Q703">
            <v>3</v>
          </cell>
          <cell r="R703">
            <v>22</v>
          </cell>
          <cell r="S703">
            <v>4</v>
          </cell>
          <cell r="T703">
            <v>17</v>
          </cell>
          <cell r="U703">
            <v>13</v>
          </cell>
          <cell r="V703">
            <v>15</v>
          </cell>
          <cell r="W703">
            <v>2</v>
          </cell>
          <cell r="X703">
            <v>13</v>
          </cell>
          <cell r="Y703">
            <v>0</v>
          </cell>
          <cell r="Z703" t="str">
            <v>Senior</v>
          </cell>
          <cell r="AA703" t="str">
            <v>High</v>
          </cell>
          <cell r="AB703" t="str">
            <v>Long</v>
          </cell>
          <cell r="AC703" t="str">
            <v>Medium</v>
          </cell>
          <cell r="AD703">
            <v>981</v>
          </cell>
        </row>
        <row r="704">
          <cell r="A704">
            <v>30</v>
          </cell>
          <cell r="B704" t="str">
            <v>No</v>
          </cell>
          <cell r="C704" t="str">
            <v>Sales</v>
          </cell>
          <cell r="D704">
            <v>8</v>
          </cell>
          <cell r="E704">
            <v>2</v>
          </cell>
          <cell r="F704" t="str">
            <v>Other</v>
          </cell>
          <cell r="G704">
            <v>3</v>
          </cell>
          <cell r="H704" t="str">
            <v>Male</v>
          </cell>
          <cell r="I704">
            <v>3</v>
          </cell>
          <cell r="J704">
            <v>3</v>
          </cell>
          <cell r="K704" t="str">
            <v>Sales Executive</v>
          </cell>
          <cell r="L704">
            <v>3</v>
          </cell>
          <cell r="M704" t="str">
            <v>Divorced</v>
          </cell>
          <cell r="N704">
            <v>7264</v>
          </cell>
          <cell r="O704">
            <v>5</v>
          </cell>
          <cell r="P704" t="str">
            <v>No</v>
          </cell>
          <cell r="Q704">
            <v>1</v>
          </cell>
          <cell r="R704">
            <v>10</v>
          </cell>
          <cell r="S704">
            <v>4</v>
          </cell>
          <cell r="T704">
            <v>8</v>
          </cell>
          <cell r="U704">
            <v>4</v>
          </cell>
          <cell r="V704">
            <v>7</v>
          </cell>
          <cell r="W704">
            <v>7</v>
          </cell>
          <cell r="X704">
            <v>11</v>
          </cell>
          <cell r="Y704">
            <v>0</v>
          </cell>
          <cell r="Z704" t="str">
            <v>Mid</v>
          </cell>
          <cell r="AA704" t="str">
            <v>Medium</v>
          </cell>
          <cell r="AB704" t="str">
            <v>Long</v>
          </cell>
          <cell r="AC704" t="str">
            <v>Low</v>
          </cell>
          <cell r="AD704">
            <v>982</v>
          </cell>
        </row>
        <row r="705">
          <cell r="A705">
            <v>38</v>
          </cell>
          <cell r="B705" t="str">
            <v>No</v>
          </cell>
          <cell r="C705" t="str">
            <v>Sales</v>
          </cell>
          <cell r="D705">
            <v>10</v>
          </cell>
          <cell r="E705">
            <v>3</v>
          </cell>
          <cell r="F705" t="str">
            <v>Technical Degree</v>
          </cell>
          <cell r="G705">
            <v>3</v>
          </cell>
          <cell r="H705" t="str">
            <v>Female</v>
          </cell>
          <cell r="I705">
            <v>3</v>
          </cell>
          <cell r="J705">
            <v>2</v>
          </cell>
          <cell r="K705" t="str">
            <v>Sales Executive</v>
          </cell>
          <cell r="L705">
            <v>4</v>
          </cell>
          <cell r="M705" t="str">
            <v>Single</v>
          </cell>
          <cell r="N705">
            <v>5666</v>
          </cell>
          <cell r="O705">
            <v>1</v>
          </cell>
          <cell r="P705" t="str">
            <v>Yes</v>
          </cell>
          <cell r="Q705">
            <v>2</v>
          </cell>
          <cell r="R705">
            <v>6</v>
          </cell>
          <cell r="S705">
            <v>3</v>
          </cell>
          <cell r="T705">
            <v>5</v>
          </cell>
          <cell r="U705">
            <v>3</v>
          </cell>
          <cell r="V705">
            <v>1</v>
          </cell>
          <cell r="W705">
            <v>3</v>
          </cell>
          <cell r="X705">
            <v>13</v>
          </cell>
          <cell r="Y705">
            <v>0</v>
          </cell>
          <cell r="Z705" t="str">
            <v>Mid</v>
          </cell>
          <cell r="AA705" t="str">
            <v>Medium</v>
          </cell>
          <cell r="AB705" t="str">
            <v>Mid</v>
          </cell>
          <cell r="AC705" t="str">
            <v>Medium</v>
          </cell>
          <cell r="AD705">
            <v>983</v>
          </cell>
        </row>
        <row r="706">
          <cell r="A706">
            <v>35</v>
          </cell>
          <cell r="B706" t="str">
            <v>No</v>
          </cell>
          <cell r="C706" t="str">
            <v>Sales</v>
          </cell>
          <cell r="D706">
            <v>3</v>
          </cell>
          <cell r="E706">
            <v>4</v>
          </cell>
          <cell r="F706" t="str">
            <v>Life Sciences</v>
          </cell>
          <cell r="G706">
            <v>4</v>
          </cell>
          <cell r="H706" t="str">
            <v>Male</v>
          </cell>
          <cell r="I706">
            <v>3</v>
          </cell>
          <cell r="J706">
            <v>3</v>
          </cell>
          <cell r="K706" t="str">
            <v>Sales Executive</v>
          </cell>
          <cell r="L706">
            <v>4</v>
          </cell>
          <cell r="M706" t="str">
            <v>Divorced</v>
          </cell>
          <cell r="N706">
            <v>7823</v>
          </cell>
          <cell r="O706">
            <v>6</v>
          </cell>
          <cell r="P706" t="str">
            <v>No</v>
          </cell>
          <cell r="Q706">
            <v>2</v>
          </cell>
          <cell r="R706">
            <v>12</v>
          </cell>
          <cell r="S706">
            <v>3</v>
          </cell>
          <cell r="T706">
            <v>10</v>
          </cell>
          <cell r="U706">
            <v>9</v>
          </cell>
          <cell r="V706">
            <v>0</v>
          </cell>
          <cell r="W706">
            <v>8</v>
          </cell>
          <cell r="X706">
            <v>13</v>
          </cell>
          <cell r="Y706">
            <v>0</v>
          </cell>
          <cell r="Z706" t="str">
            <v>Mid</v>
          </cell>
          <cell r="AA706" t="str">
            <v>Medium</v>
          </cell>
          <cell r="AB706" t="str">
            <v>Long</v>
          </cell>
          <cell r="AC706" t="str">
            <v>Medium</v>
          </cell>
          <cell r="AD706">
            <v>984</v>
          </cell>
        </row>
        <row r="707">
          <cell r="A707">
            <v>39</v>
          </cell>
          <cell r="B707" t="str">
            <v>No</v>
          </cell>
          <cell r="C707" t="str">
            <v>Sales</v>
          </cell>
          <cell r="D707">
            <v>2</v>
          </cell>
          <cell r="E707">
            <v>5</v>
          </cell>
          <cell r="F707" t="str">
            <v>Life Sciences</v>
          </cell>
          <cell r="G707">
            <v>1</v>
          </cell>
          <cell r="H707" t="str">
            <v>Male</v>
          </cell>
          <cell r="I707">
            <v>4</v>
          </cell>
          <cell r="J707">
            <v>3</v>
          </cell>
          <cell r="K707" t="str">
            <v>Sales Executive</v>
          </cell>
          <cell r="L707">
            <v>3</v>
          </cell>
          <cell r="M707" t="str">
            <v>Single</v>
          </cell>
          <cell r="N707">
            <v>7880</v>
          </cell>
          <cell r="O707">
            <v>0</v>
          </cell>
          <cell r="P707" t="str">
            <v>No</v>
          </cell>
          <cell r="Q707">
            <v>4</v>
          </cell>
          <cell r="R707">
            <v>9</v>
          </cell>
          <cell r="S707">
            <v>3</v>
          </cell>
          <cell r="T707">
            <v>8</v>
          </cell>
          <cell r="U707">
            <v>7</v>
          </cell>
          <cell r="V707">
            <v>0</v>
          </cell>
          <cell r="W707">
            <v>7</v>
          </cell>
          <cell r="X707">
            <v>18</v>
          </cell>
          <cell r="Y707">
            <v>0</v>
          </cell>
          <cell r="Z707" t="str">
            <v>Mid</v>
          </cell>
          <cell r="AA707" t="str">
            <v>Medium</v>
          </cell>
          <cell r="AB707" t="str">
            <v>Long</v>
          </cell>
          <cell r="AC707" t="str">
            <v>High</v>
          </cell>
          <cell r="AD707">
            <v>985</v>
          </cell>
        </row>
        <row r="708">
          <cell r="A708">
            <v>40</v>
          </cell>
          <cell r="B708" t="str">
            <v>Yes</v>
          </cell>
          <cell r="C708" t="str">
            <v>Sales</v>
          </cell>
          <cell r="D708">
            <v>24</v>
          </cell>
          <cell r="E708">
            <v>3</v>
          </cell>
          <cell r="F708" t="str">
            <v>Life Sciences</v>
          </cell>
          <cell r="G708">
            <v>2</v>
          </cell>
          <cell r="H708" t="str">
            <v>Female</v>
          </cell>
          <cell r="I708">
            <v>4</v>
          </cell>
          <cell r="J708">
            <v>4</v>
          </cell>
          <cell r="K708" t="str">
            <v>Sales Executive</v>
          </cell>
          <cell r="L708">
            <v>2</v>
          </cell>
          <cell r="M708" t="str">
            <v>Single</v>
          </cell>
          <cell r="N708">
            <v>13194</v>
          </cell>
          <cell r="O708">
            <v>4</v>
          </cell>
          <cell r="P708" t="str">
            <v>Yes</v>
          </cell>
          <cell r="Q708">
            <v>4</v>
          </cell>
          <cell r="R708">
            <v>22</v>
          </cell>
          <cell r="S708">
            <v>2</v>
          </cell>
          <cell r="T708">
            <v>1</v>
          </cell>
          <cell r="U708">
            <v>0</v>
          </cell>
          <cell r="V708">
            <v>0</v>
          </cell>
          <cell r="W708">
            <v>0</v>
          </cell>
          <cell r="X708">
            <v>16</v>
          </cell>
          <cell r="Y708">
            <v>1</v>
          </cell>
          <cell r="Z708" t="str">
            <v>Mid</v>
          </cell>
          <cell r="AA708" t="str">
            <v>High</v>
          </cell>
          <cell r="AB708" t="str">
            <v>Early</v>
          </cell>
          <cell r="AC708" t="str">
            <v>Medium</v>
          </cell>
          <cell r="AD708">
            <v>986</v>
          </cell>
        </row>
        <row r="709">
          <cell r="A709">
            <v>47</v>
          </cell>
          <cell r="B709" t="str">
            <v>No</v>
          </cell>
          <cell r="C709" t="str">
            <v>Research &amp; Development</v>
          </cell>
          <cell r="D709">
            <v>16</v>
          </cell>
          <cell r="E709">
            <v>4</v>
          </cell>
          <cell r="F709" t="str">
            <v>Medical</v>
          </cell>
          <cell r="G709">
            <v>3</v>
          </cell>
          <cell r="H709" t="str">
            <v>Male</v>
          </cell>
          <cell r="I709">
            <v>4</v>
          </cell>
          <cell r="J709">
            <v>2</v>
          </cell>
          <cell r="K709" t="str">
            <v>Manufacturing Director</v>
          </cell>
          <cell r="L709">
            <v>3</v>
          </cell>
          <cell r="M709" t="str">
            <v>Divorced</v>
          </cell>
          <cell r="N709">
            <v>5067</v>
          </cell>
          <cell r="O709">
            <v>1</v>
          </cell>
          <cell r="P709" t="str">
            <v>Yes</v>
          </cell>
          <cell r="Q709">
            <v>3</v>
          </cell>
          <cell r="R709">
            <v>20</v>
          </cell>
          <cell r="S709">
            <v>4</v>
          </cell>
          <cell r="T709">
            <v>19</v>
          </cell>
          <cell r="U709">
            <v>10</v>
          </cell>
          <cell r="V709">
            <v>2</v>
          </cell>
          <cell r="W709">
            <v>7</v>
          </cell>
          <cell r="X709">
            <v>19</v>
          </cell>
          <cell r="Y709">
            <v>0</v>
          </cell>
          <cell r="Z709" t="str">
            <v>Senior</v>
          </cell>
          <cell r="AA709" t="str">
            <v>Medium</v>
          </cell>
          <cell r="AB709" t="str">
            <v>Long</v>
          </cell>
          <cell r="AC709" t="str">
            <v>High</v>
          </cell>
          <cell r="AD709">
            <v>987</v>
          </cell>
        </row>
        <row r="710">
          <cell r="A710">
            <v>36</v>
          </cell>
          <cell r="B710" t="str">
            <v>No</v>
          </cell>
          <cell r="C710" t="str">
            <v>Sales</v>
          </cell>
          <cell r="D710">
            <v>8</v>
          </cell>
          <cell r="E710">
            <v>4</v>
          </cell>
          <cell r="F710" t="str">
            <v>Technical Degree</v>
          </cell>
          <cell r="G710">
            <v>1</v>
          </cell>
          <cell r="H710" t="str">
            <v>Male</v>
          </cell>
          <cell r="I710">
            <v>3</v>
          </cell>
          <cell r="J710">
            <v>2</v>
          </cell>
          <cell r="K710" t="str">
            <v>Sales Executive</v>
          </cell>
          <cell r="L710">
            <v>4</v>
          </cell>
          <cell r="M710" t="str">
            <v>Divorced</v>
          </cell>
          <cell r="N710">
            <v>5079</v>
          </cell>
          <cell r="O710">
            <v>4</v>
          </cell>
          <cell r="P710" t="str">
            <v>No</v>
          </cell>
          <cell r="Q710">
            <v>4</v>
          </cell>
          <cell r="R710">
            <v>12</v>
          </cell>
          <cell r="S710">
            <v>3</v>
          </cell>
          <cell r="T710">
            <v>7</v>
          </cell>
          <cell r="U710">
            <v>7</v>
          </cell>
          <cell r="V710">
            <v>0</v>
          </cell>
          <cell r="W710">
            <v>7</v>
          </cell>
          <cell r="X710">
            <v>13</v>
          </cell>
          <cell r="Y710">
            <v>0</v>
          </cell>
          <cell r="Z710" t="str">
            <v>Mid</v>
          </cell>
          <cell r="AA710" t="str">
            <v>Medium</v>
          </cell>
          <cell r="AB710" t="str">
            <v>Long</v>
          </cell>
          <cell r="AC710" t="str">
            <v>Medium</v>
          </cell>
          <cell r="AD710">
            <v>990</v>
          </cell>
        </row>
        <row r="711">
          <cell r="A711">
            <v>31</v>
          </cell>
          <cell r="B711" t="str">
            <v>Yes</v>
          </cell>
          <cell r="C711" t="str">
            <v>Research &amp; Development</v>
          </cell>
          <cell r="D711">
            <v>9</v>
          </cell>
          <cell r="E711">
            <v>2</v>
          </cell>
          <cell r="F711" t="str">
            <v>Medical</v>
          </cell>
          <cell r="G711">
            <v>3</v>
          </cell>
          <cell r="H711" t="str">
            <v>Male</v>
          </cell>
          <cell r="I711">
            <v>2</v>
          </cell>
          <cell r="J711">
            <v>1</v>
          </cell>
          <cell r="K711" t="str">
            <v>Research Scientist</v>
          </cell>
          <cell r="L711">
            <v>1</v>
          </cell>
          <cell r="M711" t="str">
            <v>Single</v>
          </cell>
          <cell r="N711">
            <v>2321</v>
          </cell>
          <cell r="O711">
            <v>0</v>
          </cell>
          <cell r="P711" t="str">
            <v>Yes</v>
          </cell>
          <cell r="Q711">
            <v>1</v>
          </cell>
          <cell r="R711">
            <v>4</v>
          </cell>
          <cell r="S711">
            <v>3</v>
          </cell>
          <cell r="T711">
            <v>3</v>
          </cell>
          <cell r="U711">
            <v>2</v>
          </cell>
          <cell r="V711">
            <v>1</v>
          </cell>
          <cell r="W711">
            <v>2</v>
          </cell>
          <cell r="X711">
            <v>22</v>
          </cell>
          <cell r="Y711">
            <v>1</v>
          </cell>
          <cell r="Z711" t="str">
            <v>Mid</v>
          </cell>
          <cell r="AA711" t="str">
            <v>Low</v>
          </cell>
          <cell r="AB711" t="str">
            <v>Mid</v>
          </cell>
          <cell r="AC711" t="str">
            <v>High</v>
          </cell>
          <cell r="AD711">
            <v>991</v>
          </cell>
        </row>
        <row r="712">
          <cell r="A712">
            <v>33</v>
          </cell>
          <cell r="B712" t="str">
            <v>No</v>
          </cell>
          <cell r="C712" t="str">
            <v>Sales</v>
          </cell>
          <cell r="D712">
            <v>17</v>
          </cell>
          <cell r="E712">
            <v>3</v>
          </cell>
          <cell r="F712" t="str">
            <v>Life Sciences</v>
          </cell>
          <cell r="G712">
            <v>4</v>
          </cell>
          <cell r="H712" t="str">
            <v>Male</v>
          </cell>
          <cell r="I712">
            <v>3</v>
          </cell>
          <cell r="J712">
            <v>4</v>
          </cell>
          <cell r="K712" t="str">
            <v>Manager</v>
          </cell>
          <cell r="L712">
            <v>3</v>
          </cell>
          <cell r="M712" t="str">
            <v>Single</v>
          </cell>
          <cell r="N712">
            <v>17444</v>
          </cell>
          <cell r="O712">
            <v>1</v>
          </cell>
          <cell r="P712" t="str">
            <v>No</v>
          </cell>
          <cell r="Q712">
            <v>4</v>
          </cell>
          <cell r="R712">
            <v>10</v>
          </cell>
          <cell r="S712">
            <v>3</v>
          </cell>
          <cell r="T712">
            <v>10</v>
          </cell>
          <cell r="U712">
            <v>8</v>
          </cell>
          <cell r="V712">
            <v>6</v>
          </cell>
          <cell r="W712">
            <v>0</v>
          </cell>
          <cell r="X712">
            <v>11</v>
          </cell>
          <cell r="Y712">
            <v>0</v>
          </cell>
          <cell r="Z712" t="str">
            <v>Mid</v>
          </cell>
          <cell r="AA712" t="str">
            <v>High</v>
          </cell>
          <cell r="AB712" t="str">
            <v>Long</v>
          </cell>
          <cell r="AC712" t="str">
            <v>Low</v>
          </cell>
          <cell r="AD712">
            <v>992</v>
          </cell>
        </row>
        <row r="713">
          <cell r="A713">
            <v>29</v>
          </cell>
          <cell r="B713" t="str">
            <v>Yes</v>
          </cell>
          <cell r="C713" t="str">
            <v>Research &amp; Development</v>
          </cell>
          <cell r="D713">
            <v>10</v>
          </cell>
          <cell r="E713">
            <v>3</v>
          </cell>
          <cell r="F713" t="str">
            <v>Life Sciences</v>
          </cell>
          <cell r="G713">
            <v>4</v>
          </cell>
          <cell r="H713" t="str">
            <v>Female</v>
          </cell>
          <cell r="I713">
            <v>2</v>
          </cell>
          <cell r="J713">
            <v>1</v>
          </cell>
          <cell r="K713" t="str">
            <v>Research Scientist</v>
          </cell>
          <cell r="L713">
            <v>1</v>
          </cell>
          <cell r="M713" t="str">
            <v>Single</v>
          </cell>
          <cell r="N713">
            <v>2404</v>
          </cell>
          <cell r="O713">
            <v>6</v>
          </cell>
          <cell r="P713" t="str">
            <v>Yes</v>
          </cell>
          <cell r="Q713">
            <v>3</v>
          </cell>
          <cell r="R713">
            <v>3</v>
          </cell>
          <cell r="S713">
            <v>3</v>
          </cell>
          <cell r="T713">
            <v>0</v>
          </cell>
          <cell r="U713">
            <v>0</v>
          </cell>
          <cell r="V713">
            <v>0</v>
          </cell>
          <cell r="W713">
            <v>0</v>
          </cell>
          <cell r="X713">
            <v>20</v>
          </cell>
          <cell r="Y713">
            <v>1</v>
          </cell>
          <cell r="Z713" t="str">
            <v>Young</v>
          </cell>
          <cell r="AA713" t="str">
            <v>Low</v>
          </cell>
          <cell r="AB713" t="str">
            <v>Early</v>
          </cell>
          <cell r="AC713" t="str">
            <v>High</v>
          </cell>
          <cell r="AD713">
            <v>994</v>
          </cell>
        </row>
        <row r="714">
          <cell r="A714">
            <v>33</v>
          </cell>
          <cell r="B714" t="str">
            <v>No</v>
          </cell>
          <cell r="C714" t="str">
            <v>Research &amp; Development</v>
          </cell>
          <cell r="D714">
            <v>13</v>
          </cell>
          <cell r="E714">
            <v>1</v>
          </cell>
          <cell r="F714" t="str">
            <v>Life Sciences</v>
          </cell>
          <cell r="G714">
            <v>2</v>
          </cell>
          <cell r="H714" t="str">
            <v>Female</v>
          </cell>
          <cell r="I714">
            <v>3</v>
          </cell>
          <cell r="J714">
            <v>1</v>
          </cell>
          <cell r="K714" t="str">
            <v>Research Scientist</v>
          </cell>
          <cell r="L714">
            <v>4</v>
          </cell>
          <cell r="M714" t="str">
            <v>Single</v>
          </cell>
          <cell r="N714">
            <v>3452</v>
          </cell>
          <cell r="O714">
            <v>3</v>
          </cell>
          <cell r="P714" t="str">
            <v>No</v>
          </cell>
          <cell r="Q714">
            <v>1</v>
          </cell>
          <cell r="R714">
            <v>5</v>
          </cell>
          <cell r="S714">
            <v>3</v>
          </cell>
          <cell r="T714">
            <v>3</v>
          </cell>
          <cell r="U714">
            <v>2</v>
          </cell>
          <cell r="V714">
            <v>0</v>
          </cell>
          <cell r="W714">
            <v>2</v>
          </cell>
          <cell r="X714">
            <v>18</v>
          </cell>
          <cell r="Y714">
            <v>0</v>
          </cell>
          <cell r="Z714" t="str">
            <v>Mid</v>
          </cell>
          <cell r="AA714" t="str">
            <v>Low</v>
          </cell>
          <cell r="AB714" t="str">
            <v>Mid</v>
          </cell>
          <cell r="AC714" t="str">
            <v>High</v>
          </cell>
          <cell r="AD714">
            <v>995</v>
          </cell>
        </row>
        <row r="715">
          <cell r="A715">
            <v>45</v>
          </cell>
          <cell r="B715" t="str">
            <v>No</v>
          </cell>
          <cell r="C715" t="str">
            <v>Research &amp; Development</v>
          </cell>
          <cell r="D715">
            <v>1</v>
          </cell>
          <cell r="E715">
            <v>4</v>
          </cell>
          <cell r="F715" t="str">
            <v>Medical</v>
          </cell>
          <cell r="G715">
            <v>4</v>
          </cell>
          <cell r="H715" t="str">
            <v>Female</v>
          </cell>
          <cell r="I715">
            <v>3</v>
          </cell>
          <cell r="J715">
            <v>1</v>
          </cell>
          <cell r="K715" t="str">
            <v>Laboratory Technician</v>
          </cell>
          <cell r="L715">
            <v>4</v>
          </cell>
          <cell r="M715" t="str">
            <v>Divorced</v>
          </cell>
          <cell r="N715">
            <v>2270</v>
          </cell>
          <cell r="O715">
            <v>3</v>
          </cell>
          <cell r="P715" t="str">
            <v>No</v>
          </cell>
          <cell r="Q715">
            <v>4</v>
          </cell>
          <cell r="R715">
            <v>8</v>
          </cell>
          <cell r="S715">
            <v>3</v>
          </cell>
          <cell r="T715">
            <v>5</v>
          </cell>
          <cell r="U715">
            <v>3</v>
          </cell>
          <cell r="V715">
            <v>0</v>
          </cell>
          <cell r="W715">
            <v>2</v>
          </cell>
          <cell r="X715">
            <v>14</v>
          </cell>
          <cell r="Y715">
            <v>0</v>
          </cell>
          <cell r="Z715" t="str">
            <v>Senior</v>
          </cell>
          <cell r="AA715" t="str">
            <v>Low</v>
          </cell>
          <cell r="AB715" t="str">
            <v>Mid</v>
          </cell>
          <cell r="AC715" t="str">
            <v>Medium</v>
          </cell>
          <cell r="AD715">
            <v>996</v>
          </cell>
        </row>
        <row r="716">
          <cell r="A716">
            <v>50</v>
          </cell>
          <cell r="B716" t="str">
            <v>No</v>
          </cell>
          <cell r="C716" t="str">
            <v>Research &amp; Development</v>
          </cell>
          <cell r="D716">
            <v>1</v>
          </cell>
          <cell r="E716">
            <v>2</v>
          </cell>
          <cell r="F716" t="str">
            <v>Medical</v>
          </cell>
          <cell r="G716">
            <v>4</v>
          </cell>
          <cell r="H716" t="str">
            <v>Male</v>
          </cell>
          <cell r="I716">
            <v>3</v>
          </cell>
          <cell r="J716">
            <v>4</v>
          </cell>
          <cell r="K716" t="str">
            <v>Research Director</v>
          </cell>
          <cell r="L716">
            <v>4</v>
          </cell>
          <cell r="M716" t="str">
            <v>Divorced</v>
          </cell>
          <cell r="N716">
            <v>17399</v>
          </cell>
          <cell r="O716">
            <v>9</v>
          </cell>
          <cell r="P716" t="str">
            <v>No</v>
          </cell>
          <cell r="Q716">
            <v>3</v>
          </cell>
          <cell r="R716">
            <v>32</v>
          </cell>
          <cell r="S716">
            <v>2</v>
          </cell>
          <cell r="T716">
            <v>5</v>
          </cell>
          <cell r="U716">
            <v>4</v>
          </cell>
          <cell r="V716">
            <v>1</v>
          </cell>
          <cell r="W716">
            <v>3</v>
          </cell>
          <cell r="X716">
            <v>22</v>
          </cell>
          <cell r="Y716">
            <v>0</v>
          </cell>
          <cell r="Z716" t="str">
            <v>Senior</v>
          </cell>
          <cell r="AA716" t="str">
            <v>High</v>
          </cell>
          <cell r="AB716" t="str">
            <v>Mid</v>
          </cell>
          <cell r="AC716" t="str">
            <v>High</v>
          </cell>
          <cell r="AD716">
            <v>997</v>
          </cell>
        </row>
        <row r="717">
          <cell r="A717">
            <v>33</v>
          </cell>
          <cell r="B717" t="str">
            <v>No</v>
          </cell>
          <cell r="C717" t="str">
            <v>Research &amp; Development</v>
          </cell>
          <cell r="D717">
            <v>1</v>
          </cell>
          <cell r="E717">
            <v>4</v>
          </cell>
          <cell r="F717" t="str">
            <v>Other</v>
          </cell>
          <cell r="G717">
            <v>3</v>
          </cell>
          <cell r="H717" t="str">
            <v>Female</v>
          </cell>
          <cell r="I717">
            <v>4</v>
          </cell>
          <cell r="J717">
            <v>2</v>
          </cell>
          <cell r="K717" t="str">
            <v>Healthcare Representative</v>
          </cell>
          <cell r="L717">
            <v>2</v>
          </cell>
          <cell r="M717" t="str">
            <v>Married</v>
          </cell>
          <cell r="N717">
            <v>5488</v>
          </cell>
          <cell r="O717">
            <v>1</v>
          </cell>
          <cell r="P717" t="str">
            <v>Yes</v>
          </cell>
          <cell r="Q717">
            <v>1</v>
          </cell>
          <cell r="R717">
            <v>6</v>
          </cell>
          <cell r="S717">
            <v>3</v>
          </cell>
          <cell r="T717">
            <v>6</v>
          </cell>
          <cell r="U717">
            <v>5</v>
          </cell>
          <cell r="V717">
            <v>1</v>
          </cell>
          <cell r="W717">
            <v>2</v>
          </cell>
          <cell r="X717">
            <v>13</v>
          </cell>
          <cell r="Y717">
            <v>0</v>
          </cell>
          <cell r="Z717" t="str">
            <v>Mid</v>
          </cell>
          <cell r="AA717" t="str">
            <v>Medium</v>
          </cell>
          <cell r="AB717" t="str">
            <v>Mid</v>
          </cell>
          <cell r="AC717" t="str">
            <v>Medium</v>
          </cell>
          <cell r="AD717">
            <v>998</v>
          </cell>
        </row>
        <row r="718">
          <cell r="A718">
            <v>41</v>
          </cell>
          <cell r="B718" t="str">
            <v>No</v>
          </cell>
          <cell r="C718" t="str">
            <v>Research &amp; Development</v>
          </cell>
          <cell r="D718">
            <v>9</v>
          </cell>
          <cell r="E718">
            <v>3</v>
          </cell>
          <cell r="F718" t="str">
            <v>Medical</v>
          </cell>
          <cell r="G718">
            <v>1</v>
          </cell>
          <cell r="H718" t="str">
            <v>Male</v>
          </cell>
          <cell r="I718">
            <v>3</v>
          </cell>
          <cell r="J718">
            <v>5</v>
          </cell>
          <cell r="K718" t="str">
            <v>Research Director</v>
          </cell>
          <cell r="L718">
            <v>3</v>
          </cell>
          <cell r="M718" t="str">
            <v>Divorced</v>
          </cell>
          <cell r="N718">
            <v>19419</v>
          </cell>
          <cell r="O718">
            <v>2</v>
          </cell>
          <cell r="P718" t="str">
            <v>No</v>
          </cell>
          <cell r="Q718">
            <v>2</v>
          </cell>
          <cell r="R718">
            <v>21</v>
          </cell>
          <cell r="S718">
            <v>4</v>
          </cell>
          <cell r="T718">
            <v>18</v>
          </cell>
          <cell r="U718">
            <v>16</v>
          </cell>
          <cell r="V718">
            <v>0</v>
          </cell>
          <cell r="W718">
            <v>11</v>
          </cell>
          <cell r="X718">
            <v>17</v>
          </cell>
          <cell r="Y718">
            <v>0</v>
          </cell>
          <cell r="Z718" t="str">
            <v>Mid</v>
          </cell>
          <cell r="AA718" t="str">
            <v>High</v>
          </cell>
          <cell r="AB718" t="str">
            <v>Long</v>
          </cell>
          <cell r="AC718" t="str">
            <v>Medium</v>
          </cell>
          <cell r="AD718">
            <v>999</v>
          </cell>
        </row>
        <row r="719">
          <cell r="A719">
            <v>27</v>
          </cell>
          <cell r="B719" t="str">
            <v>No</v>
          </cell>
          <cell r="C719" t="str">
            <v>Research &amp; Development</v>
          </cell>
          <cell r="D719">
            <v>16</v>
          </cell>
          <cell r="E719">
            <v>4</v>
          </cell>
          <cell r="F719" t="str">
            <v>Technical Degree</v>
          </cell>
          <cell r="G719">
            <v>3</v>
          </cell>
          <cell r="H719" t="str">
            <v>Female</v>
          </cell>
          <cell r="I719">
            <v>3</v>
          </cell>
          <cell r="J719">
            <v>1</v>
          </cell>
          <cell r="K719" t="str">
            <v>Laboratory Technician</v>
          </cell>
          <cell r="L719">
            <v>2</v>
          </cell>
          <cell r="M719" t="str">
            <v>Married</v>
          </cell>
          <cell r="N719">
            <v>2811</v>
          </cell>
          <cell r="O719">
            <v>9</v>
          </cell>
          <cell r="P719" t="str">
            <v>No</v>
          </cell>
          <cell r="Q719">
            <v>2</v>
          </cell>
          <cell r="R719">
            <v>4</v>
          </cell>
          <cell r="S719">
            <v>3</v>
          </cell>
          <cell r="T719">
            <v>2</v>
          </cell>
          <cell r="U719">
            <v>2</v>
          </cell>
          <cell r="V719">
            <v>2</v>
          </cell>
          <cell r="W719">
            <v>2</v>
          </cell>
          <cell r="X719">
            <v>14</v>
          </cell>
          <cell r="Y719">
            <v>0</v>
          </cell>
          <cell r="Z719" t="str">
            <v>Young</v>
          </cell>
          <cell r="AA719" t="str">
            <v>Low</v>
          </cell>
          <cell r="AB719" t="str">
            <v>Early</v>
          </cell>
          <cell r="AC719" t="str">
            <v>Medium</v>
          </cell>
          <cell r="AD719">
            <v>1001</v>
          </cell>
        </row>
        <row r="720">
          <cell r="A720">
            <v>45</v>
          </cell>
          <cell r="B720" t="str">
            <v>No</v>
          </cell>
          <cell r="C720" t="str">
            <v>Research &amp; Development</v>
          </cell>
          <cell r="D720">
            <v>23</v>
          </cell>
          <cell r="E720">
            <v>2</v>
          </cell>
          <cell r="F720" t="str">
            <v>Life Sciences</v>
          </cell>
          <cell r="G720">
            <v>4</v>
          </cell>
          <cell r="H720" t="str">
            <v>Male</v>
          </cell>
          <cell r="I720">
            <v>3</v>
          </cell>
          <cell r="J720">
            <v>2</v>
          </cell>
          <cell r="K720" t="str">
            <v>Laboratory Technician</v>
          </cell>
          <cell r="L720">
            <v>1</v>
          </cell>
          <cell r="M720" t="str">
            <v>Married</v>
          </cell>
          <cell r="N720">
            <v>3633</v>
          </cell>
          <cell r="O720">
            <v>1</v>
          </cell>
          <cell r="P720" t="str">
            <v>Yes</v>
          </cell>
          <cell r="Q720">
            <v>3</v>
          </cell>
          <cell r="R720">
            <v>9</v>
          </cell>
          <cell r="S720">
            <v>3</v>
          </cell>
          <cell r="T720">
            <v>9</v>
          </cell>
          <cell r="U720">
            <v>8</v>
          </cell>
          <cell r="V720">
            <v>0</v>
          </cell>
          <cell r="W720">
            <v>8</v>
          </cell>
          <cell r="X720">
            <v>15</v>
          </cell>
          <cell r="Y720">
            <v>0</v>
          </cell>
          <cell r="Z720" t="str">
            <v>Senior</v>
          </cell>
          <cell r="AA720" t="str">
            <v>Low</v>
          </cell>
          <cell r="AB720" t="str">
            <v>Long</v>
          </cell>
          <cell r="AC720" t="str">
            <v>Medium</v>
          </cell>
          <cell r="AD720">
            <v>1002</v>
          </cell>
        </row>
        <row r="721">
          <cell r="A721">
            <v>47</v>
          </cell>
          <cell r="B721" t="str">
            <v>No</v>
          </cell>
          <cell r="C721" t="str">
            <v>Sales</v>
          </cell>
          <cell r="D721">
            <v>4</v>
          </cell>
          <cell r="E721">
            <v>2</v>
          </cell>
          <cell r="F721" t="str">
            <v>Life Sciences</v>
          </cell>
          <cell r="G721">
            <v>4</v>
          </cell>
          <cell r="H721" t="str">
            <v>Female</v>
          </cell>
          <cell r="I721">
            <v>3</v>
          </cell>
          <cell r="J721">
            <v>2</v>
          </cell>
          <cell r="K721" t="str">
            <v>Sales Executive</v>
          </cell>
          <cell r="L721">
            <v>4</v>
          </cell>
          <cell r="M721" t="str">
            <v>Single</v>
          </cell>
          <cell r="N721">
            <v>4163</v>
          </cell>
          <cell r="O721">
            <v>1</v>
          </cell>
          <cell r="P721" t="str">
            <v>Yes</v>
          </cell>
          <cell r="Q721">
            <v>3</v>
          </cell>
          <cell r="R721">
            <v>9</v>
          </cell>
          <cell r="S721">
            <v>3</v>
          </cell>
          <cell r="T721">
            <v>9</v>
          </cell>
          <cell r="U721">
            <v>0</v>
          </cell>
          <cell r="V721">
            <v>0</v>
          </cell>
          <cell r="W721">
            <v>7</v>
          </cell>
          <cell r="X721">
            <v>17</v>
          </cell>
          <cell r="Y721">
            <v>0</v>
          </cell>
          <cell r="Z721" t="str">
            <v>Senior</v>
          </cell>
          <cell r="AA721" t="str">
            <v>Low</v>
          </cell>
          <cell r="AB721" t="str">
            <v>Long</v>
          </cell>
          <cell r="AC721" t="str">
            <v>Medium</v>
          </cell>
          <cell r="AD721">
            <v>1003</v>
          </cell>
        </row>
        <row r="722">
          <cell r="A722">
            <v>30</v>
          </cell>
          <cell r="B722" t="str">
            <v>Yes</v>
          </cell>
          <cell r="C722" t="str">
            <v>Research &amp; Development</v>
          </cell>
          <cell r="D722">
            <v>22</v>
          </cell>
          <cell r="E722">
            <v>3</v>
          </cell>
          <cell r="F722" t="str">
            <v>Life Sciences</v>
          </cell>
          <cell r="G722">
            <v>1</v>
          </cell>
          <cell r="H722" t="str">
            <v>Female</v>
          </cell>
          <cell r="I722">
            <v>3</v>
          </cell>
          <cell r="J722">
            <v>1</v>
          </cell>
          <cell r="K722" t="str">
            <v>Research Scientist</v>
          </cell>
          <cell r="L722">
            <v>3</v>
          </cell>
          <cell r="M722" t="str">
            <v>Married</v>
          </cell>
          <cell r="N722">
            <v>2132</v>
          </cell>
          <cell r="O722">
            <v>4</v>
          </cell>
          <cell r="P722" t="str">
            <v>Yes</v>
          </cell>
          <cell r="Q722">
            <v>2</v>
          </cell>
          <cell r="R722">
            <v>7</v>
          </cell>
          <cell r="S722">
            <v>3</v>
          </cell>
          <cell r="T722">
            <v>5</v>
          </cell>
          <cell r="U722">
            <v>2</v>
          </cell>
          <cell r="V722">
            <v>0</v>
          </cell>
          <cell r="W722">
            <v>1</v>
          </cell>
          <cell r="X722">
            <v>11</v>
          </cell>
          <cell r="Y722">
            <v>1</v>
          </cell>
          <cell r="Z722" t="str">
            <v>Mid</v>
          </cell>
          <cell r="AA722" t="str">
            <v>Low</v>
          </cell>
          <cell r="AB722" t="str">
            <v>Mid</v>
          </cell>
          <cell r="AC722" t="str">
            <v>Low</v>
          </cell>
          <cell r="AD722">
            <v>1004</v>
          </cell>
        </row>
        <row r="723">
          <cell r="A723">
            <v>50</v>
          </cell>
          <cell r="B723" t="str">
            <v>No</v>
          </cell>
          <cell r="C723" t="str">
            <v>Research &amp; Development</v>
          </cell>
          <cell r="D723">
            <v>24</v>
          </cell>
          <cell r="E723">
            <v>3</v>
          </cell>
          <cell r="F723" t="str">
            <v>Life Sciences</v>
          </cell>
          <cell r="G723">
            <v>4</v>
          </cell>
          <cell r="H723" t="str">
            <v>Male</v>
          </cell>
          <cell r="I723">
            <v>3</v>
          </cell>
          <cell r="J723">
            <v>4</v>
          </cell>
          <cell r="K723" t="str">
            <v>Manufacturing Director</v>
          </cell>
          <cell r="L723">
            <v>3</v>
          </cell>
          <cell r="M723" t="str">
            <v>Married</v>
          </cell>
          <cell r="N723">
            <v>13973</v>
          </cell>
          <cell r="O723">
            <v>3</v>
          </cell>
          <cell r="P723" t="str">
            <v>Yes</v>
          </cell>
          <cell r="Q723">
            <v>4</v>
          </cell>
          <cell r="R723">
            <v>22</v>
          </cell>
          <cell r="S723">
            <v>3</v>
          </cell>
          <cell r="T723">
            <v>12</v>
          </cell>
          <cell r="U723">
            <v>11</v>
          </cell>
          <cell r="V723">
            <v>1</v>
          </cell>
          <cell r="W723">
            <v>5</v>
          </cell>
          <cell r="X723">
            <v>18</v>
          </cell>
          <cell r="Y723">
            <v>0</v>
          </cell>
          <cell r="Z723" t="str">
            <v>Senior</v>
          </cell>
          <cell r="AA723" t="str">
            <v>High</v>
          </cell>
          <cell r="AB723" t="str">
            <v>Long</v>
          </cell>
          <cell r="AC723" t="str">
            <v>High</v>
          </cell>
          <cell r="AD723">
            <v>1005</v>
          </cell>
        </row>
        <row r="724">
          <cell r="A724">
            <v>38</v>
          </cell>
          <cell r="B724" t="str">
            <v>No</v>
          </cell>
          <cell r="C724" t="str">
            <v>Research &amp; Development</v>
          </cell>
          <cell r="D724">
            <v>10</v>
          </cell>
          <cell r="E724">
            <v>1</v>
          </cell>
          <cell r="F724" t="str">
            <v>Medical</v>
          </cell>
          <cell r="G724">
            <v>3</v>
          </cell>
          <cell r="H724" t="str">
            <v>Male</v>
          </cell>
          <cell r="I724">
            <v>3</v>
          </cell>
          <cell r="J724">
            <v>1</v>
          </cell>
          <cell r="K724" t="str">
            <v>Research Scientist</v>
          </cell>
          <cell r="L724">
            <v>3</v>
          </cell>
          <cell r="M724" t="str">
            <v>Married</v>
          </cell>
          <cell r="N724">
            <v>2684</v>
          </cell>
          <cell r="O724">
            <v>0</v>
          </cell>
          <cell r="P724" t="str">
            <v>No</v>
          </cell>
          <cell r="Q724">
            <v>2</v>
          </cell>
          <cell r="R724">
            <v>3</v>
          </cell>
          <cell r="S724">
            <v>2</v>
          </cell>
          <cell r="T724">
            <v>2</v>
          </cell>
          <cell r="U724">
            <v>1</v>
          </cell>
          <cell r="V724">
            <v>0</v>
          </cell>
          <cell r="W724">
            <v>2</v>
          </cell>
          <cell r="X724">
            <v>17</v>
          </cell>
          <cell r="Y724">
            <v>0</v>
          </cell>
          <cell r="Z724" t="str">
            <v>Mid</v>
          </cell>
          <cell r="AA724" t="str">
            <v>Low</v>
          </cell>
          <cell r="AB724" t="str">
            <v>Early</v>
          </cell>
          <cell r="AC724" t="str">
            <v>Medium</v>
          </cell>
          <cell r="AD724">
            <v>1006</v>
          </cell>
        </row>
        <row r="725">
          <cell r="A725">
            <v>46</v>
          </cell>
          <cell r="B725" t="str">
            <v>No</v>
          </cell>
          <cell r="C725" t="str">
            <v>Research &amp; Development</v>
          </cell>
          <cell r="D725">
            <v>7</v>
          </cell>
          <cell r="E725">
            <v>2</v>
          </cell>
          <cell r="F725" t="str">
            <v>Medical</v>
          </cell>
          <cell r="G725">
            <v>4</v>
          </cell>
          <cell r="H725" t="str">
            <v>Male</v>
          </cell>
          <cell r="I725">
            <v>3</v>
          </cell>
          <cell r="J725">
            <v>3</v>
          </cell>
          <cell r="K725" t="str">
            <v>Manufacturing Director</v>
          </cell>
          <cell r="L725">
            <v>3</v>
          </cell>
          <cell r="M725" t="str">
            <v>Divorced</v>
          </cell>
          <cell r="N725">
            <v>10845</v>
          </cell>
          <cell r="O725">
            <v>6</v>
          </cell>
          <cell r="P725" t="str">
            <v>No</v>
          </cell>
          <cell r="Q725">
            <v>2</v>
          </cell>
          <cell r="R725">
            <v>13</v>
          </cell>
          <cell r="S725">
            <v>3</v>
          </cell>
          <cell r="T725">
            <v>8</v>
          </cell>
          <cell r="U725">
            <v>7</v>
          </cell>
          <cell r="V725">
            <v>0</v>
          </cell>
          <cell r="W725">
            <v>7</v>
          </cell>
          <cell r="X725">
            <v>13</v>
          </cell>
          <cell r="Y725">
            <v>0</v>
          </cell>
          <cell r="Z725" t="str">
            <v>Senior</v>
          </cell>
          <cell r="AA725" t="str">
            <v>High</v>
          </cell>
          <cell r="AB725" t="str">
            <v>Long</v>
          </cell>
          <cell r="AC725" t="str">
            <v>Medium</v>
          </cell>
          <cell r="AD725">
            <v>1007</v>
          </cell>
        </row>
        <row r="726">
          <cell r="A726">
            <v>24</v>
          </cell>
          <cell r="B726" t="str">
            <v>No</v>
          </cell>
          <cell r="C726" t="str">
            <v>Research &amp; Development</v>
          </cell>
          <cell r="D726">
            <v>17</v>
          </cell>
          <cell r="E726">
            <v>1</v>
          </cell>
          <cell r="F726" t="str">
            <v>Medical</v>
          </cell>
          <cell r="G726">
            <v>4</v>
          </cell>
          <cell r="H726" t="str">
            <v>Female</v>
          </cell>
          <cell r="I726">
            <v>2</v>
          </cell>
          <cell r="J726">
            <v>2</v>
          </cell>
          <cell r="K726" t="str">
            <v>Manufacturing Director</v>
          </cell>
          <cell r="L726">
            <v>3</v>
          </cell>
          <cell r="M726" t="str">
            <v>Divorced</v>
          </cell>
          <cell r="N726">
            <v>4377</v>
          </cell>
          <cell r="O726">
            <v>1</v>
          </cell>
          <cell r="P726" t="str">
            <v>No</v>
          </cell>
          <cell r="Q726">
            <v>2</v>
          </cell>
          <cell r="R726">
            <v>5</v>
          </cell>
          <cell r="S726">
            <v>3</v>
          </cell>
          <cell r="T726">
            <v>4</v>
          </cell>
          <cell r="U726">
            <v>2</v>
          </cell>
          <cell r="V726">
            <v>3</v>
          </cell>
          <cell r="W726">
            <v>2</v>
          </cell>
          <cell r="X726">
            <v>15</v>
          </cell>
          <cell r="Y726">
            <v>0</v>
          </cell>
          <cell r="Z726" t="str">
            <v>Young</v>
          </cell>
          <cell r="AA726" t="str">
            <v>Low</v>
          </cell>
          <cell r="AB726" t="str">
            <v>Mid</v>
          </cell>
          <cell r="AC726" t="str">
            <v>Medium</v>
          </cell>
          <cell r="AD726">
            <v>1009</v>
          </cell>
        </row>
        <row r="727">
          <cell r="A727">
            <v>35</v>
          </cell>
          <cell r="B727" t="str">
            <v>Yes</v>
          </cell>
          <cell r="C727" t="str">
            <v>Research &amp; Development</v>
          </cell>
          <cell r="D727">
            <v>14</v>
          </cell>
          <cell r="E727">
            <v>4</v>
          </cell>
          <cell r="F727" t="str">
            <v>Other</v>
          </cell>
          <cell r="G727">
            <v>3</v>
          </cell>
          <cell r="H727" t="str">
            <v>Male</v>
          </cell>
          <cell r="I727">
            <v>2</v>
          </cell>
          <cell r="J727">
            <v>1</v>
          </cell>
          <cell r="K727" t="str">
            <v>Laboratory Technician</v>
          </cell>
          <cell r="L727">
            <v>2</v>
          </cell>
          <cell r="M727" t="str">
            <v>Divorced</v>
          </cell>
          <cell r="N727">
            <v>3743</v>
          </cell>
          <cell r="O727">
            <v>1</v>
          </cell>
          <cell r="P727" t="str">
            <v>Yes</v>
          </cell>
          <cell r="Q727">
            <v>4</v>
          </cell>
          <cell r="R727">
            <v>5</v>
          </cell>
          <cell r="S727">
            <v>1</v>
          </cell>
          <cell r="T727">
            <v>4</v>
          </cell>
          <cell r="U727">
            <v>2</v>
          </cell>
          <cell r="V727">
            <v>0</v>
          </cell>
          <cell r="W727">
            <v>2</v>
          </cell>
          <cell r="X727">
            <v>24</v>
          </cell>
          <cell r="Y727">
            <v>1</v>
          </cell>
          <cell r="Z727" t="str">
            <v>Mid</v>
          </cell>
          <cell r="AA727" t="str">
            <v>Low</v>
          </cell>
          <cell r="AB727" t="str">
            <v>Mid</v>
          </cell>
          <cell r="AC727" t="str">
            <v>High</v>
          </cell>
          <cell r="AD727">
            <v>1010</v>
          </cell>
        </row>
        <row r="728">
          <cell r="A728">
            <v>31</v>
          </cell>
          <cell r="B728" t="str">
            <v>No</v>
          </cell>
          <cell r="C728" t="str">
            <v>Research &amp; Development</v>
          </cell>
          <cell r="D728">
            <v>1</v>
          </cell>
          <cell r="E728">
            <v>1</v>
          </cell>
          <cell r="F728" t="str">
            <v>Life Sciences</v>
          </cell>
          <cell r="G728">
            <v>3</v>
          </cell>
          <cell r="H728" t="str">
            <v>Female</v>
          </cell>
          <cell r="I728">
            <v>3</v>
          </cell>
          <cell r="J728">
            <v>2</v>
          </cell>
          <cell r="K728" t="str">
            <v>Manufacturing Director</v>
          </cell>
          <cell r="L728">
            <v>1</v>
          </cell>
          <cell r="M728" t="str">
            <v>Married</v>
          </cell>
          <cell r="N728">
            <v>4148</v>
          </cell>
          <cell r="O728">
            <v>1</v>
          </cell>
          <cell r="P728" t="str">
            <v>No</v>
          </cell>
          <cell r="Q728">
            <v>3</v>
          </cell>
          <cell r="R728">
            <v>4</v>
          </cell>
          <cell r="S728">
            <v>3</v>
          </cell>
          <cell r="T728">
            <v>4</v>
          </cell>
          <cell r="U728">
            <v>3</v>
          </cell>
          <cell r="V728">
            <v>0</v>
          </cell>
          <cell r="W728">
            <v>3</v>
          </cell>
          <cell r="X728">
            <v>12</v>
          </cell>
          <cell r="Y728">
            <v>0</v>
          </cell>
          <cell r="Z728" t="str">
            <v>Mid</v>
          </cell>
          <cell r="AA728" t="str">
            <v>Low</v>
          </cell>
          <cell r="AB728" t="str">
            <v>Mid</v>
          </cell>
          <cell r="AC728" t="str">
            <v>Low</v>
          </cell>
          <cell r="AD728">
            <v>1011</v>
          </cell>
        </row>
        <row r="729">
          <cell r="A729">
            <v>18</v>
          </cell>
          <cell r="B729" t="str">
            <v>No</v>
          </cell>
          <cell r="C729" t="str">
            <v>Research &amp; Development</v>
          </cell>
          <cell r="D729">
            <v>5</v>
          </cell>
          <cell r="E729">
            <v>2</v>
          </cell>
          <cell r="F729" t="str">
            <v>Life Sciences</v>
          </cell>
          <cell r="G729">
            <v>2</v>
          </cell>
          <cell r="H729" t="str">
            <v>Male</v>
          </cell>
          <cell r="I729">
            <v>3</v>
          </cell>
          <cell r="J729">
            <v>1</v>
          </cell>
          <cell r="K729" t="str">
            <v>Research Scientist</v>
          </cell>
          <cell r="L729">
            <v>4</v>
          </cell>
          <cell r="M729" t="str">
            <v>Single</v>
          </cell>
          <cell r="N729">
            <v>1051</v>
          </cell>
          <cell r="O729">
            <v>1</v>
          </cell>
          <cell r="P729" t="str">
            <v>No</v>
          </cell>
          <cell r="Q729">
            <v>4</v>
          </cell>
          <cell r="R729">
            <v>0</v>
          </cell>
          <cell r="S729">
            <v>3</v>
          </cell>
          <cell r="T729">
            <v>0</v>
          </cell>
          <cell r="U729">
            <v>0</v>
          </cell>
          <cell r="V729">
            <v>0</v>
          </cell>
          <cell r="W729">
            <v>0</v>
          </cell>
          <cell r="X729">
            <v>15</v>
          </cell>
          <cell r="Y729">
            <v>0</v>
          </cell>
          <cell r="Z729" t="str">
            <v>Young</v>
          </cell>
          <cell r="AA729" t="str">
            <v>Low</v>
          </cell>
          <cell r="AB729" t="str">
            <v>Early</v>
          </cell>
          <cell r="AC729" t="str">
            <v>Medium</v>
          </cell>
          <cell r="AD729">
            <v>1012</v>
          </cell>
        </row>
        <row r="730">
          <cell r="A730">
            <v>54</v>
          </cell>
          <cell r="B730" t="str">
            <v>No</v>
          </cell>
          <cell r="C730" t="str">
            <v>Research &amp; Development</v>
          </cell>
          <cell r="D730">
            <v>17</v>
          </cell>
          <cell r="E730">
            <v>3</v>
          </cell>
          <cell r="F730" t="str">
            <v>Technical Degree</v>
          </cell>
          <cell r="G730">
            <v>3</v>
          </cell>
          <cell r="H730" t="str">
            <v>Female</v>
          </cell>
          <cell r="I730">
            <v>3</v>
          </cell>
          <cell r="J730">
            <v>3</v>
          </cell>
          <cell r="K730" t="str">
            <v>Manufacturing Director</v>
          </cell>
          <cell r="L730">
            <v>3</v>
          </cell>
          <cell r="M730" t="str">
            <v>Married</v>
          </cell>
          <cell r="N730">
            <v>10739</v>
          </cell>
          <cell r="O730">
            <v>8</v>
          </cell>
          <cell r="P730" t="str">
            <v>No</v>
          </cell>
          <cell r="Q730">
            <v>3</v>
          </cell>
          <cell r="R730">
            <v>22</v>
          </cell>
          <cell r="S730">
            <v>3</v>
          </cell>
          <cell r="T730">
            <v>10</v>
          </cell>
          <cell r="U730">
            <v>7</v>
          </cell>
          <cell r="V730">
            <v>0</v>
          </cell>
          <cell r="W730">
            <v>8</v>
          </cell>
          <cell r="X730">
            <v>11</v>
          </cell>
          <cell r="Y730">
            <v>0</v>
          </cell>
          <cell r="Z730" t="str">
            <v>Senior</v>
          </cell>
          <cell r="AA730" t="str">
            <v>High</v>
          </cell>
          <cell r="AB730" t="str">
            <v>Long</v>
          </cell>
          <cell r="AC730" t="str">
            <v>Low</v>
          </cell>
          <cell r="AD730">
            <v>1013</v>
          </cell>
        </row>
        <row r="731">
          <cell r="A731">
            <v>35</v>
          </cell>
          <cell r="B731" t="str">
            <v>No</v>
          </cell>
          <cell r="C731" t="str">
            <v>Research &amp; Development</v>
          </cell>
          <cell r="D731">
            <v>25</v>
          </cell>
          <cell r="E731">
            <v>4</v>
          </cell>
          <cell r="F731" t="str">
            <v>Medical</v>
          </cell>
          <cell r="G731">
            <v>3</v>
          </cell>
          <cell r="H731" t="str">
            <v>Female</v>
          </cell>
          <cell r="I731">
            <v>3</v>
          </cell>
          <cell r="J731">
            <v>3</v>
          </cell>
          <cell r="K731" t="str">
            <v>Healthcare Representative</v>
          </cell>
          <cell r="L731">
            <v>3</v>
          </cell>
          <cell r="M731" t="str">
            <v>Divorced</v>
          </cell>
          <cell r="N731">
            <v>10388</v>
          </cell>
          <cell r="O731">
            <v>1</v>
          </cell>
          <cell r="P731" t="str">
            <v>Yes</v>
          </cell>
          <cell r="Q731">
            <v>3</v>
          </cell>
          <cell r="R731">
            <v>16</v>
          </cell>
          <cell r="S731">
            <v>2</v>
          </cell>
          <cell r="T731">
            <v>16</v>
          </cell>
          <cell r="U731">
            <v>10</v>
          </cell>
          <cell r="V731">
            <v>10</v>
          </cell>
          <cell r="W731">
            <v>1</v>
          </cell>
          <cell r="X731">
            <v>11</v>
          </cell>
          <cell r="Y731">
            <v>0</v>
          </cell>
          <cell r="Z731" t="str">
            <v>Mid</v>
          </cell>
          <cell r="AA731" t="str">
            <v>High</v>
          </cell>
          <cell r="AB731" t="str">
            <v>Long</v>
          </cell>
          <cell r="AC731" t="str">
            <v>Low</v>
          </cell>
          <cell r="AD731">
            <v>1014</v>
          </cell>
        </row>
        <row r="732">
          <cell r="A732">
            <v>30</v>
          </cell>
          <cell r="B732" t="str">
            <v>No</v>
          </cell>
          <cell r="C732" t="str">
            <v>Research &amp; Development</v>
          </cell>
          <cell r="D732">
            <v>8</v>
          </cell>
          <cell r="E732">
            <v>2</v>
          </cell>
          <cell r="F732" t="str">
            <v>Life Sciences</v>
          </cell>
          <cell r="G732">
            <v>2</v>
          </cell>
          <cell r="H732" t="str">
            <v>Female</v>
          </cell>
          <cell r="I732">
            <v>4</v>
          </cell>
          <cell r="J732">
            <v>3</v>
          </cell>
          <cell r="K732" t="str">
            <v>Research Director</v>
          </cell>
          <cell r="L732">
            <v>1</v>
          </cell>
          <cell r="M732" t="str">
            <v>Married</v>
          </cell>
          <cell r="N732">
            <v>11416</v>
          </cell>
          <cell r="O732">
            <v>0</v>
          </cell>
          <cell r="P732" t="str">
            <v>Yes</v>
          </cell>
          <cell r="Q732">
            <v>3</v>
          </cell>
          <cell r="R732">
            <v>9</v>
          </cell>
          <cell r="S732">
            <v>2</v>
          </cell>
          <cell r="T732">
            <v>8</v>
          </cell>
          <cell r="U732">
            <v>7</v>
          </cell>
          <cell r="V732">
            <v>1</v>
          </cell>
          <cell r="W732">
            <v>7</v>
          </cell>
          <cell r="X732">
            <v>12</v>
          </cell>
          <cell r="Y732">
            <v>0</v>
          </cell>
          <cell r="Z732" t="str">
            <v>Mid</v>
          </cell>
          <cell r="AA732" t="str">
            <v>High</v>
          </cell>
          <cell r="AB732" t="str">
            <v>Long</v>
          </cell>
          <cell r="AC732" t="str">
            <v>Low</v>
          </cell>
          <cell r="AD732">
            <v>1015</v>
          </cell>
        </row>
        <row r="733">
          <cell r="A733">
            <v>20</v>
          </cell>
          <cell r="B733" t="str">
            <v>Yes</v>
          </cell>
          <cell r="C733" t="str">
            <v>Research &amp; Development</v>
          </cell>
          <cell r="D733">
            <v>11</v>
          </cell>
          <cell r="E733">
            <v>3</v>
          </cell>
          <cell r="F733" t="str">
            <v>Medical</v>
          </cell>
          <cell r="G733">
            <v>4</v>
          </cell>
          <cell r="H733" t="str">
            <v>Female</v>
          </cell>
          <cell r="I733">
            <v>2</v>
          </cell>
          <cell r="J733">
            <v>1</v>
          </cell>
          <cell r="K733" t="str">
            <v>Research Scientist</v>
          </cell>
          <cell r="L733">
            <v>1</v>
          </cell>
          <cell r="M733" t="str">
            <v>Single</v>
          </cell>
          <cell r="N733">
            <v>2600</v>
          </cell>
          <cell r="O733">
            <v>1</v>
          </cell>
          <cell r="P733" t="str">
            <v>Yes</v>
          </cell>
          <cell r="Q733">
            <v>1</v>
          </cell>
          <cell r="R733">
            <v>1</v>
          </cell>
          <cell r="S733">
            <v>3</v>
          </cell>
          <cell r="T733">
            <v>1</v>
          </cell>
          <cell r="U733">
            <v>0</v>
          </cell>
          <cell r="V733">
            <v>0</v>
          </cell>
          <cell r="W733">
            <v>0</v>
          </cell>
          <cell r="X733">
            <v>15</v>
          </cell>
          <cell r="Y733">
            <v>1</v>
          </cell>
          <cell r="Z733" t="str">
            <v>Young</v>
          </cell>
          <cell r="AA733" t="str">
            <v>Low</v>
          </cell>
          <cell r="AB733" t="str">
            <v>Early</v>
          </cell>
          <cell r="AC733" t="str">
            <v>Medium</v>
          </cell>
          <cell r="AD733">
            <v>1016</v>
          </cell>
        </row>
        <row r="734">
          <cell r="A734">
            <v>30</v>
          </cell>
          <cell r="B734" t="str">
            <v>Yes</v>
          </cell>
          <cell r="C734" t="str">
            <v>Research &amp; Development</v>
          </cell>
          <cell r="D734">
            <v>5</v>
          </cell>
          <cell r="E734">
            <v>3</v>
          </cell>
          <cell r="F734" t="str">
            <v>Medical</v>
          </cell>
          <cell r="G734">
            <v>2</v>
          </cell>
          <cell r="H734" t="str">
            <v>Female</v>
          </cell>
          <cell r="I734">
            <v>3</v>
          </cell>
          <cell r="J734">
            <v>1</v>
          </cell>
          <cell r="K734" t="str">
            <v>Laboratory Technician</v>
          </cell>
          <cell r="L734">
            <v>2</v>
          </cell>
          <cell r="M734" t="str">
            <v>Single</v>
          </cell>
          <cell r="N734">
            <v>2422</v>
          </cell>
          <cell r="O734">
            <v>0</v>
          </cell>
          <cell r="P734" t="str">
            <v>No</v>
          </cell>
          <cell r="Q734">
            <v>1</v>
          </cell>
          <cell r="R734">
            <v>4</v>
          </cell>
          <cell r="S734">
            <v>3</v>
          </cell>
          <cell r="T734">
            <v>3</v>
          </cell>
          <cell r="U734">
            <v>2</v>
          </cell>
          <cell r="V734">
            <v>1</v>
          </cell>
          <cell r="W734">
            <v>2</v>
          </cell>
          <cell r="X734">
            <v>17</v>
          </cell>
          <cell r="Y734">
            <v>1</v>
          </cell>
          <cell r="Z734" t="str">
            <v>Mid</v>
          </cell>
          <cell r="AA734" t="str">
            <v>Low</v>
          </cell>
          <cell r="AB734" t="str">
            <v>Mid</v>
          </cell>
          <cell r="AC734" t="str">
            <v>Medium</v>
          </cell>
          <cell r="AD734">
            <v>1017</v>
          </cell>
        </row>
        <row r="735">
          <cell r="A735">
            <v>26</v>
          </cell>
          <cell r="B735" t="str">
            <v>No</v>
          </cell>
          <cell r="C735" t="str">
            <v>Research &amp; Development</v>
          </cell>
          <cell r="D735">
            <v>2</v>
          </cell>
          <cell r="E735">
            <v>2</v>
          </cell>
          <cell r="F735" t="str">
            <v>Medical</v>
          </cell>
          <cell r="G735">
            <v>4</v>
          </cell>
          <cell r="H735" t="str">
            <v>Male</v>
          </cell>
          <cell r="I735">
            <v>4</v>
          </cell>
          <cell r="J735">
            <v>2</v>
          </cell>
          <cell r="K735" t="str">
            <v>Manufacturing Director</v>
          </cell>
          <cell r="L735">
            <v>4</v>
          </cell>
          <cell r="M735" t="str">
            <v>Married</v>
          </cell>
          <cell r="N735">
            <v>5472</v>
          </cell>
          <cell r="O735">
            <v>1</v>
          </cell>
          <cell r="P735" t="str">
            <v>No</v>
          </cell>
          <cell r="Q735">
            <v>2</v>
          </cell>
          <cell r="R735">
            <v>8</v>
          </cell>
          <cell r="S735">
            <v>3</v>
          </cell>
          <cell r="T735">
            <v>8</v>
          </cell>
          <cell r="U735">
            <v>7</v>
          </cell>
          <cell r="V735">
            <v>1</v>
          </cell>
          <cell r="W735">
            <v>3</v>
          </cell>
          <cell r="X735">
            <v>12</v>
          </cell>
          <cell r="Y735">
            <v>0</v>
          </cell>
          <cell r="Z735" t="str">
            <v>Young</v>
          </cell>
          <cell r="AA735" t="str">
            <v>Medium</v>
          </cell>
          <cell r="AB735" t="str">
            <v>Long</v>
          </cell>
          <cell r="AC735" t="str">
            <v>Low</v>
          </cell>
          <cell r="AD735">
            <v>1018</v>
          </cell>
        </row>
        <row r="736">
          <cell r="A736">
            <v>22</v>
          </cell>
          <cell r="B736" t="str">
            <v>No</v>
          </cell>
          <cell r="C736" t="str">
            <v>Research &amp; Development</v>
          </cell>
          <cell r="D736">
            <v>8</v>
          </cell>
          <cell r="E736">
            <v>1</v>
          </cell>
          <cell r="F736" t="str">
            <v>Life Sciences</v>
          </cell>
          <cell r="G736">
            <v>2</v>
          </cell>
          <cell r="H736" t="str">
            <v>Male</v>
          </cell>
          <cell r="I736">
            <v>1</v>
          </cell>
          <cell r="J736">
            <v>1</v>
          </cell>
          <cell r="K736" t="str">
            <v>Laboratory Technician</v>
          </cell>
          <cell r="L736">
            <v>1</v>
          </cell>
          <cell r="M736" t="str">
            <v>Married</v>
          </cell>
          <cell r="N736">
            <v>2451</v>
          </cell>
          <cell r="O736">
            <v>1</v>
          </cell>
          <cell r="P736" t="str">
            <v>No</v>
          </cell>
          <cell r="Q736">
            <v>1</v>
          </cell>
          <cell r="R736">
            <v>4</v>
          </cell>
          <cell r="S736">
            <v>2</v>
          </cell>
          <cell r="T736">
            <v>4</v>
          </cell>
          <cell r="U736">
            <v>3</v>
          </cell>
          <cell r="V736">
            <v>1</v>
          </cell>
          <cell r="W736">
            <v>1</v>
          </cell>
          <cell r="X736">
            <v>15</v>
          </cell>
          <cell r="Y736">
            <v>0</v>
          </cell>
          <cell r="Z736" t="str">
            <v>Young</v>
          </cell>
          <cell r="AA736" t="str">
            <v>Low</v>
          </cell>
          <cell r="AB736" t="str">
            <v>Mid</v>
          </cell>
          <cell r="AC736" t="str">
            <v>Medium</v>
          </cell>
          <cell r="AD736">
            <v>1019</v>
          </cell>
        </row>
        <row r="737">
          <cell r="A737">
            <v>48</v>
          </cell>
          <cell r="B737" t="str">
            <v>No</v>
          </cell>
          <cell r="C737" t="str">
            <v>Research &amp; Development</v>
          </cell>
          <cell r="D737">
            <v>6</v>
          </cell>
          <cell r="E737">
            <v>3</v>
          </cell>
          <cell r="F737" t="str">
            <v>Life Sciences</v>
          </cell>
          <cell r="G737">
            <v>1</v>
          </cell>
          <cell r="H737" t="str">
            <v>Male</v>
          </cell>
          <cell r="I737">
            <v>2</v>
          </cell>
          <cell r="J737">
            <v>2</v>
          </cell>
          <cell r="K737" t="str">
            <v>Healthcare Representative</v>
          </cell>
          <cell r="L737">
            <v>3</v>
          </cell>
          <cell r="M737" t="str">
            <v>Single</v>
          </cell>
          <cell r="N737">
            <v>4240</v>
          </cell>
          <cell r="O737">
            <v>2</v>
          </cell>
          <cell r="P737" t="str">
            <v>No</v>
          </cell>
          <cell r="Q737">
            <v>4</v>
          </cell>
          <cell r="R737">
            <v>19</v>
          </cell>
          <cell r="S737">
            <v>3</v>
          </cell>
          <cell r="T737">
            <v>2</v>
          </cell>
          <cell r="U737">
            <v>2</v>
          </cell>
          <cell r="V737">
            <v>2</v>
          </cell>
          <cell r="W737">
            <v>2</v>
          </cell>
          <cell r="X737">
            <v>13</v>
          </cell>
          <cell r="Y737">
            <v>0</v>
          </cell>
          <cell r="Z737" t="str">
            <v>Senior</v>
          </cell>
          <cell r="AA737" t="str">
            <v>Low</v>
          </cell>
          <cell r="AB737" t="str">
            <v>Early</v>
          </cell>
          <cell r="AC737" t="str">
            <v>Medium</v>
          </cell>
          <cell r="AD737">
            <v>1022</v>
          </cell>
        </row>
        <row r="738">
          <cell r="A738">
            <v>48</v>
          </cell>
          <cell r="B738" t="str">
            <v>No</v>
          </cell>
          <cell r="C738" t="str">
            <v>Research &amp; Development</v>
          </cell>
          <cell r="D738">
            <v>4</v>
          </cell>
          <cell r="E738">
            <v>4</v>
          </cell>
          <cell r="F738" t="str">
            <v>Life Sciences</v>
          </cell>
          <cell r="G738">
            <v>3</v>
          </cell>
          <cell r="H738" t="str">
            <v>Male</v>
          </cell>
          <cell r="I738">
            <v>2</v>
          </cell>
          <cell r="J738">
            <v>3</v>
          </cell>
          <cell r="K738" t="str">
            <v>Healthcare Representative</v>
          </cell>
          <cell r="L738">
            <v>3</v>
          </cell>
          <cell r="M738" t="str">
            <v>Single</v>
          </cell>
          <cell r="N738">
            <v>10999</v>
          </cell>
          <cell r="O738">
            <v>7</v>
          </cell>
          <cell r="P738" t="str">
            <v>No</v>
          </cell>
          <cell r="Q738">
            <v>2</v>
          </cell>
          <cell r="R738">
            <v>27</v>
          </cell>
          <cell r="S738">
            <v>3</v>
          </cell>
          <cell r="T738">
            <v>15</v>
          </cell>
          <cell r="U738">
            <v>11</v>
          </cell>
          <cell r="V738">
            <v>4</v>
          </cell>
          <cell r="W738">
            <v>8</v>
          </cell>
          <cell r="X738">
            <v>14</v>
          </cell>
          <cell r="Y738">
            <v>0</v>
          </cell>
          <cell r="Z738" t="str">
            <v>Senior</v>
          </cell>
          <cell r="AA738" t="str">
            <v>High</v>
          </cell>
          <cell r="AB738" t="str">
            <v>Long</v>
          </cell>
          <cell r="AC738" t="str">
            <v>Medium</v>
          </cell>
          <cell r="AD738">
            <v>1024</v>
          </cell>
        </row>
        <row r="739">
          <cell r="A739">
            <v>41</v>
          </cell>
          <cell r="B739" t="str">
            <v>No</v>
          </cell>
          <cell r="C739" t="str">
            <v>Research &amp; Development</v>
          </cell>
          <cell r="D739">
            <v>7</v>
          </cell>
          <cell r="E739">
            <v>2</v>
          </cell>
          <cell r="F739" t="str">
            <v>Medical</v>
          </cell>
          <cell r="G739">
            <v>4</v>
          </cell>
          <cell r="H739" t="str">
            <v>Female</v>
          </cell>
          <cell r="I739">
            <v>3</v>
          </cell>
          <cell r="J739">
            <v>2</v>
          </cell>
          <cell r="K739" t="str">
            <v>Manufacturing Director</v>
          </cell>
          <cell r="L739">
            <v>3</v>
          </cell>
          <cell r="M739" t="str">
            <v>Single</v>
          </cell>
          <cell r="N739">
            <v>5003</v>
          </cell>
          <cell r="O739">
            <v>6</v>
          </cell>
          <cell r="P739" t="str">
            <v>No</v>
          </cell>
          <cell r="Q739">
            <v>2</v>
          </cell>
          <cell r="R739">
            <v>8</v>
          </cell>
          <cell r="S739">
            <v>3</v>
          </cell>
          <cell r="T739">
            <v>2</v>
          </cell>
          <cell r="U739">
            <v>2</v>
          </cell>
          <cell r="V739">
            <v>2</v>
          </cell>
          <cell r="W739">
            <v>1</v>
          </cell>
          <cell r="X739">
            <v>14</v>
          </cell>
          <cell r="Y739">
            <v>0</v>
          </cell>
          <cell r="Z739" t="str">
            <v>Mid</v>
          </cell>
          <cell r="AA739" t="str">
            <v>Medium</v>
          </cell>
          <cell r="AB739" t="str">
            <v>Early</v>
          </cell>
          <cell r="AC739" t="str">
            <v>Medium</v>
          </cell>
          <cell r="AD739">
            <v>1025</v>
          </cell>
        </row>
        <row r="740">
          <cell r="A740">
            <v>39</v>
          </cell>
          <cell r="B740" t="str">
            <v>No</v>
          </cell>
          <cell r="C740" t="str">
            <v>Research &amp; Development</v>
          </cell>
          <cell r="D740">
            <v>1</v>
          </cell>
          <cell r="E740">
            <v>1</v>
          </cell>
          <cell r="F740" t="str">
            <v>Life Sciences</v>
          </cell>
          <cell r="G740">
            <v>4</v>
          </cell>
          <cell r="H740" t="str">
            <v>Female</v>
          </cell>
          <cell r="I740">
            <v>2</v>
          </cell>
          <cell r="J740">
            <v>4</v>
          </cell>
          <cell r="K740" t="str">
            <v>Manufacturing Director</v>
          </cell>
          <cell r="L740">
            <v>4</v>
          </cell>
          <cell r="M740" t="str">
            <v>Married</v>
          </cell>
          <cell r="N740">
            <v>12742</v>
          </cell>
          <cell r="O740">
            <v>1</v>
          </cell>
          <cell r="P740" t="str">
            <v>No</v>
          </cell>
          <cell r="Q740">
            <v>3</v>
          </cell>
          <cell r="R740">
            <v>21</v>
          </cell>
          <cell r="S740">
            <v>3</v>
          </cell>
          <cell r="T740">
            <v>21</v>
          </cell>
          <cell r="U740">
            <v>6</v>
          </cell>
          <cell r="V740">
            <v>11</v>
          </cell>
          <cell r="W740">
            <v>8</v>
          </cell>
          <cell r="X740">
            <v>16</v>
          </cell>
          <cell r="Y740">
            <v>0</v>
          </cell>
          <cell r="Z740" t="str">
            <v>Mid</v>
          </cell>
          <cell r="AA740" t="str">
            <v>High</v>
          </cell>
          <cell r="AB740" t="str">
            <v>Long</v>
          </cell>
          <cell r="AC740" t="str">
            <v>Medium</v>
          </cell>
          <cell r="AD740">
            <v>1026</v>
          </cell>
        </row>
        <row r="741">
          <cell r="A741">
            <v>27</v>
          </cell>
          <cell r="B741" t="str">
            <v>No</v>
          </cell>
          <cell r="C741" t="str">
            <v>Research &amp; Development</v>
          </cell>
          <cell r="D741">
            <v>2</v>
          </cell>
          <cell r="E741">
            <v>4</v>
          </cell>
          <cell r="F741" t="str">
            <v>Life Sciences</v>
          </cell>
          <cell r="G741">
            <v>1</v>
          </cell>
          <cell r="H741" t="str">
            <v>Female</v>
          </cell>
          <cell r="I741">
            <v>3</v>
          </cell>
          <cell r="J741">
            <v>2</v>
          </cell>
          <cell r="K741" t="str">
            <v>Manufacturing Director</v>
          </cell>
          <cell r="L741">
            <v>4</v>
          </cell>
          <cell r="M741" t="str">
            <v>Married</v>
          </cell>
          <cell r="N741">
            <v>4227</v>
          </cell>
          <cell r="O741">
            <v>0</v>
          </cell>
          <cell r="P741" t="str">
            <v>No</v>
          </cell>
          <cell r="Q741">
            <v>2</v>
          </cell>
          <cell r="R741">
            <v>4</v>
          </cell>
          <cell r="S741">
            <v>3</v>
          </cell>
          <cell r="T741">
            <v>3</v>
          </cell>
          <cell r="U741">
            <v>2</v>
          </cell>
          <cell r="V741">
            <v>2</v>
          </cell>
          <cell r="W741">
            <v>2</v>
          </cell>
          <cell r="X741">
            <v>18</v>
          </cell>
          <cell r="Y741">
            <v>0</v>
          </cell>
          <cell r="Z741" t="str">
            <v>Young</v>
          </cell>
          <cell r="AA741" t="str">
            <v>Low</v>
          </cell>
          <cell r="AB741" t="str">
            <v>Mid</v>
          </cell>
          <cell r="AC741" t="str">
            <v>High</v>
          </cell>
          <cell r="AD741">
            <v>1027</v>
          </cell>
        </row>
        <row r="742">
          <cell r="A742">
            <v>35</v>
          </cell>
          <cell r="B742" t="str">
            <v>No</v>
          </cell>
          <cell r="C742" t="str">
            <v>Research &amp; Development</v>
          </cell>
          <cell r="D742">
            <v>10</v>
          </cell>
          <cell r="E742">
            <v>3</v>
          </cell>
          <cell r="F742" t="str">
            <v>Other</v>
          </cell>
          <cell r="G742">
            <v>2</v>
          </cell>
          <cell r="H742" t="str">
            <v>Male</v>
          </cell>
          <cell r="I742">
            <v>3</v>
          </cell>
          <cell r="J742">
            <v>1</v>
          </cell>
          <cell r="K742" t="str">
            <v>Laboratory Technician</v>
          </cell>
          <cell r="L742">
            <v>4</v>
          </cell>
          <cell r="M742" t="str">
            <v>Divorced</v>
          </cell>
          <cell r="N742">
            <v>3917</v>
          </cell>
          <cell r="O742">
            <v>1</v>
          </cell>
          <cell r="P742" t="str">
            <v>No</v>
          </cell>
          <cell r="Q742">
            <v>1</v>
          </cell>
          <cell r="R742">
            <v>3</v>
          </cell>
          <cell r="S742">
            <v>2</v>
          </cell>
          <cell r="T742">
            <v>3</v>
          </cell>
          <cell r="U742">
            <v>2</v>
          </cell>
          <cell r="V742">
            <v>1</v>
          </cell>
          <cell r="W742">
            <v>2</v>
          </cell>
          <cell r="X742">
            <v>20</v>
          </cell>
          <cell r="Y742">
            <v>0</v>
          </cell>
          <cell r="Z742" t="str">
            <v>Mid</v>
          </cell>
          <cell r="AA742" t="str">
            <v>Low</v>
          </cell>
          <cell r="AB742" t="str">
            <v>Mid</v>
          </cell>
          <cell r="AC742" t="str">
            <v>High</v>
          </cell>
          <cell r="AD742">
            <v>1028</v>
          </cell>
        </row>
        <row r="743">
          <cell r="A743">
            <v>42</v>
          </cell>
          <cell r="B743" t="str">
            <v>No</v>
          </cell>
          <cell r="C743" t="str">
            <v>Sales</v>
          </cell>
          <cell r="D743">
            <v>5</v>
          </cell>
          <cell r="E743">
            <v>2</v>
          </cell>
          <cell r="F743" t="str">
            <v>Marketing</v>
          </cell>
          <cell r="G743">
            <v>4</v>
          </cell>
          <cell r="H743" t="str">
            <v>Male</v>
          </cell>
          <cell r="I743">
            <v>3</v>
          </cell>
          <cell r="J743">
            <v>5</v>
          </cell>
          <cell r="K743" t="str">
            <v>Manager</v>
          </cell>
          <cell r="L743">
            <v>3</v>
          </cell>
          <cell r="M743" t="str">
            <v>Married</v>
          </cell>
          <cell r="N743">
            <v>18303</v>
          </cell>
          <cell r="O743">
            <v>6</v>
          </cell>
          <cell r="P743" t="str">
            <v>No</v>
          </cell>
          <cell r="Q743">
            <v>2</v>
          </cell>
          <cell r="R743">
            <v>21</v>
          </cell>
          <cell r="S743">
            <v>4</v>
          </cell>
          <cell r="T743">
            <v>1</v>
          </cell>
          <cell r="U743">
            <v>0</v>
          </cell>
          <cell r="V743">
            <v>0</v>
          </cell>
          <cell r="W743">
            <v>0</v>
          </cell>
          <cell r="X743">
            <v>13</v>
          </cell>
          <cell r="Y743">
            <v>0</v>
          </cell>
          <cell r="Z743" t="str">
            <v>Mid</v>
          </cell>
          <cell r="AA743" t="str">
            <v>High</v>
          </cell>
          <cell r="AB743" t="str">
            <v>Early</v>
          </cell>
          <cell r="AC743" t="str">
            <v>Medium</v>
          </cell>
          <cell r="AD743">
            <v>1029</v>
          </cell>
        </row>
        <row r="744">
          <cell r="A744">
            <v>50</v>
          </cell>
          <cell r="B744" t="str">
            <v>No</v>
          </cell>
          <cell r="C744" t="str">
            <v>Research &amp; Development</v>
          </cell>
          <cell r="D744">
            <v>9</v>
          </cell>
          <cell r="E744">
            <v>3</v>
          </cell>
          <cell r="F744" t="str">
            <v>Life Sciences</v>
          </cell>
          <cell r="G744">
            <v>1</v>
          </cell>
          <cell r="H744" t="str">
            <v>Male</v>
          </cell>
          <cell r="I744">
            <v>3</v>
          </cell>
          <cell r="J744">
            <v>1</v>
          </cell>
          <cell r="K744" t="str">
            <v>Laboratory Technician</v>
          </cell>
          <cell r="L744">
            <v>4</v>
          </cell>
          <cell r="M744" t="str">
            <v>Married</v>
          </cell>
          <cell r="N744">
            <v>2380</v>
          </cell>
          <cell r="O744">
            <v>4</v>
          </cell>
          <cell r="P744" t="str">
            <v>No</v>
          </cell>
          <cell r="Q744">
            <v>2</v>
          </cell>
          <cell r="R744">
            <v>8</v>
          </cell>
          <cell r="S744">
            <v>3</v>
          </cell>
          <cell r="T744">
            <v>1</v>
          </cell>
          <cell r="U744">
            <v>0</v>
          </cell>
          <cell r="V744">
            <v>0</v>
          </cell>
          <cell r="W744">
            <v>0</v>
          </cell>
          <cell r="X744">
            <v>18</v>
          </cell>
          <cell r="Y744">
            <v>0</v>
          </cell>
          <cell r="Z744" t="str">
            <v>Senior</v>
          </cell>
          <cell r="AA744" t="str">
            <v>Low</v>
          </cell>
          <cell r="AB744" t="str">
            <v>Early</v>
          </cell>
          <cell r="AC744" t="str">
            <v>High</v>
          </cell>
          <cell r="AD744">
            <v>1030</v>
          </cell>
        </row>
        <row r="745">
          <cell r="A745">
            <v>59</v>
          </cell>
          <cell r="B745" t="str">
            <v>No</v>
          </cell>
          <cell r="C745" t="str">
            <v>Research &amp; Development</v>
          </cell>
          <cell r="D745">
            <v>2</v>
          </cell>
          <cell r="E745">
            <v>3</v>
          </cell>
          <cell r="F745" t="str">
            <v>Life Sciences</v>
          </cell>
          <cell r="G745">
            <v>3</v>
          </cell>
          <cell r="H745" t="str">
            <v>Female</v>
          </cell>
          <cell r="I745">
            <v>2</v>
          </cell>
          <cell r="J745">
            <v>4</v>
          </cell>
          <cell r="K745" t="str">
            <v>Manufacturing Director</v>
          </cell>
          <cell r="L745">
            <v>4</v>
          </cell>
          <cell r="M745" t="str">
            <v>Single</v>
          </cell>
          <cell r="N745">
            <v>13726</v>
          </cell>
          <cell r="O745">
            <v>3</v>
          </cell>
          <cell r="P745" t="str">
            <v>Yes</v>
          </cell>
          <cell r="Q745">
            <v>1</v>
          </cell>
          <cell r="R745">
            <v>30</v>
          </cell>
          <cell r="S745">
            <v>3</v>
          </cell>
          <cell r="T745">
            <v>5</v>
          </cell>
          <cell r="U745">
            <v>3</v>
          </cell>
          <cell r="V745">
            <v>4</v>
          </cell>
          <cell r="W745">
            <v>3</v>
          </cell>
          <cell r="X745">
            <v>13</v>
          </cell>
          <cell r="Y745">
            <v>0</v>
          </cell>
          <cell r="Z745" t="str">
            <v>Senior</v>
          </cell>
          <cell r="AA745" t="str">
            <v>High</v>
          </cell>
          <cell r="AB745" t="str">
            <v>Mid</v>
          </cell>
          <cell r="AC745" t="str">
            <v>Medium</v>
          </cell>
          <cell r="AD745">
            <v>1032</v>
          </cell>
        </row>
        <row r="746">
          <cell r="A746">
            <v>37</v>
          </cell>
          <cell r="B746" t="str">
            <v>Yes</v>
          </cell>
          <cell r="C746" t="str">
            <v>Research &amp; Development</v>
          </cell>
          <cell r="D746">
            <v>11</v>
          </cell>
          <cell r="E746">
            <v>2</v>
          </cell>
          <cell r="F746" t="str">
            <v>Medical</v>
          </cell>
          <cell r="G746">
            <v>1</v>
          </cell>
          <cell r="H746" t="str">
            <v>Female</v>
          </cell>
          <cell r="I746">
            <v>1</v>
          </cell>
          <cell r="J746">
            <v>2</v>
          </cell>
          <cell r="K746" t="str">
            <v>Healthcare Representative</v>
          </cell>
          <cell r="L746">
            <v>2</v>
          </cell>
          <cell r="M746" t="str">
            <v>Married</v>
          </cell>
          <cell r="N746">
            <v>4777</v>
          </cell>
          <cell r="O746">
            <v>5</v>
          </cell>
          <cell r="P746" t="str">
            <v>No</v>
          </cell>
          <cell r="Q746">
            <v>1</v>
          </cell>
          <cell r="R746">
            <v>15</v>
          </cell>
          <cell r="S746">
            <v>1</v>
          </cell>
          <cell r="T746">
            <v>1</v>
          </cell>
          <cell r="U746">
            <v>0</v>
          </cell>
          <cell r="V746">
            <v>0</v>
          </cell>
          <cell r="W746">
            <v>0</v>
          </cell>
          <cell r="X746">
            <v>15</v>
          </cell>
          <cell r="Y746">
            <v>1</v>
          </cell>
          <cell r="Z746" t="str">
            <v>Mid</v>
          </cell>
          <cell r="AA746" t="str">
            <v>Low</v>
          </cell>
          <cell r="AB746" t="str">
            <v>Early</v>
          </cell>
          <cell r="AC746" t="str">
            <v>Medium</v>
          </cell>
          <cell r="AD746">
            <v>1033</v>
          </cell>
        </row>
        <row r="747">
          <cell r="A747">
            <v>55</v>
          </cell>
          <cell r="B747" t="str">
            <v>No</v>
          </cell>
          <cell r="C747" t="str">
            <v>Research &amp; Development</v>
          </cell>
          <cell r="D747">
            <v>18</v>
          </cell>
          <cell r="E747">
            <v>4</v>
          </cell>
          <cell r="F747" t="str">
            <v>Medical</v>
          </cell>
          <cell r="G747">
            <v>3</v>
          </cell>
          <cell r="H747" t="str">
            <v>Male</v>
          </cell>
          <cell r="I747">
            <v>3</v>
          </cell>
          <cell r="J747">
            <v>2</v>
          </cell>
          <cell r="K747" t="str">
            <v>Healthcare Representative</v>
          </cell>
          <cell r="L747">
            <v>2</v>
          </cell>
          <cell r="M747" t="str">
            <v>Married</v>
          </cell>
          <cell r="N747">
            <v>6385</v>
          </cell>
          <cell r="O747">
            <v>3</v>
          </cell>
          <cell r="P747" t="str">
            <v>Yes</v>
          </cell>
          <cell r="Q747">
            <v>4</v>
          </cell>
          <cell r="R747">
            <v>17</v>
          </cell>
          <cell r="S747">
            <v>3</v>
          </cell>
          <cell r="T747">
            <v>8</v>
          </cell>
          <cell r="U747">
            <v>7</v>
          </cell>
          <cell r="V747">
            <v>6</v>
          </cell>
          <cell r="W747">
            <v>7</v>
          </cell>
          <cell r="X747">
            <v>14</v>
          </cell>
          <cell r="Y747">
            <v>0</v>
          </cell>
          <cell r="Z747" t="str">
            <v>Senior</v>
          </cell>
          <cell r="AA747" t="str">
            <v>Medium</v>
          </cell>
          <cell r="AB747" t="str">
            <v>Long</v>
          </cell>
          <cell r="AC747" t="str">
            <v>Medium</v>
          </cell>
          <cell r="AD747">
            <v>1034</v>
          </cell>
        </row>
        <row r="748">
          <cell r="A748">
            <v>41</v>
          </cell>
          <cell r="B748" t="str">
            <v>No</v>
          </cell>
          <cell r="C748" t="str">
            <v>Research &amp; Development</v>
          </cell>
          <cell r="D748">
            <v>7</v>
          </cell>
          <cell r="E748">
            <v>1</v>
          </cell>
          <cell r="F748" t="str">
            <v>Life Sciences</v>
          </cell>
          <cell r="G748">
            <v>2</v>
          </cell>
          <cell r="H748" t="str">
            <v>Female</v>
          </cell>
          <cell r="I748">
            <v>1</v>
          </cell>
          <cell r="J748">
            <v>5</v>
          </cell>
          <cell r="K748" t="str">
            <v>Research Director</v>
          </cell>
          <cell r="L748">
            <v>3</v>
          </cell>
          <cell r="M748" t="str">
            <v>Divorced</v>
          </cell>
          <cell r="N748">
            <v>19973</v>
          </cell>
          <cell r="O748">
            <v>1</v>
          </cell>
          <cell r="P748" t="str">
            <v>No</v>
          </cell>
          <cell r="Q748">
            <v>2</v>
          </cell>
          <cell r="R748">
            <v>21</v>
          </cell>
          <cell r="S748">
            <v>3</v>
          </cell>
          <cell r="T748">
            <v>21</v>
          </cell>
          <cell r="U748">
            <v>16</v>
          </cell>
          <cell r="V748">
            <v>5</v>
          </cell>
          <cell r="W748">
            <v>10</v>
          </cell>
          <cell r="X748">
            <v>22</v>
          </cell>
          <cell r="Y748">
            <v>0</v>
          </cell>
          <cell r="Z748" t="str">
            <v>Mid</v>
          </cell>
          <cell r="AA748" t="str">
            <v>High</v>
          </cell>
          <cell r="AB748" t="str">
            <v>Long</v>
          </cell>
          <cell r="AC748" t="str">
            <v>High</v>
          </cell>
          <cell r="AD748">
            <v>1035</v>
          </cell>
        </row>
        <row r="749">
          <cell r="A749">
            <v>38</v>
          </cell>
          <cell r="B749" t="str">
            <v>No</v>
          </cell>
          <cell r="C749" t="str">
            <v>Sales</v>
          </cell>
          <cell r="D749">
            <v>3</v>
          </cell>
          <cell r="E749">
            <v>4</v>
          </cell>
          <cell r="F749" t="str">
            <v>Life Sciences</v>
          </cell>
          <cell r="G749">
            <v>2</v>
          </cell>
          <cell r="H749" t="str">
            <v>Male</v>
          </cell>
          <cell r="I749">
            <v>3</v>
          </cell>
          <cell r="J749">
            <v>2</v>
          </cell>
          <cell r="K749" t="str">
            <v>Sales Executive</v>
          </cell>
          <cell r="L749">
            <v>4</v>
          </cell>
          <cell r="M749" t="str">
            <v>Single</v>
          </cell>
          <cell r="N749">
            <v>6861</v>
          </cell>
          <cell r="O749">
            <v>8</v>
          </cell>
          <cell r="P749" t="str">
            <v>Yes</v>
          </cell>
          <cell r="Q749">
            <v>3</v>
          </cell>
          <cell r="R749">
            <v>19</v>
          </cell>
          <cell r="S749">
            <v>3</v>
          </cell>
          <cell r="T749">
            <v>1</v>
          </cell>
          <cell r="U749">
            <v>0</v>
          </cell>
          <cell r="V749">
            <v>0</v>
          </cell>
          <cell r="W749">
            <v>0</v>
          </cell>
          <cell r="X749">
            <v>12</v>
          </cell>
          <cell r="Y749">
            <v>0</v>
          </cell>
          <cell r="Z749" t="str">
            <v>Mid</v>
          </cell>
          <cell r="AA749" t="str">
            <v>Medium</v>
          </cell>
          <cell r="AB749" t="str">
            <v>Early</v>
          </cell>
          <cell r="AC749" t="str">
            <v>Low</v>
          </cell>
          <cell r="AD749">
            <v>1036</v>
          </cell>
        </row>
        <row r="750">
          <cell r="A750">
            <v>26</v>
          </cell>
          <cell r="B750" t="str">
            <v>Yes</v>
          </cell>
          <cell r="C750" t="str">
            <v>Sales</v>
          </cell>
          <cell r="D750">
            <v>29</v>
          </cell>
          <cell r="E750">
            <v>2</v>
          </cell>
          <cell r="F750" t="str">
            <v>Medical</v>
          </cell>
          <cell r="G750">
            <v>2</v>
          </cell>
          <cell r="H750" t="str">
            <v>Male</v>
          </cell>
          <cell r="I750">
            <v>1</v>
          </cell>
          <cell r="J750">
            <v>2</v>
          </cell>
          <cell r="K750" t="str">
            <v>Sales Executive</v>
          </cell>
          <cell r="L750">
            <v>1</v>
          </cell>
          <cell r="M750" t="str">
            <v>Single</v>
          </cell>
          <cell r="N750">
            <v>4969</v>
          </cell>
          <cell r="O750">
            <v>8</v>
          </cell>
          <cell r="P750" t="str">
            <v>No</v>
          </cell>
          <cell r="Q750">
            <v>4</v>
          </cell>
          <cell r="R750">
            <v>7</v>
          </cell>
          <cell r="S750">
            <v>3</v>
          </cell>
          <cell r="T750">
            <v>2</v>
          </cell>
          <cell r="U750">
            <v>2</v>
          </cell>
          <cell r="V750">
            <v>2</v>
          </cell>
          <cell r="W750">
            <v>2</v>
          </cell>
          <cell r="X750">
            <v>18</v>
          </cell>
          <cell r="Y750">
            <v>1</v>
          </cell>
          <cell r="Z750" t="str">
            <v>Young</v>
          </cell>
          <cell r="AA750" t="str">
            <v>Low</v>
          </cell>
          <cell r="AB750" t="str">
            <v>Early</v>
          </cell>
          <cell r="AC750" t="str">
            <v>High</v>
          </cell>
          <cell r="AD750">
            <v>1037</v>
          </cell>
        </row>
        <row r="751">
          <cell r="A751">
            <v>52</v>
          </cell>
          <cell r="B751" t="str">
            <v>Yes</v>
          </cell>
          <cell r="C751" t="str">
            <v>Sales</v>
          </cell>
          <cell r="D751">
            <v>2</v>
          </cell>
          <cell r="E751">
            <v>1</v>
          </cell>
          <cell r="F751" t="str">
            <v>Marketing</v>
          </cell>
          <cell r="G751">
            <v>1</v>
          </cell>
          <cell r="H751" t="str">
            <v>Female</v>
          </cell>
          <cell r="I751">
            <v>1</v>
          </cell>
          <cell r="J751">
            <v>5</v>
          </cell>
          <cell r="K751" t="str">
            <v>Manager</v>
          </cell>
          <cell r="L751">
            <v>4</v>
          </cell>
          <cell r="M751" t="str">
            <v>Married</v>
          </cell>
          <cell r="N751">
            <v>19845</v>
          </cell>
          <cell r="O751">
            <v>1</v>
          </cell>
          <cell r="P751" t="str">
            <v>No</v>
          </cell>
          <cell r="Q751">
            <v>4</v>
          </cell>
          <cell r="R751">
            <v>33</v>
          </cell>
          <cell r="S751">
            <v>3</v>
          </cell>
          <cell r="T751">
            <v>32</v>
          </cell>
          <cell r="U751">
            <v>14</v>
          </cell>
          <cell r="V751">
            <v>6</v>
          </cell>
          <cell r="W751">
            <v>9</v>
          </cell>
          <cell r="X751">
            <v>15</v>
          </cell>
          <cell r="Y751">
            <v>1</v>
          </cell>
          <cell r="Z751" t="str">
            <v>Senior</v>
          </cell>
          <cell r="AA751" t="str">
            <v>High</v>
          </cell>
          <cell r="AB751" t="str">
            <v>Long</v>
          </cell>
          <cell r="AC751" t="str">
            <v>Medium</v>
          </cell>
          <cell r="AD751">
            <v>1038</v>
          </cell>
        </row>
        <row r="752">
          <cell r="A752">
            <v>44</v>
          </cell>
          <cell r="B752" t="str">
            <v>No</v>
          </cell>
          <cell r="C752" t="str">
            <v>Sales</v>
          </cell>
          <cell r="D752">
            <v>28</v>
          </cell>
          <cell r="E752">
            <v>3</v>
          </cell>
          <cell r="F752" t="str">
            <v>Medical</v>
          </cell>
          <cell r="G752">
            <v>4</v>
          </cell>
          <cell r="H752" t="str">
            <v>Female</v>
          </cell>
          <cell r="I752">
            <v>4</v>
          </cell>
          <cell r="J752">
            <v>4</v>
          </cell>
          <cell r="K752" t="str">
            <v>Sales Executive</v>
          </cell>
          <cell r="L752">
            <v>4</v>
          </cell>
          <cell r="M752" t="str">
            <v>Married</v>
          </cell>
          <cell r="N752">
            <v>13320</v>
          </cell>
          <cell r="O752">
            <v>3</v>
          </cell>
          <cell r="P752" t="str">
            <v>Yes</v>
          </cell>
          <cell r="Q752">
            <v>3</v>
          </cell>
          <cell r="R752">
            <v>23</v>
          </cell>
          <cell r="S752">
            <v>3</v>
          </cell>
          <cell r="T752">
            <v>12</v>
          </cell>
          <cell r="U752">
            <v>11</v>
          </cell>
          <cell r="V752">
            <v>11</v>
          </cell>
          <cell r="W752">
            <v>11</v>
          </cell>
          <cell r="X752">
            <v>18</v>
          </cell>
          <cell r="Y752">
            <v>0</v>
          </cell>
          <cell r="Z752" t="str">
            <v>Mid</v>
          </cell>
          <cell r="AA752" t="str">
            <v>High</v>
          </cell>
          <cell r="AB752" t="str">
            <v>Long</v>
          </cell>
          <cell r="AC752" t="str">
            <v>High</v>
          </cell>
          <cell r="AD752">
            <v>1039</v>
          </cell>
        </row>
        <row r="753">
          <cell r="A753">
            <v>50</v>
          </cell>
          <cell r="B753" t="str">
            <v>No</v>
          </cell>
          <cell r="C753" t="str">
            <v>Sales</v>
          </cell>
          <cell r="D753">
            <v>1</v>
          </cell>
          <cell r="E753">
            <v>3</v>
          </cell>
          <cell r="F753" t="str">
            <v>Life Sciences</v>
          </cell>
          <cell r="G753">
            <v>4</v>
          </cell>
          <cell r="H753" t="str">
            <v>Female</v>
          </cell>
          <cell r="I753">
            <v>3</v>
          </cell>
          <cell r="J753">
            <v>2</v>
          </cell>
          <cell r="K753" t="str">
            <v>Sales Executive</v>
          </cell>
          <cell r="L753">
            <v>3</v>
          </cell>
          <cell r="M753" t="str">
            <v>Married</v>
          </cell>
          <cell r="N753">
            <v>6347</v>
          </cell>
          <cell r="O753">
            <v>0</v>
          </cell>
          <cell r="P753" t="str">
            <v>No</v>
          </cell>
          <cell r="Q753">
            <v>1</v>
          </cell>
          <cell r="R753">
            <v>19</v>
          </cell>
          <cell r="S753">
            <v>3</v>
          </cell>
          <cell r="T753">
            <v>18</v>
          </cell>
          <cell r="U753">
            <v>7</v>
          </cell>
          <cell r="V753">
            <v>0</v>
          </cell>
          <cell r="W753">
            <v>13</v>
          </cell>
          <cell r="X753">
            <v>12</v>
          </cell>
          <cell r="Y753">
            <v>0</v>
          </cell>
          <cell r="Z753" t="str">
            <v>Senior</v>
          </cell>
          <cell r="AA753" t="str">
            <v>Medium</v>
          </cell>
          <cell r="AB753" t="str">
            <v>Long</v>
          </cell>
          <cell r="AC753" t="str">
            <v>Low</v>
          </cell>
          <cell r="AD753">
            <v>1040</v>
          </cell>
        </row>
        <row r="754">
          <cell r="A754">
            <v>36</v>
          </cell>
          <cell r="B754" t="str">
            <v>Yes</v>
          </cell>
          <cell r="C754" t="str">
            <v>Research &amp; Development</v>
          </cell>
          <cell r="D754">
            <v>16</v>
          </cell>
          <cell r="E754">
            <v>4</v>
          </cell>
          <cell r="F754" t="str">
            <v>Life Sciences</v>
          </cell>
          <cell r="G754">
            <v>3</v>
          </cell>
          <cell r="H754" t="str">
            <v>Female</v>
          </cell>
          <cell r="I754">
            <v>4</v>
          </cell>
          <cell r="J754">
            <v>1</v>
          </cell>
          <cell r="K754" t="str">
            <v>Laboratory Technician</v>
          </cell>
          <cell r="L754">
            <v>1</v>
          </cell>
          <cell r="M754" t="str">
            <v>Single</v>
          </cell>
          <cell r="N754">
            <v>2743</v>
          </cell>
          <cell r="O754">
            <v>1</v>
          </cell>
          <cell r="P754" t="str">
            <v>No</v>
          </cell>
          <cell r="Q754">
            <v>3</v>
          </cell>
          <cell r="R754">
            <v>18</v>
          </cell>
          <cell r="S754">
            <v>3</v>
          </cell>
          <cell r="T754">
            <v>17</v>
          </cell>
          <cell r="U754">
            <v>13</v>
          </cell>
          <cell r="V754">
            <v>15</v>
          </cell>
          <cell r="W754">
            <v>14</v>
          </cell>
          <cell r="X754">
            <v>16</v>
          </cell>
          <cell r="Y754">
            <v>1</v>
          </cell>
          <cell r="Z754" t="str">
            <v>Mid</v>
          </cell>
          <cell r="AA754" t="str">
            <v>Low</v>
          </cell>
          <cell r="AB754" t="str">
            <v>Long</v>
          </cell>
          <cell r="AC754" t="str">
            <v>Medium</v>
          </cell>
          <cell r="AD754">
            <v>1042</v>
          </cell>
        </row>
        <row r="755">
          <cell r="A755">
            <v>39</v>
          </cell>
          <cell r="B755" t="str">
            <v>No</v>
          </cell>
          <cell r="C755" t="str">
            <v>Research &amp; Development</v>
          </cell>
          <cell r="D755">
            <v>22</v>
          </cell>
          <cell r="E755">
            <v>3</v>
          </cell>
          <cell r="F755" t="str">
            <v>Medical</v>
          </cell>
          <cell r="G755">
            <v>4</v>
          </cell>
          <cell r="H755" t="str">
            <v>Female</v>
          </cell>
          <cell r="I755">
            <v>3</v>
          </cell>
          <cell r="J755">
            <v>3</v>
          </cell>
          <cell r="K755" t="str">
            <v>Manufacturing Director</v>
          </cell>
          <cell r="L755">
            <v>1</v>
          </cell>
          <cell r="M755" t="str">
            <v>Single</v>
          </cell>
          <cell r="N755">
            <v>10880</v>
          </cell>
          <cell r="O755">
            <v>1</v>
          </cell>
          <cell r="P755" t="str">
            <v>Yes</v>
          </cell>
          <cell r="Q755">
            <v>3</v>
          </cell>
          <cell r="R755">
            <v>21</v>
          </cell>
          <cell r="S755">
            <v>3</v>
          </cell>
          <cell r="T755">
            <v>21</v>
          </cell>
          <cell r="U755">
            <v>6</v>
          </cell>
          <cell r="V755">
            <v>2</v>
          </cell>
          <cell r="W755">
            <v>8</v>
          </cell>
          <cell r="X755">
            <v>13</v>
          </cell>
          <cell r="Y755">
            <v>0</v>
          </cell>
          <cell r="Z755" t="str">
            <v>Mid</v>
          </cell>
          <cell r="AA755" t="str">
            <v>High</v>
          </cell>
          <cell r="AB755" t="str">
            <v>Long</v>
          </cell>
          <cell r="AC755" t="str">
            <v>Medium</v>
          </cell>
          <cell r="AD755">
            <v>1043</v>
          </cell>
        </row>
        <row r="756">
          <cell r="A756">
            <v>33</v>
          </cell>
          <cell r="B756" t="str">
            <v>No</v>
          </cell>
          <cell r="C756" t="str">
            <v>Sales</v>
          </cell>
          <cell r="D756">
            <v>8</v>
          </cell>
          <cell r="E756">
            <v>1</v>
          </cell>
          <cell r="F756" t="str">
            <v>Life Sciences</v>
          </cell>
          <cell r="G756">
            <v>2</v>
          </cell>
          <cell r="H756" t="str">
            <v>Female</v>
          </cell>
          <cell r="I756">
            <v>2</v>
          </cell>
          <cell r="J756">
            <v>1</v>
          </cell>
          <cell r="K756" t="str">
            <v>Sales Representative</v>
          </cell>
          <cell r="L756">
            <v>4</v>
          </cell>
          <cell r="M756" t="str">
            <v>Single</v>
          </cell>
          <cell r="N756">
            <v>2342</v>
          </cell>
          <cell r="O756">
            <v>0</v>
          </cell>
          <cell r="P756" t="str">
            <v>No</v>
          </cell>
          <cell r="Q756">
            <v>4</v>
          </cell>
          <cell r="R756">
            <v>3</v>
          </cell>
          <cell r="S756">
            <v>2</v>
          </cell>
          <cell r="T756">
            <v>2</v>
          </cell>
          <cell r="U756">
            <v>2</v>
          </cell>
          <cell r="V756">
            <v>2</v>
          </cell>
          <cell r="W756">
            <v>2</v>
          </cell>
          <cell r="X756">
            <v>19</v>
          </cell>
          <cell r="Y756">
            <v>0</v>
          </cell>
          <cell r="Z756" t="str">
            <v>Mid</v>
          </cell>
          <cell r="AA756" t="str">
            <v>Low</v>
          </cell>
          <cell r="AB756" t="str">
            <v>Early</v>
          </cell>
          <cell r="AC756" t="str">
            <v>High</v>
          </cell>
          <cell r="AD756">
            <v>1044</v>
          </cell>
        </row>
        <row r="757">
          <cell r="A757">
            <v>45</v>
          </cell>
          <cell r="B757" t="str">
            <v>No</v>
          </cell>
          <cell r="C757" t="str">
            <v>Sales</v>
          </cell>
          <cell r="D757">
            <v>11</v>
          </cell>
          <cell r="E757">
            <v>2</v>
          </cell>
          <cell r="F757" t="str">
            <v>Life Sciences</v>
          </cell>
          <cell r="G757">
            <v>4</v>
          </cell>
          <cell r="H757" t="str">
            <v>Female</v>
          </cell>
          <cell r="I757">
            <v>3</v>
          </cell>
          <cell r="J757">
            <v>4</v>
          </cell>
          <cell r="K757" t="str">
            <v>Manager</v>
          </cell>
          <cell r="L757">
            <v>4</v>
          </cell>
          <cell r="M757" t="str">
            <v>Married</v>
          </cell>
          <cell r="N757">
            <v>17650</v>
          </cell>
          <cell r="O757">
            <v>3</v>
          </cell>
          <cell r="P757" t="str">
            <v>No</v>
          </cell>
          <cell r="Q757">
            <v>2</v>
          </cell>
          <cell r="R757">
            <v>26</v>
          </cell>
          <cell r="S757">
            <v>4</v>
          </cell>
          <cell r="T757">
            <v>9</v>
          </cell>
          <cell r="U757">
            <v>3</v>
          </cell>
          <cell r="V757">
            <v>1</v>
          </cell>
          <cell r="W757">
            <v>1</v>
          </cell>
          <cell r="X757">
            <v>13</v>
          </cell>
          <cell r="Y757">
            <v>0</v>
          </cell>
          <cell r="Z757" t="str">
            <v>Senior</v>
          </cell>
          <cell r="AA757" t="str">
            <v>High</v>
          </cell>
          <cell r="AB757" t="str">
            <v>Long</v>
          </cell>
          <cell r="AC757" t="str">
            <v>Medium</v>
          </cell>
          <cell r="AD757">
            <v>1045</v>
          </cell>
        </row>
        <row r="758">
          <cell r="A758">
            <v>32</v>
          </cell>
          <cell r="B758" t="str">
            <v>No</v>
          </cell>
          <cell r="C758" t="str">
            <v>Research &amp; Development</v>
          </cell>
          <cell r="D758">
            <v>29</v>
          </cell>
          <cell r="E758">
            <v>4</v>
          </cell>
          <cell r="F758" t="str">
            <v>Medical</v>
          </cell>
          <cell r="G758">
            <v>4</v>
          </cell>
          <cell r="H758" t="str">
            <v>Female</v>
          </cell>
          <cell r="I758">
            <v>3</v>
          </cell>
          <cell r="J758">
            <v>1</v>
          </cell>
          <cell r="K758" t="str">
            <v>Laboratory Technician</v>
          </cell>
          <cell r="L758">
            <v>3</v>
          </cell>
          <cell r="M758" t="str">
            <v>Single</v>
          </cell>
          <cell r="N758">
            <v>4025</v>
          </cell>
          <cell r="O758">
            <v>9</v>
          </cell>
          <cell r="P758" t="str">
            <v>No</v>
          </cell>
          <cell r="Q758">
            <v>2</v>
          </cell>
          <cell r="R758">
            <v>10</v>
          </cell>
          <cell r="S758">
            <v>3</v>
          </cell>
          <cell r="T758">
            <v>8</v>
          </cell>
          <cell r="U758">
            <v>7</v>
          </cell>
          <cell r="V758">
            <v>7</v>
          </cell>
          <cell r="W758">
            <v>7</v>
          </cell>
          <cell r="X758">
            <v>12</v>
          </cell>
          <cell r="Y758">
            <v>0</v>
          </cell>
          <cell r="Z758" t="str">
            <v>Mid</v>
          </cell>
          <cell r="AA758" t="str">
            <v>Low</v>
          </cell>
          <cell r="AB758" t="str">
            <v>Long</v>
          </cell>
          <cell r="AC758" t="str">
            <v>Low</v>
          </cell>
          <cell r="AD758">
            <v>1046</v>
          </cell>
        </row>
        <row r="759">
          <cell r="A759">
            <v>34</v>
          </cell>
          <cell r="B759" t="str">
            <v>No</v>
          </cell>
          <cell r="C759" t="str">
            <v>Sales</v>
          </cell>
          <cell r="D759">
            <v>1</v>
          </cell>
          <cell r="E759">
            <v>4</v>
          </cell>
          <cell r="F759" t="str">
            <v>Marketing</v>
          </cell>
          <cell r="G759">
            <v>2</v>
          </cell>
          <cell r="H759" t="str">
            <v>Male</v>
          </cell>
          <cell r="I759">
            <v>4</v>
          </cell>
          <cell r="J759">
            <v>2</v>
          </cell>
          <cell r="K759" t="str">
            <v>Sales Executive</v>
          </cell>
          <cell r="L759">
            <v>4</v>
          </cell>
          <cell r="M759" t="str">
            <v>Divorced</v>
          </cell>
          <cell r="N759">
            <v>9725</v>
          </cell>
          <cell r="O759">
            <v>0</v>
          </cell>
          <cell r="P759" t="str">
            <v>No</v>
          </cell>
          <cell r="Q759">
            <v>4</v>
          </cell>
          <cell r="R759">
            <v>16</v>
          </cell>
          <cell r="S759">
            <v>2</v>
          </cell>
          <cell r="T759">
            <v>15</v>
          </cell>
          <cell r="U759">
            <v>1</v>
          </cell>
          <cell r="V759">
            <v>0</v>
          </cell>
          <cell r="W759">
            <v>9</v>
          </cell>
          <cell r="X759">
            <v>11</v>
          </cell>
          <cell r="Y759">
            <v>0</v>
          </cell>
          <cell r="Z759" t="str">
            <v>Mid</v>
          </cell>
          <cell r="AA759" t="str">
            <v>Medium</v>
          </cell>
          <cell r="AB759" t="str">
            <v>Long</v>
          </cell>
          <cell r="AC759" t="str">
            <v>Low</v>
          </cell>
          <cell r="AD759">
            <v>1047</v>
          </cell>
        </row>
        <row r="760">
          <cell r="A760">
            <v>59</v>
          </cell>
          <cell r="B760" t="str">
            <v>No</v>
          </cell>
          <cell r="C760" t="str">
            <v>Sales</v>
          </cell>
          <cell r="D760">
            <v>1</v>
          </cell>
          <cell r="E760">
            <v>2</v>
          </cell>
          <cell r="F760" t="str">
            <v>Technical Degree</v>
          </cell>
          <cell r="G760">
            <v>2</v>
          </cell>
          <cell r="H760" t="str">
            <v>Male</v>
          </cell>
          <cell r="I760">
            <v>3</v>
          </cell>
          <cell r="J760">
            <v>3</v>
          </cell>
          <cell r="K760" t="str">
            <v>Manager</v>
          </cell>
          <cell r="L760">
            <v>4</v>
          </cell>
          <cell r="M760" t="str">
            <v>Married</v>
          </cell>
          <cell r="N760">
            <v>11904</v>
          </cell>
          <cell r="O760">
            <v>3</v>
          </cell>
          <cell r="P760" t="str">
            <v>Yes</v>
          </cell>
          <cell r="Q760">
            <v>3</v>
          </cell>
          <cell r="R760">
            <v>14</v>
          </cell>
          <cell r="S760">
            <v>1</v>
          </cell>
          <cell r="T760">
            <v>6</v>
          </cell>
          <cell r="U760">
            <v>4</v>
          </cell>
          <cell r="V760">
            <v>0</v>
          </cell>
          <cell r="W760">
            <v>4</v>
          </cell>
          <cell r="X760">
            <v>14</v>
          </cell>
          <cell r="Y760">
            <v>0</v>
          </cell>
          <cell r="Z760" t="str">
            <v>Senior</v>
          </cell>
          <cell r="AA760" t="str">
            <v>High</v>
          </cell>
          <cell r="AB760" t="str">
            <v>Mid</v>
          </cell>
          <cell r="AC760" t="str">
            <v>Medium</v>
          </cell>
          <cell r="AD760">
            <v>1048</v>
          </cell>
        </row>
        <row r="761">
          <cell r="A761">
            <v>45</v>
          </cell>
          <cell r="B761" t="str">
            <v>No</v>
          </cell>
          <cell r="C761" t="str">
            <v>Human Resources</v>
          </cell>
          <cell r="D761">
            <v>24</v>
          </cell>
          <cell r="E761">
            <v>4</v>
          </cell>
          <cell r="F761" t="str">
            <v>Medical</v>
          </cell>
          <cell r="G761">
            <v>2</v>
          </cell>
          <cell r="H761" t="str">
            <v>Male</v>
          </cell>
          <cell r="I761">
            <v>3</v>
          </cell>
          <cell r="J761">
            <v>1</v>
          </cell>
          <cell r="K761" t="str">
            <v>Human Resources</v>
          </cell>
          <cell r="L761">
            <v>2</v>
          </cell>
          <cell r="M761" t="str">
            <v>Single</v>
          </cell>
          <cell r="N761">
            <v>2177</v>
          </cell>
          <cell r="O761">
            <v>1</v>
          </cell>
          <cell r="P761" t="str">
            <v>No</v>
          </cell>
          <cell r="Q761">
            <v>1</v>
          </cell>
          <cell r="R761">
            <v>6</v>
          </cell>
          <cell r="S761">
            <v>3</v>
          </cell>
          <cell r="T761">
            <v>6</v>
          </cell>
          <cell r="U761">
            <v>3</v>
          </cell>
          <cell r="V761">
            <v>0</v>
          </cell>
          <cell r="W761">
            <v>4</v>
          </cell>
          <cell r="X761">
            <v>16</v>
          </cell>
          <cell r="Y761">
            <v>0</v>
          </cell>
          <cell r="Z761" t="str">
            <v>Senior</v>
          </cell>
          <cell r="AA761" t="str">
            <v>Low</v>
          </cell>
          <cell r="AB761" t="str">
            <v>Mid</v>
          </cell>
          <cell r="AC761" t="str">
            <v>Medium</v>
          </cell>
          <cell r="AD761">
            <v>1049</v>
          </cell>
        </row>
        <row r="762">
          <cell r="A762">
            <v>53</v>
          </cell>
          <cell r="B762" t="str">
            <v>No</v>
          </cell>
          <cell r="C762" t="str">
            <v>Sales</v>
          </cell>
          <cell r="D762">
            <v>2</v>
          </cell>
          <cell r="E762">
            <v>3</v>
          </cell>
          <cell r="F762" t="str">
            <v>Marketing</v>
          </cell>
          <cell r="G762">
            <v>3</v>
          </cell>
          <cell r="H762" t="str">
            <v>Female</v>
          </cell>
          <cell r="I762">
            <v>2</v>
          </cell>
          <cell r="J762">
            <v>3</v>
          </cell>
          <cell r="K762" t="str">
            <v>Sales Executive</v>
          </cell>
          <cell r="L762">
            <v>2</v>
          </cell>
          <cell r="M762" t="str">
            <v>Married</v>
          </cell>
          <cell r="N762">
            <v>7525</v>
          </cell>
          <cell r="O762">
            <v>2</v>
          </cell>
          <cell r="P762" t="str">
            <v>No</v>
          </cell>
          <cell r="Q762">
            <v>1</v>
          </cell>
          <cell r="R762">
            <v>30</v>
          </cell>
          <cell r="S762">
            <v>3</v>
          </cell>
          <cell r="T762">
            <v>15</v>
          </cell>
          <cell r="U762">
            <v>7</v>
          </cell>
          <cell r="V762">
            <v>6</v>
          </cell>
          <cell r="W762">
            <v>12</v>
          </cell>
          <cell r="X762">
            <v>12</v>
          </cell>
          <cell r="Y762">
            <v>0</v>
          </cell>
          <cell r="Z762" t="str">
            <v>Senior</v>
          </cell>
          <cell r="AA762" t="str">
            <v>Medium</v>
          </cell>
          <cell r="AB762" t="str">
            <v>Long</v>
          </cell>
          <cell r="AC762" t="str">
            <v>Low</v>
          </cell>
          <cell r="AD762">
            <v>1050</v>
          </cell>
        </row>
        <row r="763">
          <cell r="A763">
            <v>36</v>
          </cell>
          <cell r="B763" t="str">
            <v>Yes</v>
          </cell>
          <cell r="C763" t="str">
            <v>Research &amp; Development</v>
          </cell>
          <cell r="D763">
            <v>15</v>
          </cell>
          <cell r="E763">
            <v>3</v>
          </cell>
          <cell r="F763" t="str">
            <v>Other</v>
          </cell>
          <cell r="G763">
            <v>1</v>
          </cell>
          <cell r="H763" t="str">
            <v>Male</v>
          </cell>
          <cell r="I763">
            <v>3</v>
          </cell>
          <cell r="J763">
            <v>2</v>
          </cell>
          <cell r="K763" t="str">
            <v>Laboratory Technician</v>
          </cell>
          <cell r="L763">
            <v>3</v>
          </cell>
          <cell r="M763" t="str">
            <v>Divorced</v>
          </cell>
          <cell r="N763">
            <v>4834</v>
          </cell>
          <cell r="O763">
            <v>7</v>
          </cell>
          <cell r="P763" t="str">
            <v>No</v>
          </cell>
          <cell r="Q763">
            <v>2</v>
          </cell>
          <cell r="R763">
            <v>9</v>
          </cell>
          <cell r="S763">
            <v>2</v>
          </cell>
          <cell r="T763">
            <v>1</v>
          </cell>
          <cell r="U763">
            <v>0</v>
          </cell>
          <cell r="V763">
            <v>0</v>
          </cell>
          <cell r="W763">
            <v>0</v>
          </cell>
          <cell r="X763">
            <v>14</v>
          </cell>
          <cell r="Y763">
            <v>1</v>
          </cell>
          <cell r="Z763" t="str">
            <v>Mid</v>
          </cell>
          <cell r="AA763" t="str">
            <v>Low</v>
          </cell>
          <cell r="AB763" t="str">
            <v>Early</v>
          </cell>
          <cell r="AC763" t="str">
            <v>Medium</v>
          </cell>
          <cell r="AD763">
            <v>1052</v>
          </cell>
        </row>
        <row r="764">
          <cell r="A764">
            <v>26</v>
          </cell>
          <cell r="B764" t="str">
            <v>Yes</v>
          </cell>
          <cell r="C764" t="str">
            <v>Research &amp; Development</v>
          </cell>
          <cell r="D764">
            <v>2</v>
          </cell>
          <cell r="E764">
            <v>3</v>
          </cell>
          <cell r="F764" t="str">
            <v>Life Sciences</v>
          </cell>
          <cell r="G764">
            <v>1</v>
          </cell>
          <cell r="H764" t="str">
            <v>Male</v>
          </cell>
          <cell r="I764">
            <v>3</v>
          </cell>
          <cell r="J764">
            <v>1</v>
          </cell>
          <cell r="K764" t="str">
            <v>Research Scientist</v>
          </cell>
          <cell r="L764">
            <v>1</v>
          </cell>
          <cell r="M764" t="str">
            <v>Married</v>
          </cell>
          <cell r="N764">
            <v>2042</v>
          </cell>
          <cell r="O764">
            <v>6</v>
          </cell>
          <cell r="P764" t="str">
            <v>Yes</v>
          </cell>
          <cell r="Q764">
            <v>2</v>
          </cell>
          <cell r="R764">
            <v>6</v>
          </cell>
          <cell r="S764">
            <v>3</v>
          </cell>
          <cell r="T764">
            <v>3</v>
          </cell>
          <cell r="U764">
            <v>2</v>
          </cell>
          <cell r="V764">
            <v>1</v>
          </cell>
          <cell r="W764">
            <v>2</v>
          </cell>
          <cell r="X764">
            <v>14</v>
          </cell>
          <cell r="Y764">
            <v>1</v>
          </cell>
          <cell r="Z764" t="str">
            <v>Young</v>
          </cell>
          <cell r="AA764" t="str">
            <v>Low</v>
          </cell>
          <cell r="AB764" t="str">
            <v>Mid</v>
          </cell>
          <cell r="AC764" t="str">
            <v>Medium</v>
          </cell>
          <cell r="AD764">
            <v>1053</v>
          </cell>
        </row>
        <row r="765">
          <cell r="A765">
            <v>34</v>
          </cell>
          <cell r="B765" t="str">
            <v>No</v>
          </cell>
          <cell r="C765" t="str">
            <v>Sales</v>
          </cell>
          <cell r="D765">
            <v>10</v>
          </cell>
          <cell r="E765">
            <v>4</v>
          </cell>
          <cell r="F765" t="str">
            <v>Life Sciences</v>
          </cell>
          <cell r="G765">
            <v>3</v>
          </cell>
          <cell r="H765" t="str">
            <v>Female</v>
          </cell>
          <cell r="I765">
            <v>3</v>
          </cell>
          <cell r="J765">
            <v>1</v>
          </cell>
          <cell r="K765" t="str">
            <v>Sales Representative</v>
          </cell>
          <cell r="L765">
            <v>3</v>
          </cell>
          <cell r="M765" t="str">
            <v>Married</v>
          </cell>
          <cell r="N765">
            <v>2220</v>
          </cell>
          <cell r="O765">
            <v>1</v>
          </cell>
          <cell r="P765" t="str">
            <v>Yes</v>
          </cell>
          <cell r="Q765">
            <v>4</v>
          </cell>
          <cell r="R765">
            <v>1</v>
          </cell>
          <cell r="S765">
            <v>3</v>
          </cell>
          <cell r="T765">
            <v>1</v>
          </cell>
          <cell r="U765">
            <v>1</v>
          </cell>
          <cell r="V765">
            <v>0</v>
          </cell>
          <cell r="W765">
            <v>0</v>
          </cell>
          <cell r="X765">
            <v>19</v>
          </cell>
          <cell r="Y765">
            <v>0</v>
          </cell>
          <cell r="Z765" t="str">
            <v>Mid</v>
          </cell>
          <cell r="AA765" t="str">
            <v>Low</v>
          </cell>
          <cell r="AB765" t="str">
            <v>Early</v>
          </cell>
          <cell r="AC765" t="str">
            <v>High</v>
          </cell>
          <cell r="AD765">
            <v>1055</v>
          </cell>
        </row>
        <row r="766">
          <cell r="A766">
            <v>28</v>
          </cell>
          <cell r="B766" t="str">
            <v>No</v>
          </cell>
          <cell r="C766" t="str">
            <v>Sales</v>
          </cell>
          <cell r="D766">
            <v>10</v>
          </cell>
          <cell r="E766">
            <v>1</v>
          </cell>
          <cell r="F766" t="str">
            <v>Medical</v>
          </cell>
          <cell r="G766">
            <v>4</v>
          </cell>
          <cell r="H766" t="str">
            <v>Male</v>
          </cell>
          <cell r="I766">
            <v>3</v>
          </cell>
          <cell r="J766">
            <v>1</v>
          </cell>
          <cell r="K766" t="str">
            <v>Sales Representative</v>
          </cell>
          <cell r="L766">
            <v>2</v>
          </cell>
          <cell r="M766" t="str">
            <v>Married</v>
          </cell>
          <cell r="N766">
            <v>1052</v>
          </cell>
          <cell r="O766">
            <v>1</v>
          </cell>
          <cell r="P766" t="str">
            <v>No</v>
          </cell>
          <cell r="Q766">
            <v>2</v>
          </cell>
          <cell r="R766">
            <v>1</v>
          </cell>
          <cell r="S766">
            <v>3</v>
          </cell>
          <cell r="T766">
            <v>1</v>
          </cell>
          <cell r="U766">
            <v>0</v>
          </cell>
          <cell r="V766">
            <v>0</v>
          </cell>
          <cell r="W766">
            <v>0</v>
          </cell>
          <cell r="X766">
            <v>22</v>
          </cell>
          <cell r="Y766">
            <v>0</v>
          </cell>
          <cell r="Z766" t="str">
            <v>Young</v>
          </cell>
          <cell r="AA766" t="str">
            <v>Low</v>
          </cell>
          <cell r="AB766" t="str">
            <v>Early</v>
          </cell>
          <cell r="AC766" t="str">
            <v>High</v>
          </cell>
          <cell r="AD766">
            <v>1056</v>
          </cell>
        </row>
        <row r="767">
          <cell r="A767">
            <v>38</v>
          </cell>
          <cell r="B767" t="str">
            <v>No</v>
          </cell>
          <cell r="C767" t="str">
            <v>Research &amp; Development</v>
          </cell>
          <cell r="D767">
            <v>3</v>
          </cell>
          <cell r="E767">
            <v>4</v>
          </cell>
          <cell r="F767" t="str">
            <v>Other</v>
          </cell>
          <cell r="G767">
            <v>3</v>
          </cell>
          <cell r="H767" t="str">
            <v>Male</v>
          </cell>
          <cell r="I767">
            <v>3</v>
          </cell>
          <cell r="J767">
            <v>1</v>
          </cell>
          <cell r="K767" t="str">
            <v>Research Scientist</v>
          </cell>
          <cell r="L767">
            <v>3</v>
          </cell>
          <cell r="M767" t="str">
            <v>Married</v>
          </cell>
          <cell r="N767">
            <v>2821</v>
          </cell>
          <cell r="O767">
            <v>3</v>
          </cell>
          <cell r="P767" t="str">
            <v>No</v>
          </cell>
          <cell r="Q767">
            <v>1</v>
          </cell>
          <cell r="R767">
            <v>8</v>
          </cell>
          <cell r="S767">
            <v>3</v>
          </cell>
          <cell r="T767">
            <v>2</v>
          </cell>
          <cell r="U767">
            <v>2</v>
          </cell>
          <cell r="V767">
            <v>2</v>
          </cell>
          <cell r="W767">
            <v>2</v>
          </cell>
          <cell r="X767">
            <v>16</v>
          </cell>
          <cell r="Y767">
            <v>0</v>
          </cell>
          <cell r="Z767" t="str">
            <v>Mid</v>
          </cell>
          <cell r="AA767" t="str">
            <v>Low</v>
          </cell>
          <cell r="AB767" t="str">
            <v>Early</v>
          </cell>
          <cell r="AC767" t="str">
            <v>Medium</v>
          </cell>
          <cell r="AD767">
            <v>1060</v>
          </cell>
        </row>
        <row r="768">
          <cell r="A768">
            <v>50</v>
          </cell>
          <cell r="B768" t="str">
            <v>No</v>
          </cell>
          <cell r="C768" t="str">
            <v>Research &amp; Development</v>
          </cell>
          <cell r="D768">
            <v>2</v>
          </cell>
          <cell r="E768">
            <v>4</v>
          </cell>
          <cell r="F768" t="str">
            <v>Medical</v>
          </cell>
          <cell r="G768">
            <v>2</v>
          </cell>
          <cell r="H768" t="str">
            <v>Male</v>
          </cell>
          <cell r="I768">
            <v>3</v>
          </cell>
          <cell r="J768">
            <v>5</v>
          </cell>
          <cell r="K768" t="str">
            <v>Research Director</v>
          </cell>
          <cell r="L768">
            <v>3</v>
          </cell>
          <cell r="M768" t="str">
            <v>Married</v>
          </cell>
          <cell r="N768">
            <v>19237</v>
          </cell>
          <cell r="O768">
            <v>2</v>
          </cell>
          <cell r="P768" t="str">
            <v>Yes</v>
          </cell>
          <cell r="Q768">
            <v>4</v>
          </cell>
          <cell r="R768">
            <v>29</v>
          </cell>
          <cell r="S768">
            <v>2</v>
          </cell>
          <cell r="T768">
            <v>8</v>
          </cell>
          <cell r="U768">
            <v>1</v>
          </cell>
          <cell r="V768">
            <v>7</v>
          </cell>
          <cell r="W768">
            <v>7</v>
          </cell>
          <cell r="X768">
            <v>11</v>
          </cell>
          <cell r="Y768">
            <v>0</v>
          </cell>
          <cell r="Z768" t="str">
            <v>Senior</v>
          </cell>
          <cell r="AA768" t="str">
            <v>High</v>
          </cell>
          <cell r="AB768" t="str">
            <v>Long</v>
          </cell>
          <cell r="AC768" t="str">
            <v>Low</v>
          </cell>
          <cell r="AD768">
            <v>1061</v>
          </cell>
        </row>
        <row r="769">
          <cell r="A769">
            <v>37</v>
          </cell>
          <cell r="B769" t="str">
            <v>No</v>
          </cell>
          <cell r="C769" t="str">
            <v>Research &amp; Development</v>
          </cell>
          <cell r="D769">
            <v>3</v>
          </cell>
          <cell r="E769">
            <v>3</v>
          </cell>
          <cell r="F769" t="str">
            <v>Other</v>
          </cell>
          <cell r="G769">
            <v>4</v>
          </cell>
          <cell r="H769" t="str">
            <v>Female</v>
          </cell>
          <cell r="I769">
            <v>3</v>
          </cell>
          <cell r="J769">
            <v>2</v>
          </cell>
          <cell r="K769" t="str">
            <v>Healthcare Representative</v>
          </cell>
          <cell r="L769">
            <v>2</v>
          </cell>
          <cell r="M769" t="str">
            <v>Single</v>
          </cell>
          <cell r="N769">
            <v>4107</v>
          </cell>
          <cell r="O769">
            <v>3</v>
          </cell>
          <cell r="P769" t="str">
            <v>No</v>
          </cell>
          <cell r="Q769">
            <v>1</v>
          </cell>
          <cell r="R769">
            <v>8</v>
          </cell>
          <cell r="S769">
            <v>2</v>
          </cell>
          <cell r="T769">
            <v>4</v>
          </cell>
          <cell r="U769">
            <v>3</v>
          </cell>
          <cell r="V769">
            <v>0</v>
          </cell>
          <cell r="W769">
            <v>1</v>
          </cell>
          <cell r="X769">
            <v>15</v>
          </cell>
          <cell r="Y769">
            <v>0</v>
          </cell>
          <cell r="Z769" t="str">
            <v>Mid</v>
          </cell>
          <cell r="AA769" t="str">
            <v>Low</v>
          </cell>
          <cell r="AB769" t="str">
            <v>Mid</v>
          </cell>
          <cell r="AC769" t="str">
            <v>Medium</v>
          </cell>
          <cell r="AD769">
            <v>1062</v>
          </cell>
        </row>
        <row r="770">
          <cell r="A770">
            <v>40</v>
          </cell>
          <cell r="B770" t="str">
            <v>No</v>
          </cell>
          <cell r="C770" t="str">
            <v>Sales</v>
          </cell>
          <cell r="D770">
            <v>26</v>
          </cell>
          <cell r="E770">
            <v>3</v>
          </cell>
          <cell r="F770" t="str">
            <v>Marketing</v>
          </cell>
          <cell r="G770">
            <v>3</v>
          </cell>
          <cell r="H770" t="str">
            <v>Male</v>
          </cell>
          <cell r="I770">
            <v>3</v>
          </cell>
          <cell r="J770">
            <v>2</v>
          </cell>
          <cell r="K770" t="str">
            <v>Sales Executive</v>
          </cell>
          <cell r="L770">
            <v>1</v>
          </cell>
          <cell r="M770" t="str">
            <v>Married</v>
          </cell>
          <cell r="N770">
            <v>8396</v>
          </cell>
          <cell r="O770">
            <v>1</v>
          </cell>
          <cell r="P770" t="str">
            <v>No</v>
          </cell>
          <cell r="Q770">
            <v>2</v>
          </cell>
          <cell r="R770">
            <v>8</v>
          </cell>
          <cell r="S770">
            <v>2</v>
          </cell>
          <cell r="T770">
            <v>7</v>
          </cell>
          <cell r="U770">
            <v>7</v>
          </cell>
          <cell r="V770">
            <v>7</v>
          </cell>
          <cell r="W770">
            <v>5</v>
          </cell>
          <cell r="X770">
            <v>14</v>
          </cell>
          <cell r="Y770">
            <v>0</v>
          </cell>
          <cell r="Z770" t="str">
            <v>Mid</v>
          </cell>
          <cell r="AA770" t="str">
            <v>Medium</v>
          </cell>
          <cell r="AB770" t="str">
            <v>Long</v>
          </cell>
          <cell r="AC770" t="str">
            <v>Medium</v>
          </cell>
          <cell r="AD770">
            <v>1066</v>
          </cell>
        </row>
        <row r="771">
          <cell r="A771">
            <v>26</v>
          </cell>
          <cell r="B771" t="str">
            <v>No</v>
          </cell>
          <cell r="C771" t="str">
            <v>Research &amp; Development</v>
          </cell>
          <cell r="D771">
            <v>1</v>
          </cell>
          <cell r="E771">
            <v>1</v>
          </cell>
          <cell r="F771" t="str">
            <v>Medical</v>
          </cell>
          <cell r="G771">
            <v>1</v>
          </cell>
          <cell r="H771" t="str">
            <v>Female</v>
          </cell>
          <cell r="I771">
            <v>2</v>
          </cell>
          <cell r="J771">
            <v>1</v>
          </cell>
          <cell r="K771" t="str">
            <v>Research Scientist</v>
          </cell>
          <cell r="L771">
            <v>3</v>
          </cell>
          <cell r="M771" t="str">
            <v>Divorced</v>
          </cell>
          <cell r="N771">
            <v>2007</v>
          </cell>
          <cell r="O771">
            <v>1</v>
          </cell>
          <cell r="P771" t="str">
            <v>No</v>
          </cell>
          <cell r="Q771">
            <v>3</v>
          </cell>
          <cell r="R771">
            <v>5</v>
          </cell>
          <cell r="S771">
            <v>3</v>
          </cell>
          <cell r="T771">
            <v>5</v>
          </cell>
          <cell r="U771">
            <v>3</v>
          </cell>
          <cell r="V771">
            <v>1</v>
          </cell>
          <cell r="W771">
            <v>3</v>
          </cell>
          <cell r="X771">
            <v>13</v>
          </cell>
          <cell r="Y771">
            <v>0</v>
          </cell>
          <cell r="Z771" t="str">
            <v>Young</v>
          </cell>
          <cell r="AA771" t="str">
            <v>Low</v>
          </cell>
          <cell r="AB771" t="str">
            <v>Mid</v>
          </cell>
          <cell r="AC771" t="str">
            <v>Medium</v>
          </cell>
          <cell r="AD771">
            <v>1068</v>
          </cell>
        </row>
        <row r="772">
          <cell r="A772">
            <v>46</v>
          </cell>
          <cell r="B772" t="str">
            <v>No</v>
          </cell>
          <cell r="C772" t="str">
            <v>Research &amp; Development</v>
          </cell>
          <cell r="D772">
            <v>1</v>
          </cell>
          <cell r="E772">
            <v>4</v>
          </cell>
          <cell r="F772" t="str">
            <v>Medical</v>
          </cell>
          <cell r="G772">
            <v>4</v>
          </cell>
          <cell r="H772" t="str">
            <v>Male</v>
          </cell>
          <cell r="I772">
            <v>3</v>
          </cell>
          <cell r="J772">
            <v>5</v>
          </cell>
          <cell r="K772" t="str">
            <v>Research Director</v>
          </cell>
          <cell r="L772">
            <v>4</v>
          </cell>
          <cell r="M772" t="str">
            <v>Divorced</v>
          </cell>
          <cell r="N772">
            <v>19627</v>
          </cell>
          <cell r="O772">
            <v>9</v>
          </cell>
          <cell r="P772" t="str">
            <v>No</v>
          </cell>
          <cell r="Q772">
            <v>4</v>
          </cell>
          <cell r="R772">
            <v>23</v>
          </cell>
          <cell r="S772">
            <v>3</v>
          </cell>
          <cell r="T772">
            <v>2</v>
          </cell>
          <cell r="U772">
            <v>2</v>
          </cell>
          <cell r="V772">
            <v>2</v>
          </cell>
          <cell r="W772">
            <v>2</v>
          </cell>
          <cell r="X772">
            <v>17</v>
          </cell>
          <cell r="Y772">
            <v>0</v>
          </cell>
          <cell r="Z772" t="str">
            <v>Senior</v>
          </cell>
          <cell r="AA772" t="str">
            <v>High</v>
          </cell>
          <cell r="AB772" t="str">
            <v>Early</v>
          </cell>
          <cell r="AC772" t="str">
            <v>Medium</v>
          </cell>
          <cell r="AD772">
            <v>1069</v>
          </cell>
        </row>
        <row r="773">
          <cell r="A773">
            <v>54</v>
          </cell>
          <cell r="B773" t="str">
            <v>No</v>
          </cell>
          <cell r="C773" t="str">
            <v>Sales</v>
          </cell>
          <cell r="D773">
            <v>2</v>
          </cell>
          <cell r="E773">
            <v>4</v>
          </cell>
          <cell r="F773" t="str">
            <v>Life Sciences</v>
          </cell>
          <cell r="G773">
            <v>3</v>
          </cell>
          <cell r="H773" t="str">
            <v>Female</v>
          </cell>
          <cell r="I773">
            <v>2</v>
          </cell>
          <cell r="J773">
            <v>3</v>
          </cell>
          <cell r="K773" t="str">
            <v>Sales Executive</v>
          </cell>
          <cell r="L773">
            <v>3</v>
          </cell>
          <cell r="M773" t="str">
            <v>Married</v>
          </cell>
          <cell r="N773">
            <v>10686</v>
          </cell>
          <cell r="O773">
            <v>6</v>
          </cell>
          <cell r="P773" t="str">
            <v>No</v>
          </cell>
          <cell r="Q773">
            <v>2</v>
          </cell>
          <cell r="R773">
            <v>13</v>
          </cell>
          <cell r="S773">
            <v>3</v>
          </cell>
          <cell r="T773">
            <v>9</v>
          </cell>
          <cell r="U773">
            <v>4</v>
          </cell>
          <cell r="V773">
            <v>7</v>
          </cell>
          <cell r="W773">
            <v>0</v>
          </cell>
          <cell r="X773">
            <v>11</v>
          </cell>
          <cell r="Y773">
            <v>0</v>
          </cell>
          <cell r="Z773" t="str">
            <v>Senior</v>
          </cell>
          <cell r="AA773" t="str">
            <v>High</v>
          </cell>
          <cell r="AB773" t="str">
            <v>Long</v>
          </cell>
          <cell r="AC773" t="str">
            <v>Low</v>
          </cell>
          <cell r="AD773">
            <v>1070</v>
          </cell>
        </row>
        <row r="774">
          <cell r="A774">
            <v>56</v>
          </cell>
          <cell r="B774" t="str">
            <v>No</v>
          </cell>
          <cell r="C774" t="str">
            <v>Research &amp; Development</v>
          </cell>
          <cell r="D774">
            <v>9</v>
          </cell>
          <cell r="E774">
            <v>3</v>
          </cell>
          <cell r="F774" t="str">
            <v>Medical</v>
          </cell>
          <cell r="G774">
            <v>1</v>
          </cell>
          <cell r="H774" t="str">
            <v>Female</v>
          </cell>
          <cell r="I774">
            <v>3</v>
          </cell>
          <cell r="J774">
            <v>1</v>
          </cell>
          <cell r="K774" t="str">
            <v>Research Scientist</v>
          </cell>
          <cell r="L774">
            <v>3</v>
          </cell>
          <cell r="M774" t="str">
            <v>Married</v>
          </cell>
          <cell r="N774">
            <v>2942</v>
          </cell>
          <cell r="O774">
            <v>2</v>
          </cell>
          <cell r="P774" t="str">
            <v>No</v>
          </cell>
          <cell r="Q774">
            <v>2</v>
          </cell>
          <cell r="R774">
            <v>18</v>
          </cell>
          <cell r="S774">
            <v>3</v>
          </cell>
          <cell r="T774">
            <v>5</v>
          </cell>
          <cell r="U774">
            <v>4</v>
          </cell>
          <cell r="V774">
            <v>0</v>
          </cell>
          <cell r="W774">
            <v>3</v>
          </cell>
          <cell r="X774">
            <v>19</v>
          </cell>
          <cell r="Y774">
            <v>0</v>
          </cell>
          <cell r="Z774" t="str">
            <v>Senior</v>
          </cell>
          <cell r="AA774" t="str">
            <v>Low</v>
          </cell>
          <cell r="AB774" t="str">
            <v>Mid</v>
          </cell>
          <cell r="AC774" t="str">
            <v>High</v>
          </cell>
          <cell r="AD774">
            <v>1071</v>
          </cell>
        </row>
        <row r="775">
          <cell r="A775">
            <v>36</v>
          </cell>
          <cell r="B775" t="str">
            <v>No</v>
          </cell>
          <cell r="C775" t="str">
            <v>Research &amp; Development</v>
          </cell>
          <cell r="D775">
            <v>12</v>
          </cell>
          <cell r="E775">
            <v>5</v>
          </cell>
          <cell r="F775" t="str">
            <v>Medical</v>
          </cell>
          <cell r="G775">
            <v>4</v>
          </cell>
          <cell r="H775" t="str">
            <v>Female</v>
          </cell>
          <cell r="I775">
            <v>2</v>
          </cell>
          <cell r="J775">
            <v>3</v>
          </cell>
          <cell r="K775" t="str">
            <v>Manufacturing Director</v>
          </cell>
          <cell r="L775">
            <v>4</v>
          </cell>
          <cell r="M775" t="str">
            <v>Single</v>
          </cell>
          <cell r="N775">
            <v>8858</v>
          </cell>
          <cell r="O775">
            <v>0</v>
          </cell>
          <cell r="P775" t="str">
            <v>No</v>
          </cell>
          <cell r="Q775">
            <v>2</v>
          </cell>
          <cell r="R775">
            <v>15</v>
          </cell>
          <cell r="S775">
            <v>2</v>
          </cell>
          <cell r="T775">
            <v>14</v>
          </cell>
          <cell r="U775">
            <v>8</v>
          </cell>
          <cell r="V775">
            <v>7</v>
          </cell>
          <cell r="W775">
            <v>8</v>
          </cell>
          <cell r="X775">
            <v>11</v>
          </cell>
          <cell r="Y775">
            <v>0</v>
          </cell>
          <cell r="Z775" t="str">
            <v>Mid</v>
          </cell>
          <cell r="AA775" t="str">
            <v>Medium</v>
          </cell>
          <cell r="AB775" t="str">
            <v>Long</v>
          </cell>
          <cell r="AC775" t="str">
            <v>Low</v>
          </cell>
          <cell r="AD775">
            <v>1073</v>
          </cell>
        </row>
        <row r="776">
          <cell r="A776">
            <v>55</v>
          </cell>
          <cell r="B776" t="str">
            <v>No</v>
          </cell>
          <cell r="C776" t="str">
            <v>Research &amp; Development</v>
          </cell>
          <cell r="D776">
            <v>2</v>
          </cell>
          <cell r="E776">
            <v>1</v>
          </cell>
          <cell r="F776" t="str">
            <v>Medical</v>
          </cell>
          <cell r="G776">
            <v>3</v>
          </cell>
          <cell r="H776" t="str">
            <v>Male</v>
          </cell>
          <cell r="I776">
            <v>2</v>
          </cell>
          <cell r="J776">
            <v>4</v>
          </cell>
          <cell r="K776" t="str">
            <v>Manager</v>
          </cell>
          <cell r="L776">
            <v>1</v>
          </cell>
          <cell r="M776" t="str">
            <v>Single</v>
          </cell>
          <cell r="N776">
            <v>16756</v>
          </cell>
          <cell r="O776">
            <v>7</v>
          </cell>
          <cell r="P776" t="str">
            <v>No</v>
          </cell>
          <cell r="Q776">
            <v>2</v>
          </cell>
          <cell r="R776">
            <v>31</v>
          </cell>
          <cell r="S776">
            <v>4</v>
          </cell>
          <cell r="T776">
            <v>9</v>
          </cell>
          <cell r="U776">
            <v>7</v>
          </cell>
          <cell r="V776">
            <v>6</v>
          </cell>
          <cell r="W776">
            <v>2</v>
          </cell>
          <cell r="X776">
            <v>15</v>
          </cell>
          <cell r="Y776">
            <v>0</v>
          </cell>
          <cell r="Z776" t="str">
            <v>Senior</v>
          </cell>
          <cell r="AA776" t="str">
            <v>High</v>
          </cell>
          <cell r="AB776" t="str">
            <v>Long</v>
          </cell>
          <cell r="AC776" t="str">
            <v>Medium</v>
          </cell>
          <cell r="AD776">
            <v>1074</v>
          </cell>
        </row>
        <row r="777">
          <cell r="A777">
            <v>43</v>
          </cell>
          <cell r="B777" t="str">
            <v>No</v>
          </cell>
          <cell r="C777" t="str">
            <v>Sales</v>
          </cell>
          <cell r="D777">
            <v>25</v>
          </cell>
          <cell r="E777">
            <v>3</v>
          </cell>
          <cell r="F777" t="str">
            <v>Medical</v>
          </cell>
          <cell r="G777">
            <v>3</v>
          </cell>
          <cell r="H777" t="str">
            <v>Male</v>
          </cell>
          <cell r="I777">
            <v>2</v>
          </cell>
          <cell r="J777">
            <v>3</v>
          </cell>
          <cell r="K777" t="str">
            <v>Sales Executive</v>
          </cell>
          <cell r="L777">
            <v>4</v>
          </cell>
          <cell r="M777" t="str">
            <v>Divorced</v>
          </cell>
          <cell r="N777">
            <v>10798</v>
          </cell>
          <cell r="O777">
            <v>5</v>
          </cell>
          <cell r="P777" t="str">
            <v>No</v>
          </cell>
          <cell r="Q777">
            <v>3</v>
          </cell>
          <cell r="R777">
            <v>18</v>
          </cell>
          <cell r="S777">
            <v>3</v>
          </cell>
          <cell r="T777">
            <v>1</v>
          </cell>
          <cell r="U777">
            <v>0</v>
          </cell>
          <cell r="V777">
            <v>0</v>
          </cell>
          <cell r="W777">
            <v>0</v>
          </cell>
          <cell r="X777">
            <v>13</v>
          </cell>
          <cell r="Y777">
            <v>0</v>
          </cell>
          <cell r="Z777" t="str">
            <v>Mid</v>
          </cell>
          <cell r="AA777" t="str">
            <v>High</v>
          </cell>
          <cell r="AB777" t="str">
            <v>Early</v>
          </cell>
          <cell r="AC777" t="str">
            <v>Medium</v>
          </cell>
          <cell r="AD777">
            <v>1076</v>
          </cell>
        </row>
        <row r="778">
          <cell r="A778">
            <v>20</v>
          </cell>
          <cell r="B778" t="str">
            <v>Yes</v>
          </cell>
          <cell r="C778" t="str">
            <v>Sales</v>
          </cell>
          <cell r="D778">
            <v>9</v>
          </cell>
          <cell r="E778">
            <v>3</v>
          </cell>
          <cell r="F778" t="str">
            <v>Marketing</v>
          </cell>
          <cell r="G778">
            <v>4</v>
          </cell>
          <cell r="H778" t="str">
            <v>Female</v>
          </cell>
          <cell r="I778">
            <v>3</v>
          </cell>
          <cell r="J778">
            <v>1</v>
          </cell>
          <cell r="K778" t="str">
            <v>Sales Representative</v>
          </cell>
          <cell r="L778">
            <v>4</v>
          </cell>
          <cell r="M778" t="str">
            <v>Single</v>
          </cell>
          <cell r="N778">
            <v>2323</v>
          </cell>
          <cell r="O778">
            <v>1</v>
          </cell>
          <cell r="P778" t="str">
            <v>Yes</v>
          </cell>
          <cell r="Q778">
            <v>2</v>
          </cell>
          <cell r="R778">
            <v>2</v>
          </cell>
          <cell r="S778">
            <v>3</v>
          </cell>
          <cell r="T778">
            <v>2</v>
          </cell>
          <cell r="U778">
            <v>2</v>
          </cell>
          <cell r="V778">
            <v>0</v>
          </cell>
          <cell r="W778">
            <v>2</v>
          </cell>
          <cell r="X778">
            <v>14</v>
          </cell>
          <cell r="Y778">
            <v>1</v>
          </cell>
          <cell r="Z778" t="str">
            <v>Young</v>
          </cell>
          <cell r="AA778" t="str">
            <v>Low</v>
          </cell>
          <cell r="AB778" t="str">
            <v>Early</v>
          </cell>
          <cell r="AC778" t="str">
            <v>Medium</v>
          </cell>
          <cell r="AD778">
            <v>1077</v>
          </cell>
        </row>
        <row r="779">
          <cell r="A779">
            <v>21</v>
          </cell>
          <cell r="B779" t="str">
            <v>Yes</v>
          </cell>
          <cell r="C779" t="str">
            <v>Research &amp; Development</v>
          </cell>
          <cell r="D779">
            <v>10</v>
          </cell>
          <cell r="E779">
            <v>3</v>
          </cell>
          <cell r="F779" t="str">
            <v>Life Sciences</v>
          </cell>
          <cell r="G779">
            <v>3</v>
          </cell>
          <cell r="H779" t="str">
            <v>Female</v>
          </cell>
          <cell r="I779">
            <v>2</v>
          </cell>
          <cell r="J779">
            <v>1</v>
          </cell>
          <cell r="K779" t="str">
            <v>Laboratory Technician</v>
          </cell>
          <cell r="L779">
            <v>1</v>
          </cell>
          <cell r="M779" t="str">
            <v>Single</v>
          </cell>
          <cell r="N779">
            <v>1416</v>
          </cell>
          <cell r="O779">
            <v>1</v>
          </cell>
          <cell r="P779" t="str">
            <v>No</v>
          </cell>
          <cell r="Q779">
            <v>1</v>
          </cell>
          <cell r="R779">
            <v>1</v>
          </cell>
          <cell r="S779">
            <v>2</v>
          </cell>
          <cell r="T779">
            <v>1</v>
          </cell>
          <cell r="U779">
            <v>0</v>
          </cell>
          <cell r="V779">
            <v>1</v>
          </cell>
          <cell r="W779">
            <v>0</v>
          </cell>
          <cell r="X779">
            <v>13</v>
          </cell>
          <cell r="Y779">
            <v>1</v>
          </cell>
          <cell r="Z779" t="str">
            <v>Young</v>
          </cell>
          <cell r="AA779" t="str">
            <v>Low</v>
          </cell>
          <cell r="AB779" t="str">
            <v>Early</v>
          </cell>
          <cell r="AC779" t="str">
            <v>Medium</v>
          </cell>
          <cell r="AD779">
            <v>1079</v>
          </cell>
        </row>
        <row r="780">
          <cell r="A780">
            <v>46</v>
          </cell>
          <cell r="B780" t="str">
            <v>No</v>
          </cell>
          <cell r="C780" t="str">
            <v>Research &amp; Development</v>
          </cell>
          <cell r="D780">
            <v>8</v>
          </cell>
          <cell r="E780">
            <v>4</v>
          </cell>
          <cell r="F780" t="str">
            <v>Life Sciences</v>
          </cell>
          <cell r="G780">
            <v>4</v>
          </cell>
          <cell r="H780" t="str">
            <v>Female</v>
          </cell>
          <cell r="I780">
            <v>2</v>
          </cell>
          <cell r="J780">
            <v>2</v>
          </cell>
          <cell r="K780" t="str">
            <v>Research Scientist</v>
          </cell>
          <cell r="L780">
            <v>1</v>
          </cell>
          <cell r="M780" t="str">
            <v>Divorced</v>
          </cell>
          <cell r="N780">
            <v>4615</v>
          </cell>
          <cell r="O780">
            <v>8</v>
          </cell>
          <cell r="P780" t="str">
            <v>Yes</v>
          </cell>
          <cell r="Q780">
            <v>1</v>
          </cell>
          <cell r="R780">
            <v>19</v>
          </cell>
          <cell r="S780">
            <v>3</v>
          </cell>
          <cell r="T780">
            <v>16</v>
          </cell>
          <cell r="U780">
            <v>13</v>
          </cell>
          <cell r="V780">
            <v>1</v>
          </cell>
          <cell r="W780">
            <v>7</v>
          </cell>
          <cell r="X780">
            <v>23</v>
          </cell>
          <cell r="Y780">
            <v>0</v>
          </cell>
          <cell r="Z780" t="str">
            <v>Senior</v>
          </cell>
          <cell r="AA780" t="str">
            <v>Low</v>
          </cell>
          <cell r="AB780" t="str">
            <v>Long</v>
          </cell>
          <cell r="AC780" t="str">
            <v>High</v>
          </cell>
          <cell r="AD780">
            <v>1080</v>
          </cell>
        </row>
        <row r="781">
          <cell r="A781">
            <v>51</v>
          </cell>
          <cell r="B781" t="str">
            <v>Yes</v>
          </cell>
          <cell r="C781" t="str">
            <v>Research &amp; Development</v>
          </cell>
          <cell r="D781">
            <v>4</v>
          </cell>
          <cell r="E781">
            <v>4</v>
          </cell>
          <cell r="F781" t="str">
            <v>Life Sciences</v>
          </cell>
          <cell r="G781">
            <v>1</v>
          </cell>
          <cell r="H781" t="str">
            <v>Male</v>
          </cell>
          <cell r="I781">
            <v>3</v>
          </cell>
          <cell r="J781">
            <v>1</v>
          </cell>
          <cell r="K781" t="str">
            <v>Research Scientist</v>
          </cell>
          <cell r="L781">
            <v>3</v>
          </cell>
          <cell r="M781" t="str">
            <v>Married</v>
          </cell>
          <cell r="N781">
            <v>2461</v>
          </cell>
          <cell r="O781">
            <v>9</v>
          </cell>
          <cell r="P781" t="str">
            <v>Yes</v>
          </cell>
          <cell r="Q781">
            <v>3</v>
          </cell>
          <cell r="R781">
            <v>18</v>
          </cell>
          <cell r="S781">
            <v>4</v>
          </cell>
          <cell r="T781">
            <v>10</v>
          </cell>
          <cell r="U781">
            <v>0</v>
          </cell>
          <cell r="V781">
            <v>2</v>
          </cell>
          <cell r="W781">
            <v>7</v>
          </cell>
          <cell r="X781">
            <v>12</v>
          </cell>
          <cell r="Y781">
            <v>1</v>
          </cell>
          <cell r="Z781" t="str">
            <v>Senior</v>
          </cell>
          <cell r="AA781" t="str">
            <v>Low</v>
          </cell>
          <cell r="AB781" t="str">
            <v>Long</v>
          </cell>
          <cell r="AC781" t="str">
            <v>Low</v>
          </cell>
          <cell r="AD781">
            <v>1081</v>
          </cell>
        </row>
        <row r="782">
          <cell r="A782">
            <v>28</v>
          </cell>
          <cell r="B782" t="str">
            <v>Yes</v>
          </cell>
          <cell r="C782" t="str">
            <v>Research &amp; Development</v>
          </cell>
          <cell r="D782">
            <v>24</v>
          </cell>
          <cell r="E782">
            <v>2</v>
          </cell>
          <cell r="F782" t="str">
            <v>Technical Degree</v>
          </cell>
          <cell r="G782">
            <v>2</v>
          </cell>
          <cell r="H782" t="str">
            <v>Male</v>
          </cell>
          <cell r="I782">
            <v>2</v>
          </cell>
          <cell r="J782">
            <v>3</v>
          </cell>
          <cell r="K782" t="str">
            <v>Healthcare Representative</v>
          </cell>
          <cell r="L782">
            <v>1</v>
          </cell>
          <cell r="M782" t="str">
            <v>Single</v>
          </cell>
          <cell r="N782">
            <v>8722</v>
          </cell>
          <cell r="O782">
            <v>1</v>
          </cell>
          <cell r="P782" t="str">
            <v>No</v>
          </cell>
          <cell r="Q782">
            <v>1</v>
          </cell>
          <cell r="R782">
            <v>10</v>
          </cell>
          <cell r="S782">
            <v>2</v>
          </cell>
          <cell r="T782">
            <v>10</v>
          </cell>
          <cell r="U782">
            <v>7</v>
          </cell>
          <cell r="V782">
            <v>1</v>
          </cell>
          <cell r="W782">
            <v>9</v>
          </cell>
          <cell r="X782">
            <v>12</v>
          </cell>
          <cell r="Y782">
            <v>1</v>
          </cell>
          <cell r="Z782" t="str">
            <v>Young</v>
          </cell>
          <cell r="AA782" t="str">
            <v>Medium</v>
          </cell>
          <cell r="AB782" t="str">
            <v>Long</v>
          </cell>
          <cell r="AC782" t="str">
            <v>Low</v>
          </cell>
          <cell r="AD782">
            <v>1082</v>
          </cell>
        </row>
        <row r="783">
          <cell r="A783">
            <v>26</v>
          </cell>
          <cell r="B783" t="str">
            <v>No</v>
          </cell>
          <cell r="C783" t="str">
            <v>Research &amp; Development</v>
          </cell>
          <cell r="D783">
            <v>1</v>
          </cell>
          <cell r="E783">
            <v>2</v>
          </cell>
          <cell r="F783" t="str">
            <v>Medical</v>
          </cell>
          <cell r="G783">
            <v>1</v>
          </cell>
          <cell r="H783" t="str">
            <v>Male</v>
          </cell>
          <cell r="I783">
            <v>2</v>
          </cell>
          <cell r="J783">
            <v>1</v>
          </cell>
          <cell r="K783" t="str">
            <v>Laboratory Technician</v>
          </cell>
          <cell r="L783">
            <v>1</v>
          </cell>
          <cell r="M783" t="str">
            <v>Married</v>
          </cell>
          <cell r="N783">
            <v>3955</v>
          </cell>
          <cell r="O783">
            <v>1</v>
          </cell>
          <cell r="P783" t="str">
            <v>No</v>
          </cell>
          <cell r="Q783">
            <v>1</v>
          </cell>
          <cell r="R783">
            <v>6</v>
          </cell>
          <cell r="S783">
            <v>3</v>
          </cell>
          <cell r="T783">
            <v>5</v>
          </cell>
          <cell r="U783">
            <v>3</v>
          </cell>
          <cell r="V783">
            <v>1</v>
          </cell>
          <cell r="W783">
            <v>3</v>
          </cell>
          <cell r="X783">
            <v>16</v>
          </cell>
          <cell r="Y783">
            <v>0</v>
          </cell>
          <cell r="Z783" t="str">
            <v>Young</v>
          </cell>
          <cell r="AA783" t="str">
            <v>Low</v>
          </cell>
          <cell r="AB783" t="str">
            <v>Mid</v>
          </cell>
          <cell r="AC783" t="str">
            <v>Medium</v>
          </cell>
          <cell r="AD783">
            <v>1083</v>
          </cell>
        </row>
        <row r="784">
          <cell r="A784">
            <v>30</v>
          </cell>
          <cell r="B784" t="str">
            <v>No</v>
          </cell>
          <cell r="C784" t="str">
            <v>Research &amp; Development</v>
          </cell>
          <cell r="D784">
            <v>20</v>
          </cell>
          <cell r="E784">
            <v>3</v>
          </cell>
          <cell r="F784" t="str">
            <v>Other</v>
          </cell>
          <cell r="G784">
            <v>3</v>
          </cell>
          <cell r="H784" t="str">
            <v>Male</v>
          </cell>
          <cell r="I784">
            <v>3</v>
          </cell>
          <cell r="J784">
            <v>2</v>
          </cell>
          <cell r="K784" t="str">
            <v>Manufacturing Director</v>
          </cell>
          <cell r="L784">
            <v>1</v>
          </cell>
          <cell r="M784" t="str">
            <v>Married</v>
          </cell>
          <cell r="N784">
            <v>9957</v>
          </cell>
          <cell r="O784">
            <v>0</v>
          </cell>
          <cell r="P784" t="str">
            <v>No</v>
          </cell>
          <cell r="Q784">
            <v>3</v>
          </cell>
          <cell r="R784">
            <v>7</v>
          </cell>
          <cell r="S784">
            <v>2</v>
          </cell>
          <cell r="T784">
            <v>6</v>
          </cell>
          <cell r="U784">
            <v>2</v>
          </cell>
          <cell r="V784">
            <v>0</v>
          </cell>
          <cell r="W784">
            <v>2</v>
          </cell>
          <cell r="X784">
            <v>15</v>
          </cell>
          <cell r="Y784">
            <v>0</v>
          </cell>
          <cell r="Z784" t="str">
            <v>Mid</v>
          </cell>
          <cell r="AA784" t="str">
            <v>Medium</v>
          </cell>
          <cell r="AB784" t="str">
            <v>Mid</v>
          </cell>
          <cell r="AC784" t="str">
            <v>Medium</v>
          </cell>
          <cell r="AD784">
            <v>1084</v>
          </cell>
        </row>
        <row r="785">
          <cell r="A785">
            <v>41</v>
          </cell>
          <cell r="B785" t="str">
            <v>No</v>
          </cell>
          <cell r="C785" t="str">
            <v>Research &amp; Development</v>
          </cell>
          <cell r="D785">
            <v>7</v>
          </cell>
          <cell r="E785">
            <v>2</v>
          </cell>
          <cell r="F785" t="str">
            <v>Technical Degree</v>
          </cell>
          <cell r="G785">
            <v>2</v>
          </cell>
          <cell r="H785" t="str">
            <v>Female</v>
          </cell>
          <cell r="I785">
            <v>4</v>
          </cell>
          <cell r="J785">
            <v>1</v>
          </cell>
          <cell r="K785" t="str">
            <v>Research Scientist</v>
          </cell>
          <cell r="L785">
            <v>3</v>
          </cell>
          <cell r="M785" t="str">
            <v>Married</v>
          </cell>
          <cell r="N785">
            <v>3376</v>
          </cell>
          <cell r="O785">
            <v>1</v>
          </cell>
          <cell r="P785" t="str">
            <v>No</v>
          </cell>
          <cell r="Q785">
            <v>3</v>
          </cell>
          <cell r="R785">
            <v>10</v>
          </cell>
          <cell r="S785">
            <v>3</v>
          </cell>
          <cell r="T785">
            <v>10</v>
          </cell>
          <cell r="U785">
            <v>6</v>
          </cell>
          <cell r="V785">
            <v>0</v>
          </cell>
          <cell r="W785">
            <v>8</v>
          </cell>
          <cell r="X785">
            <v>13</v>
          </cell>
          <cell r="Y785">
            <v>0</v>
          </cell>
          <cell r="Z785" t="str">
            <v>Mid</v>
          </cell>
          <cell r="AA785" t="str">
            <v>Low</v>
          </cell>
          <cell r="AB785" t="str">
            <v>Long</v>
          </cell>
          <cell r="AC785" t="str">
            <v>Medium</v>
          </cell>
          <cell r="AD785">
            <v>1085</v>
          </cell>
        </row>
        <row r="786">
          <cell r="A786">
            <v>38</v>
          </cell>
          <cell r="B786" t="str">
            <v>No</v>
          </cell>
          <cell r="C786" t="str">
            <v>Research &amp; Development</v>
          </cell>
          <cell r="D786">
            <v>17</v>
          </cell>
          <cell r="E786">
            <v>1</v>
          </cell>
          <cell r="F786" t="str">
            <v>Life Sciences</v>
          </cell>
          <cell r="G786">
            <v>3</v>
          </cell>
          <cell r="H786" t="str">
            <v>Female</v>
          </cell>
          <cell r="I786">
            <v>2</v>
          </cell>
          <cell r="J786">
            <v>3</v>
          </cell>
          <cell r="K786" t="str">
            <v>Healthcare Representative</v>
          </cell>
          <cell r="L786">
            <v>3</v>
          </cell>
          <cell r="M786" t="str">
            <v>Married</v>
          </cell>
          <cell r="N786">
            <v>8823</v>
          </cell>
          <cell r="O786">
            <v>0</v>
          </cell>
          <cell r="P786" t="str">
            <v>No</v>
          </cell>
          <cell r="Q786">
            <v>1</v>
          </cell>
          <cell r="R786">
            <v>20</v>
          </cell>
          <cell r="S786">
            <v>2</v>
          </cell>
          <cell r="T786">
            <v>19</v>
          </cell>
          <cell r="U786">
            <v>9</v>
          </cell>
          <cell r="V786">
            <v>1</v>
          </cell>
          <cell r="W786">
            <v>9</v>
          </cell>
          <cell r="X786">
            <v>18</v>
          </cell>
          <cell r="Y786">
            <v>0</v>
          </cell>
          <cell r="Z786" t="str">
            <v>Mid</v>
          </cell>
          <cell r="AA786" t="str">
            <v>Medium</v>
          </cell>
          <cell r="AB786" t="str">
            <v>Long</v>
          </cell>
          <cell r="AC786" t="str">
            <v>High</v>
          </cell>
          <cell r="AD786">
            <v>1088</v>
          </cell>
        </row>
        <row r="787">
          <cell r="A787">
            <v>40</v>
          </cell>
          <cell r="B787" t="str">
            <v>No</v>
          </cell>
          <cell r="C787" t="str">
            <v>Research &amp; Development</v>
          </cell>
          <cell r="D787">
            <v>20</v>
          </cell>
          <cell r="E787">
            <v>4</v>
          </cell>
          <cell r="F787" t="str">
            <v>Technical Degree</v>
          </cell>
          <cell r="G787">
            <v>1</v>
          </cell>
          <cell r="H787" t="str">
            <v>Male</v>
          </cell>
          <cell r="I787">
            <v>3</v>
          </cell>
          <cell r="J787">
            <v>3</v>
          </cell>
          <cell r="K787" t="str">
            <v>Healthcare Representative</v>
          </cell>
          <cell r="L787">
            <v>4</v>
          </cell>
          <cell r="M787" t="str">
            <v>Married</v>
          </cell>
          <cell r="N787">
            <v>10322</v>
          </cell>
          <cell r="O787">
            <v>4</v>
          </cell>
          <cell r="P787" t="str">
            <v>No</v>
          </cell>
          <cell r="Q787">
            <v>4</v>
          </cell>
          <cell r="R787">
            <v>14</v>
          </cell>
          <cell r="S787">
            <v>3</v>
          </cell>
          <cell r="T787">
            <v>11</v>
          </cell>
          <cell r="U787">
            <v>10</v>
          </cell>
          <cell r="V787">
            <v>11</v>
          </cell>
          <cell r="W787">
            <v>1</v>
          </cell>
          <cell r="X787">
            <v>20</v>
          </cell>
          <cell r="Y787">
            <v>0</v>
          </cell>
          <cell r="Z787" t="str">
            <v>Mid</v>
          </cell>
          <cell r="AA787" t="str">
            <v>High</v>
          </cell>
          <cell r="AB787" t="str">
            <v>Long</v>
          </cell>
          <cell r="AC787" t="str">
            <v>High</v>
          </cell>
          <cell r="AD787">
            <v>1092</v>
          </cell>
        </row>
        <row r="788">
          <cell r="A788">
            <v>27</v>
          </cell>
          <cell r="B788" t="str">
            <v>No</v>
          </cell>
          <cell r="C788" t="str">
            <v>Research &amp; Development</v>
          </cell>
          <cell r="D788">
            <v>8</v>
          </cell>
          <cell r="E788">
            <v>5</v>
          </cell>
          <cell r="F788" t="str">
            <v>Life Sciences</v>
          </cell>
          <cell r="G788">
            <v>1</v>
          </cell>
          <cell r="H788" t="str">
            <v>Male</v>
          </cell>
          <cell r="I788">
            <v>1</v>
          </cell>
          <cell r="J788">
            <v>1</v>
          </cell>
          <cell r="K788" t="str">
            <v>Laboratory Technician</v>
          </cell>
          <cell r="L788">
            <v>3</v>
          </cell>
          <cell r="M788" t="str">
            <v>Married</v>
          </cell>
          <cell r="N788">
            <v>4621</v>
          </cell>
          <cell r="O788">
            <v>1</v>
          </cell>
          <cell r="P788" t="str">
            <v>No</v>
          </cell>
          <cell r="Q788">
            <v>4</v>
          </cell>
          <cell r="R788">
            <v>3</v>
          </cell>
          <cell r="S788">
            <v>3</v>
          </cell>
          <cell r="T788">
            <v>3</v>
          </cell>
          <cell r="U788">
            <v>2</v>
          </cell>
          <cell r="V788">
            <v>1</v>
          </cell>
          <cell r="W788">
            <v>2</v>
          </cell>
          <cell r="X788">
            <v>19</v>
          </cell>
          <cell r="Y788">
            <v>0</v>
          </cell>
          <cell r="Z788" t="str">
            <v>Young</v>
          </cell>
          <cell r="AA788" t="str">
            <v>Low</v>
          </cell>
          <cell r="AB788" t="str">
            <v>Mid</v>
          </cell>
          <cell r="AC788" t="str">
            <v>High</v>
          </cell>
          <cell r="AD788">
            <v>1094</v>
          </cell>
        </row>
        <row r="789">
          <cell r="A789">
            <v>55</v>
          </cell>
          <cell r="B789" t="str">
            <v>No</v>
          </cell>
          <cell r="C789" t="str">
            <v>Research &amp; Development</v>
          </cell>
          <cell r="D789">
            <v>2</v>
          </cell>
          <cell r="E789">
            <v>1</v>
          </cell>
          <cell r="F789" t="str">
            <v>Life Sciences</v>
          </cell>
          <cell r="G789">
            <v>4</v>
          </cell>
          <cell r="H789" t="str">
            <v>Male</v>
          </cell>
          <cell r="I789">
            <v>3</v>
          </cell>
          <cell r="J789">
            <v>3</v>
          </cell>
          <cell r="K789" t="str">
            <v>Manufacturing Director</v>
          </cell>
          <cell r="L789">
            <v>2</v>
          </cell>
          <cell r="M789" t="str">
            <v>Married</v>
          </cell>
          <cell r="N789">
            <v>10976</v>
          </cell>
          <cell r="O789">
            <v>3</v>
          </cell>
          <cell r="P789" t="str">
            <v>No</v>
          </cell>
          <cell r="Q789">
            <v>2</v>
          </cell>
          <cell r="R789">
            <v>23</v>
          </cell>
          <cell r="S789">
            <v>3</v>
          </cell>
          <cell r="T789">
            <v>3</v>
          </cell>
          <cell r="U789">
            <v>2</v>
          </cell>
          <cell r="V789">
            <v>1</v>
          </cell>
          <cell r="W789">
            <v>2</v>
          </cell>
          <cell r="X789">
            <v>18</v>
          </cell>
          <cell r="Y789">
            <v>0</v>
          </cell>
          <cell r="Z789" t="str">
            <v>Senior</v>
          </cell>
          <cell r="AA789" t="str">
            <v>High</v>
          </cell>
          <cell r="AB789" t="str">
            <v>Mid</v>
          </cell>
          <cell r="AC789" t="str">
            <v>High</v>
          </cell>
          <cell r="AD789">
            <v>1096</v>
          </cell>
        </row>
        <row r="790">
          <cell r="A790">
            <v>28</v>
          </cell>
          <cell r="B790" t="str">
            <v>No</v>
          </cell>
          <cell r="C790" t="str">
            <v>Research &amp; Development</v>
          </cell>
          <cell r="D790">
            <v>10</v>
          </cell>
          <cell r="E790">
            <v>3</v>
          </cell>
          <cell r="F790" t="str">
            <v>Other</v>
          </cell>
          <cell r="G790">
            <v>3</v>
          </cell>
          <cell r="H790" t="str">
            <v>Female</v>
          </cell>
          <cell r="I790">
            <v>3</v>
          </cell>
          <cell r="J790">
            <v>2</v>
          </cell>
          <cell r="K790" t="str">
            <v>Research Scientist</v>
          </cell>
          <cell r="L790">
            <v>3</v>
          </cell>
          <cell r="M790" t="str">
            <v>Single</v>
          </cell>
          <cell r="N790">
            <v>3660</v>
          </cell>
          <cell r="O790">
            <v>3</v>
          </cell>
          <cell r="P790" t="str">
            <v>No</v>
          </cell>
          <cell r="Q790">
            <v>4</v>
          </cell>
          <cell r="R790">
            <v>10</v>
          </cell>
          <cell r="S790">
            <v>4</v>
          </cell>
          <cell r="T790">
            <v>8</v>
          </cell>
          <cell r="U790">
            <v>7</v>
          </cell>
          <cell r="V790">
            <v>1</v>
          </cell>
          <cell r="W790">
            <v>7</v>
          </cell>
          <cell r="X790">
            <v>13</v>
          </cell>
          <cell r="Y790">
            <v>0</v>
          </cell>
          <cell r="Z790" t="str">
            <v>Young</v>
          </cell>
          <cell r="AA790" t="str">
            <v>Low</v>
          </cell>
          <cell r="AB790" t="str">
            <v>Long</v>
          </cell>
          <cell r="AC790" t="str">
            <v>Medium</v>
          </cell>
          <cell r="AD790">
            <v>1097</v>
          </cell>
        </row>
        <row r="791">
          <cell r="A791">
            <v>44</v>
          </cell>
          <cell r="B791" t="str">
            <v>Yes</v>
          </cell>
          <cell r="C791" t="str">
            <v>Human Resources</v>
          </cell>
          <cell r="D791">
            <v>1</v>
          </cell>
          <cell r="E791">
            <v>2</v>
          </cell>
          <cell r="F791" t="str">
            <v>Medical</v>
          </cell>
          <cell r="G791">
            <v>2</v>
          </cell>
          <cell r="H791" t="str">
            <v>Male</v>
          </cell>
          <cell r="I791">
            <v>2</v>
          </cell>
          <cell r="J791">
            <v>3</v>
          </cell>
          <cell r="K791" t="str">
            <v>Human Resources</v>
          </cell>
          <cell r="L791">
            <v>1</v>
          </cell>
          <cell r="M791" t="str">
            <v>Married</v>
          </cell>
          <cell r="N791">
            <v>10482</v>
          </cell>
          <cell r="O791">
            <v>9</v>
          </cell>
          <cell r="P791" t="str">
            <v>No</v>
          </cell>
          <cell r="Q791">
            <v>4</v>
          </cell>
          <cell r="R791">
            <v>24</v>
          </cell>
          <cell r="S791">
            <v>3</v>
          </cell>
          <cell r="T791">
            <v>20</v>
          </cell>
          <cell r="U791">
            <v>6</v>
          </cell>
          <cell r="V791">
            <v>3</v>
          </cell>
          <cell r="W791">
            <v>6</v>
          </cell>
          <cell r="X791">
            <v>14</v>
          </cell>
          <cell r="Y791">
            <v>1</v>
          </cell>
          <cell r="Z791" t="str">
            <v>Mid</v>
          </cell>
          <cell r="AA791" t="str">
            <v>High</v>
          </cell>
          <cell r="AB791" t="str">
            <v>Long</v>
          </cell>
          <cell r="AC791" t="str">
            <v>Medium</v>
          </cell>
          <cell r="AD791">
            <v>1098</v>
          </cell>
        </row>
        <row r="792">
          <cell r="A792">
            <v>33</v>
          </cell>
          <cell r="B792" t="str">
            <v>No</v>
          </cell>
          <cell r="C792" t="str">
            <v>Research &amp; Development</v>
          </cell>
          <cell r="D792">
            <v>5</v>
          </cell>
          <cell r="E792">
            <v>3</v>
          </cell>
          <cell r="F792" t="str">
            <v>Life Sciences</v>
          </cell>
          <cell r="G792">
            <v>4</v>
          </cell>
          <cell r="H792" t="str">
            <v>Male</v>
          </cell>
          <cell r="I792">
            <v>2</v>
          </cell>
          <cell r="J792">
            <v>3</v>
          </cell>
          <cell r="K792" t="str">
            <v>Healthcare Representative</v>
          </cell>
          <cell r="L792">
            <v>4</v>
          </cell>
          <cell r="M792" t="str">
            <v>Divorced</v>
          </cell>
          <cell r="N792">
            <v>7119</v>
          </cell>
          <cell r="O792">
            <v>4</v>
          </cell>
          <cell r="P792" t="str">
            <v>No</v>
          </cell>
          <cell r="Q792">
            <v>3</v>
          </cell>
          <cell r="R792">
            <v>9</v>
          </cell>
          <cell r="S792">
            <v>3</v>
          </cell>
          <cell r="T792">
            <v>3</v>
          </cell>
          <cell r="U792">
            <v>2</v>
          </cell>
          <cell r="V792">
            <v>1</v>
          </cell>
          <cell r="W792">
            <v>2</v>
          </cell>
          <cell r="X792">
            <v>15</v>
          </cell>
          <cell r="Y792">
            <v>0</v>
          </cell>
          <cell r="Z792" t="str">
            <v>Mid</v>
          </cell>
          <cell r="AA792" t="str">
            <v>Medium</v>
          </cell>
          <cell r="AB792" t="str">
            <v>Mid</v>
          </cell>
          <cell r="AC792" t="str">
            <v>Medium</v>
          </cell>
          <cell r="AD792">
            <v>1099</v>
          </cell>
        </row>
        <row r="793">
          <cell r="A793">
            <v>35</v>
          </cell>
          <cell r="B793" t="str">
            <v>Yes</v>
          </cell>
          <cell r="C793" t="str">
            <v>Sales</v>
          </cell>
          <cell r="D793">
            <v>4</v>
          </cell>
          <cell r="E793">
            <v>3</v>
          </cell>
          <cell r="F793" t="str">
            <v>Technical Degree</v>
          </cell>
          <cell r="G793">
            <v>4</v>
          </cell>
          <cell r="H793" t="str">
            <v>Male</v>
          </cell>
          <cell r="I793">
            <v>3</v>
          </cell>
          <cell r="J793">
            <v>3</v>
          </cell>
          <cell r="K793" t="str">
            <v>Sales Executive</v>
          </cell>
          <cell r="L793">
            <v>1</v>
          </cell>
          <cell r="M793" t="str">
            <v>Single</v>
          </cell>
          <cell r="N793">
            <v>9582</v>
          </cell>
          <cell r="O793">
            <v>0</v>
          </cell>
          <cell r="P793" t="str">
            <v>Yes</v>
          </cell>
          <cell r="Q793">
            <v>1</v>
          </cell>
          <cell r="R793">
            <v>9</v>
          </cell>
          <cell r="S793">
            <v>3</v>
          </cell>
          <cell r="T793">
            <v>8</v>
          </cell>
          <cell r="U793">
            <v>7</v>
          </cell>
          <cell r="V793">
            <v>4</v>
          </cell>
          <cell r="W793">
            <v>7</v>
          </cell>
          <cell r="X793">
            <v>22</v>
          </cell>
          <cell r="Y793">
            <v>1</v>
          </cell>
          <cell r="Z793" t="str">
            <v>Mid</v>
          </cell>
          <cell r="AA793" t="str">
            <v>Medium</v>
          </cell>
          <cell r="AB793" t="str">
            <v>Long</v>
          </cell>
          <cell r="AC793" t="str">
            <v>High</v>
          </cell>
          <cell r="AD793">
            <v>1100</v>
          </cell>
        </row>
        <row r="794">
          <cell r="A794">
            <v>33</v>
          </cell>
          <cell r="B794" t="str">
            <v>Yes</v>
          </cell>
          <cell r="C794" t="str">
            <v>Research &amp; Development</v>
          </cell>
          <cell r="D794">
            <v>29</v>
          </cell>
          <cell r="E794">
            <v>4</v>
          </cell>
          <cell r="F794" t="str">
            <v>Medical</v>
          </cell>
          <cell r="G794">
            <v>1</v>
          </cell>
          <cell r="H794" t="str">
            <v>Female</v>
          </cell>
          <cell r="I794">
            <v>2</v>
          </cell>
          <cell r="J794">
            <v>2</v>
          </cell>
          <cell r="K794" t="str">
            <v>Research Scientist</v>
          </cell>
          <cell r="L794">
            <v>3</v>
          </cell>
          <cell r="M794" t="str">
            <v>Single</v>
          </cell>
          <cell r="N794">
            <v>4508</v>
          </cell>
          <cell r="O794">
            <v>1</v>
          </cell>
          <cell r="P794" t="str">
            <v>No</v>
          </cell>
          <cell r="Q794">
            <v>2</v>
          </cell>
          <cell r="R794">
            <v>14</v>
          </cell>
          <cell r="S794">
            <v>3</v>
          </cell>
          <cell r="T794">
            <v>13</v>
          </cell>
          <cell r="U794">
            <v>7</v>
          </cell>
          <cell r="V794">
            <v>3</v>
          </cell>
          <cell r="W794">
            <v>8</v>
          </cell>
          <cell r="X794">
            <v>22</v>
          </cell>
          <cell r="Y794">
            <v>1</v>
          </cell>
          <cell r="Z794" t="str">
            <v>Mid</v>
          </cell>
          <cell r="AA794" t="str">
            <v>Low</v>
          </cell>
          <cell r="AB794" t="str">
            <v>Long</v>
          </cell>
          <cell r="AC794" t="str">
            <v>High</v>
          </cell>
          <cell r="AD794">
            <v>1101</v>
          </cell>
        </row>
        <row r="795">
          <cell r="A795">
            <v>28</v>
          </cell>
          <cell r="B795" t="str">
            <v>No</v>
          </cell>
          <cell r="C795" t="str">
            <v>Research &amp; Development</v>
          </cell>
          <cell r="D795">
            <v>15</v>
          </cell>
          <cell r="E795">
            <v>2</v>
          </cell>
          <cell r="F795" t="str">
            <v>Life Sciences</v>
          </cell>
          <cell r="G795">
            <v>1</v>
          </cell>
          <cell r="H795" t="str">
            <v>Male</v>
          </cell>
          <cell r="I795">
            <v>3</v>
          </cell>
          <cell r="J795">
            <v>1</v>
          </cell>
          <cell r="K795" t="str">
            <v>Laboratory Technician</v>
          </cell>
          <cell r="L795">
            <v>3</v>
          </cell>
          <cell r="M795" t="str">
            <v>Divorced</v>
          </cell>
          <cell r="N795">
            <v>2207</v>
          </cell>
          <cell r="O795">
            <v>1</v>
          </cell>
          <cell r="P795" t="str">
            <v>No</v>
          </cell>
          <cell r="Q795">
            <v>4</v>
          </cell>
          <cell r="R795">
            <v>4</v>
          </cell>
          <cell r="S795">
            <v>2</v>
          </cell>
          <cell r="T795">
            <v>4</v>
          </cell>
          <cell r="U795">
            <v>2</v>
          </cell>
          <cell r="V795">
            <v>2</v>
          </cell>
          <cell r="W795">
            <v>2</v>
          </cell>
          <cell r="X795">
            <v>16</v>
          </cell>
          <cell r="Y795">
            <v>0</v>
          </cell>
          <cell r="Z795" t="str">
            <v>Young</v>
          </cell>
          <cell r="AA795" t="str">
            <v>Low</v>
          </cell>
          <cell r="AB795" t="str">
            <v>Mid</v>
          </cell>
          <cell r="AC795" t="str">
            <v>Medium</v>
          </cell>
          <cell r="AD795">
            <v>1102</v>
          </cell>
        </row>
        <row r="796">
          <cell r="A796">
            <v>34</v>
          </cell>
          <cell r="B796" t="str">
            <v>No</v>
          </cell>
          <cell r="C796" t="str">
            <v>Research &amp; Development</v>
          </cell>
          <cell r="D796">
            <v>3</v>
          </cell>
          <cell r="E796">
            <v>1</v>
          </cell>
          <cell r="F796" t="str">
            <v>Life Sciences</v>
          </cell>
          <cell r="G796">
            <v>1</v>
          </cell>
          <cell r="H796" t="str">
            <v>Male</v>
          </cell>
          <cell r="I796">
            <v>3</v>
          </cell>
          <cell r="J796">
            <v>2</v>
          </cell>
          <cell r="K796" t="str">
            <v>Healthcare Representative</v>
          </cell>
          <cell r="L796">
            <v>4</v>
          </cell>
          <cell r="M796" t="str">
            <v>Single</v>
          </cell>
          <cell r="N796">
            <v>7756</v>
          </cell>
          <cell r="O796">
            <v>0</v>
          </cell>
          <cell r="P796" t="str">
            <v>No</v>
          </cell>
          <cell r="Q796">
            <v>3</v>
          </cell>
          <cell r="R796">
            <v>7</v>
          </cell>
          <cell r="S796">
            <v>2</v>
          </cell>
          <cell r="T796">
            <v>6</v>
          </cell>
          <cell r="U796">
            <v>2</v>
          </cell>
          <cell r="V796">
            <v>0</v>
          </cell>
          <cell r="W796">
            <v>4</v>
          </cell>
          <cell r="X796">
            <v>17</v>
          </cell>
          <cell r="Y796">
            <v>0</v>
          </cell>
          <cell r="Z796" t="str">
            <v>Mid</v>
          </cell>
          <cell r="AA796" t="str">
            <v>Medium</v>
          </cell>
          <cell r="AB796" t="str">
            <v>Mid</v>
          </cell>
          <cell r="AC796" t="str">
            <v>Medium</v>
          </cell>
          <cell r="AD796">
            <v>1103</v>
          </cell>
        </row>
        <row r="797">
          <cell r="A797">
            <v>37</v>
          </cell>
          <cell r="B797" t="str">
            <v>No</v>
          </cell>
          <cell r="C797" t="str">
            <v>Sales</v>
          </cell>
          <cell r="D797">
            <v>10</v>
          </cell>
          <cell r="E797">
            <v>4</v>
          </cell>
          <cell r="F797" t="str">
            <v>Life Sciences</v>
          </cell>
          <cell r="G797">
            <v>4</v>
          </cell>
          <cell r="H797" t="str">
            <v>Female</v>
          </cell>
          <cell r="I797">
            <v>2</v>
          </cell>
          <cell r="J797">
            <v>2</v>
          </cell>
          <cell r="K797" t="str">
            <v>Sales Executive</v>
          </cell>
          <cell r="L797">
            <v>4</v>
          </cell>
          <cell r="M797" t="str">
            <v>Divorced</v>
          </cell>
          <cell r="N797">
            <v>6694</v>
          </cell>
          <cell r="O797">
            <v>2</v>
          </cell>
          <cell r="P797" t="str">
            <v>Yes</v>
          </cell>
          <cell r="Q797">
            <v>3</v>
          </cell>
          <cell r="R797">
            <v>8</v>
          </cell>
          <cell r="S797">
            <v>3</v>
          </cell>
          <cell r="T797">
            <v>1</v>
          </cell>
          <cell r="U797">
            <v>0</v>
          </cell>
          <cell r="V797">
            <v>0</v>
          </cell>
          <cell r="W797">
            <v>0</v>
          </cell>
          <cell r="X797">
            <v>14</v>
          </cell>
          <cell r="Y797">
            <v>0</v>
          </cell>
          <cell r="Z797" t="str">
            <v>Mid</v>
          </cell>
          <cell r="AA797" t="str">
            <v>Medium</v>
          </cell>
          <cell r="AB797" t="str">
            <v>Early</v>
          </cell>
          <cell r="AC797" t="str">
            <v>Medium</v>
          </cell>
          <cell r="AD797">
            <v>1105</v>
          </cell>
        </row>
        <row r="798">
          <cell r="A798">
            <v>25</v>
          </cell>
          <cell r="B798" t="str">
            <v>Yes</v>
          </cell>
          <cell r="C798" t="str">
            <v>Research &amp; Development</v>
          </cell>
          <cell r="D798">
            <v>4</v>
          </cell>
          <cell r="E798">
            <v>1</v>
          </cell>
          <cell r="F798" t="str">
            <v>Technical Degree</v>
          </cell>
          <cell r="G798">
            <v>4</v>
          </cell>
          <cell r="H798" t="str">
            <v>Male</v>
          </cell>
          <cell r="I798">
            <v>3</v>
          </cell>
          <cell r="J798">
            <v>1</v>
          </cell>
          <cell r="K798" t="str">
            <v>Laboratory Technician</v>
          </cell>
          <cell r="L798">
            <v>4</v>
          </cell>
          <cell r="M798" t="str">
            <v>Married</v>
          </cell>
          <cell r="N798">
            <v>3691</v>
          </cell>
          <cell r="O798">
            <v>1</v>
          </cell>
          <cell r="P798" t="str">
            <v>Yes</v>
          </cell>
          <cell r="Q798">
            <v>2</v>
          </cell>
          <cell r="R798">
            <v>7</v>
          </cell>
          <cell r="S798">
            <v>4</v>
          </cell>
          <cell r="T798">
            <v>7</v>
          </cell>
          <cell r="U798">
            <v>7</v>
          </cell>
          <cell r="V798">
            <v>5</v>
          </cell>
          <cell r="W798">
            <v>6</v>
          </cell>
          <cell r="X798">
            <v>15</v>
          </cell>
          <cell r="Y798">
            <v>1</v>
          </cell>
          <cell r="Z798" t="str">
            <v>Young</v>
          </cell>
          <cell r="AA798" t="str">
            <v>Low</v>
          </cell>
          <cell r="AB798" t="str">
            <v>Long</v>
          </cell>
          <cell r="AC798" t="str">
            <v>Medium</v>
          </cell>
          <cell r="AD798">
            <v>1106</v>
          </cell>
        </row>
        <row r="799">
          <cell r="A799">
            <v>26</v>
          </cell>
          <cell r="B799" t="str">
            <v>Yes</v>
          </cell>
          <cell r="C799" t="str">
            <v>Research &amp; Development</v>
          </cell>
          <cell r="D799">
            <v>21</v>
          </cell>
          <cell r="E799">
            <v>3</v>
          </cell>
          <cell r="F799" t="str">
            <v>Medical</v>
          </cell>
          <cell r="G799">
            <v>1</v>
          </cell>
          <cell r="H799" t="str">
            <v>Male</v>
          </cell>
          <cell r="I799">
            <v>3</v>
          </cell>
          <cell r="J799">
            <v>1</v>
          </cell>
          <cell r="K799" t="str">
            <v>Laboratory Technician</v>
          </cell>
          <cell r="L799">
            <v>3</v>
          </cell>
          <cell r="M799" t="str">
            <v>Divorced</v>
          </cell>
          <cell r="N799">
            <v>2377</v>
          </cell>
          <cell r="O799">
            <v>1</v>
          </cell>
          <cell r="P799" t="str">
            <v>No</v>
          </cell>
          <cell r="Q799">
            <v>3</v>
          </cell>
          <cell r="R799">
            <v>1</v>
          </cell>
          <cell r="S799">
            <v>2</v>
          </cell>
          <cell r="T799">
            <v>1</v>
          </cell>
          <cell r="U799">
            <v>1</v>
          </cell>
          <cell r="V799">
            <v>0</v>
          </cell>
          <cell r="W799">
            <v>0</v>
          </cell>
          <cell r="X799">
            <v>20</v>
          </cell>
          <cell r="Y799">
            <v>1</v>
          </cell>
          <cell r="Z799" t="str">
            <v>Young</v>
          </cell>
          <cell r="AA799" t="str">
            <v>Low</v>
          </cell>
          <cell r="AB799" t="str">
            <v>Early</v>
          </cell>
          <cell r="AC799" t="str">
            <v>High</v>
          </cell>
          <cell r="AD799">
            <v>1107</v>
          </cell>
        </row>
        <row r="800">
          <cell r="A800">
            <v>33</v>
          </cell>
          <cell r="B800" t="str">
            <v>Yes</v>
          </cell>
          <cell r="C800" t="str">
            <v>Research &amp; Development</v>
          </cell>
          <cell r="D800">
            <v>25</v>
          </cell>
          <cell r="E800">
            <v>3</v>
          </cell>
          <cell r="F800" t="str">
            <v>Medical</v>
          </cell>
          <cell r="G800">
            <v>1</v>
          </cell>
          <cell r="H800" t="str">
            <v>Male</v>
          </cell>
          <cell r="I800">
            <v>2</v>
          </cell>
          <cell r="J800">
            <v>1</v>
          </cell>
          <cell r="K800" t="str">
            <v>Research Scientist</v>
          </cell>
          <cell r="L800">
            <v>2</v>
          </cell>
          <cell r="M800" t="str">
            <v>Single</v>
          </cell>
          <cell r="N800">
            <v>2313</v>
          </cell>
          <cell r="O800">
            <v>4</v>
          </cell>
          <cell r="P800" t="str">
            <v>Yes</v>
          </cell>
          <cell r="Q800">
            <v>2</v>
          </cell>
          <cell r="R800">
            <v>5</v>
          </cell>
          <cell r="S800">
            <v>3</v>
          </cell>
          <cell r="T800">
            <v>2</v>
          </cell>
          <cell r="U800">
            <v>2</v>
          </cell>
          <cell r="V800">
            <v>2</v>
          </cell>
          <cell r="W800">
            <v>2</v>
          </cell>
          <cell r="X800">
            <v>20</v>
          </cell>
          <cell r="Y800">
            <v>1</v>
          </cell>
          <cell r="Z800" t="str">
            <v>Mid</v>
          </cell>
          <cell r="AA800" t="str">
            <v>Low</v>
          </cell>
          <cell r="AB800" t="str">
            <v>Early</v>
          </cell>
          <cell r="AC800" t="str">
            <v>High</v>
          </cell>
          <cell r="AD800">
            <v>1108</v>
          </cell>
        </row>
        <row r="801">
          <cell r="A801">
            <v>42</v>
          </cell>
          <cell r="B801" t="str">
            <v>No</v>
          </cell>
          <cell r="C801" t="str">
            <v>Research &amp; Development</v>
          </cell>
          <cell r="D801">
            <v>2</v>
          </cell>
          <cell r="E801">
            <v>2</v>
          </cell>
          <cell r="F801" t="str">
            <v>Medical</v>
          </cell>
          <cell r="G801">
            <v>4</v>
          </cell>
          <cell r="H801" t="str">
            <v>Male</v>
          </cell>
          <cell r="I801">
            <v>3</v>
          </cell>
          <cell r="J801">
            <v>4</v>
          </cell>
          <cell r="K801" t="str">
            <v>Manager</v>
          </cell>
          <cell r="L801">
            <v>1</v>
          </cell>
          <cell r="M801" t="str">
            <v>Married</v>
          </cell>
          <cell r="N801">
            <v>17665</v>
          </cell>
          <cell r="O801">
            <v>0</v>
          </cell>
          <cell r="P801" t="str">
            <v>No</v>
          </cell>
          <cell r="Q801">
            <v>4</v>
          </cell>
          <cell r="R801">
            <v>23</v>
          </cell>
          <cell r="S801">
            <v>3</v>
          </cell>
          <cell r="T801">
            <v>22</v>
          </cell>
          <cell r="U801">
            <v>6</v>
          </cell>
          <cell r="V801">
            <v>13</v>
          </cell>
          <cell r="W801">
            <v>7</v>
          </cell>
          <cell r="X801">
            <v>17</v>
          </cell>
          <cell r="Y801">
            <v>0</v>
          </cell>
          <cell r="Z801" t="str">
            <v>Mid</v>
          </cell>
          <cell r="AA801" t="str">
            <v>High</v>
          </cell>
          <cell r="AB801" t="str">
            <v>Long</v>
          </cell>
          <cell r="AC801" t="str">
            <v>Medium</v>
          </cell>
          <cell r="AD801">
            <v>1109</v>
          </cell>
        </row>
        <row r="802">
          <cell r="A802">
            <v>28</v>
          </cell>
          <cell r="B802" t="str">
            <v>Yes</v>
          </cell>
          <cell r="C802" t="str">
            <v>Research &amp; Development</v>
          </cell>
          <cell r="D802">
            <v>1</v>
          </cell>
          <cell r="E802">
            <v>3</v>
          </cell>
          <cell r="F802" t="str">
            <v>Medical</v>
          </cell>
          <cell r="G802">
            <v>1</v>
          </cell>
          <cell r="H802" t="str">
            <v>Male</v>
          </cell>
          <cell r="I802">
            <v>2</v>
          </cell>
          <cell r="J802">
            <v>1</v>
          </cell>
          <cell r="K802" t="str">
            <v>Laboratory Technician</v>
          </cell>
          <cell r="L802">
            <v>2</v>
          </cell>
          <cell r="M802" t="str">
            <v>Divorced</v>
          </cell>
          <cell r="N802">
            <v>2596</v>
          </cell>
          <cell r="O802">
            <v>1</v>
          </cell>
          <cell r="P802" t="str">
            <v>No</v>
          </cell>
          <cell r="Q802">
            <v>1</v>
          </cell>
          <cell r="R802">
            <v>1</v>
          </cell>
          <cell r="S802">
            <v>3</v>
          </cell>
          <cell r="T802">
            <v>1</v>
          </cell>
          <cell r="U802">
            <v>0</v>
          </cell>
          <cell r="V802">
            <v>0</v>
          </cell>
          <cell r="W802">
            <v>0</v>
          </cell>
          <cell r="X802">
            <v>15</v>
          </cell>
          <cell r="Y802">
            <v>1</v>
          </cell>
          <cell r="Z802" t="str">
            <v>Young</v>
          </cell>
          <cell r="AA802" t="str">
            <v>Low</v>
          </cell>
          <cell r="AB802" t="str">
            <v>Early</v>
          </cell>
          <cell r="AC802" t="str">
            <v>Medium</v>
          </cell>
          <cell r="AD802">
            <v>1111</v>
          </cell>
        </row>
        <row r="803">
          <cell r="A803">
            <v>50</v>
          </cell>
          <cell r="B803" t="str">
            <v>Yes</v>
          </cell>
          <cell r="C803" t="str">
            <v>Sales</v>
          </cell>
          <cell r="D803">
            <v>1</v>
          </cell>
          <cell r="E803">
            <v>4</v>
          </cell>
          <cell r="F803" t="str">
            <v>Other</v>
          </cell>
          <cell r="G803">
            <v>4</v>
          </cell>
          <cell r="H803" t="str">
            <v>Male</v>
          </cell>
          <cell r="I803">
            <v>3</v>
          </cell>
          <cell r="J803">
            <v>2</v>
          </cell>
          <cell r="K803" t="str">
            <v>Sales Executive</v>
          </cell>
          <cell r="L803">
            <v>3</v>
          </cell>
          <cell r="M803" t="str">
            <v>Single</v>
          </cell>
          <cell r="N803">
            <v>4728</v>
          </cell>
          <cell r="O803">
            <v>3</v>
          </cell>
          <cell r="P803" t="str">
            <v>Yes</v>
          </cell>
          <cell r="Q803">
            <v>4</v>
          </cell>
          <cell r="R803">
            <v>5</v>
          </cell>
          <cell r="S803">
            <v>3</v>
          </cell>
          <cell r="T803">
            <v>0</v>
          </cell>
          <cell r="U803">
            <v>0</v>
          </cell>
          <cell r="V803">
            <v>0</v>
          </cell>
          <cell r="W803">
            <v>0</v>
          </cell>
          <cell r="X803">
            <v>14</v>
          </cell>
          <cell r="Y803">
            <v>1</v>
          </cell>
          <cell r="Z803" t="str">
            <v>Senior</v>
          </cell>
          <cell r="AA803" t="str">
            <v>Low</v>
          </cell>
          <cell r="AB803" t="str">
            <v>Early</v>
          </cell>
          <cell r="AC803" t="str">
            <v>Medium</v>
          </cell>
          <cell r="AD803">
            <v>1113</v>
          </cell>
        </row>
        <row r="804">
          <cell r="A804">
            <v>33</v>
          </cell>
          <cell r="B804" t="str">
            <v>No</v>
          </cell>
          <cell r="C804" t="str">
            <v>Sales</v>
          </cell>
          <cell r="D804">
            <v>7</v>
          </cell>
          <cell r="E804">
            <v>3</v>
          </cell>
          <cell r="F804" t="str">
            <v>Life Sciences</v>
          </cell>
          <cell r="G804">
            <v>4</v>
          </cell>
          <cell r="H804" t="str">
            <v>Female</v>
          </cell>
          <cell r="I804">
            <v>3</v>
          </cell>
          <cell r="J804">
            <v>2</v>
          </cell>
          <cell r="K804" t="str">
            <v>Sales Executive</v>
          </cell>
          <cell r="L804">
            <v>2</v>
          </cell>
          <cell r="M804" t="str">
            <v>Married</v>
          </cell>
          <cell r="N804">
            <v>4302</v>
          </cell>
          <cell r="O804">
            <v>0</v>
          </cell>
          <cell r="P804" t="str">
            <v>No</v>
          </cell>
          <cell r="Q804">
            <v>3</v>
          </cell>
          <cell r="R804">
            <v>4</v>
          </cell>
          <cell r="S804">
            <v>3</v>
          </cell>
          <cell r="T804">
            <v>3</v>
          </cell>
          <cell r="U804">
            <v>2</v>
          </cell>
          <cell r="V804">
            <v>0</v>
          </cell>
          <cell r="W804">
            <v>2</v>
          </cell>
          <cell r="X804">
            <v>17</v>
          </cell>
          <cell r="Y804">
            <v>0</v>
          </cell>
          <cell r="Z804" t="str">
            <v>Mid</v>
          </cell>
          <cell r="AA804" t="str">
            <v>Low</v>
          </cell>
          <cell r="AB804" t="str">
            <v>Mid</v>
          </cell>
          <cell r="AC804" t="str">
            <v>Medium</v>
          </cell>
          <cell r="AD804">
            <v>1114</v>
          </cell>
        </row>
        <row r="805">
          <cell r="A805">
            <v>34</v>
          </cell>
          <cell r="B805" t="str">
            <v>No</v>
          </cell>
          <cell r="C805" t="str">
            <v>Research &amp; Development</v>
          </cell>
          <cell r="D805">
            <v>3</v>
          </cell>
          <cell r="E805">
            <v>4</v>
          </cell>
          <cell r="F805" t="str">
            <v>Life Sciences</v>
          </cell>
          <cell r="G805">
            <v>3</v>
          </cell>
          <cell r="H805" t="str">
            <v>Male</v>
          </cell>
          <cell r="I805">
            <v>2</v>
          </cell>
          <cell r="J805">
            <v>1</v>
          </cell>
          <cell r="K805" t="str">
            <v>Research Scientist</v>
          </cell>
          <cell r="L805">
            <v>4</v>
          </cell>
          <cell r="M805" t="str">
            <v>Married</v>
          </cell>
          <cell r="N805">
            <v>2979</v>
          </cell>
          <cell r="O805">
            <v>3</v>
          </cell>
          <cell r="P805" t="str">
            <v>No</v>
          </cell>
          <cell r="Q805">
            <v>4</v>
          </cell>
          <cell r="R805">
            <v>6</v>
          </cell>
          <cell r="S805">
            <v>3</v>
          </cell>
          <cell r="T805">
            <v>0</v>
          </cell>
          <cell r="U805">
            <v>0</v>
          </cell>
          <cell r="V805">
            <v>0</v>
          </cell>
          <cell r="W805">
            <v>0</v>
          </cell>
          <cell r="X805">
            <v>17</v>
          </cell>
          <cell r="Y805">
            <v>0</v>
          </cell>
          <cell r="Z805" t="str">
            <v>Mid</v>
          </cell>
          <cell r="AA805" t="str">
            <v>Low</v>
          </cell>
          <cell r="AB805" t="str">
            <v>Early</v>
          </cell>
          <cell r="AC805" t="str">
            <v>Medium</v>
          </cell>
          <cell r="AD805">
            <v>1115</v>
          </cell>
        </row>
        <row r="806">
          <cell r="A806">
            <v>48</v>
          </cell>
          <cell r="B806" t="str">
            <v>No</v>
          </cell>
          <cell r="C806" t="str">
            <v>Research &amp; Development</v>
          </cell>
          <cell r="D806">
            <v>1</v>
          </cell>
          <cell r="E806">
            <v>4</v>
          </cell>
          <cell r="F806" t="str">
            <v>Medical</v>
          </cell>
          <cell r="G806">
            <v>1</v>
          </cell>
          <cell r="H806" t="str">
            <v>Male</v>
          </cell>
          <cell r="I806">
            <v>4</v>
          </cell>
          <cell r="J806">
            <v>4</v>
          </cell>
          <cell r="K806" t="str">
            <v>Manager</v>
          </cell>
          <cell r="L806">
            <v>4</v>
          </cell>
          <cell r="M806" t="str">
            <v>Single</v>
          </cell>
          <cell r="N806">
            <v>16885</v>
          </cell>
          <cell r="O806">
            <v>2</v>
          </cell>
          <cell r="P806" t="str">
            <v>No</v>
          </cell>
          <cell r="Q806">
            <v>3</v>
          </cell>
          <cell r="R806">
            <v>27</v>
          </cell>
          <cell r="S806">
            <v>2</v>
          </cell>
          <cell r="T806">
            <v>5</v>
          </cell>
          <cell r="U806">
            <v>4</v>
          </cell>
          <cell r="V806">
            <v>2</v>
          </cell>
          <cell r="W806">
            <v>1</v>
          </cell>
          <cell r="X806">
            <v>22</v>
          </cell>
          <cell r="Y806">
            <v>0</v>
          </cell>
          <cell r="Z806" t="str">
            <v>Senior</v>
          </cell>
          <cell r="AA806" t="str">
            <v>High</v>
          </cell>
          <cell r="AB806" t="str">
            <v>Mid</v>
          </cell>
          <cell r="AC806" t="str">
            <v>High</v>
          </cell>
          <cell r="AD806">
            <v>1116</v>
          </cell>
        </row>
        <row r="807">
          <cell r="A807">
            <v>45</v>
          </cell>
          <cell r="B807" t="str">
            <v>No</v>
          </cell>
          <cell r="C807" t="str">
            <v>Sales</v>
          </cell>
          <cell r="D807">
            <v>9</v>
          </cell>
          <cell r="E807">
            <v>4</v>
          </cell>
          <cell r="F807" t="str">
            <v>Life Sciences</v>
          </cell>
          <cell r="G807">
            <v>2</v>
          </cell>
          <cell r="H807" t="str">
            <v>Female</v>
          </cell>
          <cell r="I807">
            <v>2</v>
          </cell>
          <cell r="J807">
            <v>2</v>
          </cell>
          <cell r="K807" t="str">
            <v>Sales Executive</v>
          </cell>
          <cell r="L807">
            <v>3</v>
          </cell>
          <cell r="M807" t="str">
            <v>Married</v>
          </cell>
          <cell r="N807">
            <v>5593</v>
          </cell>
          <cell r="O807">
            <v>1</v>
          </cell>
          <cell r="P807" t="str">
            <v>No</v>
          </cell>
          <cell r="Q807">
            <v>4</v>
          </cell>
          <cell r="R807">
            <v>15</v>
          </cell>
          <cell r="S807">
            <v>3</v>
          </cell>
          <cell r="T807">
            <v>15</v>
          </cell>
          <cell r="U807">
            <v>10</v>
          </cell>
          <cell r="V807">
            <v>4</v>
          </cell>
          <cell r="W807">
            <v>12</v>
          </cell>
          <cell r="X807">
            <v>13</v>
          </cell>
          <cell r="Y807">
            <v>0</v>
          </cell>
          <cell r="Z807" t="str">
            <v>Senior</v>
          </cell>
          <cell r="AA807" t="str">
            <v>Medium</v>
          </cell>
          <cell r="AB807" t="str">
            <v>Long</v>
          </cell>
          <cell r="AC807" t="str">
            <v>Medium</v>
          </cell>
          <cell r="AD807">
            <v>1117</v>
          </cell>
        </row>
        <row r="808">
          <cell r="A808">
            <v>52</v>
          </cell>
          <cell r="B808" t="str">
            <v>No</v>
          </cell>
          <cell r="C808" t="str">
            <v>Research &amp; Development</v>
          </cell>
          <cell r="D808">
            <v>7</v>
          </cell>
          <cell r="E808">
            <v>4</v>
          </cell>
          <cell r="F808" t="str">
            <v>Life Sciences</v>
          </cell>
          <cell r="G808">
            <v>2</v>
          </cell>
          <cell r="H808" t="str">
            <v>Male</v>
          </cell>
          <cell r="I808">
            <v>3</v>
          </cell>
          <cell r="J808">
            <v>3</v>
          </cell>
          <cell r="K808" t="str">
            <v>Healthcare Representative</v>
          </cell>
          <cell r="L808">
            <v>2</v>
          </cell>
          <cell r="M808" t="str">
            <v>Single</v>
          </cell>
          <cell r="N808">
            <v>10445</v>
          </cell>
          <cell r="O808">
            <v>7</v>
          </cell>
          <cell r="P808" t="str">
            <v>No</v>
          </cell>
          <cell r="Q808">
            <v>4</v>
          </cell>
          <cell r="R808">
            <v>18</v>
          </cell>
          <cell r="S808">
            <v>3</v>
          </cell>
          <cell r="T808">
            <v>8</v>
          </cell>
          <cell r="U808">
            <v>6</v>
          </cell>
          <cell r="V808">
            <v>4</v>
          </cell>
          <cell r="W808">
            <v>0</v>
          </cell>
          <cell r="X808">
            <v>19</v>
          </cell>
          <cell r="Y808">
            <v>0</v>
          </cell>
          <cell r="Z808" t="str">
            <v>Senior</v>
          </cell>
          <cell r="AA808" t="str">
            <v>High</v>
          </cell>
          <cell r="AB808" t="str">
            <v>Long</v>
          </cell>
          <cell r="AC808" t="str">
            <v>High</v>
          </cell>
          <cell r="AD808">
            <v>1118</v>
          </cell>
        </row>
        <row r="809">
          <cell r="A809">
            <v>38</v>
          </cell>
          <cell r="B809" t="str">
            <v>No</v>
          </cell>
          <cell r="C809" t="str">
            <v>Sales</v>
          </cell>
          <cell r="D809">
            <v>10</v>
          </cell>
          <cell r="E809">
            <v>4</v>
          </cell>
          <cell r="F809" t="str">
            <v>Marketing</v>
          </cell>
          <cell r="G809">
            <v>3</v>
          </cell>
          <cell r="H809" t="str">
            <v>Male</v>
          </cell>
          <cell r="I809">
            <v>2</v>
          </cell>
          <cell r="J809">
            <v>3</v>
          </cell>
          <cell r="K809" t="str">
            <v>Sales Executive</v>
          </cell>
          <cell r="L809">
            <v>3</v>
          </cell>
          <cell r="M809" t="str">
            <v>Divorced</v>
          </cell>
          <cell r="N809">
            <v>8740</v>
          </cell>
          <cell r="O809">
            <v>0</v>
          </cell>
          <cell r="P809" t="str">
            <v>Yes</v>
          </cell>
          <cell r="Q809">
            <v>2</v>
          </cell>
          <cell r="R809">
            <v>9</v>
          </cell>
          <cell r="S809">
            <v>3</v>
          </cell>
          <cell r="T809">
            <v>8</v>
          </cell>
          <cell r="U809">
            <v>7</v>
          </cell>
          <cell r="V809">
            <v>2</v>
          </cell>
          <cell r="W809">
            <v>7</v>
          </cell>
          <cell r="X809">
            <v>14</v>
          </cell>
          <cell r="Y809">
            <v>0</v>
          </cell>
          <cell r="Z809" t="str">
            <v>Mid</v>
          </cell>
          <cell r="AA809" t="str">
            <v>Medium</v>
          </cell>
          <cell r="AB809" t="str">
            <v>Long</v>
          </cell>
          <cell r="AC809" t="str">
            <v>Medium</v>
          </cell>
          <cell r="AD809">
            <v>1119</v>
          </cell>
        </row>
        <row r="810">
          <cell r="A810">
            <v>29</v>
          </cell>
          <cell r="B810" t="str">
            <v>No</v>
          </cell>
          <cell r="C810" t="str">
            <v>Research &amp; Development</v>
          </cell>
          <cell r="D810">
            <v>28</v>
          </cell>
          <cell r="E810">
            <v>4</v>
          </cell>
          <cell r="F810" t="str">
            <v>Life Sciences</v>
          </cell>
          <cell r="G810">
            <v>3</v>
          </cell>
          <cell r="H810" t="str">
            <v>Female</v>
          </cell>
          <cell r="I810">
            <v>3</v>
          </cell>
          <cell r="J810">
            <v>1</v>
          </cell>
          <cell r="K810" t="str">
            <v>Research Scientist</v>
          </cell>
          <cell r="L810">
            <v>4</v>
          </cell>
          <cell r="M810" t="str">
            <v>Divorced</v>
          </cell>
          <cell r="N810">
            <v>2514</v>
          </cell>
          <cell r="O810">
            <v>4</v>
          </cell>
          <cell r="P810" t="str">
            <v>No</v>
          </cell>
          <cell r="Q810">
            <v>1</v>
          </cell>
          <cell r="R810">
            <v>11</v>
          </cell>
          <cell r="S810">
            <v>3</v>
          </cell>
          <cell r="T810">
            <v>7</v>
          </cell>
          <cell r="U810">
            <v>5</v>
          </cell>
          <cell r="V810">
            <v>1</v>
          </cell>
          <cell r="W810">
            <v>7</v>
          </cell>
          <cell r="X810">
            <v>22</v>
          </cell>
          <cell r="Y810">
            <v>0</v>
          </cell>
          <cell r="Z810" t="str">
            <v>Young</v>
          </cell>
          <cell r="AA810" t="str">
            <v>Low</v>
          </cell>
          <cell r="AB810" t="str">
            <v>Long</v>
          </cell>
          <cell r="AC810" t="str">
            <v>High</v>
          </cell>
          <cell r="AD810">
            <v>1120</v>
          </cell>
        </row>
        <row r="811">
          <cell r="A811">
            <v>28</v>
          </cell>
          <cell r="B811" t="str">
            <v>No</v>
          </cell>
          <cell r="C811" t="str">
            <v>Research &amp; Development</v>
          </cell>
          <cell r="D811">
            <v>3</v>
          </cell>
          <cell r="E811">
            <v>3</v>
          </cell>
          <cell r="F811" t="str">
            <v>Medical</v>
          </cell>
          <cell r="G811">
            <v>4</v>
          </cell>
          <cell r="H811" t="str">
            <v>Female</v>
          </cell>
          <cell r="I811">
            <v>3</v>
          </cell>
          <cell r="J811">
            <v>3</v>
          </cell>
          <cell r="K811" t="str">
            <v>Manufacturing Director</v>
          </cell>
          <cell r="L811">
            <v>2</v>
          </cell>
          <cell r="M811" t="str">
            <v>Divorced</v>
          </cell>
          <cell r="N811">
            <v>7655</v>
          </cell>
          <cell r="O811">
            <v>0</v>
          </cell>
          <cell r="P811" t="str">
            <v>No</v>
          </cell>
          <cell r="Q811">
            <v>2</v>
          </cell>
          <cell r="R811">
            <v>10</v>
          </cell>
          <cell r="S811">
            <v>2</v>
          </cell>
          <cell r="T811">
            <v>9</v>
          </cell>
          <cell r="U811">
            <v>7</v>
          </cell>
          <cell r="V811">
            <v>1</v>
          </cell>
          <cell r="W811">
            <v>7</v>
          </cell>
          <cell r="X811">
            <v>17</v>
          </cell>
          <cell r="Y811">
            <v>0</v>
          </cell>
          <cell r="Z811" t="str">
            <v>Young</v>
          </cell>
          <cell r="AA811" t="str">
            <v>Medium</v>
          </cell>
          <cell r="AB811" t="str">
            <v>Long</v>
          </cell>
          <cell r="AC811" t="str">
            <v>Medium</v>
          </cell>
          <cell r="AD811">
            <v>1121</v>
          </cell>
        </row>
        <row r="812">
          <cell r="A812">
            <v>46</v>
          </cell>
          <cell r="B812" t="str">
            <v>No</v>
          </cell>
          <cell r="C812" t="str">
            <v>Sales</v>
          </cell>
          <cell r="D812">
            <v>3</v>
          </cell>
          <cell r="E812">
            <v>1</v>
          </cell>
          <cell r="F812" t="str">
            <v>Marketing</v>
          </cell>
          <cell r="G812">
            <v>1</v>
          </cell>
          <cell r="H812" t="str">
            <v>Male</v>
          </cell>
          <cell r="I812">
            <v>3</v>
          </cell>
          <cell r="J812">
            <v>4</v>
          </cell>
          <cell r="K812" t="str">
            <v>Manager</v>
          </cell>
          <cell r="L812">
            <v>3</v>
          </cell>
          <cell r="M812" t="str">
            <v>Married</v>
          </cell>
          <cell r="N812">
            <v>17465</v>
          </cell>
          <cell r="O812">
            <v>3</v>
          </cell>
          <cell r="P812" t="str">
            <v>No</v>
          </cell>
          <cell r="Q812">
            <v>4</v>
          </cell>
          <cell r="R812">
            <v>23</v>
          </cell>
          <cell r="S812">
            <v>3</v>
          </cell>
          <cell r="T812">
            <v>12</v>
          </cell>
          <cell r="U812">
            <v>9</v>
          </cell>
          <cell r="V812">
            <v>4</v>
          </cell>
          <cell r="W812">
            <v>9</v>
          </cell>
          <cell r="X812">
            <v>12</v>
          </cell>
          <cell r="Y812">
            <v>0</v>
          </cell>
          <cell r="Z812" t="str">
            <v>Senior</v>
          </cell>
          <cell r="AA812" t="str">
            <v>High</v>
          </cell>
          <cell r="AB812" t="str">
            <v>Long</v>
          </cell>
          <cell r="AC812" t="str">
            <v>Low</v>
          </cell>
          <cell r="AD812">
            <v>1124</v>
          </cell>
        </row>
        <row r="813">
          <cell r="A813">
            <v>38</v>
          </cell>
          <cell r="B813" t="str">
            <v>No</v>
          </cell>
          <cell r="C813" t="str">
            <v>Sales</v>
          </cell>
          <cell r="D813">
            <v>2</v>
          </cell>
          <cell r="E813">
            <v>2</v>
          </cell>
          <cell r="F813" t="str">
            <v>Marketing</v>
          </cell>
          <cell r="G813">
            <v>4</v>
          </cell>
          <cell r="H813" t="str">
            <v>Male</v>
          </cell>
          <cell r="I813">
            <v>3</v>
          </cell>
          <cell r="J813">
            <v>3</v>
          </cell>
          <cell r="K813" t="str">
            <v>Sales Executive</v>
          </cell>
          <cell r="L813">
            <v>2</v>
          </cell>
          <cell r="M813" t="str">
            <v>Single</v>
          </cell>
          <cell r="N813">
            <v>7351</v>
          </cell>
          <cell r="O813">
            <v>7</v>
          </cell>
          <cell r="P813" t="str">
            <v>No</v>
          </cell>
          <cell r="Q813">
            <v>3</v>
          </cell>
          <cell r="R813">
            <v>10</v>
          </cell>
          <cell r="S813">
            <v>3</v>
          </cell>
          <cell r="T813">
            <v>1</v>
          </cell>
          <cell r="U813">
            <v>0</v>
          </cell>
          <cell r="V813">
            <v>0</v>
          </cell>
          <cell r="W813">
            <v>0</v>
          </cell>
          <cell r="X813">
            <v>16</v>
          </cell>
          <cell r="Y813">
            <v>0</v>
          </cell>
          <cell r="Z813" t="str">
            <v>Mid</v>
          </cell>
          <cell r="AA813" t="str">
            <v>Medium</v>
          </cell>
          <cell r="AB813" t="str">
            <v>Early</v>
          </cell>
          <cell r="AC813" t="str">
            <v>Medium</v>
          </cell>
          <cell r="AD813">
            <v>1125</v>
          </cell>
        </row>
        <row r="814">
          <cell r="A814">
            <v>43</v>
          </cell>
          <cell r="B814" t="str">
            <v>No</v>
          </cell>
          <cell r="C814" t="str">
            <v>Research &amp; Development</v>
          </cell>
          <cell r="D814">
            <v>27</v>
          </cell>
          <cell r="E814">
            <v>3</v>
          </cell>
          <cell r="F814" t="str">
            <v>Life Sciences</v>
          </cell>
          <cell r="G814">
            <v>3</v>
          </cell>
          <cell r="H814" t="str">
            <v>Female</v>
          </cell>
          <cell r="I814">
            <v>3</v>
          </cell>
          <cell r="J814">
            <v>3</v>
          </cell>
          <cell r="K814" t="str">
            <v>Manufacturing Director</v>
          </cell>
          <cell r="L814">
            <v>1</v>
          </cell>
          <cell r="M814" t="str">
            <v>Married</v>
          </cell>
          <cell r="N814">
            <v>10820</v>
          </cell>
          <cell r="O814">
            <v>8</v>
          </cell>
          <cell r="P814" t="str">
            <v>No</v>
          </cell>
          <cell r="Q814">
            <v>3</v>
          </cell>
          <cell r="R814">
            <v>18</v>
          </cell>
          <cell r="S814">
            <v>3</v>
          </cell>
          <cell r="T814">
            <v>8</v>
          </cell>
          <cell r="U814">
            <v>7</v>
          </cell>
          <cell r="V814">
            <v>0</v>
          </cell>
          <cell r="W814">
            <v>1</v>
          </cell>
          <cell r="X814">
            <v>11</v>
          </cell>
          <cell r="Y814">
            <v>0</v>
          </cell>
          <cell r="Z814" t="str">
            <v>Mid</v>
          </cell>
          <cell r="AA814" t="str">
            <v>High</v>
          </cell>
          <cell r="AB814" t="str">
            <v>Long</v>
          </cell>
          <cell r="AC814" t="str">
            <v>Low</v>
          </cell>
          <cell r="AD814">
            <v>1126</v>
          </cell>
        </row>
        <row r="815">
          <cell r="A815">
            <v>39</v>
          </cell>
          <cell r="B815" t="str">
            <v>Yes</v>
          </cell>
          <cell r="C815" t="str">
            <v>Research &amp; Development</v>
          </cell>
          <cell r="D815">
            <v>2</v>
          </cell>
          <cell r="E815">
            <v>3</v>
          </cell>
          <cell r="F815" t="str">
            <v>Life Sciences</v>
          </cell>
          <cell r="G815">
            <v>1</v>
          </cell>
          <cell r="H815" t="str">
            <v>Male</v>
          </cell>
          <cell r="I815">
            <v>3</v>
          </cell>
          <cell r="J815">
            <v>4</v>
          </cell>
          <cell r="K815" t="str">
            <v>Healthcare Representative</v>
          </cell>
          <cell r="L815">
            <v>4</v>
          </cell>
          <cell r="M815" t="str">
            <v>Divorced</v>
          </cell>
          <cell r="N815">
            <v>12169</v>
          </cell>
          <cell r="O815">
            <v>7</v>
          </cell>
          <cell r="P815" t="str">
            <v>No</v>
          </cell>
          <cell r="Q815">
            <v>4</v>
          </cell>
          <cell r="R815">
            <v>21</v>
          </cell>
          <cell r="S815">
            <v>3</v>
          </cell>
          <cell r="T815">
            <v>18</v>
          </cell>
          <cell r="U815">
            <v>7</v>
          </cell>
          <cell r="V815">
            <v>11</v>
          </cell>
          <cell r="W815">
            <v>5</v>
          </cell>
          <cell r="X815">
            <v>11</v>
          </cell>
          <cell r="Y815">
            <v>1</v>
          </cell>
          <cell r="Z815" t="str">
            <v>Mid</v>
          </cell>
          <cell r="AA815" t="str">
            <v>High</v>
          </cell>
          <cell r="AB815" t="str">
            <v>Long</v>
          </cell>
          <cell r="AC815" t="str">
            <v>Low</v>
          </cell>
          <cell r="AD815">
            <v>1127</v>
          </cell>
        </row>
        <row r="816">
          <cell r="A816">
            <v>40</v>
          </cell>
          <cell r="B816" t="str">
            <v>No</v>
          </cell>
          <cell r="C816" t="str">
            <v>Research &amp; Development</v>
          </cell>
          <cell r="D816">
            <v>14</v>
          </cell>
          <cell r="E816">
            <v>3</v>
          </cell>
          <cell r="F816" t="str">
            <v>Medical</v>
          </cell>
          <cell r="G816">
            <v>3</v>
          </cell>
          <cell r="H816" t="str">
            <v>Male</v>
          </cell>
          <cell r="I816">
            <v>2</v>
          </cell>
          <cell r="J816">
            <v>5</v>
          </cell>
          <cell r="K816" t="str">
            <v>Research Director</v>
          </cell>
          <cell r="L816">
            <v>3</v>
          </cell>
          <cell r="M816" t="str">
            <v>Single</v>
          </cell>
          <cell r="N816">
            <v>19626</v>
          </cell>
          <cell r="O816">
            <v>1</v>
          </cell>
          <cell r="P816" t="str">
            <v>No</v>
          </cell>
          <cell r="Q816">
            <v>1</v>
          </cell>
          <cell r="R816">
            <v>21</v>
          </cell>
          <cell r="S816">
            <v>4</v>
          </cell>
          <cell r="T816">
            <v>20</v>
          </cell>
          <cell r="U816">
            <v>7</v>
          </cell>
          <cell r="V816">
            <v>4</v>
          </cell>
          <cell r="W816">
            <v>9</v>
          </cell>
          <cell r="X816">
            <v>14</v>
          </cell>
          <cell r="Y816">
            <v>0</v>
          </cell>
          <cell r="Z816" t="str">
            <v>Mid</v>
          </cell>
          <cell r="AA816" t="str">
            <v>High</v>
          </cell>
          <cell r="AB816" t="str">
            <v>Long</v>
          </cell>
          <cell r="AC816" t="str">
            <v>Medium</v>
          </cell>
          <cell r="AD816">
            <v>1128</v>
          </cell>
        </row>
        <row r="817">
          <cell r="A817">
            <v>21</v>
          </cell>
          <cell r="B817" t="str">
            <v>No</v>
          </cell>
          <cell r="C817" t="str">
            <v>Research &amp; Development</v>
          </cell>
          <cell r="D817">
            <v>1</v>
          </cell>
          <cell r="E817">
            <v>1</v>
          </cell>
          <cell r="F817" t="str">
            <v>Technical Degree</v>
          </cell>
          <cell r="G817">
            <v>4</v>
          </cell>
          <cell r="H817" t="str">
            <v>Female</v>
          </cell>
          <cell r="I817">
            <v>2</v>
          </cell>
          <cell r="J817">
            <v>1</v>
          </cell>
          <cell r="K817" t="str">
            <v>Research Scientist</v>
          </cell>
          <cell r="L817">
            <v>2</v>
          </cell>
          <cell r="M817" t="str">
            <v>Single</v>
          </cell>
          <cell r="N817">
            <v>2070</v>
          </cell>
          <cell r="O817">
            <v>1</v>
          </cell>
          <cell r="P817" t="str">
            <v>Yes</v>
          </cell>
          <cell r="Q817">
            <v>3</v>
          </cell>
          <cell r="R817">
            <v>2</v>
          </cell>
          <cell r="S817">
            <v>4</v>
          </cell>
          <cell r="T817">
            <v>2</v>
          </cell>
          <cell r="U817">
            <v>2</v>
          </cell>
          <cell r="V817">
            <v>2</v>
          </cell>
          <cell r="W817">
            <v>2</v>
          </cell>
          <cell r="X817">
            <v>11</v>
          </cell>
          <cell r="Y817">
            <v>0</v>
          </cell>
          <cell r="Z817" t="str">
            <v>Young</v>
          </cell>
          <cell r="AA817" t="str">
            <v>Low</v>
          </cell>
          <cell r="AB817" t="str">
            <v>Early</v>
          </cell>
          <cell r="AC817" t="str">
            <v>Low</v>
          </cell>
          <cell r="AD817">
            <v>1131</v>
          </cell>
        </row>
        <row r="818">
          <cell r="A818">
            <v>39</v>
          </cell>
          <cell r="B818" t="str">
            <v>No</v>
          </cell>
          <cell r="C818" t="str">
            <v>Research &amp; Development</v>
          </cell>
          <cell r="D818">
            <v>9</v>
          </cell>
          <cell r="E818">
            <v>3</v>
          </cell>
          <cell r="F818" t="str">
            <v>Life Sciences</v>
          </cell>
          <cell r="G818">
            <v>3</v>
          </cell>
          <cell r="H818" t="str">
            <v>Male</v>
          </cell>
          <cell r="I818">
            <v>3</v>
          </cell>
          <cell r="J818">
            <v>2</v>
          </cell>
          <cell r="K818" t="str">
            <v>Laboratory Technician</v>
          </cell>
          <cell r="L818">
            <v>2</v>
          </cell>
          <cell r="M818" t="str">
            <v>Single</v>
          </cell>
          <cell r="N818">
            <v>6782</v>
          </cell>
          <cell r="O818">
            <v>9</v>
          </cell>
          <cell r="P818" t="str">
            <v>No</v>
          </cell>
          <cell r="Q818">
            <v>3</v>
          </cell>
          <cell r="R818">
            <v>9</v>
          </cell>
          <cell r="S818">
            <v>2</v>
          </cell>
          <cell r="T818">
            <v>5</v>
          </cell>
          <cell r="U818">
            <v>4</v>
          </cell>
          <cell r="V818">
            <v>0</v>
          </cell>
          <cell r="W818">
            <v>3</v>
          </cell>
          <cell r="X818">
            <v>15</v>
          </cell>
          <cell r="Y818">
            <v>0</v>
          </cell>
          <cell r="Z818" t="str">
            <v>Mid</v>
          </cell>
          <cell r="AA818" t="str">
            <v>Medium</v>
          </cell>
          <cell r="AB818" t="str">
            <v>Mid</v>
          </cell>
          <cell r="AC818" t="str">
            <v>Medium</v>
          </cell>
          <cell r="AD818">
            <v>1132</v>
          </cell>
        </row>
        <row r="819">
          <cell r="A819">
            <v>36</v>
          </cell>
          <cell r="B819" t="str">
            <v>No</v>
          </cell>
          <cell r="C819" t="str">
            <v>Research &amp; Development</v>
          </cell>
          <cell r="D819">
            <v>18</v>
          </cell>
          <cell r="E819">
            <v>4</v>
          </cell>
          <cell r="F819" t="str">
            <v>Life Sciences</v>
          </cell>
          <cell r="G819">
            <v>1</v>
          </cell>
          <cell r="H819" t="str">
            <v>Male</v>
          </cell>
          <cell r="I819">
            <v>3</v>
          </cell>
          <cell r="J819">
            <v>2</v>
          </cell>
          <cell r="K819" t="str">
            <v>Manufacturing Director</v>
          </cell>
          <cell r="L819">
            <v>4</v>
          </cell>
          <cell r="M819" t="str">
            <v>Single</v>
          </cell>
          <cell r="N819">
            <v>7779</v>
          </cell>
          <cell r="O819">
            <v>2</v>
          </cell>
          <cell r="P819" t="str">
            <v>No</v>
          </cell>
          <cell r="Q819">
            <v>1</v>
          </cell>
          <cell r="R819">
            <v>18</v>
          </cell>
          <cell r="S819">
            <v>3</v>
          </cell>
          <cell r="T819">
            <v>11</v>
          </cell>
          <cell r="U819">
            <v>9</v>
          </cell>
          <cell r="V819">
            <v>0</v>
          </cell>
          <cell r="W819">
            <v>9</v>
          </cell>
          <cell r="X819">
            <v>20</v>
          </cell>
          <cell r="Y819">
            <v>0</v>
          </cell>
          <cell r="Z819" t="str">
            <v>Mid</v>
          </cell>
          <cell r="AA819" t="str">
            <v>Medium</v>
          </cell>
          <cell r="AB819" t="str">
            <v>Long</v>
          </cell>
          <cell r="AC819" t="str">
            <v>High</v>
          </cell>
          <cell r="AD819">
            <v>1133</v>
          </cell>
        </row>
        <row r="820">
          <cell r="A820">
            <v>31</v>
          </cell>
          <cell r="B820" t="str">
            <v>No</v>
          </cell>
          <cell r="C820" t="str">
            <v>Sales</v>
          </cell>
          <cell r="D820">
            <v>20</v>
          </cell>
          <cell r="E820">
            <v>3</v>
          </cell>
          <cell r="F820" t="str">
            <v>Life Sciences</v>
          </cell>
          <cell r="G820">
            <v>3</v>
          </cell>
          <cell r="H820" t="str">
            <v>Male</v>
          </cell>
          <cell r="I820">
            <v>4</v>
          </cell>
          <cell r="J820">
            <v>1</v>
          </cell>
          <cell r="K820" t="str">
            <v>Sales Representative</v>
          </cell>
          <cell r="L820">
            <v>4</v>
          </cell>
          <cell r="M820" t="str">
            <v>Married</v>
          </cell>
          <cell r="N820">
            <v>2791</v>
          </cell>
          <cell r="O820">
            <v>0</v>
          </cell>
          <cell r="P820" t="str">
            <v>No</v>
          </cell>
          <cell r="Q820">
            <v>1</v>
          </cell>
          <cell r="R820">
            <v>3</v>
          </cell>
          <cell r="S820">
            <v>3</v>
          </cell>
          <cell r="T820">
            <v>2</v>
          </cell>
          <cell r="U820">
            <v>2</v>
          </cell>
          <cell r="V820">
            <v>2</v>
          </cell>
          <cell r="W820">
            <v>2</v>
          </cell>
          <cell r="X820">
            <v>12</v>
          </cell>
          <cell r="Y820">
            <v>0</v>
          </cell>
          <cell r="Z820" t="str">
            <v>Mid</v>
          </cell>
          <cell r="AA820" t="str">
            <v>Low</v>
          </cell>
          <cell r="AB820" t="str">
            <v>Early</v>
          </cell>
          <cell r="AC820" t="str">
            <v>Low</v>
          </cell>
          <cell r="AD820">
            <v>1135</v>
          </cell>
        </row>
        <row r="821">
          <cell r="A821">
            <v>28</v>
          </cell>
          <cell r="B821" t="str">
            <v>No</v>
          </cell>
          <cell r="C821" t="str">
            <v>Research &amp; Development</v>
          </cell>
          <cell r="D821">
            <v>2</v>
          </cell>
          <cell r="E821">
            <v>1</v>
          </cell>
          <cell r="F821" t="str">
            <v>Life Sciences</v>
          </cell>
          <cell r="G821">
            <v>1</v>
          </cell>
          <cell r="H821" t="str">
            <v>Male</v>
          </cell>
          <cell r="I821">
            <v>2</v>
          </cell>
          <cell r="J821">
            <v>1</v>
          </cell>
          <cell r="K821" t="str">
            <v>Research Scientist</v>
          </cell>
          <cell r="L821">
            <v>2</v>
          </cell>
          <cell r="M821" t="str">
            <v>Married</v>
          </cell>
          <cell r="N821">
            <v>3201</v>
          </cell>
          <cell r="O821">
            <v>0</v>
          </cell>
          <cell r="P821" t="str">
            <v>No</v>
          </cell>
          <cell r="Q821">
            <v>1</v>
          </cell>
          <cell r="R821">
            <v>6</v>
          </cell>
          <cell r="S821">
            <v>1</v>
          </cell>
          <cell r="T821">
            <v>5</v>
          </cell>
          <cell r="U821">
            <v>3</v>
          </cell>
          <cell r="V821">
            <v>0</v>
          </cell>
          <cell r="W821">
            <v>4</v>
          </cell>
          <cell r="X821">
            <v>17</v>
          </cell>
          <cell r="Y821">
            <v>0</v>
          </cell>
          <cell r="Z821" t="str">
            <v>Young</v>
          </cell>
          <cell r="AA821" t="str">
            <v>Low</v>
          </cell>
          <cell r="AB821" t="str">
            <v>Mid</v>
          </cell>
          <cell r="AC821" t="str">
            <v>Medium</v>
          </cell>
          <cell r="AD821">
            <v>1136</v>
          </cell>
        </row>
        <row r="822">
          <cell r="A822">
            <v>35</v>
          </cell>
          <cell r="B822" t="str">
            <v>No</v>
          </cell>
          <cell r="C822" t="str">
            <v>Sales</v>
          </cell>
          <cell r="D822">
            <v>11</v>
          </cell>
          <cell r="E822">
            <v>2</v>
          </cell>
          <cell r="F822" t="str">
            <v>Marketing</v>
          </cell>
          <cell r="G822">
            <v>4</v>
          </cell>
          <cell r="H822" t="str">
            <v>Male</v>
          </cell>
          <cell r="I822">
            <v>3</v>
          </cell>
          <cell r="J822">
            <v>2</v>
          </cell>
          <cell r="K822" t="str">
            <v>Sales Executive</v>
          </cell>
          <cell r="L822">
            <v>4</v>
          </cell>
          <cell r="M822" t="str">
            <v>Divorced</v>
          </cell>
          <cell r="N822">
            <v>4968</v>
          </cell>
          <cell r="O822">
            <v>1</v>
          </cell>
          <cell r="P822" t="str">
            <v>No</v>
          </cell>
          <cell r="Q822">
            <v>4</v>
          </cell>
          <cell r="R822">
            <v>5</v>
          </cell>
          <cell r="S822">
            <v>3</v>
          </cell>
          <cell r="T822">
            <v>5</v>
          </cell>
          <cell r="U822">
            <v>2</v>
          </cell>
          <cell r="V822">
            <v>0</v>
          </cell>
          <cell r="W822">
            <v>2</v>
          </cell>
          <cell r="X822">
            <v>11</v>
          </cell>
          <cell r="Y822">
            <v>0</v>
          </cell>
          <cell r="Z822" t="str">
            <v>Mid</v>
          </cell>
          <cell r="AA822" t="str">
            <v>Low</v>
          </cell>
          <cell r="AB822" t="str">
            <v>Mid</v>
          </cell>
          <cell r="AC822" t="str">
            <v>Low</v>
          </cell>
          <cell r="AD822">
            <v>1137</v>
          </cell>
        </row>
        <row r="823">
          <cell r="A823">
            <v>49</v>
          </cell>
          <cell r="B823" t="str">
            <v>No</v>
          </cell>
          <cell r="C823" t="str">
            <v>Sales</v>
          </cell>
          <cell r="D823">
            <v>8</v>
          </cell>
          <cell r="E823">
            <v>4</v>
          </cell>
          <cell r="F823" t="str">
            <v>Technical Degree</v>
          </cell>
          <cell r="G823">
            <v>4</v>
          </cell>
          <cell r="H823" t="str">
            <v>Male</v>
          </cell>
          <cell r="I823">
            <v>2</v>
          </cell>
          <cell r="J823">
            <v>4</v>
          </cell>
          <cell r="K823" t="str">
            <v>Sales Executive</v>
          </cell>
          <cell r="L823">
            <v>2</v>
          </cell>
          <cell r="M823" t="str">
            <v>Married</v>
          </cell>
          <cell r="N823">
            <v>13120</v>
          </cell>
          <cell r="O823">
            <v>6</v>
          </cell>
          <cell r="P823" t="str">
            <v>No</v>
          </cell>
          <cell r="Q823">
            <v>2</v>
          </cell>
          <cell r="R823">
            <v>22</v>
          </cell>
          <cell r="S823">
            <v>3</v>
          </cell>
          <cell r="T823">
            <v>9</v>
          </cell>
          <cell r="U823">
            <v>8</v>
          </cell>
          <cell r="V823">
            <v>2</v>
          </cell>
          <cell r="W823">
            <v>3</v>
          </cell>
          <cell r="X823">
            <v>17</v>
          </cell>
          <cell r="Y823">
            <v>0</v>
          </cell>
          <cell r="Z823" t="str">
            <v>Senior</v>
          </cell>
          <cell r="AA823" t="str">
            <v>High</v>
          </cell>
          <cell r="AB823" t="str">
            <v>Long</v>
          </cell>
          <cell r="AC823" t="str">
            <v>Medium</v>
          </cell>
          <cell r="AD823">
            <v>1138</v>
          </cell>
        </row>
        <row r="824">
          <cell r="A824">
            <v>34</v>
          </cell>
          <cell r="B824" t="str">
            <v>No</v>
          </cell>
          <cell r="C824" t="str">
            <v>Research &amp; Development</v>
          </cell>
          <cell r="D824">
            <v>2</v>
          </cell>
          <cell r="E824">
            <v>2</v>
          </cell>
          <cell r="F824" t="str">
            <v>Life Sciences</v>
          </cell>
          <cell r="G824">
            <v>4</v>
          </cell>
          <cell r="H824" t="str">
            <v>Male</v>
          </cell>
          <cell r="I824">
            <v>3</v>
          </cell>
          <cell r="J824">
            <v>2</v>
          </cell>
          <cell r="K824" t="str">
            <v>Manufacturing Director</v>
          </cell>
          <cell r="L824">
            <v>3</v>
          </cell>
          <cell r="M824" t="str">
            <v>Single</v>
          </cell>
          <cell r="N824">
            <v>4033</v>
          </cell>
          <cell r="O824">
            <v>2</v>
          </cell>
          <cell r="P824" t="str">
            <v>No</v>
          </cell>
          <cell r="Q824">
            <v>4</v>
          </cell>
          <cell r="R824">
            <v>5</v>
          </cell>
          <cell r="S824">
            <v>2</v>
          </cell>
          <cell r="T824">
            <v>3</v>
          </cell>
          <cell r="U824">
            <v>2</v>
          </cell>
          <cell r="V824">
            <v>0</v>
          </cell>
          <cell r="W824">
            <v>2</v>
          </cell>
          <cell r="X824">
            <v>11</v>
          </cell>
          <cell r="Y824">
            <v>0</v>
          </cell>
          <cell r="Z824" t="str">
            <v>Mid</v>
          </cell>
          <cell r="AA824" t="str">
            <v>Low</v>
          </cell>
          <cell r="AB824" t="str">
            <v>Mid</v>
          </cell>
          <cell r="AC824" t="str">
            <v>Low</v>
          </cell>
          <cell r="AD824">
            <v>1140</v>
          </cell>
        </row>
        <row r="825">
          <cell r="A825">
            <v>29</v>
          </cell>
          <cell r="B825" t="str">
            <v>No</v>
          </cell>
          <cell r="C825" t="str">
            <v>Research &amp; Development</v>
          </cell>
          <cell r="D825">
            <v>10</v>
          </cell>
          <cell r="E825">
            <v>3</v>
          </cell>
          <cell r="F825" t="str">
            <v>Life Sciences</v>
          </cell>
          <cell r="G825">
            <v>4</v>
          </cell>
          <cell r="H825" t="str">
            <v>Female</v>
          </cell>
          <cell r="I825">
            <v>3</v>
          </cell>
          <cell r="J825">
            <v>1</v>
          </cell>
          <cell r="K825" t="str">
            <v>Research Scientist</v>
          </cell>
          <cell r="L825">
            <v>2</v>
          </cell>
          <cell r="M825" t="str">
            <v>Divorced</v>
          </cell>
          <cell r="N825">
            <v>3291</v>
          </cell>
          <cell r="O825">
            <v>0</v>
          </cell>
          <cell r="P825" t="str">
            <v>No</v>
          </cell>
          <cell r="Q825">
            <v>4</v>
          </cell>
          <cell r="R825">
            <v>8</v>
          </cell>
          <cell r="S825">
            <v>2</v>
          </cell>
          <cell r="T825">
            <v>7</v>
          </cell>
          <cell r="U825">
            <v>5</v>
          </cell>
          <cell r="V825">
            <v>1</v>
          </cell>
          <cell r="W825">
            <v>1</v>
          </cell>
          <cell r="X825">
            <v>14</v>
          </cell>
          <cell r="Y825">
            <v>0</v>
          </cell>
          <cell r="Z825" t="str">
            <v>Young</v>
          </cell>
          <cell r="AA825" t="str">
            <v>Low</v>
          </cell>
          <cell r="AB825" t="str">
            <v>Long</v>
          </cell>
          <cell r="AC825" t="str">
            <v>Medium</v>
          </cell>
          <cell r="AD825">
            <v>1143</v>
          </cell>
        </row>
        <row r="826">
          <cell r="A826">
            <v>42</v>
          </cell>
          <cell r="B826" t="str">
            <v>No</v>
          </cell>
          <cell r="C826" t="str">
            <v>Research &amp; Development</v>
          </cell>
          <cell r="D826">
            <v>29</v>
          </cell>
          <cell r="E826">
            <v>3</v>
          </cell>
          <cell r="F826" t="str">
            <v>Medical</v>
          </cell>
          <cell r="G826">
            <v>2</v>
          </cell>
          <cell r="H826" t="str">
            <v>Male</v>
          </cell>
          <cell r="I826">
            <v>1</v>
          </cell>
          <cell r="J826">
            <v>2</v>
          </cell>
          <cell r="K826" t="str">
            <v>Laboratory Technician</v>
          </cell>
          <cell r="L826">
            <v>4</v>
          </cell>
          <cell r="M826" t="str">
            <v>Single</v>
          </cell>
          <cell r="N826">
            <v>4272</v>
          </cell>
          <cell r="O826">
            <v>4</v>
          </cell>
          <cell r="P826" t="str">
            <v>No</v>
          </cell>
          <cell r="Q826">
            <v>1</v>
          </cell>
          <cell r="R826">
            <v>16</v>
          </cell>
          <cell r="S826">
            <v>3</v>
          </cell>
          <cell r="T826">
            <v>1</v>
          </cell>
          <cell r="U826">
            <v>0</v>
          </cell>
          <cell r="V826">
            <v>0</v>
          </cell>
          <cell r="W826">
            <v>0</v>
          </cell>
          <cell r="X826">
            <v>19</v>
          </cell>
          <cell r="Y826">
            <v>0</v>
          </cell>
          <cell r="Z826" t="str">
            <v>Mid</v>
          </cell>
          <cell r="AA826" t="str">
            <v>Low</v>
          </cell>
          <cell r="AB826" t="str">
            <v>Early</v>
          </cell>
          <cell r="AC826" t="str">
            <v>High</v>
          </cell>
          <cell r="AD826">
            <v>1148</v>
          </cell>
        </row>
        <row r="827">
          <cell r="A827">
            <v>29</v>
          </cell>
          <cell r="B827" t="str">
            <v>No</v>
          </cell>
          <cell r="C827" t="str">
            <v>Research &amp; Development</v>
          </cell>
          <cell r="D827">
            <v>8</v>
          </cell>
          <cell r="E827">
            <v>1</v>
          </cell>
          <cell r="F827" t="str">
            <v>Medical</v>
          </cell>
          <cell r="G827">
            <v>2</v>
          </cell>
          <cell r="H827" t="str">
            <v>Male</v>
          </cell>
          <cell r="I827">
            <v>2</v>
          </cell>
          <cell r="J827">
            <v>2</v>
          </cell>
          <cell r="K827" t="str">
            <v>Manufacturing Director</v>
          </cell>
          <cell r="L827">
            <v>4</v>
          </cell>
          <cell r="M827" t="str">
            <v>Married</v>
          </cell>
          <cell r="N827">
            <v>5056</v>
          </cell>
          <cell r="O827">
            <v>1</v>
          </cell>
          <cell r="P827" t="str">
            <v>Yes</v>
          </cell>
          <cell r="Q827">
            <v>3</v>
          </cell>
          <cell r="R827">
            <v>10</v>
          </cell>
          <cell r="S827">
            <v>2</v>
          </cell>
          <cell r="T827">
            <v>10</v>
          </cell>
          <cell r="U827">
            <v>7</v>
          </cell>
          <cell r="V827">
            <v>1</v>
          </cell>
          <cell r="W827">
            <v>2</v>
          </cell>
          <cell r="X827">
            <v>15</v>
          </cell>
          <cell r="Y827">
            <v>0</v>
          </cell>
          <cell r="Z827" t="str">
            <v>Young</v>
          </cell>
          <cell r="AA827" t="str">
            <v>Medium</v>
          </cell>
          <cell r="AB827" t="str">
            <v>Long</v>
          </cell>
          <cell r="AC827" t="str">
            <v>Medium</v>
          </cell>
          <cell r="AD827">
            <v>1150</v>
          </cell>
        </row>
        <row r="828">
          <cell r="A828">
            <v>38</v>
          </cell>
          <cell r="B828" t="str">
            <v>No</v>
          </cell>
          <cell r="C828" t="str">
            <v>Human Resources</v>
          </cell>
          <cell r="D828">
            <v>1</v>
          </cell>
          <cell r="E828">
            <v>3</v>
          </cell>
          <cell r="F828" t="str">
            <v>Human Resources</v>
          </cell>
          <cell r="G828">
            <v>3</v>
          </cell>
          <cell r="H828" t="str">
            <v>Male</v>
          </cell>
          <cell r="I828">
            <v>4</v>
          </cell>
          <cell r="J828">
            <v>1</v>
          </cell>
          <cell r="K828" t="str">
            <v>Human Resources</v>
          </cell>
          <cell r="L828">
            <v>3</v>
          </cell>
          <cell r="M828" t="str">
            <v>Married</v>
          </cell>
          <cell r="N828">
            <v>2844</v>
          </cell>
          <cell r="O828">
            <v>1</v>
          </cell>
          <cell r="P828" t="str">
            <v>No</v>
          </cell>
          <cell r="Q828">
            <v>4</v>
          </cell>
          <cell r="R828">
            <v>7</v>
          </cell>
          <cell r="S828">
            <v>4</v>
          </cell>
          <cell r="T828">
            <v>7</v>
          </cell>
          <cell r="U828">
            <v>6</v>
          </cell>
          <cell r="V828">
            <v>5</v>
          </cell>
          <cell r="W828">
            <v>0</v>
          </cell>
          <cell r="X828">
            <v>13</v>
          </cell>
          <cell r="Y828">
            <v>0</v>
          </cell>
          <cell r="Z828" t="str">
            <v>Mid</v>
          </cell>
          <cell r="AA828" t="str">
            <v>Low</v>
          </cell>
          <cell r="AB828" t="str">
            <v>Long</v>
          </cell>
          <cell r="AC828" t="str">
            <v>Medium</v>
          </cell>
          <cell r="AD828">
            <v>1152</v>
          </cell>
        </row>
        <row r="829">
          <cell r="A829">
            <v>28</v>
          </cell>
          <cell r="B829" t="str">
            <v>No</v>
          </cell>
          <cell r="C829" t="str">
            <v>Research &amp; Development</v>
          </cell>
          <cell r="D829">
            <v>6</v>
          </cell>
          <cell r="E829">
            <v>3</v>
          </cell>
          <cell r="F829" t="str">
            <v>Life Sciences</v>
          </cell>
          <cell r="G829">
            <v>3</v>
          </cell>
          <cell r="H829" t="str">
            <v>Male</v>
          </cell>
          <cell r="I829">
            <v>2</v>
          </cell>
          <cell r="J829">
            <v>1</v>
          </cell>
          <cell r="K829" t="str">
            <v>Research Scientist</v>
          </cell>
          <cell r="L829">
            <v>3</v>
          </cell>
          <cell r="M829" t="str">
            <v>Divorced</v>
          </cell>
          <cell r="N829">
            <v>2703</v>
          </cell>
          <cell r="O829">
            <v>1</v>
          </cell>
          <cell r="P829" t="str">
            <v>Yes</v>
          </cell>
          <cell r="Q829">
            <v>4</v>
          </cell>
          <cell r="R829">
            <v>3</v>
          </cell>
          <cell r="S829">
            <v>3</v>
          </cell>
          <cell r="T829">
            <v>3</v>
          </cell>
          <cell r="U829">
            <v>1</v>
          </cell>
          <cell r="V829">
            <v>0</v>
          </cell>
          <cell r="W829">
            <v>2</v>
          </cell>
          <cell r="X829">
            <v>14</v>
          </cell>
          <cell r="Y829">
            <v>0</v>
          </cell>
          <cell r="Z829" t="str">
            <v>Young</v>
          </cell>
          <cell r="AA829" t="str">
            <v>Low</v>
          </cell>
          <cell r="AB829" t="str">
            <v>Mid</v>
          </cell>
          <cell r="AC829" t="str">
            <v>Medium</v>
          </cell>
          <cell r="AD829">
            <v>1154</v>
          </cell>
        </row>
        <row r="830">
          <cell r="A830">
            <v>18</v>
          </cell>
          <cell r="B830" t="str">
            <v>Yes</v>
          </cell>
          <cell r="C830" t="str">
            <v>Research &amp; Development</v>
          </cell>
          <cell r="D830">
            <v>8</v>
          </cell>
          <cell r="E830">
            <v>1</v>
          </cell>
          <cell r="F830" t="str">
            <v>Medical</v>
          </cell>
          <cell r="G830">
            <v>3</v>
          </cell>
          <cell r="H830" t="str">
            <v>Male</v>
          </cell>
          <cell r="I830">
            <v>3</v>
          </cell>
          <cell r="J830">
            <v>1</v>
          </cell>
          <cell r="K830" t="str">
            <v>Laboratory Technician</v>
          </cell>
          <cell r="L830">
            <v>3</v>
          </cell>
          <cell r="M830" t="str">
            <v>Single</v>
          </cell>
          <cell r="N830">
            <v>1904</v>
          </cell>
          <cell r="O830">
            <v>1</v>
          </cell>
          <cell r="P830" t="str">
            <v>No</v>
          </cell>
          <cell r="Q830">
            <v>4</v>
          </cell>
          <cell r="R830">
            <v>0</v>
          </cell>
          <cell r="S830">
            <v>3</v>
          </cell>
          <cell r="T830">
            <v>0</v>
          </cell>
          <cell r="U830">
            <v>0</v>
          </cell>
          <cell r="V830">
            <v>0</v>
          </cell>
          <cell r="W830">
            <v>0</v>
          </cell>
          <cell r="X830">
            <v>12</v>
          </cell>
          <cell r="Y830">
            <v>1</v>
          </cell>
          <cell r="Z830" t="str">
            <v>Young</v>
          </cell>
          <cell r="AA830" t="str">
            <v>Low</v>
          </cell>
          <cell r="AB830" t="str">
            <v>Early</v>
          </cell>
          <cell r="AC830" t="str">
            <v>Low</v>
          </cell>
          <cell r="AD830">
            <v>1156</v>
          </cell>
        </row>
        <row r="831">
          <cell r="A831">
            <v>33</v>
          </cell>
          <cell r="B831" t="str">
            <v>Yes</v>
          </cell>
          <cell r="C831" t="str">
            <v>Sales</v>
          </cell>
          <cell r="D831">
            <v>9</v>
          </cell>
          <cell r="E831">
            <v>4</v>
          </cell>
          <cell r="F831" t="str">
            <v>Marketing</v>
          </cell>
          <cell r="G831">
            <v>1</v>
          </cell>
          <cell r="H831" t="str">
            <v>Female</v>
          </cell>
          <cell r="I831">
            <v>3</v>
          </cell>
          <cell r="J831">
            <v>2</v>
          </cell>
          <cell r="K831" t="str">
            <v>Sales Executive</v>
          </cell>
          <cell r="L831">
            <v>1</v>
          </cell>
          <cell r="M831" t="str">
            <v>Single</v>
          </cell>
          <cell r="N831">
            <v>8224</v>
          </cell>
          <cell r="O831">
            <v>0</v>
          </cell>
          <cell r="P831" t="str">
            <v>Yes</v>
          </cell>
          <cell r="Q831">
            <v>1</v>
          </cell>
          <cell r="R831">
            <v>6</v>
          </cell>
          <cell r="S831">
            <v>3</v>
          </cell>
          <cell r="T831">
            <v>5</v>
          </cell>
          <cell r="U831">
            <v>2</v>
          </cell>
          <cell r="V831">
            <v>0</v>
          </cell>
          <cell r="W831">
            <v>3</v>
          </cell>
          <cell r="X831">
            <v>17</v>
          </cell>
          <cell r="Y831">
            <v>1</v>
          </cell>
          <cell r="Z831" t="str">
            <v>Mid</v>
          </cell>
          <cell r="AA831" t="str">
            <v>Medium</v>
          </cell>
          <cell r="AB831" t="str">
            <v>Mid</v>
          </cell>
          <cell r="AC831" t="str">
            <v>Medium</v>
          </cell>
          <cell r="AD831">
            <v>1157</v>
          </cell>
        </row>
        <row r="832">
          <cell r="A832">
            <v>41</v>
          </cell>
          <cell r="B832" t="str">
            <v>No</v>
          </cell>
          <cell r="C832" t="str">
            <v>Research &amp; Development</v>
          </cell>
          <cell r="D832">
            <v>12</v>
          </cell>
          <cell r="E832">
            <v>4</v>
          </cell>
          <cell r="F832" t="str">
            <v>Life Sciences</v>
          </cell>
          <cell r="G832">
            <v>2</v>
          </cell>
          <cell r="H832" t="str">
            <v>Male</v>
          </cell>
          <cell r="I832">
            <v>3</v>
          </cell>
          <cell r="J832">
            <v>1</v>
          </cell>
          <cell r="K832" t="str">
            <v>Laboratory Technician</v>
          </cell>
          <cell r="L832">
            <v>4</v>
          </cell>
          <cell r="M832" t="str">
            <v>Married</v>
          </cell>
          <cell r="N832">
            <v>4766</v>
          </cell>
          <cell r="O832">
            <v>3</v>
          </cell>
          <cell r="P832" t="str">
            <v>Yes</v>
          </cell>
          <cell r="Q832">
            <v>1</v>
          </cell>
          <cell r="R832">
            <v>6</v>
          </cell>
          <cell r="S832">
            <v>3</v>
          </cell>
          <cell r="T832">
            <v>1</v>
          </cell>
          <cell r="U832">
            <v>0</v>
          </cell>
          <cell r="V832">
            <v>0</v>
          </cell>
          <cell r="W832">
            <v>0</v>
          </cell>
          <cell r="X832">
            <v>11</v>
          </cell>
          <cell r="Y832">
            <v>0</v>
          </cell>
          <cell r="Z832" t="str">
            <v>Mid</v>
          </cell>
          <cell r="AA832" t="str">
            <v>Low</v>
          </cell>
          <cell r="AB832" t="str">
            <v>Early</v>
          </cell>
          <cell r="AC832" t="str">
            <v>Low</v>
          </cell>
          <cell r="AD832">
            <v>1158</v>
          </cell>
        </row>
        <row r="833">
          <cell r="A833">
            <v>31</v>
          </cell>
          <cell r="B833" t="str">
            <v>Yes</v>
          </cell>
          <cell r="C833" t="str">
            <v>Research &amp; Development</v>
          </cell>
          <cell r="D833">
            <v>15</v>
          </cell>
          <cell r="E833">
            <v>3</v>
          </cell>
          <cell r="F833" t="str">
            <v>Medical</v>
          </cell>
          <cell r="G833">
            <v>3</v>
          </cell>
          <cell r="H833" t="str">
            <v>Male</v>
          </cell>
          <cell r="I833">
            <v>3</v>
          </cell>
          <cell r="J833">
            <v>1</v>
          </cell>
          <cell r="K833" t="str">
            <v>Laboratory Technician</v>
          </cell>
          <cell r="L833">
            <v>3</v>
          </cell>
          <cell r="M833" t="str">
            <v>Married</v>
          </cell>
          <cell r="N833">
            <v>2610</v>
          </cell>
          <cell r="O833">
            <v>1</v>
          </cell>
          <cell r="P833" t="str">
            <v>No</v>
          </cell>
          <cell r="Q833">
            <v>3</v>
          </cell>
          <cell r="R833">
            <v>2</v>
          </cell>
          <cell r="S833">
            <v>2</v>
          </cell>
          <cell r="T833">
            <v>2</v>
          </cell>
          <cell r="U833">
            <v>2</v>
          </cell>
          <cell r="V833">
            <v>2</v>
          </cell>
          <cell r="W833">
            <v>2</v>
          </cell>
          <cell r="X833">
            <v>12</v>
          </cell>
          <cell r="Y833">
            <v>1</v>
          </cell>
          <cell r="Z833" t="str">
            <v>Mid</v>
          </cell>
          <cell r="AA833" t="str">
            <v>Low</v>
          </cell>
          <cell r="AB833" t="str">
            <v>Early</v>
          </cell>
          <cell r="AC833" t="str">
            <v>Low</v>
          </cell>
          <cell r="AD833">
            <v>1160</v>
          </cell>
        </row>
        <row r="834">
          <cell r="A834">
            <v>37</v>
          </cell>
          <cell r="B834" t="str">
            <v>No</v>
          </cell>
          <cell r="C834" t="str">
            <v>Research &amp; Development</v>
          </cell>
          <cell r="D834">
            <v>25</v>
          </cell>
          <cell r="E834">
            <v>2</v>
          </cell>
          <cell r="F834" t="str">
            <v>Medical</v>
          </cell>
          <cell r="G834">
            <v>3</v>
          </cell>
          <cell r="H834" t="str">
            <v>Female</v>
          </cell>
          <cell r="I834">
            <v>2</v>
          </cell>
          <cell r="J834">
            <v>2</v>
          </cell>
          <cell r="K834" t="str">
            <v>Healthcare Representative</v>
          </cell>
          <cell r="L834">
            <v>4</v>
          </cell>
          <cell r="M834" t="str">
            <v>Divorced</v>
          </cell>
          <cell r="N834">
            <v>5731</v>
          </cell>
          <cell r="O834">
            <v>7</v>
          </cell>
          <cell r="P834" t="str">
            <v>No</v>
          </cell>
          <cell r="Q834">
            <v>3</v>
          </cell>
          <cell r="R834">
            <v>9</v>
          </cell>
          <cell r="S834">
            <v>3</v>
          </cell>
          <cell r="T834">
            <v>6</v>
          </cell>
          <cell r="U834">
            <v>2</v>
          </cell>
          <cell r="V834">
            <v>1</v>
          </cell>
          <cell r="W834">
            <v>3</v>
          </cell>
          <cell r="X834">
            <v>13</v>
          </cell>
          <cell r="Y834">
            <v>0</v>
          </cell>
          <cell r="Z834" t="str">
            <v>Mid</v>
          </cell>
          <cell r="AA834" t="str">
            <v>Medium</v>
          </cell>
          <cell r="AB834" t="str">
            <v>Mid</v>
          </cell>
          <cell r="AC834" t="str">
            <v>Medium</v>
          </cell>
          <cell r="AD834">
            <v>1161</v>
          </cell>
        </row>
        <row r="835">
          <cell r="A835">
            <v>27</v>
          </cell>
          <cell r="B835" t="str">
            <v>No</v>
          </cell>
          <cell r="C835" t="str">
            <v>Research &amp; Development</v>
          </cell>
          <cell r="D835">
            <v>6</v>
          </cell>
          <cell r="E835">
            <v>3</v>
          </cell>
          <cell r="F835" t="str">
            <v>Life Sciences</v>
          </cell>
          <cell r="G835">
            <v>4</v>
          </cell>
          <cell r="H835" t="str">
            <v>Male</v>
          </cell>
          <cell r="I835">
            <v>2</v>
          </cell>
          <cell r="J835">
            <v>1</v>
          </cell>
          <cell r="K835" t="str">
            <v>Research Scientist</v>
          </cell>
          <cell r="L835">
            <v>3</v>
          </cell>
          <cell r="M835" t="str">
            <v>Married</v>
          </cell>
          <cell r="N835">
            <v>2539</v>
          </cell>
          <cell r="O835">
            <v>1</v>
          </cell>
          <cell r="P835" t="str">
            <v>No</v>
          </cell>
          <cell r="Q835">
            <v>3</v>
          </cell>
          <cell r="R835">
            <v>4</v>
          </cell>
          <cell r="S835">
            <v>3</v>
          </cell>
          <cell r="T835">
            <v>4</v>
          </cell>
          <cell r="U835">
            <v>2</v>
          </cell>
          <cell r="V835">
            <v>2</v>
          </cell>
          <cell r="W835">
            <v>2</v>
          </cell>
          <cell r="X835">
            <v>13</v>
          </cell>
          <cell r="Y835">
            <v>0</v>
          </cell>
          <cell r="Z835" t="str">
            <v>Young</v>
          </cell>
          <cell r="AA835" t="str">
            <v>Low</v>
          </cell>
          <cell r="AB835" t="str">
            <v>Mid</v>
          </cell>
          <cell r="AC835" t="str">
            <v>Medium</v>
          </cell>
          <cell r="AD835">
            <v>1162</v>
          </cell>
        </row>
        <row r="836">
          <cell r="A836">
            <v>34</v>
          </cell>
          <cell r="B836" t="str">
            <v>No</v>
          </cell>
          <cell r="C836" t="str">
            <v>Sales</v>
          </cell>
          <cell r="D836">
            <v>9</v>
          </cell>
          <cell r="E836">
            <v>1</v>
          </cell>
          <cell r="F836" t="str">
            <v>Life Sciences</v>
          </cell>
          <cell r="G836">
            <v>2</v>
          </cell>
          <cell r="H836" t="str">
            <v>Female</v>
          </cell>
          <cell r="I836">
            <v>3</v>
          </cell>
          <cell r="J836">
            <v>2</v>
          </cell>
          <cell r="K836" t="str">
            <v>Sales Executive</v>
          </cell>
          <cell r="L836">
            <v>3</v>
          </cell>
          <cell r="M836" t="str">
            <v>Married</v>
          </cell>
          <cell r="N836">
            <v>5714</v>
          </cell>
          <cell r="O836">
            <v>1</v>
          </cell>
          <cell r="P836" t="str">
            <v>No</v>
          </cell>
          <cell r="Q836">
            <v>1</v>
          </cell>
          <cell r="R836">
            <v>6</v>
          </cell>
          <cell r="S836">
            <v>2</v>
          </cell>
          <cell r="T836">
            <v>6</v>
          </cell>
          <cell r="U836">
            <v>5</v>
          </cell>
          <cell r="V836">
            <v>1</v>
          </cell>
          <cell r="W836">
            <v>3</v>
          </cell>
          <cell r="X836">
            <v>20</v>
          </cell>
          <cell r="Y836">
            <v>0</v>
          </cell>
          <cell r="Z836" t="str">
            <v>Mid</v>
          </cell>
          <cell r="AA836" t="str">
            <v>Medium</v>
          </cell>
          <cell r="AB836" t="str">
            <v>Mid</v>
          </cell>
          <cell r="AC836" t="str">
            <v>High</v>
          </cell>
          <cell r="AD836">
            <v>1163</v>
          </cell>
        </row>
        <row r="837">
          <cell r="A837">
            <v>35</v>
          </cell>
          <cell r="B837" t="str">
            <v>No</v>
          </cell>
          <cell r="C837" t="str">
            <v>Human Resources</v>
          </cell>
          <cell r="D837">
            <v>8</v>
          </cell>
          <cell r="E837">
            <v>4</v>
          </cell>
          <cell r="F837" t="str">
            <v>Technical Degree</v>
          </cell>
          <cell r="G837">
            <v>3</v>
          </cell>
          <cell r="H837" t="str">
            <v>Male</v>
          </cell>
          <cell r="I837">
            <v>3</v>
          </cell>
          <cell r="J837">
            <v>1</v>
          </cell>
          <cell r="K837" t="str">
            <v>Human Resources</v>
          </cell>
          <cell r="L837">
            <v>3</v>
          </cell>
          <cell r="M837" t="str">
            <v>Single</v>
          </cell>
          <cell r="N837">
            <v>4323</v>
          </cell>
          <cell r="O837">
            <v>1</v>
          </cell>
          <cell r="P837" t="str">
            <v>No</v>
          </cell>
          <cell r="Q837">
            <v>2</v>
          </cell>
          <cell r="R837">
            <v>6</v>
          </cell>
          <cell r="S837">
            <v>1</v>
          </cell>
          <cell r="T837">
            <v>5</v>
          </cell>
          <cell r="U837">
            <v>4</v>
          </cell>
          <cell r="V837">
            <v>1</v>
          </cell>
          <cell r="W837">
            <v>4</v>
          </cell>
          <cell r="X837">
            <v>17</v>
          </cell>
          <cell r="Y837">
            <v>0</v>
          </cell>
          <cell r="Z837" t="str">
            <v>Mid</v>
          </cell>
          <cell r="AA837" t="str">
            <v>Low</v>
          </cell>
          <cell r="AB837" t="str">
            <v>Mid</v>
          </cell>
          <cell r="AC837" t="str">
            <v>Medium</v>
          </cell>
          <cell r="AD837">
            <v>1164</v>
          </cell>
        </row>
        <row r="838">
          <cell r="A838">
            <v>29</v>
          </cell>
          <cell r="B838" t="str">
            <v>Yes</v>
          </cell>
          <cell r="C838" t="str">
            <v>Sales</v>
          </cell>
          <cell r="D838">
            <v>23</v>
          </cell>
          <cell r="E838">
            <v>1</v>
          </cell>
          <cell r="F838" t="str">
            <v>Life Sciences</v>
          </cell>
          <cell r="G838">
            <v>4</v>
          </cell>
          <cell r="H838" t="str">
            <v>Female</v>
          </cell>
          <cell r="I838">
            <v>2</v>
          </cell>
          <cell r="J838">
            <v>3</v>
          </cell>
          <cell r="K838" t="str">
            <v>Sales Executive</v>
          </cell>
          <cell r="L838">
            <v>1</v>
          </cell>
          <cell r="M838" t="str">
            <v>Married</v>
          </cell>
          <cell r="N838">
            <v>7336</v>
          </cell>
          <cell r="O838">
            <v>1</v>
          </cell>
          <cell r="P838" t="str">
            <v>No</v>
          </cell>
          <cell r="Q838">
            <v>1</v>
          </cell>
          <cell r="R838">
            <v>11</v>
          </cell>
          <cell r="S838">
            <v>1</v>
          </cell>
          <cell r="T838">
            <v>11</v>
          </cell>
          <cell r="U838">
            <v>8</v>
          </cell>
          <cell r="V838">
            <v>3</v>
          </cell>
          <cell r="W838">
            <v>10</v>
          </cell>
          <cell r="X838">
            <v>13</v>
          </cell>
          <cell r="Y838">
            <v>1</v>
          </cell>
          <cell r="Z838" t="str">
            <v>Young</v>
          </cell>
          <cell r="AA838" t="str">
            <v>Medium</v>
          </cell>
          <cell r="AB838" t="str">
            <v>Long</v>
          </cell>
          <cell r="AC838" t="str">
            <v>Medium</v>
          </cell>
          <cell r="AD838">
            <v>1165</v>
          </cell>
        </row>
        <row r="839">
          <cell r="A839">
            <v>40</v>
          </cell>
          <cell r="B839" t="str">
            <v>No</v>
          </cell>
          <cell r="C839" t="str">
            <v>Research &amp; Development</v>
          </cell>
          <cell r="D839">
            <v>9</v>
          </cell>
          <cell r="E839">
            <v>4</v>
          </cell>
          <cell r="F839" t="str">
            <v>Medical</v>
          </cell>
          <cell r="G839">
            <v>2</v>
          </cell>
          <cell r="H839" t="str">
            <v>Female</v>
          </cell>
          <cell r="I839">
            <v>3</v>
          </cell>
          <cell r="J839">
            <v>3</v>
          </cell>
          <cell r="K839" t="str">
            <v>Research Director</v>
          </cell>
          <cell r="L839">
            <v>3</v>
          </cell>
          <cell r="M839" t="str">
            <v>Single</v>
          </cell>
          <cell r="N839">
            <v>13499</v>
          </cell>
          <cell r="O839">
            <v>9</v>
          </cell>
          <cell r="P839" t="str">
            <v>No</v>
          </cell>
          <cell r="Q839">
            <v>3</v>
          </cell>
          <cell r="R839">
            <v>20</v>
          </cell>
          <cell r="S839">
            <v>2</v>
          </cell>
          <cell r="T839">
            <v>18</v>
          </cell>
          <cell r="U839">
            <v>7</v>
          </cell>
          <cell r="V839">
            <v>2</v>
          </cell>
          <cell r="W839">
            <v>13</v>
          </cell>
          <cell r="X839">
            <v>17</v>
          </cell>
          <cell r="Y839">
            <v>0</v>
          </cell>
          <cell r="Z839" t="str">
            <v>Mid</v>
          </cell>
          <cell r="AA839" t="str">
            <v>High</v>
          </cell>
          <cell r="AB839" t="str">
            <v>Long</v>
          </cell>
          <cell r="AC839" t="str">
            <v>Medium</v>
          </cell>
          <cell r="AD839">
            <v>1166</v>
          </cell>
        </row>
        <row r="840">
          <cell r="A840">
            <v>42</v>
          </cell>
          <cell r="B840" t="str">
            <v>Yes</v>
          </cell>
          <cell r="C840" t="str">
            <v>Sales</v>
          </cell>
          <cell r="D840">
            <v>12</v>
          </cell>
          <cell r="E840">
            <v>3</v>
          </cell>
          <cell r="F840" t="str">
            <v>Life Sciences</v>
          </cell>
          <cell r="G840">
            <v>3</v>
          </cell>
          <cell r="H840" t="str">
            <v>Male</v>
          </cell>
          <cell r="I840">
            <v>3</v>
          </cell>
          <cell r="J840">
            <v>4</v>
          </cell>
          <cell r="K840" t="str">
            <v>Sales Executive</v>
          </cell>
          <cell r="L840">
            <v>1</v>
          </cell>
          <cell r="M840" t="str">
            <v>Single</v>
          </cell>
          <cell r="N840">
            <v>13758</v>
          </cell>
          <cell r="O840">
            <v>0</v>
          </cell>
          <cell r="P840" t="str">
            <v>Yes</v>
          </cell>
          <cell r="Q840">
            <v>2</v>
          </cell>
          <cell r="R840">
            <v>22</v>
          </cell>
          <cell r="S840">
            <v>2</v>
          </cell>
          <cell r="T840">
            <v>21</v>
          </cell>
          <cell r="U840">
            <v>9</v>
          </cell>
          <cell r="V840">
            <v>13</v>
          </cell>
          <cell r="W840">
            <v>14</v>
          </cell>
          <cell r="X840">
            <v>12</v>
          </cell>
          <cell r="Y840">
            <v>1</v>
          </cell>
          <cell r="Z840" t="str">
            <v>Mid</v>
          </cell>
          <cell r="AA840" t="str">
            <v>High</v>
          </cell>
          <cell r="AB840" t="str">
            <v>Long</v>
          </cell>
          <cell r="AC840" t="str">
            <v>Low</v>
          </cell>
          <cell r="AD840">
            <v>1167</v>
          </cell>
        </row>
        <row r="841">
          <cell r="A841">
            <v>42</v>
          </cell>
          <cell r="B841" t="str">
            <v>No</v>
          </cell>
          <cell r="C841" t="str">
            <v>Sales</v>
          </cell>
          <cell r="D841">
            <v>4</v>
          </cell>
          <cell r="E841">
            <v>4</v>
          </cell>
          <cell r="F841" t="str">
            <v>Marketing</v>
          </cell>
          <cell r="G841">
            <v>2</v>
          </cell>
          <cell r="H841" t="str">
            <v>Male</v>
          </cell>
          <cell r="I841">
            <v>3</v>
          </cell>
          <cell r="J841">
            <v>2</v>
          </cell>
          <cell r="K841" t="str">
            <v>Sales Executive</v>
          </cell>
          <cell r="L841">
            <v>1</v>
          </cell>
          <cell r="M841" t="str">
            <v>Single</v>
          </cell>
          <cell r="N841">
            <v>5155</v>
          </cell>
          <cell r="O841">
            <v>7</v>
          </cell>
          <cell r="P841" t="str">
            <v>No</v>
          </cell>
          <cell r="Q841">
            <v>4</v>
          </cell>
          <cell r="R841">
            <v>9</v>
          </cell>
          <cell r="S841">
            <v>4</v>
          </cell>
          <cell r="T841">
            <v>6</v>
          </cell>
          <cell r="U841">
            <v>4</v>
          </cell>
          <cell r="V841">
            <v>1</v>
          </cell>
          <cell r="W841">
            <v>5</v>
          </cell>
          <cell r="X841">
            <v>13</v>
          </cell>
          <cell r="Y841">
            <v>0</v>
          </cell>
          <cell r="Z841" t="str">
            <v>Mid</v>
          </cell>
          <cell r="AA841" t="str">
            <v>Medium</v>
          </cell>
          <cell r="AB841" t="str">
            <v>Mid</v>
          </cell>
          <cell r="AC841" t="str">
            <v>Medium</v>
          </cell>
          <cell r="AD841">
            <v>1171</v>
          </cell>
        </row>
        <row r="842">
          <cell r="A842">
            <v>35</v>
          </cell>
          <cell r="B842" t="str">
            <v>No</v>
          </cell>
          <cell r="C842" t="str">
            <v>Research &amp; Development</v>
          </cell>
          <cell r="D842">
            <v>1</v>
          </cell>
          <cell r="E842">
            <v>4</v>
          </cell>
          <cell r="F842" t="str">
            <v>Medical</v>
          </cell>
          <cell r="G842">
            <v>4</v>
          </cell>
          <cell r="H842" t="str">
            <v>Male</v>
          </cell>
          <cell r="I842">
            <v>2</v>
          </cell>
          <cell r="J842">
            <v>1</v>
          </cell>
          <cell r="K842" t="str">
            <v>Laboratory Technician</v>
          </cell>
          <cell r="L842">
            <v>3</v>
          </cell>
          <cell r="M842" t="str">
            <v>Married</v>
          </cell>
          <cell r="N842">
            <v>2258</v>
          </cell>
          <cell r="O842">
            <v>6</v>
          </cell>
          <cell r="P842" t="str">
            <v>No</v>
          </cell>
          <cell r="Q842">
            <v>2</v>
          </cell>
          <cell r="R842">
            <v>10</v>
          </cell>
          <cell r="S842">
            <v>3</v>
          </cell>
          <cell r="T842">
            <v>8</v>
          </cell>
          <cell r="U842">
            <v>0</v>
          </cell>
          <cell r="V842">
            <v>1</v>
          </cell>
          <cell r="W842">
            <v>7</v>
          </cell>
          <cell r="X842">
            <v>12</v>
          </cell>
          <cell r="Y842">
            <v>0</v>
          </cell>
          <cell r="Z842" t="str">
            <v>Mid</v>
          </cell>
          <cell r="AA842" t="str">
            <v>Low</v>
          </cell>
          <cell r="AB842" t="str">
            <v>Long</v>
          </cell>
          <cell r="AC842" t="str">
            <v>Low</v>
          </cell>
          <cell r="AD842">
            <v>1172</v>
          </cell>
        </row>
        <row r="843">
          <cell r="A843">
            <v>24</v>
          </cell>
          <cell r="B843" t="str">
            <v>No</v>
          </cell>
          <cell r="C843" t="str">
            <v>Research &amp; Development</v>
          </cell>
          <cell r="D843">
            <v>24</v>
          </cell>
          <cell r="E843">
            <v>3</v>
          </cell>
          <cell r="F843" t="str">
            <v>Medical</v>
          </cell>
          <cell r="G843">
            <v>4</v>
          </cell>
          <cell r="H843" t="str">
            <v>Male</v>
          </cell>
          <cell r="I843">
            <v>3</v>
          </cell>
          <cell r="J843">
            <v>1</v>
          </cell>
          <cell r="K843" t="str">
            <v>Laboratory Technician</v>
          </cell>
          <cell r="L843">
            <v>2</v>
          </cell>
          <cell r="M843" t="str">
            <v>Single</v>
          </cell>
          <cell r="N843">
            <v>3597</v>
          </cell>
          <cell r="O843">
            <v>8</v>
          </cell>
          <cell r="P843" t="str">
            <v>No</v>
          </cell>
          <cell r="Q843">
            <v>4</v>
          </cell>
          <cell r="R843">
            <v>6</v>
          </cell>
          <cell r="S843">
            <v>3</v>
          </cell>
          <cell r="T843">
            <v>4</v>
          </cell>
          <cell r="U843">
            <v>3</v>
          </cell>
          <cell r="V843">
            <v>1</v>
          </cell>
          <cell r="W843">
            <v>2</v>
          </cell>
          <cell r="X843">
            <v>22</v>
          </cell>
          <cell r="Y843">
            <v>0</v>
          </cell>
          <cell r="Z843" t="str">
            <v>Young</v>
          </cell>
          <cell r="AA843" t="str">
            <v>Low</v>
          </cell>
          <cell r="AB843" t="str">
            <v>Mid</v>
          </cell>
          <cell r="AC843" t="str">
            <v>High</v>
          </cell>
          <cell r="AD843">
            <v>1173</v>
          </cell>
        </row>
        <row r="844">
          <cell r="A844">
            <v>28</v>
          </cell>
          <cell r="B844" t="str">
            <v>Yes</v>
          </cell>
          <cell r="C844" t="str">
            <v>Research &amp; Development</v>
          </cell>
          <cell r="D844">
            <v>12</v>
          </cell>
          <cell r="E844">
            <v>1</v>
          </cell>
          <cell r="F844" t="str">
            <v>Life Sciences</v>
          </cell>
          <cell r="G844">
            <v>3</v>
          </cell>
          <cell r="H844" t="str">
            <v>Female</v>
          </cell>
          <cell r="I844">
            <v>3</v>
          </cell>
          <cell r="J844">
            <v>1</v>
          </cell>
          <cell r="K844" t="str">
            <v>Laboratory Technician</v>
          </cell>
          <cell r="L844">
            <v>4</v>
          </cell>
          <cell r="M844" t="str">
            <v>Married</v>
          </cell>
          <cell r="N844">
            <v>2515</v>
          </cell>
          <cell r="O844">
            <v>1</v>
          </cell>
          <cell r="P844" t="str">
            <v>Yes</v>
          </cell>
          <cell r="Q844">
            <v>4</v>
          </cell>
          <cell r="R844">
            <v>1</v>
          </cell>
          <cell r="S844">
            <v>2</v>
          </cell>
          <cell r="T844">
            <v>1</v>
          </cell>
          <cell r="U844">
            <v>1</v>
          </cell>
          <cell r="V844">
            <v>0</v>
          </cell>
          <cell r="W844">
            <v>0</v>
          </cell>
          <cell r="X844">
            <v>11</v>
          </cell>
          <cell r="Y844">
            <v>1</v>
          </cell>
          <cell r="Z844" t="str">
            <v>Young</v>
          </cell>
          <cell r="AA844" t="str">
            <v>Low</v>
          </cell>
          <cell r="AB844" t="str">
            <v>Early</v>
          </cell>
          <cell r="AC844" t="str">
            <v>Low</v>
          </cell>
          <cell r="AD844">
            <v>1175</v>
          </cell>
        </row>
        <row r="845">
          <cell r="A845">
            <v>26</v>
          </cell>
          <cell r="B845" t="str">
            <v>No</v>
          </cell>
          <cell r="C845" t="str">
            <v>Research &amp; Development</v>
          </cell>
          <cell r="D845">
            <v>3</v>
          </cell>
          <cell r="E845">
            <v>4</v>
          </cell>
          <cell r="F845" t="str">
            <v>Medical</v>
          </cell>
          <cell r="G845">
            <v>1</v>
          </cell>
          <cell r="H845" t="str">
            <v>Male</v>
          </cell>
          <cell r="I845">
            <v>4</v>
          </cell>
          <cell r="J845">
            <v>1</v>
          </cell>
          <cell r="K845" t="str">
            <v>Laboratory Technician</v>
          </cell>
          <cell r="L845">
            <v>4</v>
          </cell>
          <cell r="M845" t="str">
            <v>Married</v>
          </cell>
          <cell r="N845">
            <v>4420</v>
          </cell>
          <cell r="O845">
            <v>1</v>
          </cell>
          <cell r="P845" t="str">
            <v>No</v>
          </cell>
          <cell r="Q845">
            <v>2</v>
          </cell>
          <cell r="R845">
            <v>8</v>
          </cell>
          <cell r="S845">
            <v>3</v>
          </cell>
          <cell r="T845">
            <v>8</v>
          </cell>
          <cell r="U845">
            <v>7</v>
          </cell>
          <cell r="V845">
            <v>0</v>
          </cell>
          <cell r="W845">
            <v>7</v>
          </cell>
          <cell r="X845">
            <v>22</v>
          </cell>
          <cell r="Y845">
            <v>0</v>
          </cell>
          <cell r="Z845" t="str">
            <v>Young</v>
          </cell>
          <cell r="AA845" t="str">
            <v>Low</v>
          </cell>
          <cell r="AB845" t="str">
            <v>Long</v>
          </cell>
          <cell r="AC845" t="str">
            <v>High</v>
          </cell>
          <cell r="AD845">
            <v>1177</v>
          </cell>
        </row>
        <row r="846">
          <cell r="A846">
            <v>30</v>
          </cell>
          <cell r="B846" t="str">
            <v>No</v>
          </cell>
          <cell r="C846" t="str">
            <v>Sales</v>
          </cell>
          <cell r="D846">
            <v>10</v>
          </cell>
          <cell r="E846">
            <v>3</v>
          </cell>
          <cell r="F846" t="str">
            <v>Marketing</v>
          </cell>
          <cell r="G846">
            <v>3</v>
          </cell>
          <cell r="H846" t="str">
            <v>Male</v>
          </cell>
          <cell r="I846">
            <v>2</v>
          </cell>
          <cell r="J846">
            <v>2</v>
          </cell>
          <cell r="K846" t="str">
            <v>Sales Executive</v>
          </cell>
          <cell r="L846">
            <v>3</v>
          </cell>
          <cell r="M846" t="str">
            <v>Married</v>
          </cell>
          <cell r="N846">
            <v>6578</v>
          </cell>
          <cell r="O846">
            <v>1</v>
          </cell>
          <cell r="P846" t="str">
            <v>No</v>
          </cell>
          <cell r="Q846">
            <v>1</v>
          </cell>
          <cell r="R846">
            <v>10</v>
          </cell>
          <cell r="S846">
            <v>3</v>
          </cell>
          <cell r="T846">
            <v>10</v>
          </cell>
          <cell r="U846">
            <v>3</v>
          </cell>
          <cell r="V846">
            <v>1</v>
          </cell>
          <cell r="W846">
            <v>4</v>
          </cell>
          <cell r="X846">
            <v>18</v>
          </cell>
          <cell r="Y846">
            <v>0</v>
          </cell>
          <cell r="Z846" t="str">
            <v>Mid</v>
          </cell>
          <cell r="AA846" t="str">
            <v>Medium</v>
          </cell>
          <cell r="AB846" t="str">
            <v>Long</v>
          </cell>
          <cell r="AC846" t="str">
            <v>High</v>
          </cell>
          <cell r="AD846">
            <v>1179</v>
          </cell>
        </row>
        <row r="847">
          <cell r="A847">
            <v>40</v>
          </cell>
          <cell r="B847" t="str">
            <v>No</v>
          </cell>
          <cell r="C847" t="str">
            <v>Research &amp; Development</v>
          </cell>
          <cell r="D847">
            <v>26</v>
          </cell>
          <cell r="E847">
            <v>2</v>
          </cell>
          <cell r="F847" t="str">
            <v>Medical</v>
          </cell>
          <cell r="G847">
            <v>3</v>
          </cell>
          <cell r="H847" t="str">
            <v>Female</v>
          </cell>
          <cell r="I847">
            <v>2</v>
          </cell>
          <cell r="J847">
            <v>2</v>
          </cell>
          <cell r="K847" t="str">
            <v>Research Scientist</v>
          </cell>
          <cell r="L847">
            <v>4</v>
          </cell>
          <cell r="M847" t="str">
            <v>Married</v>
          </cell>
          <cell r="N847">
            <v>4422</v>
          </cell>
          <cell r="O847">
            <v>3</v>
          </cell>
          <cell r="P847" t="str">
            <v>Yes</v>
          </cell>
          <cell r="Q847">
            <v>4</v>
          </cell>
          <cell r="R847">
            <v>16</v>
          </cell>
          <cell r="S847">
            <v>1</v>
          </cell>
          <cell r="T847">
            <v>1</v>
          </cell>
          <cell r="U847">
            <v>1</v>
          </cell>
          <cell r="V847">
            <v>0</v>
          </cell>
          <cell r="W847">
            <v>0</v>
          </cell>
          <cell r="X847">
            <v>13</v>
          </cell>
          <cell r="Y847">
            <v>0</v>
          </cell>
          <cell r="Z847" t="str">
            <v>Mid</v>
          </cell>
          <cell r="AA847" t="str">
            <v>Low</v>
          </cell>
          <cell r="AB847" t="str">
            <v>Early</v>
          </cell>
          <cell r="AC847" t="str">
            <v>Medium</v>
          </cell>
          <cell r="AD847">
            <v>1180</v>
          </cell>
        </row>
        <row r="848">
          <cell r="A848">
            <v>35</v>
          </cell>
          <cell r="B848" t="str">
            <v>No</v>
          </cell>
          <cell r="C848" t="str">
            <v>Research &amp; Development</v>
          </cell>
          <cell r="D848">
            <v>2</v>
          </cell>
          <cell r="E848">
            <v>3</v>
          </cell>
          <cell r="F848" t="str">
            <v>Life Sciences</v>
          </cell>
          <cell r="G848">
            <v>3</v>
          </cell>
          <cell r="H848" t="str">
            <v>Male</v>
          </cell>
          <cell r="I848">
            <v>2</v>
          </cell>
          <cell r="J848">
            <v>3</v>
          </cell>
          <cell r="K848" t="str">
            <v>Manufacturing Director</v>
          </cell>
          <cell r="L848">
            <v>2</v>
          </cell>
          <cell r="M848" t="str">
            <v>Divorced</v>
          </cell>
          <cell r="N848">
            <v>10274</v>
          </cell>
          <cell r="O848">
            <v>2</v>
          </cell>
          <cell r="P848" t="str">
            <v>No</v>
          </cell>
          <cell r="Q848">
            <v>2</v>
          </cell>
          <cell r="R848">
            <v>15</v>
          </cell>
          <cell r="S848">
            <v>4</v>
          </cell>
          <cell r="T848">
            <v>7</v>
          </cell>
          <cell r="U848">
            <v>7</v>
          </cell>
          <cell r="V848">
            <v>6</v>
          </cell>
          <cell r="W848">
            <v>4</v>
          </cell>
          <cell r="X848">
            <v>18</v>
          </cell>
          <cell r="Y848">
            <v>0</v>
          </cell>
          <cell r="Z848" t="str">
            <v>Mid</v>
          </cell>
          <cell r="AA848" t="str">
            <v>High</v>
          </cell>
          <cell r="AB848" t="str">
            <v>Long</v>
          </cell>
          <cell r="AC848" t="str">
            <v>High</v>
          </cell>
          <cell r="AD848">
            <v>1182</v>
          </cell>
        </row>
        <row r="849">
          <cell r="A849">
            <v>34</v>
          </cell>
          <cell r="B849" t="str">
            <v>No</v>
          </cell>
          <cell r="C849" t="str">
            <v>Research &amp; Development</v>
          </cell>
          <cell r="D849">
            <v>1</v>
          </cell>
          <cell r="E849">
            <v>3</v>
          </cell>
          <cell r="F849" t="str">
            <v>Medical</v>
          </cell>
          <cell r="G849">
            <v>4</v>
          </cell>
          <cell r="H849" t="str">
            <v>Male</v>
          </cell>
          <cell r="I849">
            <v>2</v>
          </cell>
          <cell r="J849">
            <v>2</v>
          </cell>
          <cell r="K849" t="str">
            <v>Healthcare Representative</v>
          </cell>
          <cell r="L849">
            <v>1</v>
          </cell>
          <cell r="M849" t="str">
            <v>Single</v>
          </cell>
          <cell r="N849">
            <v>5343</v>
          </cell>
          <cell r="O849">
            <v>0</v>
          </cell>
          <cell r="P849" t="str">
            <v>No</v>
          </cell>
          <cell r="Q849">
            <v>3</v>
          </cell>
          <cell r="R849">
            <v>14</v>
          </cell>
          <cell r="S849">
            <v>3</v>
          </cell>
          <cell r="T849">
            <v>13</v>
          </cell>
          <cell r="U849">
            <v>9</v>
          </cell>
          <cell r="V849">
            <v>4</v>
          </cell>
          <cell r="W849">
            <v>9</v>
          </cell>
          <cell r="X849">
            <v>20</v>
          </cell>
          <cell r="Y849">
            <v>0</v>
          </cell>
          <cell r="Z849" t="str">
            <v>Mid</v>
          </cell>
          <cell r="AA849" t="str">
            <v>Medium</v>
          </cell>
          <cell r="AB849" t="str">
            <v>Long</v>
          </cell>
          <cell r="AC849" t="str">
            <v>High</v>
          </cell>
          <cell r="AD849">
            <v>1184</v>
          </cell>
        </row>
        <row r="850">
          <cell r="A850">
            <v>35</v>
          </cell>
          <cell r="B850" t="str">
            <v>No</v>
          </cell>
          <cell r="C850" t="str">
            <v>Research &amp; Development</v>
          </cell>
          <cell r="D850">
            <v>4</v>
          </cell>
          <cell r="E850">
            <v>4</v>
          </cell>
          <cell r="F850" t="str">
            <v>Other</v>
          </cell>
          <cell r="G850">
            <v>4</v>
          </cell>
          <cell r="H850" t="str">
            <v>Male</v>
          </cell>
          <cell r="I850">
            <v>2</v>
          </cell>
          <cell r="J850">
            <v>1</v>
          </cell>
          <cell r="K850" t="str">
            <v>Laboratory Technician</v>
          </cell>
          <cell r="L850">
            <v>4</v>
          </cell>
          <cell r="M850" t="str">
            <v>Married</v>
          </cell>
          <cell r="N850">
            <v>2376</v>
          </cell>
          <cell r="O850">
            <v>1</v>
          </cell>
          <cell r="P850" t="str">
            <v>No</v>
          </cell>
          <cell r="Q850">
            <v>2</v>
          </cell>
          <cell r="R850">
            <v>2</v>
          </cell>
          <cell r="S850">
            <v>4</v>
          </cell>
          <cell r="T850">
            <v>2</v>
          </cell>
          <cell r="U850">
            <v>2</v>
          </cell>
          <cell r="V850">
            <v>2</v>
          </cell>
          <cell r="W850">
            <v>2</v>
          </cell>
          <cell r="X850">
            <v>13</v>
          </cell>
          <cell r="Y850">
            <v>0</v>
          </cell>
          <cell r="Z850" t="str">
            <v>Mid</v>
          </cell>
          <cell r="AA850" t="str">
            <v>Low</v>
          </cell>
          <cell r="AB850" t="str">
            <v>Early</v>
          </cell>
          <cell r="AC850" t="str">
            <v>Medium</v>
          </cell>
          <cell r="AD850">
            <v>1185</v>
          </cell>
        </row>
        <row r="851">
          <cell r="A851">
            <v>43</v>
          </cell>
          <cell r="B851" t="str">
            <v>Yes</v>
          </cell>
          <cell r="C851" t="str">
            <v>Sales</v>
          </cell>
          <cell r="D851">
            <v>9</v>
          </cell>
          <cell r="E851">
            <v>3</v>
          </cell>
          <cell r="F851" t="str">
            <v>Marketing</v>
          </cell>
          <cell r="G851">
            <v>1</v>
          </cell>
          <cell r="H851" t="str">
            <v>Female</v>
          </cell>
          <cell r="I851">
            <v>1</v>
          </cell>
          <cell r="J851">
            <v>2</v>
          </cell>
          <cell r="K851" t="str">
            <v>Sales Executive</v>
          </cell>
          <cell r="L851">
            <v>3</v>
          </cell>
          <cell r="M851" t="str">
            <v>Single</v>
          </cell>
          <cell r="N851">
            <v>5346</v>
          </cell>
          <cell r="O851">
            <v>8</v>
          </cell>
          <cell r="P851" t="str">
            <v>No</v>
          </cell>
          <cell r="Q851">
            <v>2</v>
          </cell>
          <cell r="R851">
            <v>7</v>
          </cell>
          <cell r="S851">
            <v>2</v>
          </cell>
          <cell r="T851">
            <v>4</v>
          </cell>
          <cell r="U851">
            <v>3</v>
          </cell>
          <cell r="V851">
            <v>1</v>
          </cell>
          <cell r="W851">
            <v>3</v>
          </cell>
          <cell r="X851">
            <v>13</v>
          </cell>
          <cell r="Y851">
            <v>1</v>
          </cell>
          <cell r="Z851" t="str">
            <v>Mid</v>
          </cell>
          <cell r="AA851" t="str">
            <v>Medium</v>
          </cell>
          <cell r="AB851" t="str">
            <v>Mid</v>
          </cell>
          <cell r="AC851" t="str">
            <v>Medium</v>
          </cell>
          <cell r="AD851">
            <v>1188</v>
          </cell>
        </row>
        <row r="852">
          <cell r="A852">
            <v>32</v>
          </cell>
          <cell r="B852" t="str">
            <v>No</v>
          </cell>
          <cell r="C852" t="str">
            <v>Sales</v>
          </cell>
          <cell r="D852">
            <v>2</v>
          </cell>
          <cell r="E852">
            <v>1</v>
          </cell>
          <cell r="F852" t="str">
            <v>Life Sciences</v>
          </cell>
          <cell r="G852">
            <v>3</v>
          </cell>
          <cell r="H852" t="str">
            <v>Female</v>
          </cell>
          <cell r="I852">
            <v>3</v>
          </cell>
          <cell r="J852">
            <v>1</v>
          </cell>
          <cell r="K852" t="str">
            <v>Sales Representative</v>
          </cell>
          <cell r="L852">
            <v>1</v>
          </cell>
          <cell r="M852" t="str">
            <v>Divorced</v>
          </cell>
          <cell r="N852">
            <v>2827</v>
          </cell>
          <cell r="O852">
            <v>1</v>
          </cell>
          <cell r="P852" t="str">
            <v>No</v>
          </cell>
          <cell r="Q852">
            <v>3</v>
          </cell>
          <cell r="R852">
            <v>1</v>
          </cell>
          <cell r="S852">
            <v>3</v>
          </cell>
          <cell r="T852">
            <v>1</v>
          </cell>
          <cell r="U852">
            <v>0</v>
          </cell>
          <cell r="V852">
            <v>0</v>
          </cell>
          <cell r="W852">
            <v>0</v>
          </cell>
          <cell r="X852">
            <v>12</v>
          </cell>
          <cell r="Y852">
            <v>0</v>
          </cell>
          <cell r="Z852" t="str">
            <v>Mid</v>
          </cell>
          <cell r="AA852" t="str">
            <v>Low</v>
          </cell>
          <cell r="AB852" t="str">
            <v>Early</v>
          </cell>
          <cell r="AC852" t="str">
            <v>Low</v>
          </cell>
          <cell r="AD852">
            <v>1190</v>
          </cell>
        </row>
        <row r="853">
          <cell r="A853">
            <v>56</v>
          </cell>
          <cell r="B853" t="str">
            <v>No</v>
          </cell>
          <cell r="C853" t="str">
            <v>Research &amp; Development</v>
          </cell>
          <cell r="D853">
            <v>4</v>
          </cell>
          <cell r="E853">
            <v>4</v>
          </cell>
          <cell r="F853" t="str">
            <v>Technical Degree</v>
          </cell>
          <cell r="G853">
            <v>4</v>
          </cell>
          <cell r="H853" t="str">
            <v>Female</v>
          </cell>
          <cell r="I853">
            <v>3</v>
          </cell>
          <cell r="J853">
            <v>5</v>
          </cell>
          <cell r="K853" t="str">
            <v>Manager</v>
          </cell>
          <cell r="L853">
            <v>1</v>
          </cell>
          <cell r="M853" t="str">
            <v>Divorced</v>
          </cell>
          <cell r="N853">
            <v>19943</v>
          </cell>
          <cell r="O853">
            <v>4</v>
          </cell>
          <cell r="P853" t="str">
            <v>No</v>
          </cell>
          <cell r="Q853">
            <v>4</v>
          </cell>
          <cell r="R853">
            <v>28</v>
          </cell>
          <cell r="S853">
            <v>3</v>
          </cell>
          <cell r="T853">
            <v>5</v>
          </cell>
          <cell r="U853">
            <v>2</v>
          </cell>
          <cell r="V853">
            <v>4</v>
          </cell>
          <cell r="W853">
            <v>2</v>
          </cell>
          <cell r="X853">
            <v>13</v>
          </cell>
          <cell r="Y853">
            <v>0</v>
          </cell>
          <cell r="Z853" t="str">
            <v>Senior</v>
          </cell>
          <cell r="AA853" t="str">
            <v>High</v>
          </cell>
          <cell r="AB853" t="str">
            <v>Mid</v>
          </cell>
          <cell r="AC853" t="str">
            <v>Medium</v>
          </cell>
          <cell r="AD853">
            <v>1191</v>
          </cell>
        </row>
        <row r="854">
          <cell r="A854">
            <v>29</v>
          </cell>
          <cell r="B854" t="str">
            <v>No</v>
          </cell>
          <cell r="C854" t="str">
            <v>Research &amp; Development</v>
          </cell>
          <cell r="D854">
            <v>6</v>
          </cell>
          <cell r="E854">
            <v>1</v>
          </cell>
          <cell r="F854" t="str">
            <v>Medical</v>
          </cell>
          <cell r="G854">
            <v>2</v>
          </cell>
          <cell r="H854" t="str">
            <v>Female</v>
          </cell>
          <cell r="I854">
            <v>3</v>
          </cell>
          <cell r="J854">
            <v>1</v>
          </cell>
          <cell r="K854" t="str">
            <v>Laboratory Technician</v>
          </cell>
          <cell r="L854">
            <v>4</v>
          </cell>
          <cell r="M854" t="str">
            <v>Married</v>
          </cell>
          <cell r="N854">
            <v>3131</v>
          </cell>
          <cell r="O854">
            <v>1</v>
          </cell>
          <cell r="P854" t="str">
            <v>No</v>
          </cell>
          <cell r="Q854">
            <v>1</v>
          </cell>
          <cell r="R854">
            <v>10</v>
          </cell>
          <cell r="S854">
            <v>3</v>
          </cell>
          <cell r="T854">
            <v>10</v>
          </cell>
          <cell r="U854">
            <v>8</v>
          </cell>
          <cell r="V854">
            <v>0</v>
          </cell>
          <cell r="W854">
            <v>8</v>
          </cell>
          <cell r="X854">
            <v>13</v>
          </cell>
          <cell r="Y854">
            <v>0</v>
          </cell>
          <cell r="Z854" t="str">
            <v>Young</v>
          </cell>
          <cell r="AA854" t="str">
            <v>Low</v>
          </cell>
          <cell r="AB854" t="str">
            <v>Long</v>
          </cell>
          <cell r="AC854" t="str">
            <v>Medium</v>
          </cell>
          <cell r="AD854">
            <v>1192</v>
          </cell>
        </row>
        <row r="855">
          <cell r="A855">
            <v>19</v>
          </cell>
          <cell r="B855" t="str">
            <v>No</v>
          </cell>
          <cell r="C855" t="str">
            <v>Research &amp; Development</v>
          </cell>
          <cell r="D855">
            <v>9</v>
          </cell>
          <cell r="E855">
            <v>2</v>
          </cell>
          <cell r="F855" t="str">
            <v>Life Sciences</v>
          </cell>
          <cell r="G855">
            <v>3</v>
          </cell>
          <cell r="H855" t="str">
            <v>Male</v>
          </cell>
          <cell r="I855">
            <v>3</v>
          </cell>
          <cell r="J855">
            <v>1</v>
          </cell>
          <cell r="K855" t="str">
            <v>Research Scientist</v>
          </cell>
          <cell r="L855">
            <v>1</v>
          </cell>
          <cell r="M855" t="str">
            <v>Single</v>
          </cell>
          <cell r="N855">
            <v>2552</v>
          </cell>
          <cell r="O855">
            <v>1</v>
          </cell>
          <cell r="P855" t="str">
            <v>No</v>
          </cell>
          <cell r="Q855">
            <v>3</v>
          </cell>
          <cell r="R855">
            <v>1</v>
          </cell>
          <cell r="S855">
            <v>3</v>
          </cell>
          <cell r="T855">
            <v>1</v>
          </cell>
          <cell r="U855">
            <v>1</v>
          </cell>
          <cell r="V855">
            <v>0</v>
          </cell>
          <cell r="W855">
            <v>0</v>
          </cell>
          <cell r="X855">
            <v>25</v>
          </cell>
          <cell r="Y855">
            <v>0</v>
          </cell>
          <cell r="Z855" t="str">
            <v>Young</v>
          </cell>
          <cell r="AA855" t="str">
            <v>Low</v>
          </cell>
          <cell r="AB855" t="str">
            <v>Early</v>
          </cell>
          <cell r="AC855" t="str">
            <v>High</v>
          </cell>
          <cell r="AD855">
            <v>1193</v>
          </cell>
        </row>
        <row r="856">
          <cell r="A856">
            <v>45</v>
          </cell>
          <cell r="B856" t="str">
            <v>No</v>
          </cell>
          <cell r="C856" t="str">
            <v>Research &amp; Development</v>
          </cell>
          <cell r="D856">
            <v>7</v>
          </cell>
          <cell r="E856">
            <v>3</v>
          </cell>
          <cell r="F856" t="str">
            <v>Medical</v>
          </cell>
          <cell r="G856">
            <v>1</v>
          </cell>
          <cell r="H856" t="str">
            <v>Female</v>
          </cell>
          <cell r="I856">
            <v>3</v>
          </cell>
          <cell r="J856">
            <v>1</v>
          </cell>
          <cell r="K856" t="str">
            <v>Research Scientist</v>
          </cell>
          <cell r="L856">
            <v>3</v>
          </cell>
          <cell r="M856" t="str">
            <v>Married</v>
          </cell>
          <cell r="N856">
            <v>4477</v>
          </cell>
          <cell r="O856">
            <v>4</v>
          </cell>
          <cell r="P856" t="str">
            <v>Yes</v>
          </cell>
          <cell r="Q856">
            <v>3</v>
          </cell>
          <cell r="R856">
            <v>7</v>
          </cell>
          <cell r="S856">
            <v>2</v>
          </cell>
          <cell r="T856">
            <v>3</v>
          </cell>
          <cell r="U856">
            <v>2</v>
          </cell>
          <cell r="V856">
            <v>0</v>
          </cell>
          <cell r="W856">
            <v>2</v>
          </cell>
          <cell r="X856">
            <v>19</v>
          </cell>
          <cell r="Y856">
            <v>0</v>
          </cell>
          <cell r="Z856" t="str">
            <v>Senior</v>
          </cell>
          <cell r="AA856" t="str">
            <v>Low</v>
          </cell>
          <cell r="AB856" t="str">
            <v>Mid</v>
          </cell>
          <cell r="AC856" t="str">
            <v>High</v>
          </cell>
          <cell r="AD856">
            <v>1195</v>
          </cell>
        </row>
        <row r="857">
          <cell r="A857">
            <v>37</v>
          </cell>
          <cell r="B857" t="str">
            <v>No</v>
          </cell>
          <cell r="C857" t="str">
            <v>Research &amp; Development</v>
          </cell>
          <cell r="D857">
            <v>1</v>
          </cell>
          <cell r="E857">
            <v>3</v>
          </cell>
          <cell r="F857" t="str">
            <v>Life Sciences</v>
          </cell>
          <cell r="G857">
            <v>4</v>
          </cell>
          <cell r="H857" t="str">
            <v>Female</v>
          </cell>
          <cell r="I857">
            <v>2</v>
          </cell>
          <cell r="J857">
            <v>2</v>
          </cell>
          <cell r="K857" t="str">
            <v>Manufacturing Director</v>
          </cell>
          <cell r="L857">
            <v>4</v>
          </cell>
          <cell r="M857" t="str">
            <v>Married</v>
          </cell>
          <cell r="N857">
            <v>6474</v>
          </cell>
          <cell r="O857">
            <v>1</v>
          </cell>
          <cell r="P857" t="str">
            <v>No</v>
          </cell>
          <cell r="Q857">
            <v>2</v>
          </cell>
          <cell r="R857">
            <v>14</v>
          </cell>
          <cell r="S857">
            <v>2</v>
          </cell>
          <cell r="T857">
            <v>14</v>
          </cell>
          <cell r="U857">
            <v>8</v>
          </cell>
          <cell r="V857">
            <v>3</v>
          </cell>
          <cell r="W857">
            <v>11</v>
          </cell>
          <cell r="X857">
            <v>13</v>
          </cell>
          <cell r="Y857">
            <v>0</v>
          </cell>
          <cell r="Z857" t="str">
            <v>Mid</v>
          </cell>
          <cell r="AA857" t="str">
            <v>Medium</v>
          </cell>
          <cell r="AB857" t="str">
            <v>Long</v>
          </cell>
          <cell r="AC857" t="str">
            <v>Medium</v>
          </cell>
          <cell r="AD857">
            <v>1196</v>
          </cell>
        </row>
        <row r="858">
          <cell r="A858">
            <v>20</v>
          </cell>
          <cell r="B858" t="str">
            <v>No</v>
          </cell>
          <cell r="C858" t="str">
            <v>Research &amp; Development</v>
          </cell>
          <cell r="D858">
            <v>3</v>
          </cell>
          <cell r="E858">
            <v>3</v>
          </cell>
          <cell r="F858" t="str">
            <v>Life Sciences</v>
          </cell>
          <cell r="G858">
            <v>1</v>
          </cell>
          <cell r="H858" t="str">
            <v>Male</v>
          </cell>
          <cell r="I858">
            <v>2</v>
          </cell>
          <cell r="J858">
            <v>1</v>
          </cell>
          <cell r="K858" t="str">
            <v>Laboratory Technician</v>
          </cell>
          <cell r="L858">
            <v>3</v>
          </cell>
          <cell r="M858" t="str">
            <v>Single</v>
          </cell>
          <cell r="N858">
            <v>3033</v>
          </cell>
          <cell r="O858">
            <v>1</v>
          </cell>
          <cell r="P858" t="str">
            <v>No</v>
          </cell>
          <cell r="Q858">
            <v>1</v>
          </cell>
          <cell r="R858">
            <v>2</v>
          </cell>
          <cell r="S858">
            <v>2</v>
          </cell>
          <cell r="T858">
            <v>2</v>
          </cell>
          <cell r="U858">
            <v>2</v>
          </cell>
          <cell r="V858">
            <v>1</v>
          </cell>
          <cell r="W858">
            <v>2</v>
          </cell>
          <cell r="X858">
            <v>12</v>
          </cell>
          <cell r="Y858">
            <v>0</v>
          </cell>
          <cell r="Z858" t="str">
            <v>Young</v>
          </cell>
          <cell r="AA858" t="str">
            <v>Low</v>
          </cell>
          <cell r="AB858" t="str">
            <v>Early</v>
          </cell>
          <cell r="AC858" t="str">
            <v>Low</v>
          </cell>
          <cell r="AD858">
            <v>1198</v>
          </cell>
        </row>
        <row r="859">
          <cell r="A859">
            <v>44</v>
          </cell>
          <cell r="B859" t="str">
            <v>Yes</v>
          </cell>
          <cell r="C859" t="str">
            <v>Research &amp; Development</v>
          </cell>
          <cell r="D859">
            <v>10</v>
          </cell>
          <cell r="E859">
            <v>4</v>
          </cell>
          <cell r="F859" t="str">
            <v>Life Sciences</v>
          </cell>
          <cell r="G859">
            <v>3</v>
          </cell>
          <cell r="H859" t="str">
            <v>Male</v>
          </cell>
          <cell r="I859">
            <v>3</v>
          </cell>
          <cell r="J859">
            <v>1</v>
          </cell>
          <cell r="K859" t="str">
            <v>Research Scientist</v>
          </cell>
          <cell r="L859">
            <v>3</v>
          </cell>
          <cell r="M859" t="str">
            <v>Single</v>
          </cell>
          <cell r="N859">
            <v>2936</v>
          </cell>
          <cell r="O859">
            <v>1</v>
          </cell>
          <cell r="P859" t="str">
            <v>Yes</v>
          </cell>
          <cell r="Q859">
            <v>3</v>
          </cell>
          <cell r="R859">
            <v>6</v>
          </cell>
          <cell r="S859">
            <v>3</v>
          </cell>
          <cell r="T859">
            <v>6</v>
          </cell>
          <cell r="U859">
            <v>4</v>
          </cell>
          <cell r="V859">
            <v>0</v>
          </cell>
          <cell r="W859">
            <v>2</v>
          </cell>
          <cell r="X859">
            <v>11</v>
          </cell>
          <cell r="Y859">
            <v>1</v>
          </cell>
          <cell r="Z859" t="str">
            <v>Mid</v>
          </cell>
          <cell r="AA859" t="str">
            <v>Low</v>
          </cell>
          <cell r="AB859" t="str">
            <v>Mid</v>
          </cell>
          <cell r="AC859" t="str">
            <v>Low</v>
          </cell>
          <cell r="AD859">
            <v>1200</v>
          </cell>
        </row>
        <row r="860">
          <cell r="A860">
            <v>53</v>
          </cell>
          <cell r="B860" t="str">
            <v>No</v>
          </cell>
          <cell r="C860" t="str">
            <v>Research &amp; Development</v>
          </cell>
          <cell r="D860">
            <v>7</v>
          </cell>
          <cell r="E860">
            <v>2</v>
          </cell>
          <cell r="F860" t="str">
            <v>Medical</v>
          </cell>
          <cell r="G860">
            <v>4</v>
          </cell>
          <cell r="H860" t="str">
            <v>Female</v>
          </cell>
          <cell r="I860">
            <v>3</v>
          </cell>
          <cell r="J860">
            <v>5</v>
          </cell>
          <cell r="K860" t="str">
            <v>Manager</v>
          </cell>
          <cell r="L860">
            <v>3</v>
          </cell>
          <cell r="M860" t="str">
            <v>Divorced</v>
          </cell>
          <cell r="N860">
            <v>18606</v>
          </cell>
          <cell r="O860">
            <v>3</v>
          </cell>
          <cell r="P860" t="str">
            <v>No</v>
          </cell>
          <cell r="Q860">
            <v>2</v>
          </cell>
          <cell r="R860">
            <v>26</v>
          </cell>
          <cell r="S860">
            <v>3</v>
          </cell>
          <cell r="T860">
            <v>7</v>
          </cell>
          <cell r="U860">
            <v>7</v>
          </cell>
          <cell r="V860">
            <v>4</v>
          </cell>
          <cell r="W860">
            <v>7</v>
          </cell>
          <cell r="X860">
            <v>18</v>
          </cell>
          <cell r="Y860">
            <v>0</v>
          </cell>
          <cell r="Z860" t="str">
            <v>Senior</v>
          </cell>
          <cell r="AA860" t="str">
            <v>High</v>
          </cell>
          <cell r="AB860" t="str">
            <v>Long</v>
          </cell>
          <cell r="AC860" t="str">
            <v>High</v>
          </cell>
          <cell r="AD860">
            <v>1201</v>
          </cell>
        </row>
        <row r="861">
          <cell r="A861">
            <v>29</v>
          </cell>
          <cell r="B861" t="str">
            <v>No</v>
          </cell>
          <cell r="C861" t="str">
            <v>Research &amp; Development</v>
          </cell>
          <cell r="D861">
            <v>15</v>
          </cell>
          <cell r="E861">
            <v>1</v>
          </cell>
          <cell r="F861" t="str">
            <v>Life Sciences</v>
          </cell>
          <cell r="G861">
            <v>2</v>
          </cell>
          <cell r="H861" t="str">
            <v>Female</v>
          </cell>
          <cell r="I861">
            <v>1</v>
          </cell>
          <cell r="J861">
            <v>1</v>
          </cell>
          <cell r="K861" t="str">
            <v>Research Scientist</v>
          </cell>
          <cell r="L861">
            <v>4</v>
          </cell>
          <cell r="M861" t="str">
            <v>Married</v>
          </cell>
          <cell r="N861">
            <v>2168</v>
          </cell>
          <cell r="O861">
            <v>0</v>
          </cell>
          <cell r="P861" t="str">
            <v>Yes</v>
          </cell>
          <cell r="Q861">
            <v>1</v>
          </cell>
          <cell r="R861">
            <v>6</v>
          </cell>
          <cell r="S861">
            <v>2</v>
          </cell>
          <cell r="T861">
            <v>5</v>
          </cell>
          <cell r="U861">
            <v>4</v>
          </cell>
          <cell r="V861">
            <v>1</v>
          </cell>
          <cell r="W861">
            <v>3</v>
          </cell>
          <cell r="X861">
            <v>18</v>
          </cell>
          <cell r="Y861">
            <v>0</v>
          </cell>
          <cell r="Z861" t="str">
            <v>Young</v>
          </cell>
          <cell r="AA861" t="str">
            <v>Low</v>
          </cell>
          <cell r="AB861" t="str">
            <v>Mid</v>
          </cell>
          <cell r="AC861" t="str">
            <v>High</v>
          </cell>
          <cell r="AD861">
            <v>1202</v>
          </cell>
        </row>
        <row r="862">
          <cell r="A862">
            <v>22</v>
          </cell>
          <cell r="B862" t="str">
            <v>Yes</v>
          </cell>
          <cell r="C862" t="str">
            <v>Research &amp; Development</v>
          </cell>
          <cell r="D862">
            <v>3</v>
          </cell>
          <cell r="E862">
            <v>4</v>
          </cell>
          <cell r="F862" t="str">
            <v>Life Sciences</v>
          </cell>
          <cell r="G862">
            <v>3</v>
          </cell>
          <cell r="H862" t="str">
            <v>Male</v>
          </cell>
          <cell r="I862">
            <v>2</v>
          </cell>
          <cell r="J862">
            <v>1</v>
          </cell>
          <cell r="K862" t="str">
            <v>Research Scientist</v>
          </cell>
          <cell r="L862">
            <v>4</v>
          </cell>
          <cell r="M862" t="str">
            <v>Married</v>
          </cell>
          <cell r="N862">
            <v>2853</v>
          </cell>
          <cell r="O862">
            <v>0</v>
          </cell>
          <cell r="P862" t="str">
            <v>Yes</v>
          </cell>
          <cell r="Q862">
            <v>2</v>
          </cell>
          <cell r="R862">
            <v>1</v>
          </cell>
          <cell r="S862">
            <v>3</v>
          </cell>
          <cell r="T862">
            <v>0</v>
          </cell>
          <cell r="U862">
            <v>0</v>
          </cell>
          <cell r="V862">
            <v>0</v>
          </cell>
          <cell r="W862">
            <v>0</v>
          </cell>
          <cell r="X862">
            <v>11</v>
          </cell>
          <cell r="Y862">
            <v>1</v>
          </cell>
          <cell r="Z862" t="str">
            <v>Young</v>
          </cell>
          <cell r="AA862" t="str">
            <v>Low</v>
          </cell>
          <cell r="AB862" t="str">
            <v>Early</v>
          </cell>
          <cell r="AC862" t="str">
            <v>Low</v>
          </cell>
          <cell r="AD862">
            <v>1203</v>
          </cell>
        </row>
        <row r="863">
          <cell r="A863">
            <v>46</v>
          </cell>
          <cell r="B863" t="str">
            <v>No</v>
          </cell>
          <cell r="C863" t="str">
            <v>Sales</v>
          </cell>
          <cell r="D863">
            <v>2</v>
          </cell>
          <cell r="E863">
            <v>3</v>
          </cell>
          <cell r="F863" t="str">
            <v>Marketing</v>
          </cell>
          <cell r="G863">
            <v>3</v>
          </cell>
          <cell r="H863" t="str">
            <v>Female</v>
          </cell>
          <cell r="I863">
            <v>3</v>
          </cell>
          <cell r="J863">
            <v>4</v>
          </cell>
          <cell r="K863" t="str">
            <v>Manager</v>
          </cell>
          <cell r="L863">
            <v>1</v>
          </cell>
          <cell r="M863" t="str">
            <v>Married</v>
          </cell>
          <cell r="N863">
            <v>17048</v>
          </cell>
          <cell r="O863">
            <v>8</v>
          </cell>
          <cell r="P863" t="str">
            <v>No</v>
          </cell>
          <cell r="Q863">
            <v>1</v>
          </cell>
          <cell r="R863">
            <v>28</v>
          </cell>
          <cell r="S863">
            <v>3</v>
          </cell>
          <cell r="T863">
            <v>26</v>
          </cell>
          <cell r="U863">
            <v>15</v>
          </cell>
          <cell r="V863">
            <v>15</v>
          </cell>
          <cell r="W863">
            <v>9</v>
          </cell>
          <cell r="X863">
            <v>23</v>
          </cell>
          <cell r="Y863">
            <v>0</v>
          </cell>
          <cell r="Z863" t="str">
            <v>Senior</v>
          </cell>
          <cell r="AA863" t="str">
            <v>High</v>
          </cell>
          <cell r="AB863" t="str">
            <v>Long</v>
          </cell>
          <cell r="AC863" t="str">
            <v>High</v>
          </cell>
          <cell r="AD863">
            <v>1204</v>
          </cell>
        </row>
        <row r="864">
          <cell r="A864">
            <v>44</v>
          </cell>
          <cell r="B864" t="str">
            <v>No</v>
          </cell>
          <cell r="C864" t="str">
            <v>Research &amp; Development</v>
          </cell>
          <cell r="D864">
            <v>17</v>
          </cell>
          <cell r="E864">
            <v>3</v>
          </cell>
          <cell r="F864" t="str">
            <v>Life Sciences</v>
          </cell>
          <cell r="G864">
            <v>4</v>
          </cell>
          <cell r="H864" t="str">
            <v>Male</v>
          </cell>
          <cell r="I864">
            <v>1</v>
          </cell>
          <cell r="J864">
            <v>1</v>
          </cell>
          <cell r="K864" t="str">
            <v>Research Scientist</v>
          </cell>
          <cell r="L864">
            <v>3</v>
          </cell>
          <cell r="M864" t="str">
            <v>Single</v>
          </cell>
          <cell r="N864">
            <v>2290</v>
          </cell>
          <cell r="O864">
            <v>2</v>
          </cell>
          <cell r="P864" t="str">
            <v>No</v>
          </cell>
          <cell r="Q864">
            <v>4</v>
          </cell>
          <cell r="R864">
            <v>6</v>
          </cell>
          <cell r="S864">
            <v>3</v>
          </cell>
          <cell r="T864">
            <v>0</v>
          </cell>
          <cell r="U864">
            <v>0</v>
          </cell>
          <cell r="V864">
            <v>0</v>
          </cell>
          <cell r="W864">
            <v>0</v>
          </cell>
          <cell r="X864">
            <v>13</v>
          </cell>
          <cell r="Y864">
            <v>0</v>
          </cell>
          <cell r="Z864" t="str">
            <v>Mid</v>
          </cell>
          <cell r="AA864" t="str">
            <v>Low</v>
          </cell>
          <cell r="AB864" t="str">
            <v>Early</v>
          </cell>
          <cell r="AC864" t="str">
            <v>Medium</v>
          </cell>
          <cell r="AD864">
            <v>1206</v>
          </cell>
        </row>
        <row r="865">
          <cell r="A865">
            <v>33</v>
          </cell>
          <cell r="B865" t="str">
            <v>No</v>
          </cell>
          <cell r="C865" t="str">
            <v>Human Resources</v>
          </cell>
          <cell r="D865">
            <v>2</v>
          </cell>
          <cell r="E865">
            <v>3</v>
          </cell>
          <cell r="F865" t="str">
            <v>Human Resources</v>
          </cell>
          <cell r="G865">
            <v>2</v>
          </cell>
          <cell r="H865" t="str">
            <v>Male</v>
          </cell>
          <cell r="I865">
            <v>3</v>
          </cell>
          <cell r="J865">
            <v>1</v>
          </cell>
          <cell r="K865" t="str">
            <v>Human Resources</v>
          </cell>
          <cell r="L865">
            <v>3</v>
          </cell>
          <cell r="M865" t="str">
            <v>Married</v>
          </cell>
          <cell r="N865">
            <v>3600</v>
          </cell>
          <cell r="O865">
            <v>1</v>
          </cell>
          <cell r="P865" t="str">
            <v>No</v>
          </cell>
          <cell r="Q865">
            <v>4</v>
          </cell>
          <cell r="R865">
            <v>5</v>
          </cell>
          <cell r="S865">
            <v>3</v>
          </cell>
          <cell r="T865">
            <v>5</v>
          </cell>
          <cell r="U865">
            <v>4</v>
          </cell>
          <cell r="V865">
            <v>1</v>
          </cell>
          <cell r="W865">
            <v>4</v>
          </cell>
          <cell r="X865">
            <v>13</v>
          </cell>
          <cell r="Y865">
            <v>0</v>
          </cell>
          <cell r="Z865" t="str">
            <v>Mid</v>
          </cell>
          <cell r="AA865" t="str">
            <v>Low</v>
          </cell>
          <cell r="AB865" t="str">
            <v>Mid</v>
          </cell>
          <cell r="AC865" t="str">
            <v>Medium</v>
          </cell>
          <cell r="AD865">
            <v>1207</v>
          </cell>
        </row>
        <row r="866">
          <cell r="A866">
            <v>41</v>
          </cell>
          <cell r="B866" t="str">
            <v>Yes</v>
          </cell>
          <cell r="C866" t="str">
            <v>Research &amp; Development</v>
          </cell>
          <cell r="D866">
            <v>5</v>
          </cell>
          <cell r="E866">
            <v>2</v>
          </cell>
          <cell r="F866" t="str">
            <v>Life Sciences</v>
          </cell>
          <cell r="G866">
            <v>1</v>
          </cell>
          <cell r="H866" t="str">
            <v>Male</v>
          </cell>
          <cell r="I866">
            <v>2</v>
          </cell>
          <cell r="J866">
            <v>1</v>
          </cell>
          <cell r="K866" t="str">
            <v>Research Scientist</v>
          </cell>
          <cell r="L866">
            <v>1</v>
          </cell>
          <cell r="M866" t="str">
            <v>Divorced</v>
          </cell>
          <cell r="N866">
            <v>2107</v>
          </cell>
          <cell r="O866">
            <v>6</v>
          </cell>
          <cell r="P866" t="str">
            <v>No</v>
          </cell>
          <cell r="Q866">
            <v>1</v>
          </cell>
          <cell r="R866">
            <v>5</v>
          </cell>
          <cell r="S866">
            <v>1</v>
          </cell>
          <cell r="T866">
            <v>1</v>
          </cell>
          <cell r="U866">
            <v>0</v>
          </cell>
          <cell r="V866">
            <v>0</v>
          </cell>
          <cell r="W866">
            <v>0</v>
          </cell>
          <cell r="X866">
            <v>17</v>
          </cell>
          <cell r="Y866">
            <v>1</v>
          </cell>
          <cell r="Z866" t="str">
            <v>Mid</v>
          </cell>
          <cell r="AA866" t="str">
            <v>Low</v>
          </cell>
          <cell r="AB866" t="str">
            <v>Early</v>
          </cell>
          <cell r="AC866" t="str">
            <v>Medium</v>
          </cell>
          <cell r="AD866">
            <v>1210</v>
          </cell>
        </row>
        <row r="867">
          <cell r="A867">
            <v>30</v>
          </cell>
          <cell r="B867" t="str">
            <v>No</v>
          </cell>
          <cell r="C867" t="str">
            <v>Sales</v>
          </cell>
          <cell r="D867">
            <v>29</v>
          </cell>
          <cell r="E867">
            <v>4</v>
          </cell>
          <cell r="F867" t="str">
            <v>Life Sciences</v>
          </cell>
          <cell r="G867">
            <v>3</v>
          </cell>
          <cell r="H867" t="str">
            <v>Male</v>
          </cell>
          <cell r="I867">
            <v>3</v>
          </cell>
          <cell r="J867">
            <v>2</v>
          </cell>
          <cell r="K867" t="str">
            <v>Sales Executive</v>
          </cell>
          <cell r="L867">
            <v>1</v>
          </cell>
          <cell r="M867" t="str">
            <v>Divorced</v>
          </cell>
          <cell r="N867">
            <v>4115</v>
          </cell>
          <cell r="O867">
            <v>8</v>
          </cell>
          <cell r="P867" t="str">
            <v>No</v>
          </cell>
          <cell r="Q867">
            <v>3</v>
          </cell>
          <cell r="R867">
            <v>8</v>
          </cell>
          <cell r="S867">
            <v>3</v>
          </cell>
          <cell r="T867">
            <v>4</v>
          </cell>
          <cell r="U867">
            <v>3</v>
          </cell>
          <cell r="V867">
            <v>0</v>
          </cell>
          <cell r="W867">
            <v>3</v>
          </cell>
          <cell r="X867">
            <v>19</v>
          </cell>
          <cell r="Y867">
            <v>0</v>
          </cell>
          <cell r="Z867" t="str">
            <v>Mid</v>
          </cell>
          <cell r="AA867" t="str">
            <v>Low</v>
          </cell>
          <cell r="AB867" t="str">
            <v>Mid</v>
          </cell>
          <cell r="AC867" t="str">
            <v>High</v>
          </cell>
          <cell r="AD867">
            <v>1211</v>
          </cell>
        </row>
        <row r="868">
          <cell r="A868">
            <v>40</v>
          </cell>
          <cell r="B868" t="str">
            <v>No</v>
          </cell>
          <cell r="C868" t="str">
            <v>Sales</v>
          </cell>
          <cell r="D868">
            <v>2</v>
          </cell>
          <cell r="E868">
            <v>4</v>
          </cell>
          <cell r="F868" t="str">
            <v>Medical</v>
          </cell>
          <cell r="G868">
            <v>2</v>
          </cell>
          <cell r="H868" t="str">
            <v>Male</v>
          </cell>
          <cell r="I868">
            <v>3</v>
          </cell>
          <cell r="J868">
            <v>2</v>
          </cell>
          <cell r="K868" t="str">
            <v>Sales Executive</v>
          </cell>
          <cell r="L868">
            <v>2</v>
          </cell>
          <cell r="M868" t="str">
            <v>Married</v>
          </cell>
          <cell r="N868">
            <v>4327</v>
          </cell>
          <cell r="O868">
            <v>5</v>
          </cell>
          <cell r="P868" t="str">
            <v>No</v>
          </cell>
          <cell r="Q868">
            <v>4</v>
          </cell>
          <cell r="R868">
            <v>5</v>
          </cell>
          <cell r="S868">
            <v>3</v>
          </cell>
          <cell r="T868">
            <v>0</v>
          </cell>
          <cell r="U868">
            <v>0</v>
          </cell>
          <cell r="V868">
            <v>0</v>
          </cell>
          <cell r="W868">
            <v>0</v>
          </cell>
          <cell r="X868">
            <v>12</v>
          </cell>
          <cell r="Y868">
            <v>0</v>
          </cell>
          <cell r="Z868" t="str">
            <v>Mid</v>
          </cell>
          <cell r="AA868" t="str">
            <v>Low</v>
          </cell>
          <cell r="AB868" t="str">
            <v>Early</v>
          </cell>
          <cell r="AC868" t="str">
            <v>Low</v>
          </cell>
          <cell r="AD868">
            <v>1212</v>
          </cell>
        </row>
        <row r="869">
          <cell r="A869">
            <v>50</v>
          </cell>
          <cell r="B869" t="str">
            <v>No</v>
          </cell>
          <cell r="C869" t="str">
            <v>Research &amp; Development</v>
          </cell>
          <cell r="D869">
            <v>2</v>
          </cell>
          <cell r="E869">
            <v>3</v>
          </cell>
          <cell r="F869" t="str">
            <v>Medical</v>
          </cell>
          <cell r="G869">
            <v>4</v>
          </cell>
          <cell r="H869" t="str">
            <v>Female</v>
          </cell>
          <cell r="I869">
            <v>3</v>
          </cell>
          <cell r="J869">
            <v>4</v>
          </cell>
          <cell r="K869" t="str">
            <v>Manager</v>
          </cell>
          <cell r="L869">
            <v>1</v>
          </cell>
          <cell r="M869" t="str">
            <v>Married</v>
          </cell>
          <cell r="N869">
            <v>17856</v>
          </cell>
          <cell r="O869">
            <v>2</v>
          </cell>
          <cell r="P869" t="str">
            <v>No</v>
          </cell>
          <cell r="Q869">
            <v>3</v>
          </cell>
          <cell r="R869">
            <v>32</v>
          </cell>
          <cell r="S869">
            <v>3</v>
          </cell>
          <cell r="T869">
            <v>2</v>
          </cell>
          <cell r="U869">
            <v>2</v>
          </cell>
          <cell r="V869">
            <v>2</v>
          </cell>
          <cell r="W869">
            <v>2</v>
          </cell>
          <cell r="X869">
            <v>22</v>
          </cell>
          <cell r="Y869">
            <v>0</v>
          </cell>
          <cell r="Z869" t="str">
            <v>Senior</v>
          </cell>
          <cell r="AA869" t="str">
            <v>High</v>
          </cell>
          <cell r="AB869" t="str">
            <v>Early</v>
          </cell>
          <cell r="AC869" t="str">
            <v>High</v>
          </cell>
          <cell r="AD869">
            <v>1215</v>
          </cell>
        </row>
        <row r="870">
          <cell r="A870">
            <v>28</v>
          </cell>
          <cell r="B870" t="str">
            <v>No</v>
          </cell>
          <cell r="C870" t="str">
            <v>Research &amp; Development</v>
          </cell>
          <cell r="D870">
            <v>19</v>
          </cell>
          <cell r="E870">
            <v>4</v>
          </cell>
          <cell r="F870" t="str">
            <v>Medical</v>
          </cell>
          <cell r="G870">
            <v>4</v>
          </cell>
          <cell r="H870" t="str">
            <v>Male</v>
          </cell>
          <cell r="I870">
            <v>2</v>
          </cell>
          <cell r="J870">
            <v>1</v>
          </cell>
          <cell r="K870" t="str">
            <v>Laboratory Technician</v>
          </cell>
          <cell r="L870">
            <v>1</v>
          </cell>
          <cell r="M870" t="str">
            <v>Married</v>
          </cell>
          <cell r="N870">
            <v>3196</v>
          </cell>
          <cell r="O870">
            <v>1</v>
          </cell>
          <cell r="P870" t="str">
            <v>No</v>
          </cell>
          <cell r="Q870">
            <v>3</v>
          </cell>
          <cell r="R870">
            <v>6</v>
          </cell>
          <cell r="S870">
            <v>3</v>
          </cell>
          <cell r="T870">
            <v>6</v>
          </cell>
          <cell r="U870">
            <v>5</v>
          </cell>
          <cell r="V870">
            <v>3</v>
          </cell>
          <cell r="W870">
            <v>3</v>
          </cell>
          <cell r="X870">
            <v>12</v>
          </cell>
          <cell r="Y870">
            <v>0</v>
          </cell>
          <cell r="Z870" t="str">
            <v>Young</v>
          </cell>
          <cell r="AA870" t="str">
            <v>Low</v>
          </cell>
          <cell r="AB870" t="str">
            <v>Mid</v>
          </cell>
          <cell r="AC870" t="str">
            <v>Low</v>
          </cell>
          <cell r="AD870">
            <v>1216</v>
          </cell>
        </row>
        <row r="871">
          <cell r="A871">
            <v>46</v>
          </cell>
          <cell r="B871" t="str">
            <v>No</v>
          </cell>
          <cell r="C871" t="str">
            <v>Research &amp; Development</v>
          </cell>
          <cell r="D871">
            <v>15</v>
          </cell>
          <cell r="E871">
            <v>2</v>
          </cell>
          <cell r="F871" t="str">
            <v>Life Sciences</v>
          </cell>
          <cell r="G871">
            <v>4</v>
          </cell>
          <cell r="H871" t="str">
            <v>Male</v>
          </cell>
          <cell r="I871">
            <v>3</v>
          </cell>
          <cell r="J871">
            <v>5</v>
          </cell>
          <cell r="K871" t="str">
            <v>Research Director</v>
          </cell>
          <cell r="L871">
            <v>2</v>
          </cell>
          <cell r="M871" t="str">
            <v>Married</v>
          </cell>
          <cell r="N871">
            <v>19081</v>
          </cell>
          <cell r="O871">
            <v>5</v>
          </cell>
          <cell r="P871" t="str">
            <v>No</v>
          </cell>
          <cell r="Q871">
            <v>1</v>
          </cell>
          <cell r="R871">
            <v>25</v>
          </cell>
          <cell r="S871">
            <v>3</v>
          </cell>
          <cell r="T871">
            <v>4</v>
          </cell>
          <cell r="U871">
            <v>2</v>
          </cell>
          <cell r="V871">
            <v>0</v>
          </cell>
          <cell r="W871">
            <v>3</v>
          </cell>
          <cell r="X871">
            <v>11</v>
          </cell>
          <cell r="Y871">
            <v>0</v>
          </cell>
          <cell r="Z871" t="str">
            <v>Senior</v>
          </cell>
          <cell r="AA871" t="str">
            <v>High</v>
          </cell>
          <cell r="AB871" t="str">
            <v>Mid</v>
          </cell>
          <cell r="AC871" t="str">
            <v>Low</v>
          </cell>
          <cell r="AD871">
            <v>1217</v>
          </cell>
        </row>
        <row r="872">
          <cell r="A872">
            <v>35</v>
          </cell>
          <cell r="B872" t="str">
            <v>No</v>
          </cell>
          <cell r="C872" t="str">
            <v>Sales</v>
          </cell>
          <cell r="D872">
            <v>17</v>
          </cell>
          <cell r="E872">
            <v>4</v>
          </cell>
          <cell r="F872" t="str">
            <v>Life Sciences</v>
          </cell>
          <cell r="G872">
            <v>3</v>
          </cell>
          <cell r="H872" t="str">
            <v>Male</v>
          </cell>
          <cell r="I872">
            <v>3</v>
          </cell>
          <cell r="J872">
            <v>2</v>
          </cell>
          <cell r="K872" t="str">
            <v>Sales Executive</v>
          </cell>
          <cell r="L872">
            <v>1</v>
          </cell>
          <cell r="M872" t="str">
            <v>Married</v>
          </cell>
          <cell r="N872">
            <v>8966</v>
          </cell>
          <cell r="O872">
            <v>3</v>
          </cell>
          <cell r="P872" t="str">
            <v>Yes</v>
          </cell>
          <cell r="Q872">
            <v>4</v>
          </cell>
          <cell r="R872">
            <v>15</v>
          </cell>
          <cell r="S872">
            <v>3</v>
          </cell>
          <cell r="T872">
            <v>7</v>
          </cell>
          <cell r="U872">
            <v>7</v>
          </cell>
          <cell r="V872">
            <v>1</v>
          </cell>
          <cell r="W872">
            <v>7</v>
          </cell>
          <cell r="X872">
            <v>15</v>
          </cell>
          <cell r="Y872">
            <v>0</v>
          </cell>
          <cell r="Z872" t="str">
            <v>Mid</v>
          </cell>
          <cell r="AA872" t="str">
            <v>Medium</v>
          </cell>
          <cell r="AB872" t="str">
            <v>Long</v>
          </cell>
          <cell r="AC872" t="str">
            <v>Medium</v>
          </cell>
          <cell r="AD872">
            <v>1218</v>
          </cell>
        </row>
        <row r="873">
          <cell r="A873">
            <v>24</v>
          </cell>
          <cell r="B873" t="str">
            <v>Yes</v>
          </cell>
          <cell r="C873" t="str">
            <v>Research &amp; Development</v>
          </cell>
          <cell r="D873">
            <v>17</v>
          </cell>
          <cell r="E873">
            <v>2</v>
          </cell>
          <cell r="F873" t="str">
            <v>Life Sciences</v>
          </cell>
          <cell r="G873">
            <v>4</v>
          </cell>
          <cell r="H873" t="str">
            <v>Female</v>
          </cell>
          <cell r="I873">
            <v>3</v>
          </cell>
          <cell r="J873">
            <v>1</v>
          </cell>
          <cell r="K873" t="str">
            <v>Laboratory Technician</v>
          </cell>
          <cell r="L873">
            <v>2</v>
          </cell>
          <cell r="M873" t="str">
            <v>Married</v>
          </cell>
          <cell r="N873">
            <v>2210</v>
          </cell>
          <cell r="O873">
            <v>1</v>
          </cell>
          <cell r="P873" t="str">
            <v>No</v>
          </cell>
          <cell r="Q873">
            <v>1</v>
          </cell>
          <cell r="R873">
            <v>1</v>
          </cell>
          <cell r="S873">
            <v>1</v>
          </cell>
          <cell r="T873">
            <v>1</v>
          </cell>
          <cell r="U873">
            <v>0</v>
          </cell>
          <cell r="V873">
            <v>0</v>
          </cell>
          <cell r="W873">
            <v>0</v>
          </cell>
          <cell r="X873">
            <v>13</v>
          </cell>
          <cell r="Y873">
            <v>1</v>
          </cell>
          <cell r="Z873" t="str">
            <v>Young</v>
          </cell>
          <cell r="AA873" t="str">
            <v>Low</v>
          </cell>
          <cell r="AB873" t="str">
            <v>Early</v>
          </cell>
          <cell r="AC873" t="str">
            <v>Medium</v>
          </cell>
          <cell r="AD873">
            <v>1219</v>
          </cell>
        </row>
        <row r="874">
          <cell r="A874">
            <v>33</v>
          </cell>
          <cell r="B874" t="str">
            <v>No</v>
          </cell>
          <cell r="C874" t="str">
            <v>Sales</v>
          </cell>
          <cell r="D874">
            <v>25</v>
          </cell>
          <cell r="E874">
            <v>3</v>
          </cell>
          <cell r="F874" t="str">
            <v>Medical</v>
          </cell>
          <cell r="G874">
            <v>2</v>
          </cell>
          <cell r="H874" t="str">
            <v>Female</v>
          </cell>
          <cell r="I874">
            <v>3</v>
          </cell>
          <cell r="J874">
            <v>2</v>
          </cell>
          <cell r="K874" t="str">
            <v>Sales Executive</v>
          </cell>
          <cell r="L874">
            <v>3</v>
          </cell>
          <cell r="M874" t="str">
            <v>Married</v>
          </cell>
          <cell r="N874">
            <v>4539</v>
          </cell>
          <cell r="O874">
            <v>1</v>
          </cell>
          <cell r="P874" t="str">
            <v>No</v>
          </cell>
          <cell r="Q874">
            <v>1</v>
          </cell>
          <cell r="R874">
            <v>10</v>
          </cell>
          <cell r="S874">
            <v>2</v>
          </cell>
          <cell r="T874">
            <v>10</v>
          </cell>
          <cell r="U874">
            <v>7</v>
          </cell>
          <cell r="V874">
            <v>0</v>
          </cell>
          <cell r="W874">
            <v>1</v>
          </cell>
          <cell r="X874">
            <v>12</v>
          </cell>
          <cell r="Y874">
            <v>0</v>
          </cell>
          <cell r="Z874" t="str">
            <v>Mid</v>
          </cell>
          <cell r="AA874" t="str">
            <v>Low</v>
          </cell>
          <cell r="AB874" t="str">
            <v>Long</v>
          </cell>
          <cell r="AC874" t="str">
            <v>Low</v>
          </cell>
          <cell r="AD874">
            <v>1220</v>
          </cell>
        </row>
        <row r="875">
          <cell r="A875">
            <v>36</v>
          </cell>
          <cell r="B875" t="str">
            <v>No</v>
          </cell>
          <cell r="C875" t="str">
            <v>Research &amp; Development</v>
          </cell>
          <cell r="D875">
            <v>6</v>
          </cell>
          <cell r="E875">
            <v>4</v>
          </cell>
          <cell r="F875" t="str">
            <v>Life Sciences</v>
          </cell>
          <cell r="G875">
            <v>3</v>
          </cell>
          <cell r="H875" t="str">
            <v>Male</v>
          </cell>
          <cell r="I875">
            <v>1</v>
          </cell>
          <cell r="J875">
            <v>1</v>
          </cell>
          <cell r="K875" t="str">
            <v>Laboratory Technician</v>
          </cell>
          <cell r="L875">
            <v>3</v>
          </cell>
          <cell r="M875" t="str">
            <v>Divorced</v>
          </cell>
          <cell r="N875">
            <v>2741</v>
          </cell>
          <cell r="O875">
            <v>1</v>
          </cell>
          <cell r="P875" t="str">
            <v>No</v>
          </cell>
          <cell r="Q875">
            <v>3</v>
          </cell>
          <cell r="R875">
            <v>7</v>
          </cell>
          <cell r="S875">
            <v>3</v>
          </cell>
          <cell r="T875">
            <v>7</v>
          </cell>
          <cell r="U875">
            <v>7</v>
          </cell>
          <cell r="V875">
            <v>1</v>
          </cell>
          <cell r="W875">
            <v>7</v>
          </cell>
          <cell r="X875">
            <v>14</v>
          </cell>
          <cell r="Y875">
            <v>0</v>
          </cell>
          <cell r="Z875" t="str">
            <v>Mid</v>
          </cell>
          <cell r="AA875" t="str">
            <v>Low</v>
          </cell>
          <cell r="AB875" t="str">
            <v>Long</v>
          </cell>
          <cell r="AC875" t="str">
            <v>Medium</v>
          </cell>
          <cell r="AD875">
            <v>1221</v>
          </cell>
        </row>
        <row r="876">
          <cell r="A876">
            <v>30</v>
          </cell>
          <cell r="B876" t="str">
            <v>No</v>
          </cell>
          <cell r="C876" t="str">
            <v>Research &amp; Development</v>
          </cell>
          <cell r="D876">
            <v>7</v>
          </cell>
          <cell r="E876">
            <v>4</v>
          </cell>
          <cell r="F876" t="str">
            <v>Life Sciences</v>
          </cell>
          <cell r="G876">
            <v>3</v>
          </cell>
          <cell r="H876" t="str">
            <v>Male</v>
          </cell>
          <cell r="I876">
            <v>3</v>
          </cell>
          <cell r="J876">
            <v>2</v>
          </cell>
          <cell r="K876" t="str">
            <v>Laboratory Technician</v>
          </cell>
          <cell r="L876">
            <v>3</v>
          </cell>
          <cell r="M876" t="str">
            <v>Divorced</v>
          </cell>
          <cell r="N876">
            <v>3491</v>
          </cell>
          <cell r="O876">
            <v>1</v>
          </cell>
          <cell r="P876" t="str">
            <v>No</v>
          </cell>
          <cell r="Q876">
            <v>1</v>
          </cell>
          <cell r="R876">
            <v>10</v>
          </cell>
          <cell r="S876">
            <v>2</v>
          </cell>
          <cell r="T876">
            <v>10</v>
          </cell>
          <cell r="U876">
            <v>7</v>
          </cell>
          <cell r="V876">
            <v>8</v>
          </cell>
          <cell r="W876">
            <v>9</v>
          </cell>
          <cell r="X876">
            <v>13</v>
          </cell>
          <cell r="Y876">
            <v>0</v>
          </cell>
          <cell r="Z876" t="str">
            <v>Mid</v>
          </cell>
          <cell r="AA876" t="str">
            <v>Low</v>
          </cell>
          <cell r="AB876" t="str">
            <v>Long</v>
          </cell>
          <cell r="AC876" t="str">
            <v>Medium</v>
          </cell>
          <cell r="AD876">
            <v>1224</v>
          </cell>
        </row>
        <row r="877">
          <cell r="A877">
            <v>44</v>
          </cell>
          <cell r="B877" t="str">
            <v>No</v>
          </cell>
          <cell r="C877" t="str">
            <v>Research &amp; Development</v>
          </cell>
          <cell r="D877">
            <v>29</v>
          </cell>
          <cell r="E877">
            <v>4</v>
          </cell>
          <cell r="F877" t="str">
            <v>Other</v>
          </cell>
          <cell r="G877">
            <v>4</v>
          </cell>
          <cell r="H877" t="str">
            <v>Male</v>
          </cell>
          <cell r="I877">
            <v>3</v>
          </cell>
          <cell r="J877">
            <v>2</v>
          </cell>
          <cell r="K877" t="str">
            <v>Research Scientist</v>
          </cell>
          <cell r="L877">
            <v>4</v>
          </cell>
          <cell r="M877" t="str">
            <v>Single</v>
          </cell>
          <cell r="N877">
            <v>4541</v>
          </cell>
          <cell r="O877">
            <v>1</v>
          </cell>
          <cell r="P877" t="str">
            <v>No</v>
          </cell>
          <cell r="Q877">
            <v>2</v>
          </cell>
          <cell r="R877">
            <v>20</v>
          </cell>
          <cell r="S877">
            <v>3</v>
          </cell>
          <cell r="T877">
            <v>20</v>
          </cell>
          <cell r="U877">
            <v>11</v>
          </cell>
          <cell r="V877">
            <v>13</v>
          </cell>
          <cell r="W877">
            <v>17</v>
          </cell>
          <cell r="X877">
            <v>25</v>
          </cell>
          <cell r="Y877">
            <v>0</v>
          </cell>
          <cell r="Z877" t="str">
            <v>Mid</v>
          </cell>
          <cell r="AA877" t="str">
            <v>Low</v>
          </cell>
          <cell r="AB877" t="str">
            <v>Long</v>
          </cell>
          <cell r="AC877" t="str">
            <v>High</v>
          </cell>
          <cell r="AD877">
            <v>1225</v>
          </cell>
        </row>
        <row r="878">
          <cell r="A878">
            <v>20</v>
          </cell>
          <cell r="B878" t="str">
            <v>No</v>
          </cell>
          <cell r="C878" t="str">
            <v>Sales</v>
          </cell>
          <cell r="D878">
            <v>21</v>
          </cell>
          <cell r="E878">
            <v>3</v>
          </cell>
          <cell r="F878" t="str">
            <v>Marketing</v>
          </cell>
          <cell r="G878">
            <v>3</v>
          </cell>
          <cell r="H878" t="str">
            <v>Male</v>
          </cell>
          <cell r="I878">
            <v>4</v>
          </cell>
          <cell r="J878">
            <v>1</v>
          </cell>
          <cell r="K878" t="str">
            <v>Sales Representative</v>
          </cell>
          <cell r="L878">
            <v>4</v>
          </cell>
          <cell r="M878" t="str">
            <v>Single</v>
          </cell>
          <cell r="N878">
            <v>2678</v>
          </cell>
          <cell r="O878">
            <v>1</v>
          </cell>
          <cell r="P878" t="str">
            <v>No</v>
          </cell>
          <cell r="Q878">
            <v>4</v>
          </cell>
          <cell r="R878">
            <v>2</v>
          </cell>
          <cell r="S878">
            <v>3</v>
          </cell>
          <cell r="T878">
            <v>2</v>
          </cell>
          <cell r="U878">
            <v>1</v>
          </cell>
          <cell r="V878">
            <v>2</v>
          </cell>
          <cell r="W878">
            <v>2</v>
          </cell>
          <cell r="X878">
            <v>17</v>
          </cell>
          <cell r="Y878">
            <v>0</v>
          </cell>
          <cell r="Z878" t="str">
            <v>Young</v>
          </cell>
          <cell r="AA878" t="str">
            <v>Low</v>
          </cell>
          <cell r="AB878" t="str">
            <v>Early</v>
          </cell>
          <cell r="AC878" t="str">
            <v>Medium</v>
          </cell>
          <cell r="AD878">
            <v>1226</v>
          </cell>
        </row>
        <row r="879">
          <cell r="A879">
            <v>46</v>
          </cell>
          <cell r="B879" t="str">
            <v>No</v>
          </cell>
          <cell r="C879" t="str">
            <v>Research &amp; Development</v>
          </cell>
          <cell r="D879">
            <v>2</v>
          </cell>
          <cell r="E879">
            <v>4</v>
          </cell>
          <cell r="F879" t="str">
            <v>Technical Degree</v>
          </cell>
          <cell r="G879">
            <v>4</v>
          </cell>
          <cell r="H879" t="str">
            <v>Male</v>
          </cell>
          <cell r="I879">
            <v>3</v>
          </cell>
          <cell r="J879">
            <v>2</v>
          </cell>
          <cell r="K879" t="str">
            <v>Manufacturing Director</v>
          </cell>
          <cell r="L879">
            <v>4</v>
          </cell>
          <cell r="M879" t="str">
            <v>Divorced</v>
          </cell>
          <cell r="N879">
            <v>7379</v>
          </cell>
          <cell r="O879">
            <v>2</v>
          </cell>
          <cell r="P879" t="str">
            <v>No</v>
          </cell>
          <cell r="Q879">
            <v>3</v>
          </cell>
          <cell r="R879">
            <v>12</v>
          </cell>
          <cell r="S879">
            <v>2</v>
          </cell>
          <cell r="T879">
            <v>6</v>
          </cell>
          <cell r="U879">
            <v>3</v>
          </cell>
          <cell r="V879">
            <v>1</v>
          </cell>
          <cell r="W879">
            <v>4</v>
          </cell>
          <cell r="X879">
            <v>11</v>
          </cell>
          <cell r="Y879">
            <v>0</v>
          </cell>
          <cell r="Z879" t="str">
            <v>Senior</v>
          </cell>
          <cell r="AA879" t="str">
            <v>Medium</v>
          </cell>
          <cell r="AB879" t="str">
            <v>Mid</v>
          </cell>
          <cell r="AC879" t="str">
            <v>Low</v>
          </cell>
          <cell r="AD879">
            <v>1228</v>
          </cell>
        </row>
        <row r="880">
          <cell r="A880">
            <v>42</v>
          </cell>
          <cell r="B880" t="str">
            <v>No</v>
          </cell>
          <cell r="C880" t="str">
            <v>Human Resources</v>
          </cell>
          <cell r="D880">
            <v>2</v>
          </cell>
          <cell r="E880">
            <v>5</v>
          </cell>
          <cell r="F880" t="str">
            <v>Medical</v>
          </cell>
          <cell r="G880">
            <v>4</v>
          </cell>
          <cell r="H880" t="str">
            <v>Male</v>
          </cell>
          <cell r="I880">
            <v>4</v>
          </cell>
          <cell r="J880">
            <v>2</v>
          </cell>
          <cell r="K880" t="str">
            <v>Human Resources</v>
          </cell>
          <cell r="L880">
            <v>1</v>
          </cell>
          <cell r="M880" t="str">
            <v>Married</v>
          </cell>
          <cell r="N880">
            <v>6272</v>
          </cell>
          <cell r="O880">
            <v>7</v>
          </cell>
          <cell r="P880" t="str">
            <v>No</v>
          </cell>
          <cell r="Q880">
            <v>1</v>
          </cell>
          <cell r="R880">
            <v>10</v>
          </cell>
          <cell r="S880">
            <v>4</v>
          </cell>
          <cell r="T880">
            <v>4</v>
          </cell>
          <cell r="U880">
            <v>3</v>
          </cell>
          <cell r="V880">
            <v>0</v>
          </cell>
          <cell r="W880">
            <v>3</v>
          </cell>
          <cell r="X880">
            <v>16</v>
          </cell>
          <cell r="Y880">
            <v>0</v>
          </cell>
          <cell r="Z880" t="str">
            <v>Mid</v>
          </cell>
          <cell r="AA880" t="str">
            <v>Medium</v>
          </cell>
          <cell r="AB880" t="str">
            <v>Mid</v>
          </cell>
          <cell r="AC880" t="str">
            <v>Medium</v>
          </cell>
          <cell r="AD880">
            <v>1231</v>
          </cell>
        </row>
        <row r="881">
          <cell r="A881">
            <v>60</v>
          </cell>
          <cell r="B881" t="str">
            <v>No</v>
          </cell>
          <cell r="C881" t="str">
            <v>Sales</v>
          </cell>
          <cell r="D881">
            <v>7</v>
          </cell>
          <cell r="E881">
            <v>4</v>
          </cell>
          <cell r="F881" t="str">
            <v>Marketing</v>
          </cell>
          <cell r="G881">
            <v>2</v>
          </cell>
          <cell r="H881" t="str">
            <v>Male</v>
          </cell>
          <cell r="I881">
            <v>4</v>
          </cell>
          <cell r="J881">
            <v>2</v>
          </cell>
          <cell r="K881" t="str">
            <v>Sales Executive</v>
          </cell>
          <cell r="L881">
            <v>4</v>
          </cell>
          <cell r="M881" t="str">
            <v>Divorced</v>
          </cell>
          <cell r="N881">
            <v>5220</v>
          </cell>
          <cell r="O881">
            <v>0</v>
          </cell>
          <cell r="P881" t="str">
            <v>Yes</v>
          </cell>
          <cell r="Q881">
            <v>2</v>
          </cell>
          <cell r="R881">
            <v>12</v>
          </cell>
          <cell r="S881">
            <v>3</v>
          </cell>
          <cell r="T881">
            <v>11</v>
          </cell>
          <cell r="U881">
            <v>7</v>
          </cell>
          <cell r="V881">
            <v>1</v>
          </cell>
          <cell r="W881">
            <v>9</v>
          </cell>
          <cell r="X881">
            <v>18</v>
          </cell>
          <cell r="Y881">
            <v>0</v>
          </cell>
          <cell r="Z881" t="str">
            <v>Senior</v>
          </cell>
          <cell r="AA881" t="str">
            <v>Medium</v>
          </cell>
          <cell r="AB881" t="str">
            <v>Long</v>
          </cell>
          <cell r="AC881" t="str">
            <v>High</v>
          </cell>
          <cell r="AD881">
            <v>1233</v>
          </cell>
        </row>
        <row r="882">
          <cell r="A882">
            <v>32</v>
          </cell>
          <cell r="B882" t="str">
            <v>No</v>
          </cell>
          <cell r="C882" t="str">
            <v>Research &amp; Development</v>
          </cell>
          <cell r="D882">
            <v>13</v>
          </cell>
          <cell r="E882">
            <v>3</v>
          </cell>
          <cell r="F882" t="str">
            <v>Other</v>
          </cell>
          <cell r="G882">
            <v>3</v>
          </cell>
          <cell r="H882" t="str">
            <v>Female</v>
          </cell>
          <cell r="I882">
            <v>2</v>
          </cell>
          <cell r="J882">
            <v>1</v>
          </cell>
          <cell r="K882" t="str">
            <v>Laboratory Technician</v>
          </cell>
          <cell r="L882">
            <v>2</v>
          </cell>
          <cell r="M882" t="str">
            <v>Married</v>
          </cell>
          <cell r="N882">
            <v>2743</v>
          </cell>
          <cell r="O882">
            <v>1</v>
          </cell>
          <cell r="P882" t="str">
            <v>No</v>
          </cell>
          <cell r="Q882">
            <v>3</v>
          </cell>
          <cell r="R882">
            <v>2</v>
          </cell>
          <cell r="S882">
            <v>3</v>
          </cell>
          <cell r="T882">
            <v>2</v>
          </cell>
          <cell r="U882">
            <v>2</v>
          </cell>
          <cell r="V882">
            <v>2</v>
          </cell>
          <cell r="W882">
            <v>2</v>
          </cell>
          <cell r="X882">
            <v>20</v>
          </cell>
          <cell r="Y882">
            <v>0</v>
          </cell>
          <cell r="Z882" t="str">
            <v>Mid</v>
          </cell>
          <cell r="AA882" t="str">
            <v>Low</v>
          </cell>
          <cell r="AB882" t="str">
            <v>Early</v>
          </cell>
          <cell r="AC882" t="str">
            <v>High</v>
          </cell>
          <cell r="AD882">
            <v>1234</v>
          </cell>
        </row>
        <row r="883">
          <cell r="A883">
            <v>32</v>
          </cell>
          <cell r="B883" t="str">
            <v>No</v>
          </cell>
          <cell r="C883" t="str">
            <v>Research &amp; Development</v>
          </cell>
          <cell r="D883">
            <v>2</v>
          </cell>
          <cell r="E883">
            <v>2</v>
          </cell>
          <cell r="F883" t="str">
            <v>Life Sciences</v>
          </cell>
          <cell r="G883">
            <v>4</v>
          </cell>
          <cell r="H883" t="str">
            <v>Female</v>
          </cell>
          <cell r="I883">
            <v>3</v>
          </cell>
          <cell r="J883">
            <v>2</v>
          </cell>
          <cell r="K883" t="str">
            <v>Research Scientist</v>
          </cell>
          <cell r="L883">
            <v>3</v>
          </cell>
          <cell r="M883" t="str">
            <v>Single</v>
          </cell>
          <cell r="N883">
            <v>4998</v>
          </cell>
          <cell r="O883">
            <v>4</v>
          </cell>
          <cell r="P883" t="str">
            <v>Yes</v>
          </cell>
          <cell r="Q883">
            <v>4</v>
          </cell>
          <cell r="R883">
            <v>10</v>
          </cell>
          <cell r="S883">
            <v>3</v>
          </cell>
          <cell r="T883">
            <v>8</v>
          </cell>
          <cell r="U883">
            <v>7</v>
          </cell>
          <cell r="V883">
            <v>0</v>
          </cell>
          <cell r="W883">
            <v>7</v>
          </cell>
          <cell r="X883">
            <v>14</v>
          </cell>
          <cell r="Y883">
            <v>0</v>
          </cell>
          <cell r="Z883" t="str">
            <v>Mid</v>
          </cell>
          <cell r="AA883" t="str">
            <v>Low</v>
          </cell>
          <cell r="AB883" t="str">
            <v>Long</v>
          </cell>
          <cell r="AC883" t="str">
            <v>Medium</v>
          </cell>
          <cell r="AD883">
            <v>1235</v>
          </cell>
        </row>
        <row r="884">
          <cell r="A884">
            <v>36</v>
          </cell>
          <cell r="B884" t="str">
            <v>No</v>
          </cell>
          <cell r="C884" t="str">
            <v>Research &amp; Development</v>
          </cell>
          <cell r="D884">
            <v>1</v>
          </cell>
          <cell r="E884">
            <v>3</v>
          </cell>
          <cell r="F884" t="str">
            <v>Technical Degree</v>
          </cell>
          <cell r="G884">
            <v>3</v>
          </cell>
          <cell r="H884" t="str">
            <v>Female</v>
          </cell>
          <cell r="I884">
            <v>1</v>
          </cell>
          <cell r="J884">
            <v>3</v>
          </cell>
          <cell r="K884" t="str">
            <v>Manufacturing Director</v>
          </cell>
          <cell r="L884">
            <v>1</v>
          </cell>
          <cell r="M884" t="str">
            <v>Divorced</v>
          </cell>
          <cell r="N884">
            <v>10252</v>
          </cell>
          <cell r="O884">
            <v>2</v>
          </cell>
          <cell r="P884" t="str">
            <v>Yes</v>
          </cell>
          <cell r="Q884">
            <v>3</v>
          </cell>
          <cell r="R884">
            <v>17</v>
          </cell>
          <cell r="S884">
            <v>3</v>
          </cell>
          <cell r="T884">
            <v>7</v>
          </cell>
          <cell r="U884">
            <v>7</v>
          </cell>
          <cell r="V884">
            <v>7</v>
          </cell>
          <cell r="W884">
            <v>7</v>
          </cell>
          <cell r="X884">
            <v>21</v>
          </cell>
          <cell r="Y884">
            <v>0</v>
          </cell>
          <cell r="Z884" t="str">
            <v>Mid</v>
          </cell>
          <cell r="AA884" t="str">
            <v>High</v>
          </cell>
          <cell r="AB884" t="str">
            <v>Long</v>
          </cell>
          <cell r="AC884" t="str">
            <v>High</v>
          </cell>
          <cell r="AD884">
            <v>1237</v>
          </cell>
        </row>
        <row r="885">
          <cell r="A885">
            <v>33</v>
          </cell>
          <cell r="B885" t="str">
            <v>No</v>
          </cell>
          <cell r="C885" t="str">
            <v>Research &amp; Development</v>
          </cell>
          <cell r="D885">
            <v>9</v>
          </cell>
          <cell r="E885">
            <v>3</v>
          </cell>
          <cell r="F885" t="str">
            <v>Medical</v>
          </cell>
          <cell r="G885">
            <v>1</v>
          </cell>
          <cell r="H885" t="str">
            <v>Male</v>
          </cell>
          <cell r="I885">
            <v>3</v>
          </cell>
          <cell r="J885">
            <v>1</v>
          </cell>
          <cell r="K885" t="str">
            <v>Research Scientist</v>
          </cell>
          <cell r="L885">
            <v>4</v>
          </cell>
          <cell r="M885" t="str">
            <v>Married</v>
          </cell>
          <cell r="N885">
            <v>2781</v>
          </cell>
          <cell r="O885">
            <v>0</v>
          </cell>
          <cell r="P885" t="str">
            <v>No</v>
          </cell>
          <cell r="Q885">
            <v>2</v>
          </cell>
          <cell r="R885">
            <v>15</v>
          </cell>
          <cell r="S885">
            <v>3</v>
          </cell>
          <cell r="T885">
            <v>14</v>
          </cell>
          <cell r="U885">
            <v>10</v>
          </cell>
          <cell r="V885">
            <v>4</v>
          </cell>
          <cell r="W885">
            <v>10</v>
          </cell>
          <cell r="X885">
            <v>13</v>
          </cell>
          <cell r="Y885">
            <v>0</v>
          </cell>
          <cell r="Z885" t="str">
            <v>Mid</v>
          </cell>
          <cell r="AA885" t="str">
            <v>Low</v>
          </cell>
          <cell r="AB885" t="str">
            <v>Long</v>
          </cell>
          <cell r="AC885" t="str">
            <v>Medium</v>
          </cell>
          <cell r="AD885">
            <v>1238</v>
          </cell>
        </row>
        <row r="886">
          <cell r="A886">
            <v>40</v>
          </cell>
          <cell r="B886" t="str">
            <v>No</v>
          </cell>
          <cell r="C886" t="str">
            <v>Sales</v>
          </cell>
          <cell r="D886">
            <v>10</v>
          </cell>
          <cell r="E886">
            <v>3</v>
          </cell>
          <cell r="F886" t="str">
            <v>Technical Degree</v>
          </cell>
          <cell r="G886">
            <v>2</v>
          </cell>
          <cell r="H886" t="str">
            <v>Female</v>
          </cell>
          <cell r="I886">
            <v>2</v>
          </cell>
          <cell r="J886">
            <v>2</v>
          </cell>
          <cell r="K886" t="str">
            <v>Sales Executive</v>
          </cell>
          <cell r="L886">
            <v>2</v>
          </cell>
          <cell r="M886" t="str">
            <v>Divorced</v>
          </cell>
          <cell r="N886">
            <v>6852</v>
          </cell>
          <cell r="O886">
            <v>7</v>
          </cell>
          <cell r="P886" t="str">
            <v>No</v>
          </cell>
          <cell r="Q886">
            <v>2</v>
          </cell>
          <cell r="R886">
            <v>7</v>
          </cell>
          <cell r="S886">
            <v>4</v>
          </cell>
          <cell r="T886">
            <v>5</v>
          </cell>
          <cell r="U886">
            <v>1</v>
          </cell>
          <cell r="V886">
            <v>1</v>
          </cell>
          <cell r="W886">
            <v>3</v>
          </cell>
          <cell r="X886">
            <v>12</v>
          </cell>
          <cell r="Y886">
            <v>0</v>
          </cell>
          <cell r="Z886" t="str">
            <v>Mid</v>
          </cell>
          <cell r="AA886" t="str">
            <v>Medium</v>
          </cell>
          <cell r="AB886" t="str">
            <v>Mid</v>
          </cell>
          <cell r="AC886" t="str">
            <v>Low</v>
          </cell>
          <cell r="AD886">
            <v>1239</v>
          </cell>
        </row>
        <row r="887">
          <cell r="A887">
            <v>25</v>
          </cell>
          <cell r="B887" t="str">
            <v>No</v>
          </cell>
          <cell r="C887" t="str">
            <v>Sales</v>
          </cell>
          <cell r="D887">
            <v>10</v>
          </cell>
          <cell r="E887">
            <v>4</v>
          </cell>
          <cell r="F887" t="str">
            <v>Life Sciences</v>
          </cell>
          <cell r="G887">
            <v>3</v>
          </cell>
          <cell r="H887" t="str">
            <v>Male</v>
          </cell>
          <cell r="I887">
            <v>3</v>
          </cell>
          <cell r="J887">
            <v>2</v>
          </cell>
          <cell r="K887" t="str">
            <v>Sales Executive</v>
          </cell>
          <cell r="L887">
            <v>4</v>
          </cell>
          <cell r="M887" t="str">
            <v>Single</v>
          </cell>
          <cell r="N887">
            <v>4950</v>
          </cell>
          <cell r="O887">
            <v>0</v>
          </cell>
          <cell r="P887" t="str">
            <v>No</v>
          </cell>
          <cell r="Q887">
            <v>2</v>
          </cell>
          <cell r="R887">
            <v>5</v>
          </cell>
          <cell r="S887">
            <v>3</v>
          </cell>
          <cell r="T887">
            <v>4</v>
          </cell>
          <cell r="U887">
            <v>3</v>
          </cell>
          <cell r="V887">
            <v>1</v>
          </cell>
          <cell r="W887">
            <v>1</v>
          </cell>
          <cell r="X887">
            <v>14</v>
          </cell>
          <cell r="Y887">
            <v>0</v>
          </cell>
          <cell r="Z887" t="str">
            <v>Young</v>
          </cell>
          <cell r="AA887" t="str">
            <v>Low</v>
          </cell>
          <cell r="AB887" t="str">
            <v>Mid</v>
          </cell>
          <cell r="AC887" t="str">
            <v>Medium</v>
          </cell>
          <cell r="AD887">
            <v>1240</v>
          </cell>
        </row>
        <row r="888">
          <cell r="A888">
            <v>30</v>
          </cell>
          <cell r="B888" t="str">
            <v>No</v>
          </cell>
          <cell r="C888" t="str">
            <v>Research &amp; Development</v>
          </cell>
          <cell r="D888">
            <v>1</v>
          </cell>
          <cell r="E888">
            <v>3</v>
          </cell>
          <cell r="F888" t="str">
            <v>Medical</v>
          </cell>
          <cell r="G888">
            <v>4</v>
          </cell>
          <cell r="H888" t="str">
            <v>Male</v>
          </cell>
          <cell r="I888">
            <v>3</v>
          </cell>
          <cell r="J888">
            <v>1</v>
          </cell>
          <cell r="K888" t="str">
            <v>Research Scientist</v>
          </cell>
          <cell r="L888">
            <v>2</v>
          </cell>
          <cell r="M888" t="str">
            <v>Married</v>
          </cell>
          <cell r="N888">
            <v>3579</v>
          </cell>
          <cell r="O888">
            <v>0</v>
          </cell>
          <cell r="P888" t="str">
            <v>Yes</v>
          </cell>
          <cell r="Q888">
            <v>1</v>
          </cell>
          <cell r="R888">
            <v>12</v>
          </cell>
          <cell r="S888">
            <v>3</v>
          </cell>
          <cell r="T888">
            <v>11</v>
          </cell>
          <cell r="U888">
            <v>9</v>
          </cell>
          <cell r="V888">
            <v>5</v>
          </cell>
          <cell r="W888">
            <v>7</v>
          </cell>
          <cell r="X888">
            <v>21</v>
          </cell>
          <cell r="Y888">
            <v>0</v>
          </cell>
          <cell r="Z888" t="str">
            <v>Mid</v>
          </cell>
          <cell r="AA888" t="str">
            <v>Low</v>
          </cell>
          <cell r="AB888" t="str">
            <v>Long</v>
          </cell>
          <cell r="AC888" t="str">
            <v>High</v>
          </cell>
          <cell r="AD888">
            <v>1241</v>
          </cell>
        </row>
        <row r="889">
          <cell r="A889">
            <v>42</v>
          </cell>
          <cell r="B889" t="str">
            <v>No</v>
          </cell>
          <cell r="C889" t="str">
            <v>Research &amp; Development</v>
          </cell>
          <cell r="D889">
            <v>26</v>
          </cell>
          <cell r="E889">
            <v>5</v>
          </cell>
          <cell r="F889" t="str">
            <v>Medical</v>
          </cell>
          <cell r="G889">
            <v>1</v>
          </cell>
          <cell r="H889" t="str">
            <v>Female</v>
          </cell>
          <cell r="I889">
            <v>3</v>
          </cell>
          <cell r="J889">
            <v>3</v>
          </cell>
          <cell r="K889" t="str">
            <v>Research Director</v>
          </cell>
          <cell r="L889">
            <v>1</v>
          </cell>
          <cell r="M889" t="str">
            <v>Married</v>
          </cell>
          <cell r="N889">
            <v>13191</v>
          </cell>
          <cell r="O889">
            <v>3</v>
          </cell>
          <cell r="P889" t="str">
            <v>Yes</v>
          </cell>
          <cell r="Q889">
            <v>3</v>
          </cell>
          <cell r="R889">
            <v>20</v>
          </cell>
          <cell r="S889">
            <v>3</v>
          </cell>
          <cell r="T889">
            <v>1</v>
          </cell>
          <cell r="U889">
            <v>0</v>
          </cell>
          <cell r="V889">
            <v>0</v>
          </cell>
          <cell r="W889">
            <v>0</v>
          </cell>
          <cell r="X889">
            <v>17</v>
          </cell>
          <cell r="Y889">
            <v>0</v>
          </cell>
          <cell r="Z889" t="str">
            <v>Mid</v>
          </cell>
          <cell r="AA889" t="str">
            <v>High</v>
          </cell>
          <cell r="AB889" t="str">
            <v>Early</v>
          </cell>
          <cell r="AC889" t="str">
            <v>Medium</v>
          </cell>
          <cell r="AD889">
            <v>1242</v>
          </cell>
        </row>
        <row r="890">
          <cell r="A890">
            <v>35</v>
          </cell>
          <cell r="B890" t="str">
            <v>No</v>
          </cell>
          <cell r="C890" t="str">
            <v>Sales</v>
          </cell>
          <cell r="D890">
            <v>8</v>
          </cell>
          <cell r="E890">
            <v>2</v>
          </cell>
          <cell r="F890" t="str">
            <v>Marketing</v>
          </cell>
          <cell r="G890">
            <v>3</v>
          </cell>
          <cell r="H890" t="str">
            <v>Female</v>
          </cell>
          <cell r="I890">
            <v>2</v>
          </cell>
          <cell r="J890">
            <v>3</v>
          </cell>
          <cell r="K890" t="str">
            <v>Sales Executive</v>
          </cell>
          <cell r="L890">
            <v>4</v>
          </cell>
          <cell r="M890" t="str">
            <v>Married</v>
          </cell>
          <cell r="N890">
            <v>10377</v>
          </cell>
          <cell r="O890">
            <v>4</v>
          </cell>
          <cell r="P890" t="str">
            <v>Yes</v>
          </cell>
          <cell r="Q890">
            <v>2</v>
          </cell>
          <cell r="R890">
            <v>16</v>
          </cell>
          <cell r="S890">
            <v>2</v>
          </cell>
          <cell r="T890">
            <v>13</v>
          </cell>
          <cell r="U890">
            <v>2</v>
          </cell>
          <cell r="V890">
            <v>4</v>
          </cell>
          <cell r="W890">
            <v>12</v>
          </cell>
          <cell r="X890">
            <v>11</v>
          </cell>
          <cell r="Y890">
            <v>0</v>
          </cell>
          <cell r="Z890" t="str">
            <v>Mid</v>
          </cell>
          <cell r="AA890" t="str">
            <v>High</v>
          </cell>
          <cell r="AB890" t="str">
            <v>Long</v>
          </cell>
          <cell r="AC890" t="str">
            <v>Low</v>
          </cell>
          <cell r="AD890">
            <v>1243</v>
          </cell>
        </row>
        <row r="891">
          <cell r="A891">
            <v>27</v>
          </cell>
          <cell r="B891" t="str">
            <v>No</v>
          </cell>
          <cell r="C891" t="str">
            <v>Research &amp; Development</v>
          </cell>
          <cell r="D891">
            <v>14</v>
          </cell>
          <cell r="E891">
            <v>3</v>
          </cell>
          <cell r="F891" t="str">
            <v>Life Sciences</v>
          </cell>
          <cell r="G891">
            <v>1</v>
          </cell>
          <cell r="H891" t="str">
            <v>Male</v>
          </cell>
          <cell r="I891">
            <v>3</v>
          </cell>
          <cell r="J891">
            <v>1</v>
          </cell>
          <cell r="K891" t="str">
            <v>Research Scientist</v>
          </cell>
          <cell r="L891">
            <v>1</v>
          </cell>
          <cell r="M891" t="str">
            <v>Married</v>
          </cell>
          <cell r="N891">
            <v>2235</v>
          </cell>
          <cell r="O891">
            <v>1</v>
          </cell>
          <cell r="P891" t="str">
            <v>Yes</v>
          </cell>
          <cell r="Q891">
            <v>4</v>
          </cell>
          <cell r="R891">
            <v>9</v>
          </cell>
          <cell r="S891">
            <v>2</v>
          </cell>
          <cell r="T891">
            <v>9</v>
          </cell>
          <cell r="U891">
            <v>7</v>
          </cell>
          <cell r="V891">
            <v>6</v>
          </cell>
          <cell r="W891">
            <v>8</v>
          </cell>
          <cell r="X891">
            <v>14</v>
          </cell>
          <cell r="Y891">
            <v>0</v>
          </cell>
          <cell r="Z891" t="str">
            <v>Young</v>
          </cell>
          <cell r="AA891" t="str">
            <v>Low</v>
          </cell>
          <cell r="AB891" t="str">
            <v>Long</v>
          </cell>
          <cell r="AC891" t="str">
            <v>Medium</v>
          </cell>
          <cell r="AD891">
            <v>1244</v>
          </cell>
        </row>
        <row r="892">
          <cell r="A892">
            <v>54</v>
          </cell>
          <cell r="B892" t="str">
            <v>No</v>
          </cell>
          <cell r="C892" t="str">
            <v>Research &amp; Development</v>
          </cell>
          <cell r="D892">
            <v>1</v>
          </cell>
          <cell r="E892">
            <v>4</v>
          </cell>
          <cell r="F892" t="str">
            <v>Life Sciences</v>
          </cell>
          <cell r="G892">
            <v>4</v>
          </cell>
          <cell r="H892" t="str">
            <v>Female</v>
          </cell>
          <cell r="I892">
            <v>3</v>
          </cell>
          <cell r="J892">
            <v>3</v>
          </cell>
          <cell r="K892" t="str">
            <v>Manufacturing Director</v>
          </cell>
          <cell r="L892">
            <v>3</v>
          </cell>
          <cell r="M892" t="str">
            <v>Divorced</v>
          </cell>
          <cell r="N892">
            <v>10502</v>
          </cell>
          <cell r="O892">
            <v>7</v>
          </cell>
          <cell r="P892" t="str">
            <v>No</v>
          </cell>
          <cell r="Q892">
            <v>1</v>
          </cell>
          <cell r="R892">
            <v>33</v>
          </cell>
          <cell r="S892">
            <v>1</v>
          </cell>
          <cell r="T892">
            <v>5</v>
          </cell>
          <cell r="U892">
            <v>4</v>
          </cell>
          <cell r="V892">
            <v>1</v>
          </cell>
          <cell r="W892">
            <v>4</v>
          </cell>
          <cell r="X892">
            <v>17</v>
          </cell>
          <cell r="Y892">
            <v>0</v>
          </cell>
          <cell r="Z892" t="str">
            <v>Senior</v>
          </cell>
          <cell r="AA892" t="str">
            <v>High</v>
          </cell>
          <cell r="AB892" t="str">
            <v>Mid</v>
          </cell>
          <cell r="AC892" t="str">
            <v>Medium</v>
          </cell>
          <cell r="AD892">
            <v>1245</v>
          </cell>
        </row>
        <row r="893">
          <cell r="A893">
            <v>44</v>
          </cell>
          <cell r="B893" t="str">
            <v>No</v>
          </cell>
          <cell r="C893" t="str">
            <v>Research &amp; Development</v>
          </cell>
          <cell r="D893">
            <v>2</v>
          </cell>
          <cell r="E893">
            <v>1</v>
          </cell>
          <cell r="F893" t="str">
            <v>Life Sciences</v>
          </cell>
          <cell r="G893">
            <v>1</v>
          </cell>
          <cell r="H893" t="str">
            <v>Female</v>
          </cell>
          <cell r="I893">
            <v>4</v>
          </cell>
          <cell r="J893">
            <v>1</v>
          </cell>
          <cell r="K893" t="str">
            <v>Research Scientist</v>
          </cell>
          <cell r="L893">
            <v>4</v>
          </cell>
          <cell r="M893" t="str">
            <v>Married</v>
          </cell>
          <cell r="N893">
            <v>2011</v>
          </cell>
          <cell r="O893">
            <v>1</v>
          </cell>
          <cell r="P893" t="str">
            <v>No</v>
          </cell>
          <cell r="Q893">
            <v>4</v>
          </cell>
          <cell r="R893">
            <v>10</v>
          </cell>
          <cell r="S893">
            <v>3</v>
          </cell>
          <cell r="T893">
            <v>10</v>
          </cell>
          <cell r="U893">
            <v>5</v>
          </cell>
          <cell r="V893">
            <v>7</v>
          </cell>
          <cell r="W893">
            <v>7</v>
          </cell>
          <cell r="X893">
            <v>13</v>
          </cell>
          <cell r="Y893">
            <v>0</v>
          </cell>
          <cell r="Z893" t="str">
            <v>Mid</v>
          </cell>
          <cell r="AA893" t="str">
            <v>Low</v>
          </cell>
          <cell r="AB893" t="str">
            <v>Long</v>
          </cell>
          <cell r="AC893" t="str">
            <v>Medium</v>
          </cell>
          <cell r="AD893">
            <v>1246</v>
          </cell>
        </row>
        <row r="894">
          <cell r="A894">
            <v>19</v>
          </cell>
          <cell r="B894" t="str">
            <v>Yes</v>
          </cell>
          <cell r="C894" t="str">
            <v>Research &amp; Development</v>
          </cell>
          <cell r="D894">
            <v>10</v>
          </cell>
          <cell r="E894">
            <v>3</v>
          </cell>
          <cell r="F894" t="str">
            <v>Medical</v>
          </cell>
          <cell r="G894">
            <v>1</v>
          </cell>
          <cell r="H894" t="str">
            <v>Female</v>
          </cell>
          <cell r="I894">
            <v>2</v>
          </cell>
          <cell r="J894">
            <v>1</v>
          </cell>
          <cell r="K894" t="str">
            <v>Research Scientist</v>
          </cell>
          <cell r="L894">
            <v>2</v>
          </cell>
          <cell r="M894" t="str">
            <v>Single</v>
          </cell>
          <cell r="N894">
            <v>1859</v>
          </cell>
          <cell r="O894">
            <v>1</v>
          </cell>
          <cell r="P894" t="str">
            <v>Yes</v>
          </cell>
          <cell r="Q894">
            <v>2</v>
          </cell>
          <cell r="R894">
            <v>1</v>
          </cell>
          <cell r="S894">
            <v>4</v>
          </cell>
          <cell r="T894">
            <v>1</v>
          </cell>
          <cell r="U894">
            <v>1</v>
          </cell>
          <cell r="V894">
            <v>0</v>
          </cell>
          <cell r="W894">
            <v>0</v>
          </cell>
          <cell r="X894">
            <v>25</v>
          </cell>
          <cell r="Y894">
            <v>1</v>
          </cell>
          <cell r="Z894" t="str">
            <v>Young</v>
          </cell>
          <cell r="AA894" t="str">
            <v>Low</v>
          </cell>
          <cell r="AB894" t="str">
            <v>Early</v>
          </cell>
          <cell r="AC894" t="str">
            <v>High</v>
          </cell>
          <cell r="AD894">
            <v>1248</v>
          </cell>
        </row>
        <row r="895">
          <cell r="A895">
            <v>29</v>
          </cell>
          <cell r="B895" t="str">
            <v>No</v>
          </cell>
          <cell r="C895" t="str">
            <v>Research &amp; Development</v>
          </cell>
          <cell r="D895">
            <v>1</v>
          </cell>
          <cell r="E895">
            <v>3</v>
          </cell>
          <cell r="F895" t="str">
            <v>Life Sciences</v>
          </cell>
          <cell r="G895">
            <v>1</v>
          </cell>
          <cell r="H895" t="str">
            <v>Female</v>
          </cell>
          <cell r="I895">
            <v>3</v>
          </cell>
          <cell r="J895">
            <v>1</v>
          </cell>
          <cell r="K895" t="str">
            <v>Research Scientist</v>
          </cell>
          <cell r="L895">
            <v>4</v>
          </cell>
          <cell r="M895" t="str">
            <v>Divorced</v>
          </cell>
          <cell r="N895">
            <v>3760</v>
          </cell>
          <cell r="O895">
            <v>1</v>
          </cell>
          <cell r="P895" t="str">
            <v>No</v>
          </cell>
          <cell r="Q895">
            <v>1</v>
          </cell>
          <cell r="R895">
            <v>3</v>
          </cell>
          <cell r="S895">
            <v>3</v>
          </cell>
          <cell r="T895">
            <v>3</v>
          </cell>
          <cell r="U895">
            <v>2</v>
          </cell>
          <cell r="V895">
            <v>1</v>
          </cell>
          <cell r="W895">
            <v>2</v>
          </cell>
          <cell r="X895">
            <v>15</v>
          </cell>
          <cell r="Y895">
            <v>0</v>
          </cell>
          <cell r="Z895" t="str">
            <v>Young</v>
          </cell>
          <cell r="AA895" t="str">
            <v>Low</v>
          </cell>
          <cell r="AB895" t="str">
            <v>Mid</v>
          </cell>
          <cell r="AC895" t="str">
            <v>Medium</v>
          </cell>
          <cell r="AD895">
            <v>1249</v>
          </cell>
        </row>
        <row r="896">
          <cell r="A896">
            <v>54</v>
          </cell>
          <cell r="B896" t="str">
            <v>No</v>
          </cell>
          <cell r="C896" t="str">
            <v>Research &amp; Development</v>
          </cell>
          <cell r="D896">
            <v>3</v>
          </cell>
          <cell r="E896">
            <v>3</v>
          </cell>
          <cell r="F896" t="str">
            <v>Life Sciences</v>
          </cell>
          <cell r="G896">
            <v>4</v>
          </cell>
          <cell r="H896" t="str">
            <v>Male</v>
          </cell>
          <cell r="I896">
            <v>3</v>
          </cell>
          <cell r="J896">
            <v>4</v>
          </cell>
          <cell r="K896" t="str">
            <v>Research Director</v>
          </cell>
          <cell r="L896">
            <v>4</v>
          </cell>
          <cell r="M896" t="str">
            <v>Married</v>
          </cell>
          <cell r="N896">
            <v>17779</v>
          </cell>
          <cell r="O896">
            <v>3</v>
          </cell>
          <cell r="P896" t="str">
            <v>No</v>
          </cell>
          <cell r="Q896">
            <v>1</v>
          </cell>
          <cell r="R896">
            <v>36</v>
          </cell>
          <cell r="S896">
            <v>3</v>
          </cell>
          <cell r="T896">
            <v>10</v>
          </cell>
          <cell r="U896">
            <v>9</v>
          </cell>
          <cell r="V896">
            <v>0</v>
          </cell>
          <cell r="W896">
            <v>9</v>
          </cell>
          <cell r="X896">
            <v>14</v>
          </cell>
          <cell r="Y896">
            <v>0</v>
          </cell>
          <cell r="Z896" t="str">
            <v>Senior</v>
          </cell>
          <cell r="AA896" t="str">
            <v>High</v>
          </cell>
          <cell r="AB896" t="str">
            <v>Long</v>
          </cell>
          <cell r="AC896" t="str">
            <v>Medium</v>
          </cell>
          <cell r="AD896">
            <v>1250</v>
          </cell>
        </row>
        <row r="897">
          <cell r="A897">
            <v>31</v>
          </cell>
          <cell r="B897" t="str">
            <v>No</v>
          </cell>
          <cell r="C897" t="str">
            <v>Research &amp; Development</v>
          </cell>
          <cell r="D897">
            <v>11</v>
          </cell>
          <cell r="E897">
            <v>2</v>
          </cell>
          <cell r="F897" t="str">
            <v>Medical</v>
          </cell>
          <cell r="G897">
            <v>3</v>
          </cell>
          <cell r="H897" t="str">
            <v>Male</v>
          </cell>
          <cell r="I897">
            <v>3</v>
          </cell>
          <cell r="J897">
            <v>2</v>
          </cell>
          <cell r="K897" t="str">
            <v>Healthcare Representative</v>
          </cell>
          <cell r="L897">
            <v>1</v>
          </cell>
          <cell r="M897" t="str">
            <v>Married</v>
          </cell>
          <cell r="N897">
            <v>6833</v>
          </cell>
          <cell r="O897">
            <v>1</v>
          </cell>
          <cell r="P897" t="str">
            <v>Yes</v>
          </cell>
          <cell r="Q897">
            <v>4</v>
          </cell>
          <cell r="R897">
            <v>6</v>
          </cell>
          <cell r="S897">
            <v>2</v>
          </cell>
          <cell r="T897">
            <v>6</v>
          </cell>
          <cell r="U897">
            <v>5</v>
          </cell>
          <cell r="V897">
            <v>0</v>
          </cell>
          <cell r="W897">
            <v>1</v>
          </cell>
          <cell r="X897">
            <v>12</v>
          </cell>
          <cell r="Y897">
            <v>0</v>
          </cell>
          <cell r="Z897" t="str">
            <v>Mid</v>
          </cell>
          <cell r="AA897" t="str">
            <v>Medium</v>
          </cell>
          <cell r="AB897" t="str">
            <v>Mid</v>
          </cell>
          <cell r="AC897" t="str">
            <v>Low</v>
          </cell>
          <cell r="AD897">
            <v>1251</v>
          </cell>
        </row>
        <row r="898">
          <cell r="A898">
            <v>31</v>
          </cell>
          <cell r="B898" t="str">
            <v>No</v>
          </cell>
          <cell r="C898" t="str">
            <v>Research &amp; Development</v>
          </cell>
          <cell r="D898">
            <v>24</v>
          </cell>
          <cell r="E898">
            <v>3</v>
          </cell>
          <cell r="F898" t="str">
            <v>Medical</v>
          </cell>
          <cell r="G898">
            <v>3</v>
          </cell>
          <cell r="H898" t="str">
            <v>Female</v>
          </cell>
          <cell r="I898">
            <v>2</v>
          </cell>
          <cell r="J898">
            <v>2</v>
          </cell>
          <cell r="K898" t="str">
            <v>Healthcare Representative</v>
          </cell>
          <cell r="L898">
            <v>1</v>
          </cell>
          <cell r="M898" t="str">
            <v>Single</v>
          </cell>
          <cell r="N898">
            <v>6812</v>
          </cell>
          <cell r="O898">
            <v>1</v>
          </cell>
          <cell r="P898" t="str">
            <v>No</v>
          </cell>
          <cell r="Q898">
            <v>2</v>
          </cell>
          <cell r="R898">
            <v>10</v>
          </cell>
          <cell r="S898">
            <v>3</v>
          </cell>
          <cell r="T898">
            <v>10</v>
          </cell>
          <cell r="U898">
            <v>9</v>
          </cell>
          <cell r="V898">
            <v>1</v>
          </cell>
          <cell r="W898">
            <v>8</v>
          </cell>
          <cell r="X898">
            <v>19</v>
          </cell>
          <cell r="Y898">
            <v>0</v>
          </cell>
          <cell r="Z898" t="str">
            <v>Mid</v>
          </cell>
          <cell r="AA898" t="str">
            <v>Medium</v>
          </cell>
          <cell r="AB898" t="str">
            <v>Long</v>
          </cell>
          <cell r="AC898" t="str">
            <v>High</v>
          </cell>
          <cell r="AD898">
            <v>1252</v>
          </cell>
        </row>
        <row r="899">
          <cell r="A899">
            <v>59</v>
          </cell>
          <cell r="B899" t="str">
            <v>No</v>
          </cell>
          <cell r="C899" t="str">
            <v>Sales</v>
          </cell>
          <cell r="D899">
            <v>3</v>
          </cell>
          <cell r="E899">
            <v>3</v>
          </cell>
          <cell r="F899" t="str">
            <v>Life Sciences</v>
          </cell>
          <cell r="G899">
            <v>3</v>
          </cell>
          <cell r="H899" t="str">
            <v>Female</v>
          </cell>
          <cell r="I899">
            <v>2</v>
          </cell>
          <cell r="J899">
            <v>2</v>
          </cell>
          <cell r="K899" t="str">
            <v>Sales Executive</v>
          </cell>
          <cell r="L899">
            <v>4</v>
          </cell>
          <cell r="M899" t="str">
            <v>Single</v>
          </cell>
          <cell r="N899">
            <v>5171</v>
          </cell>
          <cell r="O899">
            <v>5</v>
          </cell>
          <cell r="P899" t="str">
            <v>No</v>
          </cell>
          <cell r="Q899">
            <v>4</v>
          </cell>
          <cell r="R899">
            <v>13</v>
          </cell>
          <cell r="S899">
            <v>3</v>
          </cell>
          <cell r="T899">
            <v>6</v>
          </cell>
          <cell r="U899">
            <v>1</v>
          </cell>
          <cell r="V899">
            <v>0</v>
          </cell>
          <cell r="W899">
            <v>5</v>
          </cell>
          <cell r="X899">
            <v>17</v>
          </cell>
          <cell r="Y899">
            <v>0</v>
          </cell>
          <cell r="Z899" t="str">
            <v>Senior</v>
          </cell>
          <cell r="AA899" t="str">
            <v>Medium</v>
          </cell>
          <cell r="AB899" t="str">
            <v>Mid</v>
          </cell>
          <cell r="AC899" t="str">
            <v>Medium</v>
          </cell>
          <cell r="AD899">
            <v>1254</v>
          </cell>
        </row>
        <row r="900">
          <cell r="A900">
            <v>43</v>
          </cell>
          <cell r="B900" t="str">
            <v>No</v>
          </cell>
          <cell r="C900" t="str">
            <v>Research &amp; Development</v>
          </cell>
          <cell r="D900">
            <v>3</v>
          </cell>
          <cell r="E900">
            <v>3</v>
          </cell>
          <cell r="F900" t="str">
            <v>Life Sciences</v>
          </cell>
          <cell r="G900">
            <v>3</v>
          </cell>
          <cell r="H900" t="str">
            <v>Male</v>
          </cell>
          <cell r="I900">
            <v>1</v>
          </cell>
          <cell r="J900">
            <v>5</v>
          </cell>
          <cell r="K900" t="str">
            <v>Research Director</v>
          </cell>
          <cell r="L900">
            <v>4</v>
          </cell>
          <cell r="M900" t="str">
            <v>Married</v>
          </cell>
          <cell r="N900">
            <v>19740</v>
          </cell>
          <cell r="O900">
            <v>3</v>
          </cell>
          <cell r="P900" t="str">
            <v>No</v>
          </cell>
          <cell r="Q900">
            <v>2</v>
          </cell>
          <cell r="R900">
            <v>25</v>
          </cell>
          <cell r="S900">
            <v>3</v>
          </cell>
          <cell r="T900">
            <v>8</v>
          </cell>
          <cell r="U900">
            <v>7</v>
          </cell>
          <cell r="V900">
            <v>0</v>
          </cell>
          <cell r="W900">
            <v>7</v>
          </cell>
          <cell r="X900">
            <v>14</v>
          </cell>
          <cell r="Y900">
            <v>0</v>
          </cell>
          <cell r="Z900" t="str">
            <v>Mid</v>
          </cell>
          <cell r="AA900" t="str">
            <v>High</v>
          </cell>
          <cell r="AB900" t="str">
            <v>Long</v>
          </cell>
          <cell r="AC900" t="str">
            <v>Medium</v>
          </cell>
          <cell r="AD900">
            <v>1255</v>
          </cell>
        </row>
        <row r="901">
          <cell r="A901">
            <v>49</v>
          </cell>
          <cell r="B901" t="str">
            <v>No</v>
          </cell>
          <cell r="C901" t="str">
            <v>Research &amp; Development</v>
          </cell>
          <cell r="D901">
            <v>4</v>
          </cell>
          <cell r="E901">
            <v>2</v>
          </cell>
          <cell r="F901" t="str">
            <v>Medical</v>
          </cell>
          <cell r="G901">
            <v>1</v>
          </cell>
          <cell r="H901" t="str">
            <v>Male</v>
          </cell>
          <cell r="I901">
            <v>2</v>
          </cell>
          <cell r="J901">
            <v>5</v>
          </cell>
          <cell r="K901" t="str">
            <v>Manager</v>
          </cell>
          <cell r="L901">
            <v>3</v>
          </cell>
          <cell r="M901" t="str">
            <v>Married</v>
          </cell>
          <cell r="N901">
            <v>18711</v>
          </cell>
          <cell r="O901">
            <v>2</v>
          </cell>
          <cell r="P901" t="str">
            <v>No</v>
          </cell>
          <cell r="Q901">
            <v>3</v>
          </cell>
          <cell r="R901">
            <v>23</v>
          </cell>
          <cell r="S901">
            <v>4</v>
          </cell>
          <cell r="T901">
            <v>1</v>
          </cell>
          <cell r="U901">
            <v>0</v>
          </cell>
          <cell r="V901">
            <v>0</v>
          </cell>
          <cell r="W901">
            <v>0</v>
          </cell>
          <cell r="X901">
            <v>13</v>
          </cell>
          <cell r="Y901">
            <v>0</v>
          </cell>
          <cell r="Z901" t="str">
            <v>Senior</v>
          </cell>
          <cell r="AA901" t="str">
            <v>High</v>
          </cell>
          <cell r="AB901" t="str">
            <v>Early</v>
          </cell>
          <cell r="AC901" t="str">
            <v>Medium</v>
          </cell>
          <cell r="AD901">
            <v>1256</v>
          </cell>
        </row>
        <row r="902">
          <cell r="A902">
            <v>36</v>
          </cell>
          <cell r="B902" t="str">
            <v>No</v>
          </cell>
          <cell r="C902" t="str">
            <v>Research &amp; Development</v>
          </cell>
          <cell r="D902">
            <v>3</v>
          </cell>
          <cell r="E902">
            <v>3</v>
          </cell>
          <cell r="F902" t="str">
            <v>Technical Degree</v>
          </cell>
          <cell r="G902">
            <v>3</v>
          </cell>
          <cell r="H902" t="str">
            <v>Male</v>
          </cell>
          <cell r="I902">
            <v>3</v>
          </cell>
          <cell r="J902">
            <v>1</v>
          </cell>
          <cell r="K902" t="str">
            <v>Research Scientist</v>
          </cell>
          <cell r="L902">
            <v>2</v>
          </cell>
          <cell r="M902" t="str">
            <v>Married</v>
          </cell>
          <cell r="N902">
            <v>3692</v>
          </cell>
          <cell r="O902">
            <v>1</v>
          </cell>
          <cell r="P902" t="str">
            <v>No</v>
          </cell>
          <cell r="Q902">
            <v>3</v>
          </cell>
          <cell r="R902">
            <v>12</v>
          </cell>
          <cell r="S902">
            <v>2</v>
          </cell>
          <cell r="T902">
            <v>11</v>
          </cell>
          <cell r="U902">
            <v>10</v>
          </cell>
          <cell r="V902">
            <v>0</v>
          </cell>
          <cell r="W902">
            <v>7</v>
          </cell>
          <cell r="X902">
            <v>12</v>
          </cell>
          <cell r="Y902">
            <v>0</v>
          </cell>
          <cell r="Z902" t="str">
            <v>Mid</v>
          </cell>
          <cell r="AA902" t="str">
            <v>Low</v>
          </cell>
          <cell r="AB902" t="str">
            <v>Long</v>
          </cell>
          <cell r="AC902" t="str">
            <v>Low</v>
          </cell>
          <cell r="AD902">
            <v>1257</v>
          </cell>
        </row>
        <row r="903">
          <cell r="A903">
            <v>48</v>
          </cell>
          <cell r="B903" t="str">
            <v>No</v>
          </cell>
          <cell r="C903" t="str">
            <v>Research &amp; Development</v>
          </cell>
          <cell r="D903">
            <v>2</v>
          </cell>
          <cell r="E903">
            <v>2</v>
          </cell>
          <cell r="F903" t="str">
            <v>Technical Degree</v>
          </cell>
          <cell r="G903">
            <v>4</v>
          </cell>
          <cell r="H903" t="str">
            <v>Male</v>
          </cell>
          <cell r="I903">
            <v>4</v>
          </cell>
          <cell r="J903">
            <v>1</v>
          </cell>
          <cell r="K903" t="str">
            <v>Laboratory Technician</v>
          </cell>
          <cell r="L903">
            <v>2</v>
          </cell>
          <cell r="M903" t="str">
            <v>Single</v>
          </cell>
          <cell r="N903">
            <v>2559</v>
          </cell>
          <cell r="O903">
            <v>5</v>
          </cell>
          <cell r="P903" t="str">
            <v>No</v>
          </cell>
          <cell r="Q903">
            <v>3</v>
          </cell>
          <cell r="R903">
            <v>7</v>
          </cell>
          <cell r="S903">
            <v>2</v>
          </cell>
          <cell r="T903">
            <v>1</v>
          </cell>
          <cell r="U903">
            <v>0</v>
          </cell>
          <cell r="V903">
            <v>0</v>
          </cell>
          <cell r="W903">
            <v>0</v>
          </cell>
          <cell r="X903">
            <v>11</v>
          </cell>
          <cell r="Y903">
            <v>0</v>
          </cell>
          <cell r="Z903" t="str">
            <v>Senior</v>
          </cell>
          <cell r="AA903" t="str">
            <v>Low</v>
          </cell>
          <cell r="AB903" t="str">
            <v>Early</v>
          </cell>
          <cell r="AC903" t="str">
            <v>Low</v>
          </cell>
          <cell r="AD903">
            <v>1258</v>
          </cell>
        </row>
        <row r="904">
          <cell r="A904">
            <v>27</v>
          </cell>
          <cell r="B904" t="str">
            <v>No</v>
          </cell>
          <cell r="C904" t="str">
            <v>Research &amp; Development</v>
          </cell>
          <cell r="D904">
            <v>4</v>
          </cell>
          <cell r="E904">
            <v>2</v>
          </cell>
          <cell r="F904" t="str">
            <v>Life Sciences</v>
          </cell>
          <cell r="G904">
            <v>1</v>
          </cell>
          <cell r="H904" t="str">
            <v>Male</v>
          </cell>
          <cell r="I904">
            <v>3</v>
          </cell>
          <cell r="J904">
            <v>1</v>
          </cell>
          <cell r="K904" t="str">
            <v>Research Scientist</v>
          </cell>
          <cell r="L904">
            <v>3</v>
          </cell>
          <cell r="M904" t="str">
            <v>Divorced</v>
          </cell>
          <cell r="N904">
            <v>2517</v>
          </cell>
          <cell r="O904">
            <v>1</v>
          </cell>
          <cell r="P904" t="str">
            <v>No</v>
          </cell>
          <cell r="Q904">
            <v>2</v>
          </cell>
          <cell r="R904">
            <v>5</v>
          </cell>
          <cell r="S904">
            <v>3</v>
          </cell>
          <cell r="T904">
            <v>5</v>
          </cell>
          <cell r="U904">
            <v>3</v>
          </cell>
          <cell r="V904">
            <v>0</v>
          </cell>
          <cell r="W904">
            <v>3</v>
          </cell>
          <cell r="X904">
            <v>11</v>
          </cell>
          <cell r="Y904">
            <v>0</v>
          </cell>
          <cell r="Z904" t="str">
            <v>Young</v>
          </cell>
          <cell r="AA904" t="str">
            <v>Low</v>
          </cell>
          <cell r="AB904" t="str">
            <v>Mid</v>
          </cell>
          <cell r="AC904" t="str">
            <v>Low</v>
          </cell>
          <cell r="AD904">
            <v>1259</v>
          </cell>
        </row>
        <row r="905">
          <cell r="A905">
            <v>29</v>
          </cell>
          <cell r="B905" t="str">
            <v>No</v>
          </cell>
          <cell r="C905" t="str">
            <v>Research &amp; Development</v>
          </cell>
          <cell r="D905">
            <v>7</v>
          </cell>
          <cell r="E905">
            <v>3</v>
          </cell>
          <cell r="F905" t="str">
            <v>Life Sciences</v>
          </cell>
          <cell r="G905">
            <v>3</v>
          </cell>
          <cell r="H905" t="str">
            <v>Male</v>
          </cell>
          <cell r="I905">
            <v>3</v>
          </cell>
          <cell r="J905">
            <v>2</v>
          </cell>
          <cell r="K905" t="str">
            <v>Healthcare Representative</v>
          </cell>
          <cell r="L905">
            <v>4</v>
          </cell>
          <cell r="M905" t="str">
            <v>Divorced</v>
          </cell>
          <cell r="N905">
            <v>6623</v>
          </cell>
          <cell r="O905">
            <v>1</v>
          </cell>
          <cell r="P905" t="str">
            <v>Yes</v>
          </cell>
          <cell r="Q905">
            <v>2</v>
          </cell>
          <cell r="R905">
            <v>6</v>
          </cell>
          <cell r="S905">
            <v>3</v>
          </cell>
          <cell r="T905">
            <v>6</v>
          </cell>
          <cell r="U905">
            <v>0</v>
          </cell>
          <cell r="V905">
            <v>1</v>
          </cell>
          <cell r="W905">
            <v>0</v>
          </cell>
          <cell r="X905">
            <v>11</v>
          </cell>
          <cell r="Y905">
            <v>0</v>
          </cell>
          <cell r="Z905" t="str">
            <v>Young</v>
          </cell>
          <cell r="AA905" t="str">
            <v>Medium</v>
          </cell>
          <cell r="AB905" t="str">
            <v>Mid</v>
          </cell>
          <cell r="AC905" t="str">
            <v>Low</v>
          </cell>
          <cell r="AD905">
            <v>1260</v>
          </cell>
        </row>
        <row r="906">
          <cell r="A906">
            <v>48</v>
          </cell>
          <cell r="B906" t="str">
            <v>No</v>
          </cell>
          <cell r="C906" t="str">
            <v>Research &amp; Development</v>
          </cell>
          <cell r="D906">
            <v>1</v>
          </cell>
          <cell r="E906">
            <v>3</v>
          </cell>
          <cell r="F906" t="str">
            <v>Life Sciences</v>
          </cell>
          <cell r="G906">
            <v>4</v>
          </cell>
          <cell r="H906" t="str">
            <v>Male</v>
          </cell>
          <cell r="I906">
            <v>2</v>
          </cell>
          <cell r="J906">
            <v>5</v>
          </cell>
          <cell r="K906" t="str">
            <v>Research Director</v>
          </cell>
          <cell r="L906">
            <v>4</v>
          </cell>
          <cell r="M906" t="str">
            <v>Single</v>
          </cell>
          <cell r="N906">
            <v>18265</v>
          </cell>
          <cell r="O906">
            <v>6</v>
          </cell>
          <cell r="P906" t="str">
            <v>No</v>
          </cell>
          <cell r="Q906">
            <v>3</v>
          </cell>
          <cell r="R906">
            <v>25</v>
          </cell>
          <cell r="S906">
            <v>4</v>
          </cell>
          <cell r="T906">
            <v>1</v>
          </cell>
          <cell r="U906">
            <v>0</v>
          </cell>
          <cell r="V906">
            <v>0</v>
          </cell>
          <cell r="W906">
            <v>0</v>
          </cell>
          <cell r="X906">
            <v>12</v>
          </cell>
          <cell r="Y906">
            <v>0</v>
          </cell>
          <cell r="Z906" t="str">
            <v>Senior</v>
          </cell>
          <cell r="AA906" t="str">
            <v>High</v>
          </cell>
          <cell r="AB906" t="str">
            <v>Early</v>
          </cell>
          <cell r="AC906" t="str">
            <v>Low</v>
          </cell>
          <cell r="AD906">
            <v>1263</v>
          </cell>
        </row>
        <row r="907">
          <cell r="A907">
            <v>29</v>
          </cell>
          <cell r="B907" t="str">
            <v>No</v>
          </cell>
          <cell r="C907" t="str">
            <v>Research &amp; Development</v>
          </cell>
          <cell r="D907">
            <v>1</v>
          </cell>
          <cell r="E907">
            <v>3</v>
          </cell>
          <cell r="F907" t="str">
            <v>Life Sciences</v>
          </cell>
          <cell r="G907">
            <v>4</v>
          </cell>
          <cell r="H907" t="str">
            <v>Female</v>
          </cell>
          <cell r="I907">
            <v>2</v>
          </cell>
          <cell r="J907">
            <v>4</v>
          </cell>
          <cell r="K907" t="str">
            <v>Research Director</v>
          </cell>
          <cell r="L907">
            <v>4</v>
          </cell>
          <cell r="M907" t="str">
            <v>Divorced</v>
          </cell>
          <cell r="N907">
            <v>16124</v>
          </cell>
          <cell r="O907">
            <v>3</v>
          </cell>
          <cell r="P907" t="str">
            <v>No</v>
          </cell>
          <cell r="Q907">
            <v>2</v>
          </cell>
          <cell r="R907">
            <v>9</v>
          </cell>
          <cell r="S907">
            <v>2</v>
          </cell>
          <cell r="T907">
            <v>7</v>
          </cell>
          <cell r="U907">
            <v>7</v>
          </cell>
          <cell r="V907">
            <v>1</v>
          </cell>
          <cell r="W907">
            <v>7</v>
          </cell>
          <cell r="X907">
            <v>14</v>
          </cell>
          <cell r="Y907">
            <v>0</v>
          </cell>
          <cell r="Z907" t="str">
            <v>Young</v>
          </cell>
          <cell r="AA907" t="str">
            <v>High</v>
          </cell>
          <cell r="AB907" t="str">
            <v>Long</v>
          </cell>
          <cell r="AC907" t="str">
            <v>Medium</v>
          </cell>
          <cell r="AD907">
            <v>1264</v>
          </cell>
        </row>
        <row r="908">
          <cell r="A908">
            <v>34</v>
          </cell>
          <cell r="B908" t="str">
            <v>No</v>
          </cell>
          <cell r="C908" t="str">
            <v>Research &amp; Development</v>
          </cell>
          <cell r="D908">
            <v>20</v>
          </cell>
          <cell r="E908">
            <v>3</v>
          </cell>
          <cell r="F908" t="str">
            <v>Technical Degree</v>
          </cell>
          <cell r="G908">
            <v>3</v>
          </cell>
          <cell r="H908" t="str">
            <v>Female</v>
          </cell>
          <cell r="I908">
            <v>4</v>
          </cell>
          <cell r="J908">
            <v>1</v>
          </cell>
          <cell r="K908" t="str">
            <v>Research Scientist</v>
          </cell>
          <cell r="L908">
            <v>3</v>
          </cell>
          <cell r="M908" t="str">
            <v>Married</v>
          </cell>
          <cell r="N908">
            <v>2585</v>
          </cell>
          <cell r="O908">
            <v>0</v>
          </cell>
          <cell r="P908" t="str">
            <v>No</v>
          </cell>
          <cell r="Q908">
            <v>4</v>
          </cell>
          <cell r="R908">
            <v>2</v>
          </cell>
          <cell r="S908">
            <v>2</v>
          </cell>
          <cell r="T908">
            <v>1</v>
          </cell>
          <cell r="U908">
            <v>0</v>
          </cell>
          <cell r="V908">
            <v>0</v>
          </cell>
          <cell r="W908">
            <v>0</v>
          </cell>
          <cell r="X908">
            <v>17</v>
          </cell>
          <cell r="Y908">
            <v>0</v>
          </cell>
          <cell r="Z908" t="str">
            <v>Mid</v>
          </cell>
          <cell r="AA908" t="str">
            <v>Low</v>
          </cell>
          <cell r="AB908" t="str">
            <v>Early</v>
          </cell>
          <cell r="AC908" t="str">
            <v>Medium</v>
          </cell>
          <cell r="AD908">
            <v>1265</v>
          </cell>
        </row>
        <row r="909">
          <cell r="A909">
            <v>44</v>
          </cell>
          <cell r="B909" t="str">
            <v>No</v>
          </cell>
          <cell r="C909" t="str">
            <v>Sales</v>
          </cell>
          <cell r="D909">
            <v>5</v>
          </cell>
          <cell r="E909">
            <v>3</v>
          </cell>
          <cell r="F909" t="str">
            <v>Marketing</v>
          </cell>
          <cell r="G909">
            <v>2</v>
          </cell>
          <cell r="H909" t="str">
            <v>Male</v>
          </cell>
          <cell r="I909">
            <v>3</v>
          </cell>
          <cell r="J909">
            <v>5</v>
          </cell>
          <cell r="K909" t="str">
            <v>Manager</v>
          </cell>
          <cell r="L909">
            <v>2</v>
          </cell>
          <cell r="M909" t="str">
            <v>Married</v>
          </cell>
          <cell r="N909">
            <v>18213</v>
          </cell>
          <cell r="O909">
            <v>7</v>
          </cell>
          <cell r="P909" t="str">
            <v>No</v>
          </cell>
          <cell r="Q909">
            <v>3</v>
          </cell>
          <cell r="R909">
            <v>26</v>
          </cell>
          <cell r="S909">
            <v>3</v>
          </cell>
          <cell r="T909">
            <v>22</v>
          </cell>
          <cell r="U909">
            <v>9</v>
          </cell>
          <cell r="V909">
            <v>3</v>
          </cell>
          <cell r="W909">
            <v>10</v>
          </cell>
          <cell r="X909">
            <v>11</v>
          </cell>
          <cell r="Y909">
            <v>0</v>
          </cell>
          <cell r="Z909" t="str">
            <v>Mid</v>
          </cell>
          <cell r="AA909" t="str">
            <v>High</v>
          </cell>
          <cell r="AB909" t="str">
            <v>Long</v>
          </cell>
          <cell r="AC909" t="str">
            <v>Low</v>
          </cell>
          <cell r="AD909">
            <v>1267</v>
          </cell>
        </row>
        <row r="910">
          <cell r="A910">
            <v>33</v>
          </cell>
          <cell r="B910" t="str">
            <v>No</v>
          </cell>
          <cell r="C910" t="str">
            <v>Sales</v>
          </cell>
          <cell r="D910">
            <v>10</v>
          </cell>
          <cell r="E910">
            <v>5</v>
          </cell>
          <cell r="F910" t="str">
            <v>Marketing</v>
          </cell>
          <cell r="G910">
            <v>4</v>
          </cell>
          <cell r="H910" t="str">
            <v>Male</v>
          </cell>
          <cell r="I910">
            <v>4</v>
          </cell>
          <cell r="J910">
            <v>3</v>
          </cell>
          <cell r="K910" t="str">
            <v>Sales Executive</v>
          </cell>
          <cell r="L910">
            <v>3</v>
          </cell>
          <cell r="M910" t="str">
            <v>Divorced</v>
          </cell>
          <cell r="N910">
            <v>8380</v>
          </cell>
          <cell r="O910">
            <v>0</v>
          </cell>
          <cell r="P910" t="str">
            <v>Yes</v>
          </cell>
          <cell r="Q910">
            <v>4</v>
          </cell>
          <cell r="R910">
            <v>10</v>
          </cell>
          <cell r="S910">
            <v>3</v>
          </cell>
          <cell r="T910">
            <v>9</v>
          </cell>
          <cell r="U910">
            <v>8</v>
          </cell>
          <cell r="V910">
            <v>0</v>
          </cell>
          <cell r="W910">
            <v>8</v>
          </cell>
          <cell r="X910">
            <v>14</v>
          </cell>
          <cell r="Y910">
            <v>0</v>
          </cell>
          <cell r="Z910" t="str">
            <v>Mid</v>
          </cell>
          <cell r="AA910" t="str">
            <v>Medium</v>
          </cell>
          <cell r="AB910" t="str">
            <v>Long</v>
          </cell>
          <cell r="AC910" t="str">
            <v>Medium</v>
          </cell>
          <cell r="AD910">
            <v>1268</v>
          </cell>
        </row>
        <row r="911">
          <cell r="A911">
            <v>19</v>
          </cell>
          <cell r="B911" t="str">
            <v>No</v>
          </cell>
          <cell r="C911" t="str">
            <v>Research &amp; Development</v>
          </cell>
          <cell r="D911">
            <v>25</v>
          </cell>
          <cell r="E911">
            <v>3</v>
          </cell>
          <cell r="F911" t="str">
            <v>Life Sciences</v>
          </cell>
          <cell r="G911">
            <v>2</v>
          </cell>
          <cell r="H911" t="str">
            <v>Female</v>
          </cell>
          <cell r="I911">
            <v>4</v>
          </cell>
          <cell r="J911">
            <v>1</v>
          </cell>
          <cell r="K911" t="str">
            <v>Research Scientist</v>
          </cell>
          <cell r="L911">
            <v>4</v>
          </cell>
          <cell r="M911" t="str">
            <v>Single</v>
          </cell>
          <cell r="N911">
            <v>2994</v>
          </cell>
          <cell r="O911">
            <v>1</v>
          </cell>
          <cell r="P911" t="str">
            <v>Yes</v>
          </cell>
          <cell r="Q911">
            <v>4</v>
          </cell>
          <cell r="R911">
            <v>1</v>
          </cell>
          <cell r="S911">
            <v>3</v>
          </cell>
          <cell r="T911">
            <v>1</v>
          </cell>
          <cell r="U911">
            <v>0</v>
          </cell>
          <cell r="V911">
            <v>0</v>
          </cell>
          <cell r="W911">
            <v>1</v>
          </cell>
          <cell r="X911">
            <v>12</v>
          </cell>
          <cell r="Y911">
            <v>0</v>
          </cell>
          <cell r="Z911" t="str">
            <v>Young</v>
          </cell>
          <cell r="AA911" t="str">
            <v>Low</v>
          </cell>
          <cell r="AB911" t="str">
            <v>Early</v>
          </cell>
          <cell r="AC911" t="str">
            <v>Low</v>
          </cell>
          <cell r="AD911">
            <v>1269</v>
          </cell>
        </row>
        <row r="912">
          <cell r="A912">
            <v>23</v>
          </cell>
          <cell r="B912" t="str">
            <v>No</v>
          </cell>
          <cell r="C912" t="str">
            <v>Research &amp; Development</v>
          </cell>
          <cell r="D912">
            <v>1</v>
          </cell>
          <cell r="E912">
            <v>2</v>
          </cell>
          <cell r="F912" t="str">
            <v>Life Sciences</v>
          </cell>
          <cell r="G912">
            <v>4</v>
          </cell>
          <cell r="H912" t="str">
            <v>Male</v>
          </cell>
          <cell r="I912">
            <v>3</v>
          </cell>
          <cell r="J912">
            <v>1</v>
          </cell>
          <cell r="K912" t="str">
            <v>Research Scientist</v>
          </cell>
          <cell r="L912">
            <v>3</v>
          </cell>
          <cell r="M912" t="str">
            <v>Married</v>
          </cell>
          <cell r="N912">
            <v>1223</v>
          </cell>
          <cell r="O912">
            <v>1</v>
          </cell>
          <cell r="P912" t="str">
            <v>No</v>
          </cell>
          <cell r="Q912">
            <v>4</v>
          </cell>
          <cell r="R912">
            <v>1</v>
          </cell>
          <cell r="S912">
            <v>3</v>
          </cell>
          <cell r="T912">
            <v>1</v>
          </cell>
          <cell r="U912">
            <v>0</v>
          </cell>
          <cell r="V912">
            <v>0</v>
          </cell>
          <cell r="W912">
            <v>1</v>
          </cell>
          <cell r="X912">
            <v>22</v>
          </cell>
          <cell r="Y912">
            <v>0</v>
          </cell>
          <cell r="Z912" t="str">
            <v>Young</v>
          </cell>
          <cell r="AA912" t="str">
            <v>Low</v>
          </cell>
          <cell r="AB912" t="str">
            <v>Early</v>
          </cell>
          <cell r="AC912" t="str">
            <v>High</v>
          </cell>
          <cell r="AD912">
            <v>1270</v>
          </cell>
        </row>
        <row r="913">
          <cell r="A913">
            <v>25</v>
          </cell>
          <cell r="B913" t="str">
            <v>Yes</v>
          </cell>
          <cell r="C913" t="str">
            <v>Sales</v>
          </cell>
          <cell r="D913">
            <v>24</v>
          </cell>
          <cell r="E913">
            <v>1</v>
          </cell>
          <cell r="F913" t="str">
            <v>Life Sciences</v>
          </cell>
          <cell r="G913">
            <v>3</v>
          </cell>
          <cell r="H913" t="str">
            <v>Male</v>
          </cell>
          <cell r="I913">
            <v>1</v>
          </cell>
          <cell r="J913">
            <v>1</v>
          </cell>
          <cell r="K913" t="str">
            <v>Sales Representative</v>
          </cell>
          <cell r="L913">
            <v>4</v>
          </cell>
          <cell r="M913" t="str">
            <v>Single</v>
          </cell>
          <cell r="N913">
            <v>1118</v>
          </cell>
          <cell r="O913">
            <v>1</v>
          </cell>
          <cell r="P913" t="str">
            <v>Yes</v>
          </cell>
          <cell r="Q913">
            <v>4</v>
          </cell>
          <cell r="R913">
            <v>1</v>
          </cell>
          <cell r="S913">
            <v>3</v>
          </cell>
          <cell r="T913">
            <v>1</v>
          </cell>
          <cell r="U913">
            <v>0</v>
          </cell>
          <cell r="V913">
            <v>1</v>
          </cell>
          <cell r="W913">
            <v>0</v>
          </cell>
          <cell r="X913">
            <v>14</v>
          </cell>
          <cell r="Y913">
            <v>1</v>
          </cell>
          <cell r="Z913" t="str">
            <v>Young</v>
          </cell>
          <cell r="AA913" t="str">
            <v>Low</v>
          </cell>
          <cell r="AB913" t="str">
            <v>Early</v>
          </cell>
          <cell r="AC913" t="str">
            <v>Medium</v>
          </cell>
          <cell r="AD913">
            <v>1273</v>
          </cell>
        </row>
        <row r="914">
          <cell r="A914">
            <v>26</v>
          </cell>
          <cell r="B914" t="str">
            <v>No</v>
          </cell>
          <cell r="C914" t="str">
            <v>Research &amp; Development</v>
          </cell>
          <cell r="D914">
            <v>4</v>
          </cell>
          <cell r="E914">
            <v>2</v>
          </cell>
          <cell r="F914" t="str">
            <v>Life Sciences</v>
          </cell>
          <cell r="G914">
            <v>3</v>
          </cell>
          <cell r="H914" t="str">
            <v>Male</v>
          </cell>
          <cell r="I914">
            <v>3</v>
          </cell>
          <cell r="J914">
            <v>1</v>
          </cell>
          <cell r="K914" t="str">
            <v>Research Scientist</v>
          </cell>
          <cell r="L914">
            <v>4</v>
          </cell>
          <cell r="M914" t="str">
            <v>Single</v>
          </cell>
          <cell r="N914">
            <v>2875</v>
          </cell>
          <cell r="O914">
            <v>1</v>
          </cell>
          <cell r="P914" t="str">
            <v>Yes</v>
          </cell>
          <cell r="Q914">
            <v>2</v>
          </cell>
          <cell r="R914">
            <v>8</v>
          </cell>
          <cell r="S914">
            <v>2</v>
          </cell>
          <cell r="T914">
            <v>8</v>
          </cell>
          <cell r="U914">
            <v>5</v>
          </cell>
          <cell r="V914">
            <v>2</v>
          </cell>
          <cell r="W914">
            <v>2</v>
          </cell>
          <cell r="X914">
            <v>20</v>
          </cell>
          <cell r="Y914">
            <v>0</v>
          </cell>
          <cell r="Z914" t="str">
            <v>Young</v>
          </cell>
          <cell r="AA914" t="str">
            <v>Low</v>
          </cell>
          <cell r="AB914" t="str">
            <v>Long</v>
          </cell>
          <cell r="AC914" t="str">
            <v>High</v>
          </cell>
          <cell r="AD914">
            <v>1275</v>
          </cell>
        </row>
        <row r="915">
          <cell r="A915">
            <v>45</v>
          </cell>
          <cell r="B915" t="str">
            <v>Yes</v>
          </cell>
          <cell r="C915" t="str">
            <v>Sales</v>
          </cell>
          <cell r="D915">
            <v>2</v>
          </cell>
          <cell r="E915">
            <v>3</v>
          </cell>
          <cell r="F915" t="str">
            <v>Marketing</v>
          </cell>
          <cell r="G915">
            <v>1</v>
          </cell>
          <cell r="H915" t="str">
            <v>Female</v>
          </cell>
          <cell r="I915">
            <v>1</v>
          </cell>
          <cell r="J915">
            <v>5</v>
          </cell>
          <cell r="K915" t="str">
            <v>Manager</v>
          </cell>
          <cell r="L915">
            <v>2</v>
          </cell>
          <cell r="M915" t="str">
            <v>Single</v>
          </cell>
          <cell r="N915">
            <v>18824</v>
          </cell>
          <cell r="O915">
            <v>2</v>
          </cell>
          <cell r="P915" t="str">
            <v>Yes</v>
          </cell>
          <cell r="Q915">
            <v>1</v>
          </cell>
          <cell r="R915">
            <v>26</v>
          </cell>
          <cell r="S915">
            <v>3</v>
          </cell>
          <cell r="T915">
            <v>24</v>
          </cell>
          <cell r="U915">
            <v>10</v>
          </cell>
          <cell r="V915">
            <v>1</v>
          </cell>
          <cell r="W915">
            <v>11</v>
          </cell>
          <cell r="X915">
            <v>16</v>
          </cell>
          <cell r="Y915">
            <v>1</v>
          </cell>
          <cell r="Z915" t="str">
            <v>Senior</v>
          </cell>
          <cell r="AA915" t="str">
            <v>High</v>
          </cell>
          <cell r="AB915" t="str">
            <v>Long</v>
          </cell>
          <cell r="AC915" t="str">
            <v>Medium</v>
          </cell>
          <cell r="AD915">
            <v>1277</v>
          </cell>
        </row>
        <row r="916">
          <cell r="A916">
            <v>55</v>
          </cell>
          <cell r="B916" t="str">
            <v>No</v>
          </cell>
          <cell r="C916" t="str">
            <v>Research &amp; Development</v>
          </cell>
          <cell r="D916">
            <v>8</v>
          </cell>
          <cell r="E916">
            <v>1</v>
          </cell>
          <cell r="F916" t="str">
            <v>Medical</v>
          </cell>
          <cell r="G916">
            <v>4</v>
          </cell>
          <cell r="H916" t="str">
            <v>Male</v>
          </cell>
          <cell r="I916">
            <v>2</v>
          </cell>
          <cell r="J916">
            <v>4</v>
          </cell>
          <cell r="K916" t="str">
            <v>Healthcare Representative</v>
          </cell>
          <cell r="L916">
            <v>2</v>
          </cell>
          <cell r="M916" t="str">
            <v>Divorced</v>
          </cell>
          <cell r="N916">
            <v>13577</v>
          </cell>
          <cell r="O916">
            <v>1</v>
          </cell>
          <cell r="P916" t="str">
            <v>Yes</v>
          </cell>
          <cell r="Q916">
            <v>4</v>
          </cell>
          <cell r="R916">
            <v>34</v>
          </cell>
          <cell r="S916">
            <v>3</v>
          </cell>
          <cell r="T916">
            <v>33</v>
          </cell>
          <cell r="U916">
            <v>9</v>
          </cell>
          <cell r="V916">
            <v>15</v>
          </cell>
          <cell r="W916">
            <v>0</v>
          </cell>
          <cell r="X916">
            <v>15</v>
          </cell>
          <cell r="Y916">
            <v>0</v>
          </cell>
          <cell r="Z916" t="str">
            <v>Senior</v>
          </cell>
          <cell r="AA916" t="str">
            <v>High</v>
          </cell>
          <cell r="AB916" t="str">
            <v>Long</v>
          </cell>
          <cell r="AC916" t="str">
            <v>Medium</v>
          </cell>
          <cell r="AD916">
            <v>1278</v>
          </cell>
        </row>
        <row r="917">
          <cell r="A917">
            <v>21</v>
          </cell>
          <cell r="B917" t="str">
            <v>Yes</v>
          </cell>
          <cell r="C917" t="str">
            <v>Research &amp; Development</v>
          </cell>
          <cell r="D917">
            <v>10</v>
          </cell>
          <cell r="E917">
            <v>2</v>
          </cell>
          <cell r="F917" t="str">
            <v>Life Sciences</v>
          </cell>
          <cell r="G917">
            <v>1</v>
          </cell>
          <cell r="H917" t="str">
            <v>Female</v>
          </cell>
          <cell r="I917">
            <v>2</v>
          </cell>
          <cell r="J917">
            <v>1</v>
          </cell>
          <cell r="K917" t="str">
            <v>Laboratory Technician</v>
          </cell>
          <cell r="L917">
            <v>3</v>
          </cell>
          <cell r="M917" t="str">
            <v>Single</v>
          </cell>
          <cell r="N917">
            <v>2625</v>
          </cell>
          <cell r="O917">
            <v>1</v>
          </cell>
          <cell r="P917" t="str">
            <v>No</v>
          </cell>
          <cell r="Q917">
            <v>3</v>
          </cell>
          <cell r="R917">
            <v>2</v>
          </cell>
          <cell r="S917">
            <v>1</v>
          </cell>
          <cell r="T917">
            <v>2</v>
          </cell>
          <cell r="U917">
            <v>2</v>
          </cell>
          <cell r="V917">
            <v>2</v>
          </cell>
          <cell r="W917">
            <v>2</v>
          </cell>
          <cell r="X917">
            <v>20</v>
          </cell>
          <cell r="Y917">
            <v>1</v>
          </cell>
          <cell r="Z917" t="str">
            <v>Young</v>
          </cell>
          <cell r="AA917" t="str">
            <v>Low</v>
          </cell>
          <cell r="AB917" t="str">
            <v>Early</v>
          </cell>
          <cell r="AC917" t="str">
            <v>High</v>
          </cell>
          <cell r="AD917">
            <v>1279</v>
          </cell>
        </row>
        <row r="918">
          <cell r="A918">
            <v>46</v>
          </cell>
          <cell r="B918" t="str">
            <v>No</v>
          </cell>
          <cell r="C918" t="str">
            <v>Sales</v>
          </cell>
          <cell r="D918">
            <v>4</v>
          </cell>
          <cell r="E918">
            <v>2</v>
          </cell>
          <cell r="F918" t="str">
            <v>Marketing</v>
          </cell>
          <cell r="G918">
            <v>4</v>
          </cell>
          <cell r="H918" t="str">
            <v>Female</v>
          </cell>
          <cell r="I918">
            <v>2</v>
          </cell>
          <cell r="J918">
            <v>5</v>
          </cell>
          <cell r="K918" t="str">
            <v>Manager</v>
          </cell>
          <cell r="L918">
            <v>2</v>
          </cell>
          <cell r="M918" t="str">
            <v>Married</v>
          </cell>
          <cell r="N918">
            <v>18789</v>
          </cell>
          <cell r="O918">
            <v>2</v>
          </cell>
          <cell r="P918" t="str">
            <v>No</v>
          </cell>
          <cell r="Q918">
            <v>3</v>
          </cell>
          <cell r="R918">
            <v>26</v>
          </cell>
          <cell r="S918">
            <v>3</v>
          </cell>
          <cell r="T918">
            <v>11</v>
          </cell>
          <cell r="U918">
            <v>4</v>
          </cell>
          <cell r="V918">
            <v>0</v>
          </cell>
          <cell r="W918">
            <v>8</v>
          </cell>
          <cell r="X918">
            <v>14</v>
          </cell>
          <cell r="Y918">
            <v>0</v>
          </cell>
          <cell r="Z918" t="str">
            <v>Senior</v>
          </cell>
          <cell r="AA918" t="str">
            <v>High</v>
          </cell>
          <cell r="AB918" t="str">
            <v>Long</v>
          </cell>
          <cell r="AC918" t="str">
            <v>Medium</v>
          </cell>
          <cell r="AD918">
            <v>1280</v>
          </cell>
        </row>
        <row r="919">
          <cell r="A919">
            <v>34</v>
          </cell>
          <cell r="B919" t="str">
            <v>No</v>
          </cell>
          <cell r="C919" t="str">
            <v>Sales</v>
          </cell>
          <cell r="D919">
            <v>2</v>
          </cell>
          <cell r="E919">
            <v>3</v>
          </cell>
          <cell r="F919" t="str">
            <v>Marketing</v>
          </cell>
          <cell r="G919">
            <v>3</v>
          </cell>
          <cell r="H919" t="str">
            <v>Female</v>
          </cell>
          <cell r="I919">
            <v>3</v>
          </cell>
          <cell r="J919">
            <v>2</v>
          </cell>
          <cell r="K919" t="str">
            <v>Sales Executive</v>
          </cell>
          <cell r="L919">
            <v>1</v>
          </cell>
          <cell r="M919" t="str">
            <v>Single</v>
          </cell>
          <cell r="N919">
            <v>4538</v>
          </cell>
          <cell r="O919">
            <v>0</v>
          </cell>
          <cell r="P919" t="str">
            <v>Yes</v>
          </cell>
          <cell r="Q919">
            <v>4</v>
          </cell>
          <cell r="R919">
            <v>4</v>
          </cell>
          <cell r="S919">
            <v>3</v>
          </cell>
          <cell r="T919">
            <v>3</v>
          </cell>
          <cell r="U919">
            <v>2</v>
          </cell>
          <cell r="V919">
            <v>0</v>
          </cell>
          <cell r="W919">
            <v>2</v>
          </cell>
          <cell r="X919">
            <v>12</v>
          </cell>
          <cell r="Y919">
            <v>0</v>
          </cell>
          <cell r="Z919" t="str">
            <v>Mid</v>
          </cell>
          <cell r="AA919" t="str">
            <v>Low</v>
          </cell>
          <cell r="AB919" t="str">
            <v>Mid</v>
          </cell>
          <cell r="AC919" t="str">
            <v>Low</v>
          </cell>
          <cell r="AD919">
            <v>1281</v>
          </cell>
        </row>
        <row r="920">
          <cell r="A920">
            <v>51</v>
          </cell>
          <cell r="B920" t="str">
            <v>No</v>
          </cell>
          <cell r="C920" t="str">
            <v>Sales</v>
          </cell>
          <cell r="D920">
            <v>9</v>
          </cell>
          <cell r="E920">
            <v>3</v>
          </cell>
          <cell r="F920" t="str">
            <v>Life Sciences</v>
          </cell>
          <cell r="G920">
            <v>4</v>
          </cell>
          <cell r="H920" t="str">
            <v>Male</v>
          </cell>
          <cell r="I920">
            <v>3</v>
          </cell>
          <cell r="J920">
            <v>5</v>
          </cell>
          <cell r="K920" t="str">
            <v>Manager</v>
          </cell>
          <cell r="L920">
            <v>2</v>
          </cell>
          <cell r="M920" t="str">
            <v>Divorced</v>
          </cell>
          <cell r="N920">
            <v>19847</v>
          </cell>
          <cell r="O920">
            <v>4</v>
          </cell>
          <cell r="P920" t="str">
            <v>Yes</v>
          </cell>
          <cell r="Q920">
            <v>1</v>
          </cell>
          <cell r="R920">
            <v>31</v>
          </cell>
          <cell r="S920">
            <v>2</v>
          </cell>
          <cell r="T920">
            <v>29</v>
          </cell>
          <cell r="U920">
            <v>10</v>
          </cell>
          <cell r="V920">
            <v>11</v>
          </cell>
          <cell r="W920">
            <v>10</v>
          </cell>
          <cell r="X920">
            <v>24</v>
          </cell>
          <cell r="Y920">
            <v>0</v>
          </cell>
          <cell r="Z920" t="str">
            <v>Senior</v>
          </cell>
          <cell r="AA920" t="str">
            <v>High</v>
          </cell>
          <cell r="AB920" t="str">
            <v>Long</v>
          </cell>
          <cell r="AC920" t="str">
            <v>High</v>
          </cell>
          <cell r="AD920">
            <v>1282</v>
          </cell>
        </row>
        <row r="921">
          <cell r="A921">
            <v>59</v>
          </cell>
          <cell r="B921" t="str">
            <v>No</v>
          </cell>
          <cell r="C921" t="str">
            <v>Research &amp; Development</v>
          </cell>
          <cell r="D921">
            <v>18</v>
          </cell>
          <cell r="E921">
            <v>4</v>
          </cell>
          <cell r="F921" t="str">
            <v>Medical</v>
          </cell>
          <cell r="G921">
            <v>4</v>
          </cell>
          <cell r="H921" t="str">
            <v>Male</v>
          </cell>
          <cell r="I921">
            <v>3</v>
          </cell>
          <cell r="J921">
            <v>3</v>
          </cell>
          <cell r="K921" t="str">
            <v>Manufacturing Director</v>
          </cell>
          <cell r="L921">
            <v>4</v>
          </cell>
          <cell r="M921" t="str">
            <v>Single</v>
          </cell>
          <cell r="N921">
            <v>10512</v>
          </cell>
          <cell r="O921">
            <v>6</v>
          </cell>
          <cell r="P921" t="str">
            <v>No</v>
          </cell>
          <cell r="Q921">
            <v>4</v>
          </cell>
          <cell r="R921">
            <v>25</v>
          </cell>
          <cell r="S921">
            <v>2</v>
          </cell>
          <cell r="T921">
            <v>9</v>
          </cell>
          <cell r="U921">
            <v>7</v>
          </cell>
          <cell r="V921">
            <v>5</v>
          </cell>
          <cell r="W921">
            <v>4</v>
          </cell>
          <cell r="X921">
            <v>12</v>
          </cell>
          <cell r="Y921">
            <v>0</v>
          </cell>
          <cell r="Z921" t="str">
            <v>Senior</v>
          </cell>
          <cell r="AA921" t="str">
            <v>High</v>
          </cell>
          <cell r="AB921" t="str">
            <v>Long</v>
          </cell>
          <cell r="AC921" t="str">
            <v>Low</v>
          </cell>
          <cell r="AD921">
            <v>1283</v>
          </cell>
        </row>
        <row r="922">
          <cell r="A922">
            <v>34</v>
          </cell>
          <cell r="B922" t="str">
            <v>No</v>
          </cell>
          <cell r="C922" t="str">
            <v>Research &amp; Development</v>
          </cell>
          <cell r="D922">
            <v>19</v>
          </cell>
          <cell r="E922">
            <v>3</v>
          </cell>
          <cell r="F922" t="str">
            <v>Medical</v>
          </cell>
          <cell r="G922">
            <v>3</v>
          </cell>
          <cell r="H922" t="str">
            <v>Female</v>
          </cell>
          <cell r="I922">
            <v>3</v>
          </cell>
          <cell r="J922">
            <v>2</v>
          </cell>
          <cell r="K922" t="str">
            <v>Laboratory Technician</v>
          </cell>
          <cell r="L922">
            <v>2</v>
          </cell>
          <cell r="M922" t="str">
            <v>Divorced</v>
          </cell>
          <cell r="N922">
            <v>4444</v>
          </cell>
          <cell r="O922">
            <v>4</v>
          </cell>
          <cell r="P922" t="str">
            <v>No</v>
          </cell>
          <cell r="Q922">
            <v>3</v>
          </cell>
          <cell r="R922">
            <v>15</v>
          </cell>
          <cell r="S922">
            <v>4</v>
          </cell>
          <cell r="T922">
            <v>11</v>
          </cell>
          <cell r="U922">
            <v>8</v>
          </cell>
          <cell r="V922">
            <v>5</v>
          </cell>
          <cell r="W922">
            <v>10</v>
          </cell>
          <cell r="X922">
            <v>13</v>
          </cell>
          <cell r="Y922">
            <v>0</v>
          </cell>
          <cell r="Z922" t="str">
            <v>Mid</v>
          </cell>
          <cell r="AA922" t="str">
            <v>Low</v>
          </cell>
          <cell r="AB922" t="str">
            <v>Long</v>
          </cell>
          <cell r="AC922" t="str">
            <v>Medium</v>
          </cell>
          <cell r="AD922">
            <v>1285</v>
          </cell>
        </row>
        <row r="923">
          <cell r="A923">
            <v>28</v>
          </cell>
          <cell r="B923" t="str">
            <v>No</v>
          </cell>
          <cell r="C923" t="str">
            <v>Research &amp; Development</v>
          </cell>
          <cell r="D923">
            <v>1</v>
          </cell>
          <cell r="E923">
            <v>4</v>
          </cell>
          <cell r="F923" t="str">
            <v>Medical</v>
          </cell>
          <cell r="G923">
            <v>4</v>
          </cell>
          <cell r="H923" t="str">
            <v>Male</v>
          </cell>
          <cell r="I923">
            <v>3</v>
          </cell>
          <cell r="J923">
            <v>1</v>
          </cell>
          <cell r="K923" t="str">
            <v>Laboratory Technician</v>
          </cell>
          <cell r="L923">
            <v>3</v>
          </cell>
          <cell r="M923" t="str">
            <v>Single</v>
          </cell>
          <cell r="N923">
            <v>2154</v>
          </cell>
          <cell r="O923">
            <v>0</v>
          </cell>
          <cell r="P923" t="str">
            <v>Yes</v>
          </cell>
          <cell r="Q923">
            <v>3</v>
          </cell>
          <cell r="R923">
            <v>5</v>
          </cell>
          <cell r="S923">
            <v>2</v>
          </cell>
          <cell r="T923">
            <v>4</v>
          </cell>
          <cell r="U923">
            <v>2</v>
          </cell>
          <cell r="V923">
            <v>0</v>
          </cell>
          <cell r="W923">
            <v>2</v>
          </cell>
          <cell r="X923">
            <v>11</v>
          </cell>
          <cell r="Y923">
            <v>0</v>
          </cell>
          <cell r="Z923" t="str">
            <v>Young</v>
          </cell>
          <cell r="AA923" t="str">
            <v>Low</v>
          </cell>
          <cell r="AB923" t="str">
            <v>Mid</v>
          </cell>
          <cell r="AC923" t="str">
            <v>Low</v>
          </cell>
          <cell r="AD923">
            <v>1286</v>
          </cell>
        </row>
        <row r="924">
          <cell r="A924">
            <v>44</v>
          </cell>
          <cell r="B924" t="str">
            <v>No</v>
          </cell>
          <cell r="C924" t="str">
            <v>Research &amp; Development</v>
          </cell>
          <cell r="D924">
            <v>4</v>
          </cell>
          <cell r="E924">
            <v>2</v>
          </cell>
          <cell r="F924" t="str">
            <v>Life Sciences</v>
          </cell>
          <cell r="G924">
            <v>3</v>
          </cell>
          <cell r="H924" t="str">
            <v>Male</v>
          </cell>
          <cell r="I924">
            <v>4</v>
          </cell>
          <cell r="J924">
            <v>5</v>
          </cell>
          <cell r="K924" t="str">
            <v>Manager</v>
          </cell>
          <cell r="L924">
            <v>1</v>
          </cell>
          <cell r="M924" t="str">
            <v>Divorced</v>
          </cell>
          <cell r="N924">
            <v>19190</v>
          </cell>
          <cell r="O924">
            <v>1</v>
          </cell>
          <cell r="P924" t="str">
            <v>No</v>
          </cell>
          <cell r="Q924">
            <v>4</v>
          </cell>
          <cell r="R924">
            <v>26</v>
          </cell>
          <cell r="S924">
            <v>2</v>
          </cell>
          <cell r="T924">
            <v>25</v>
          </cell>
          <cell r="U924">
            <v>9</v>
          </cell>
          <cell r="V924">
            <v>14</v>
          </cell>
          <cell r="W924">
            <v>13</v>
          </cell>
          <cell r="X924">
            <v>14</v>
          </cell>
          <cell r="Y924">
            <v>0</v>
          </cell>
          <cell r="Z924" t="str">
            <v>Mid</v>
          </cell>
          <cell r="AA924" t="str">
            <v>High</v>
          </cell>
          <cell r="AB924" t="str">
            <v>Long</v>
          </cell>
          <cell r="AC924" t="str">
            <v>Medium</v>
          </cell>
          <cell r="AD924">
            <v>1288</v>
          </cell>
        </row>
        <row r="925">
          <cell r="A925">
            <v>34</v>
          </cell>
          <cell r="B925" t="str">
            <v>No</v>
          </cell>
          <cell r="C925" t="str">
            <v>Human Resources</v>
          </cell>
          <cell r="D925">
            <v>11</v>
          </cell>
          <cell r="E925">
            <v>3</v>
          </cell>
          <cell r="F925" t="str">
            <v>Life Sciences</v>
          </cell>
          <cell r="G925">
            <v>3</v>
          </cell>
          <cell r="H925" t="str">
            <v>Male</v>
          </cell>
          <cell r="I925">
            <v>2</v>
          </cell>
          <cell r="J925">
            <v>2</v>
          </cell>
          <cell r="K925" t="str">
            <v>Human Resources</v>
          </cell>
          <cell r="L925">
            <v>2</v>
          </cell>
          <cell r="M925" t="str">
            <v>Married</v>
          </cell>
          <cell r="N925">
            <v>4490</v>
          </cell>
          <cell r="O925">
            <v>4</v>
          </cell>
          <cell r="P925" t="str">
            <v>No</v>
          </cell>
          <cell r="Q925">
            <v>4</v>
          </cell>
          <cell r="R925">
            <v>14</v>
          </cell>
          <cell r="S925">
            <v>4</v>
          </cell>
          <cell r="T925">
            <v>10</v>
          </cell>
          <cell r="U925">
            <v>9</v>
          </cell>
          <cell r="V925">
            <v>1</v>
          </cell>
          <cell r="W925">
            <v>8</v>
          </cell>
          <cell r="X925">
            <v>11</v>
          </cell>
          <cell r="Y925">
            <v>0</v>
          </cell>
          <cell r="Z925" t="str">
            <v>Mid</v>
          </cell>
          <cell r="AA925" t="str">
            <v>Low</v>
          </cell>
          <cell r="AB925" t="str">
            <v>Long</v>
          </cell>
          <cell r="AC925" t="str">
            <v>Low</v>
          </cell>
          <cell r="AD925">
            <v>1289</v>
          </cell>
        </row>
        <row r="926">
          <cell r="A926">
            <v>35</v>
          </cell>
          <cell r="B926" t="str">
            <v>No</v>
          </cell>
          <cell r="C926" t="str">
            <v>Research &amp; Development</v>
          </cell>
          <cell r="D926">
            <v>6</v>
          </cell>
          <cell r="E926">
            <v>1</v>
          </cell>
          <cell r="F926" t="str">
            <v>Life Sciences</v>
          </cell>
          <cell r="G926">
            <v>3</v>
          </cell>
          <cell r="H926" t="str">
            <v>Male</v>
          </cell>
          <cell r="I926">
            <v>3</v>
          </cell>
          <cell r="J926">
            <v>1</v>
          </cell>
          <cell r="K926" t="str">
            <v>Research Scientist</v>
          </cell>
          <cell r="L926">
            <v>3</v>
          </cell>
          <cell r="M926" t="str">
            <v>Married</v>
          </cell>
          <cell r="N926">
            <v>3506</v>
          </cell>
          <cell r="O926">
            <v>0</v>
          </cell>
          <cell r="P926" t="str">
            <v>Yes</v>
          </cell>
          <cell r="Q926">
            <v>4</v>
          </cell>
          <cell r="R926">
            <v>4</v>
          </cell>
          <cell r="S926">
            <v>3</v>
          </cell>
          <cell r="T926">
            <v>3</v>
          </cell>
          <cell r="U926">
            <v>2</v>
          </cell>
          <cell r="V926">
            <v>2</v>
          </cell>
          <cell r="W926">
            <v>2</v>
          </cell>
          <cell r="X926">
            <v>14</v>
          </cell>
          <cell r="Y926">
            <v>0</v>
          </cell>
          <cell r="Z926" t="str">
            <v>Mid</v>
          </cell>
          <cell r="AA926" t="str">
            <v>Low</v>
          </cell>
          <cell r="AB926" t="str">
            <v>Mid</v>
          </cell>
          <cell r="AC926" t="str">
            <v>Medium</v>
          </cell>
          <cell r="AD926">
            <v>1291</v>
          </cell>
        </row>
        <row r="927">
          <cell r="A927">
            <v>42</v>
          </cell>
          <cell r="B927" t="str">
            <v>No</v>
          </cell>
          <cell r="C927" t="str">
            <v>Research &amp; Development</v>
          </cell>
          <cell r="D927">
            <v>7</v>
          </cell>
          <cell r="E927">
            <v>4</v>
          </cell>
          <cell r="F927" t="str">
            <v>Medical</v>
          </cell>
          <cell r="G927">
            <v>2</v>
          </cell>
          <cell r="H927" t="str">
            <v>Female</v>
          </cell>
          <cell r="I927">
            <v>4</v>
          </cell>
          <cell r="J927">
            <v>2</v>
          </cell>
          <cell r="K927" t="str">
            <v>Research Scientist</v>
          </cell>
          <cell r="L927">
            <v>2</v>
          </cell>
          <cell r="M927" t="str">
            <v>Married</v>
          </cell>
          <cell r="N927">
            <v>2372</v>
          </cell>
          <cell r="O927">
            <v>6</v>
          </cell>
          <cell r="P927" t="str">
            <v>Yes</v>
          </cell>
          <cell r="Q927">
            <v>4</v>
          </cell>
          <cell r="R927">
            <v>18</v>
          </cell>
          <cell r="S927">
            <v>3</v>
          </cell>
          <cell r="T927">
            <v>1</v>
          </cell>
          <cell r="U927">
            <v>0</v>
          </cell>
          <cell r="V927">
            <v>0</v>
          </cell>
          <cell r="W927">
            <v>0</v>
          </cell>
          <cell r="X927">
            <v>16</v>
          </cell>
          <cell r="Y927">
            <v>0</v>
          </cell>
          <cell r="Z927" t="str">
            <v>Mid</v>
          </cell>
          <cell r="AA927" t="str">
            <v>Low</v>
          </cell>
          <cell r="AB927" t="str">
            <v>Early</v>
          </cell>
          <cell r="AC927" t="str">
            <v>Medium</v>
          </cell>
          <cell r="AD927">
            <v>1292</v>
          </cell>
        </row>
        <row r="928">
          <cell r="A928">
            <v>43</v>
          </cell>
          <cell r="B928" t="str">
            <v>No</v>
          </cell>
          <cell r="C928" t="str">
            <v>Sales</v>
          </cell>
          <cell r="D928">
            <v>4</v>
          </cell>
          <cell r="E928">
            <v>4</v>
          </cell>
          <cell r="F928" t="str">
            <v>Marketing</v>
          </cell>
          <cell r="G928">
            <v>4</v>
          </cell>
          <cell r="H928" t="str">
            <v>Female</v>
          </cell>
          <cell r="I928">
            <v>2</v>
          </cell>
          <cell r="J928">
            <v>3</v>
          </cell>
          <cell r="K928" t="str">
            <v>Sales Executive</v>
          </cell>
          <cell r="L928">
            <v>4</v>
          </cell>
          <cell r="M928" t="str">
            <v>Single</v>
          </cell>
          <cell r="N928">
            <v>10231</v>
          </cell>
          <cell r="O928">
            <v>3</v>
          </cell>
          <cell r="P928" t="str">
            <v>No</v>
          </cell>
          <cell r="Q928">
            <v>4</v>
          </cell>
          <cell r="R928">
            <v>23</v>
          </cell>
          <cell r="S928">
            <v>4</v>
          </cell>
          <cell r="T928">
            <v>21</v>
          </cell>
          <cell r="U928">
            <v>7</v>
          </cell>
          <cell r="V928">
            <v>15</v>
          </cell>
          <cell r="W928">
            <v>17</v>
          </cell>
          <cell r="X928">
            <v>14</v>
          </cell>
          <cell r="Y928">
            <v>0</v>
          </cell>
          <cell r="Z928" t="str">
            <v>Mid</v>
          </cell>
          <cell r="AA928" t="str">
            <v>High</v>
          </cell>
          <cell r="AB928" t="str">
            <v>Long</v>
          </cell>
          <cell r="AC928" t="str">
            <v>Medium</v>
          </cell>
          <cell r="AD928">
            <v>1293</v>
          </cell>
        </row>
        <row r="929">
          <cell r="A929">
            <v>36</v>
          </cell>
          <cell r="B929" t="str">
            <v>No</v>
          </cell>
          <cell r="C929" t="str">
            <v>Research &amp; Development</v>
          </cell>
          <cell r="D929">
            <v>2</v>
          </cell>
          <cell r="E929">
            <v>4</v>
          </cell>
          <cell r="F929" t="str">
            <v>Life Sciences</v>
          </cell>
          <cell r="G929">
            <v>3</v>
          </cell>
          <cell r="H929" t="str">
            <v>Female</v>
          </cell>
          <cell r="I929">
            <v>3</v>
          </cell>
          <cell r="J929">
            <v>2</v>
          </cell>
          <cell r="K929" t="str">
            <v>Manufacturing Director</v>
          </cell>
          <cell r="L929">
            <v>2</v>
          </cell>
          <cell r="M929" t="str">
            <v>Single</v>
          </cell>
          <cell r="N929">
            <v>5410</v>
          </cell>
          <cell r="O929">
            <v>9</v>
          </cell>
          <cell r="P929" t="str">
            <v>Yes</v>
          </cell>
          <cell r="Q929">
            <v>4</v>
          </cell>
          <cell r="R929">
            <v>18</v>
          </cell>
          <cell r="S929">
            <v>3</v>
          </cell>
          <cell r="T929">
            <v>16</v>
          </cell>
          <cell r="U929">
            <v>14</v>
          </cell>
          <cell r="V929">
            <v>5</v>
          </cell>
          <cell r="W929">
            <v>12</v>
          </cell>
          <cell r="X929">
            <v>11</v>
          </cell>
          <cell r="Y929">
            <v>0</v>
          </cell>
          <cell r="Z929" t="str">
            <v>Mid</v>
          </cell>
          <cell r="AA929" t="str">
            <v>Medium</v>
          </cell>
          <cell r="AB929" t="str">
            <v>Long</v>
          </cell>
          <cell r="AC929" t="str">
            <v>Low</v>
          </cell>
          <cell r="AD929">
            <v>1294</v>
          </cell>
        </row>
        <row r="930">
          <cell r="A930">
            <v>44</v>
          </cell>
          <cell r="B930" t="str">
            <v>Yes</v>
          </cell>
          <cell r="C930" t="str">
            <v>Research &amp; Development</v>
          </cell>
          <cell r="D930">
            <v>15</v>
          </cell>
          <cell r="E930">
            <v>3</v>
          </cell>
          <cell r="F930" t="str">
            <v>Medical</v>
          </cell>
          <cell r="G930">
            <v>1</v>
          </cell>
          <cell r="H930" t="str">
            <v>Female</v>
          </cell>
          <cell r="I930">
            <v>3</v>
          </cell>
          <cell r="J930">
            <v>3</v>
          </cell>
          <cell r="K930" t="str">
            <v>Healthcare Representative</v>
          </cell>
          <cell r="L930">
            <v>4</v>
          </cell>
          <cell r="M930" t="str">
            <v>Married</v>
          </cell>
          <cell r="N930">
            <v>7978</v>
          </cell>
          <cell r="O930">
            <v>1</v>
          </cell>
          <cell r="P930" t="str">
            <v>No</v>
          </cell>
          <cell r="Q930">
            <v>4</v>
          </cell>
          <cell r="R930">
            <v>10</v>
          </cell>
          <cell r="S930">
            <v>3</v>
          </cell>
          <cell r="T930">
            <v>10</v>
          </cell>
          <cell r="U930">
            <v>7</v>
          </cell>
          <cell r="V930">
            <v>0</v>
          </cell>
          <cell r="W930">
            <v>5</v>
          </cell>
          <cell r="X930">
            <v>11</v>
          </cell>
          <cell r="Y930">
            <v>1</v>
          </cell>
          <cell r="Z930" t="str">
            <v>Mid</v>
          </cell>
          <cell r="AA930" t="str">
            <v>Medium</v>
          </cell>
          <cell r="AB930" t="str">
            <v>Long</v>
          </cell>
          <cell r="AC930" t="str">
            <v>Low</v>
          </cell>
          <cell r="AD930">
            <v>1295</v>
          </cell>
        </row>
        <row r="931">
          <cell r="A931">
            <v>28</v>
          </cell>
          <cell r="B931" t="str">
            <v>No</v>
          </cell>
          <cell r="C931" t="str">
            <v>Research &amp; Development</v>
          </cell>
          <cell r="D931">
            <v>2</v>
          </cell>
          <cell r="E931">
            <v>3</v>
          </cell>
          <cell r="F931" t="str">
            <v>Life Sciences</v>
          </cell>
          <cell r="G931">
            <v>4</v>
          </cell>
          <cell r="H931" t="str">
            <v>Male</v>
          </cell>
          <cell r="I931">
            <v>2</v>
          </cell>
          <cell r="J931">
            <v>1</v>
          </cell>
          <cell r="K931" t="str">
            <v>Laboratory Technician</v>
          </cell>
          <cell r="L931">
            <v>4</v>
          </cell>
          <cell r="M931" t="str">
            <v>Married</v>
          </cell>
          <cell r="N931">
            <v>3867</v>
          </cell>
          <cell r="O931">
            <v>1</v>
          </cell>
          <cell r="P931" t="str">
            <v>Yes</v>
          </cell>
          <cell r="Q931">
            <v>2</v>
          </cell>
          <cell r="R931">
            <v>2</v>
          </cell>
          <cell r="S931">
            <v>3</v>
          </cell>
          <cell r="T931">
            <v>2</v>
          </cell>
          <cell r="U931">
            <v>2</v>
          </cell>
          <cell r="V931">
            <v>2</v>
          </cell>
          <cell r="W931">
            <v>2</v>
          </cell>
          <cell r="X931">
            <v>12</v>
          </cell>
          <cell r="Y931">
            <v>0</v>
          </cell>
          <cell r="Z931" t="str">
            <v>Young</v>
          </cell>
          <cell r="AA931" t="str">
            <v>Low</v>
          </cell>
          <cell r="AB931" t="str">
            <v>Early</v>
          </cell>
          <cell r="AC931" t="str">
            <v>Low</v>
          </cell>
          <cell r="AD931">
            <v>1296</v>
          </cell>
        </row>
        <row r="932">
          <cell r="A932">
            <v>51</v>
          </cell>
          <cell r="B932" t="str">
            <v>No</v>
          </cell>
          <cell r="C932" t="str">
            <v>Research &amp; Development</v>
          </cell>
          <cell r="D932">
            <v>6</v>
          </cell>
          <cell r="E932">
            <v>2</v>
          </cell>
          <cell r="F932" t="str">
            <v>Medical</v>
          </cell>
          <cell r="G932">
            <v>2</v>
          </cell>
          <cell r="H932" t="str">
            <v>Female</v>
          </cell>
          <cell r="I932">
            <v>2</v>
          </cell>
          <cell r="J932">
            <v>1</v>
          </cell>
          <cell r="K932" t="str">
            <v>Laboratory Technician</v>
          </cell>
          <cell r="L932">
            <v>3</v>
          </cell>
          <cell r="M932" t="str">
            <v>Single</v>
          </cell>
          <cell r="N932">
            <v>2838</v>
          </cell>
          <cell r="O932">
            <v>0</v>
          </cell>
          <cell r="P932" t="str">
            <v>No</v>
          </cell>
          <cell r="Q932">
            <v>2</v>
          </cell>
          <cell r="R932">
            <v>8</v>
          </cell>
          <cell r="S932">
            <v>2</v>
          </cell>
          <cell r="T932">
            <v>7</v>
          </cell>
          <cell r="U932">
            <v>0</v>
          </cell>
          <cell r="V932">
            <v>7</v>
          </cell>
          <cell r="W932">
            <v>7</v>
          </cell>
          <cell r="X932">
            <v>14</v>
          </cell>
          <cell r="Y932">
            <v>0</v>
          </cell>
          <cell r="Z932" t="str">
            <v>Senior</v>
          </cell>
          <cell r="AA932" t="str">
            <v>Low</v>
          </cell>
          <cell r="AB932" t="str">
            <v>Long</v>
          </cell>
          <cell r="AC932" t="str">
            <v>Medium</v>
          </cell>
          <cell r="AD932">
            <v>1297</v>
          </cell>
        </row>
        <row r="933">
          <cell r="A933">
            <v>30</v>
          </cell>
          <cell r="B933" t="str">
            <v>No</v>
          </cell>
          <cell r="C933" t="str">
            <v>Research &amp; Development</v>
          </cell>
          <cell r="D933">
            <v>9</v>
          </cell>
          <cell r="E933">
            <v>2</v>
          </cell>
          <cell r="F933" t="str">
            <v>Medical</v>
          </cell>
          <cell r="G933">
            <v>3</v>
          </cell>
          <cell r="H933" t="str">
            <v>Female</v>
          </cell>
          <cell r="I933">
            <v>3</v>
          </cell>
          <cell r="J933">
            <v>2</v>
          </cell>
          <cell r="K933" t="str">
            <v>Manufacturing Director</v>
          </cell>
          <cell r="L933">
            <v>3</v>
          </cell>
          <cell r="M933" t="str">
            <v>Single</v>
          </cell>
          <cell r="N933">
            <v>4695</v>
          </cell>
          <cell r="O933">
            <v>7</v>
          </cell>
          <cell r="P933" t="str">
            <v>Yes</v>
          </cell>
          <cell r="Q933">
            <v>3</v>
          </cell>
          <cell r="R933">
            <v>10</v>
          </cell>
          <cell r="S933">
            <v>3</v>
          </cell>
          <cell r="T933">
            <v>8</v>
          </cell>
          <cell r="U933">
            <v>4</v>
          </cell>
          <cell r="V933">
            <v>1</v>
          </cell>
          <cell r="W933">
            <v>7</v>
          </cell>
          <cell r="X933">
            <v>18</v>
          </cell>
          <cell r="Y933">
            <v>0</v>
          </cell>
          <cell r="Z933" t="str">
            <v>Mid</v>
          </cell>
          <cell r="AA933" t="str">
            <v>Low</v>
          </cell>
          <cell r="AB933" t="str">
            <v>Long</v>
          </cell>
          <cell r="AC933" t="str">
            <v>High</v>
          </cell>
          <cell r="AD933">
            <v>1298</v>
          </cell>
        </row>
        <row r="934">
          <cell r="A934">
            <v>29</v>
          </cell>
          <cell r="B934" t="str">
            <v>Yes</v>
          </cell>
          <cell r="C934" t="str">
            <v>Research &amp; Development</v>
          </cell>
          <cell r="D934">
            <v>7</v>
          </cell>
          <cell r="E934">
            <v>3</v>
          </cell>
          <cell r="F934" t="str">
            <v>Technical Degree</v>
          </cell>
          <cell r="G934">
            <v>2</v>
          </cell>
          <cell r="H934" t="str">
            <v>Female</v>
          </cell>
          <cell r="I934">
            <v>3</v>
          </cell>
          <cell r="J934">
            <v>1</v>
          </cell>
          <cell r="K934" t="str">
            <v>Laboratory Technician</v>
          </cell>
          <cell r="L934">
            <v>3</v>
          </cell>
          <cell r="M934" t="str">
            <v>Divorced</v>
          </cell>
          <cell r="N934">
            <v>3339</v>
          </cell>
          <cell r="O934">
            <v>3</v>
          </cell>
          <cell r="P934" t="str">
            <v>Yes</v>
          </cell>
          <cell r="Q934">
            <v>1</v>
          </cell>
          <cell r="R934">
            <v>10</v>
          </cell>
          <cell r="S934">
            <v>3</v>
          </cell>
          <cell r="T934">
            <v>7</v>
          </cell>
          <cell r="U934">
            <v>7</v>
          </cell>
          <cell r="V934">
            <v>7</v>
          </cell>
          <cell r="W934">
            <v>7</v>
          </cell>
          <cell r="X934">
            <v>13</v>
          </cell>
          <cell r="Y934">
            <v>1</v>
          </cell>
          <cell r="Z934" t="str">
            <v>Young</v>
          </cell>
          <cell r="AA934" t="str">
            <v>Low</v>
          </cell>
          <cell r="AB934" t="str">
            <v>Long</v>
          </cell>
          <cell r="AC934" t="str">
            <v>Medium</v>
          </cell>
          <cell r="AD934">
            <v>1299</v>
          </cell>
        </row>
        <row r="935">
          <cell r="A935">
            <v>28</v>
          </cell>
          <cell r="B935" t="str">
            <v>No</v>
          </cell>
          <cell r="C935" t="str">
            <v>Research &amp; Development</v>
          </cell>
          <cell r="D935">
            <v>1</v>
          </cell>
          <cell r="E935">
            <v>3</v>
          </cell>
          <cell r="F935" t="str">
            <v>Technical Degree</v>
          </cell>
          <cell r="G935">
            <v>4</v>
          </cell>
          <cell r="H935" t="str">
            <v>Male</v>
          </cell>
          <cell r="I935">
            <v>3</v>
          </cell>
          <cell r="J935">
            <v>1</v>
          </cell>
          <cell r="K935" t="str">
            <v>Research Scientist</v>
          </cell>
          <cell r="L935">
            <v>1</v>
          </cell>
          <cell r="M935" t="str">
            <v>Single</v>
          </cell>
          <cell r="N935">
            <v>2080</v>
          </cell>
          <cell r="O935">
            <v>2</v>
          </cell>
          <cell r="P935" t="str">
            <v>No</v>
          </cell>
          <cell r="Q935">
            <v>2</v>
          </cell>
          <cell r="R935">
            <v>5</v>
          </cell>
          <cell r="S935">
            <v>2</v>
          </cell>
          <cell r="T935">
            <v>3</v>
          </cell>
          <cell r="U935">
            <v>2</v>
          </cell>
          <cell r="V935">
            <v>1</v>
          </cell>
          <cell r="W935">
            <v>2</v>
          </cell>
          <cell r="X935">
            <v>11</v>
          </cell>
          <cell r="Y935">
            <v>0</v>
          </cell>
          <cell r="Z935" t="str">
            <v>Young</v>
          </cell>
          <cell r="AA935" t="str">
            <v>Low</v>
          </cell>
          <cell r="AB935" t="str">
            <v>Mid</v>
          </cell>
          <cell r="AC935" t="str">
            <v>Low</v>
          </cell>
          <cell r="AD935">
            <v>1301</v>
          </cell>
        </row>
        <row r="936">
          <cell r="A936">
            <v>25</v>
          </cell>
          <cell r="B936" t="str">
            <v>No</v>
          </cell>
          <cell r="C936" t="str">
            <v>Research &amp; Development</v>
          </cell>
          <cell r="D936">
            <v>1</v>
          </cell>
          <cell r="E936">
            <v>3</v>
          </cell>
          <cell r="F936" t="str">
            <v>Medical</v>
          </cell>
          <cell r="G936">
            <v>4</v>
          </cell>
          <cell r="H936" t="str">
            <v>Female</v>
          </cell>
          <cell r="I936">
            <v>3</v>
          </cell>
          <cell r="J936">
            <v>1</v>
          </cell>
          <cell r="K936" t="str">
            <v>Research Scientist</v>
          </cell>
          <cell r="L936">
            <v>2</v>
          </cell>
          <cell r="M936" t="str">
            <v>Single</v>
          </cell>
          <cell r="N936">
            <v>2096</v>
          </cell>
          <cell r="O936">
            <v>1</v>
          </cell>
          <cell r="P936" t="str">
            <v>No</v>
          </cell>
          <cell r="Q936">
            <v>4</v>
          </cell>
          <cell r="R936">
            <v>2</v>
          </cell>
          <cell r="S936">
            <v>2</v>
          </cell>
          <cell r="T936">
            <v>2</v>
          </cell>
          <cell r="U936">
            <v>2</v>
          </cell>
          <cell r="V936">
            <v>2</v>
          </cell>
          <cell r="W936">
            <v>1</v>
          </cell>
          <cell r="X936">
            <v>18</v>
          </cell>
          <cell r="Y936">
            <v>0</v>
          </cell>
          <cell r="Z936" t="str">
            <v>Young</v>
          </cell>
          <cell r="AA936" t="str">
            <v>Low</v>
          </cell>
          <cell r="AB936" t="str">
            <v>Early</v>
          </cell>
          <cell r="AC936" t="str">
            <v>High</v>
          </cell>
          <cell r="AD936">
            <v>1303</v>
          </cell>
        </row>
        <row r="937">
          <cell r="A937">
            <v>32</v>
          </cell>
          <cell r="B937" t="str">
            <v>No</v>
          </cell>
          <cell r="C937" t="str">
            <v>Sales</v>
          </cell>
          <cell r="D937">
            <v>8</v>
          </cell>
          <cell r="E937">
            <v>3</v>
          </cell>
          <cell r="F937" t="str">
            <v>Medical</v>
          </cell>
          <cell r="G937">
            <v>3</v>
          </cell>
          <cell r="H937" t="str">
            <v>Male</v>
          </cell>
          <cell r="I937">
            <v>4</v>
          </cell>
          <cell r="J937">
            <v>2</v>
          </cell>
          <cell r="K937" t="str">
            <v>Sales Executive</v>
          </cell>
          <cell r="L937">
            <v>4</v>
          </cell>
          <cell r="M937" t="str">
            <v>Married</v>
          </cell>
          <cell r="N937">
            <v>6209</v>
          </cell>
          <cell r="O937">
            <v>1</v>
          </cell>
          <cell r="P937" t="str">
            <v>No</v>
          </cell>
          <cell r="Q937">
            <v>3</v>
          </cell>
          <cell r="R937">
            <v>10</v>
          </cell>
          <cell r="S937">
            <v>4</v>
          </cell>
          <cell r="T937">
            <v>10</v>
          </cell>
          <cell r="U937">
            <v>7</v>
          </cell>
          <cell r="V937">
            <v>0</v>
          </cell>
          <cell r="W937">
            <v>8</v>
          </cell>
          <cell r="X937">
            <v>15</v>
          </cell>
          <cell r="Y937">
            <v>0</v>
          </cell>
          <cell r="Z937" t="str">
            <v>Mid</v>
          </cell>
          <cell r="AA937" t="str">
            <v>Medium</v>
          </cell>
          <cell r="AB937" t="str">
            <v>Long</v>
          </cell>
          <cell r="AC937" t="str">
            <v>Medium</v>
          </cell>
          <cell r="AD937">
            <v>1304</v>
          </cell>
        </row>
        <row r="938">
          <cell r="A938">
            <v>45</v>
          </cell>
          <cell r="B938" t="str">
            <v>No</v>
          </cell>
          <cell r="C938" t="str">
            <v>Research &amp; Development</v>
          </cell>
          <cell r="D938">
            <v>25</v>
          </cell>
          <cell r="E938">
            <v>3</v>
          </cell>
          <cell r="F938" t="str">
            <v>Medical</v>
          </cell>
          <cell r="G938">
            <v>2</v>
          </cell>
          <cell r="H938" t="str">
            <v>Female</v>
          </cell>
          <cell r="I938">
            <v>3</v>
          </cell>
          <cell r="J938">
            <v>5</v>
          </cell>
          <cell r="K938" t="str">
            <v>Manager</v>
          </cell>
          <cell r="L938">
            <v>2</v>
          </cell>
          <cell r="M938" t="str">
            <v>Single</v>
          </cell>
          <cell r="N938">
            <v>18061</v>
          </cell>
          <cell r="O938">
            <v>3</v>
          </cell>
          <cell r="P938" t="str">
            <v>No</v>
          </cell>
          <cell r="Q938">
            <v>3</v>
          </cell>
          <cell r="R938">
            <v>22</v>
          </cell>
          <cell r="S938">
            <v>3</v>
          </cell>
          <cell r="T938">
            <v>0</v>
          </cell>
          <cell r="U938">
            <v>0</v>
          </cell>
          <cell r="V938">
            <v>0</v>
          </cell>
          <cell r="W938">
            <v>0</v>
          </cell>
          <cell r="X938">
            <v>22</v>
          </cell>
          <cell r="Y938">
            <v>0</v>
          </cell>
          <cell r="Z938" t="str">
            <v>Senior</v>
          </cell>
          <cell r="AA938" t="str">
            <v>High</v>
          </cell>
          <cell r="AB938" t="str">
            <v>Early</v>
          </cell>
          <cell r="AC938" t="str">
            <v>High</v>
          </cell>
          <cell r="AD938">
            <v>1306</v>
          </cell>
        </row>
        <row r="939">
          <cell r="A939">
            <v>39</v>
          </cell>
          <cell r="B939" t="str">
            <v>No</v>
          </cell>
          <cell r="C939" t="str">
            <v>Research &amp; Development</v>
          </cell>
          <cell r="D939">
            <v>13</v>
          </cell>
          <cell r="E939">
            <v>4</v>
          </cell>
          <cell r="F939" t="str">
            <v>Medical</v>
          </cell>
          <cell r="G939">
            <v>3</v>
          </cell>
          <cell r="H939" t="str">
            <v>Female</v>
          </cell>
          <cell r="I939">
            <v>2</v>
          </cell>
          <cell r="J939">
            <v>4</v>
          </cell>
          <cell r="K939" t="str">
            <v>Manager</v>
          </cell>
          <cell r="L939">
            <v>2</v>
          </cell>
          <cell r="M939" t="str">
            <v>Divorced</v>
          </cell>
          <cell r="N939">
            <v>17123</v>
          </cell>
          <cell r="O939">
            <v>6</v>
          </cell>
          <cell r="P939" t="str">
            <v>Yes</v>
          </cell>
          <cell r="Q939">
            <v>4</v>
          </cell>
          <cell r="R939">
            <v>21</v>
          </cell>
          <cell r="S939">
            <v>3</v>
          </cell>
          <cell r="T939">
            <v>19</v>
          </cell>
          <cell r="U939">
            <v>9</v>
          </cell>
          <cell r="V939">
            <v>15</v>
          </cell>
          <cell r="W939">
            <v>2</v>
          </cell>
          <cell r="X939">
            <v>13</v>
          </cell>
          <cell r="Y939">
            <v>0</v>
          </cell>
          <cell r="Z939" t="str">
            <v>Mid</v>
          </cell>
          <cell r="AA939" t="str">
            <v>High</v>
          </cell>
          <cell r="AB939" t="str">
            <v>Long</v>
          </cell>
          <cell r="AC939" t="str">
            <v>Medium</v>
          </cell>
          <cell r="AD939">
            <v>1307</v>
          </cell>
        </row>
        <row r="940">
          <cell r="A940">
            <v>58</v>
          </cell>
          <cell r="B940" t="str">
            <v>No</v>
          </cell>
          <cell r="C940" t="str">
            <v>Research &amp; Development</v>
          </cell>
          <cell r="D940">
            <v>23</v>
          </cell>
          <cell r="E940">
            <v>4</v>
          </cell>
          <cell r="F940" t="str">
            <v>Life Sciences</v>
          </cell>
          <cell r="G940">
            <v>1</v>
          </cell>
          <cell r="H940" t="str">
            <v>Male</v>
          </cell>
          <cell r="I940">
            <v>3</v>
          </cell>
          <cell r="J940">
            <v>1</v>
          </cell>
          <cell r="K940" t="str">
            <v>Research Scientist</v>
          </cell>
          <cell r="L940">
            <v>3</v>
          </cell>
          <cell r="M940" t="str">
            <v>Divorced</v>
          </cell>
          <cell r="N940">
            <v>2372</v>
          </cell>
          <cell r="O940">
            <v>1</v>
          </cell>
          <cell r="P940" t="str">
            <v>No</v>
          </cell>
          <cell r="Q940">
            <v>4</v>
          </cell>
          <cell r="R940">
            <v>2</v>
          </cell>
          <cell r="S940">
            <v>3</v>
          </cell>
          <cell r="T940">
            <v>2</v>
          </cell>
          <cell r="U940">
            <v>2</v>
          </cell>
          <cell r="V940">
            <v>2</v>
          </cell>
          <cell r="W940">
            <v>2</v>
          </cell>
          <cell r="X940">
            <v>12</v>
          </cell>
          <cell r="Y940">
            <v>0</v>
          </cell>
          <cell r="Z940" t="str">
            <v>Senior</v>
          </cell>
          <cell r="AA940" t="str">
            <v>Low</v>
          </cell>
          <cell r="AB940" t="str">
            <v>Early</v>
          </cell>
          <cell r="AC940" t="str">
            <v>Low</v>
          </cell>
          <cell r="AD940">
            <v>1308</v>
          </cell>
        </row>
        <row r="941">
          <cell r="A941">
            <v>32</v>
          </cell>
          <cell r="B941" t="str">
            <v>Yes</v>
          </cell>
          <cell r="C941" t="str">
            <v>Research &amp; Development</v>
          </cell>
          <cell r="D941">
            <v>7</v>
          </cell>
          <cell r="E941">
            <v>2</v>
          </cell>
          <cell r="F941" t="str">
            <v>Life Sciences</v>
          </cell>
          <cell r="G941">
            <v>4</v>
          </cell>
          <cell r="H941" t="str">
            <v>Male</v>
          </cell>
          <cell r="I941">
            <v>3</v>
          </cell>
          <cell r="J941">
            <v>2</v>
          </cell>
          <cell r="K941" t="str">
            <v>Laboratory Technician</v>
          </cell>
          <cell r="L941">
            <v>3</v>
          </cell>
          <cell r="M941" t="str">
            <v>Married</v>
          </cell>
          <cell r="N941">
            <v>4883</v>
          </cell>
          <cell r="O941">
            <v>1</v>
          </cell>
          <cell r="P941" t="str">
            <v>No</v>
          </cell>
          <cell r="Q941">
            <v>1</v>
          </cell>
          <cell r="R941">
            <v>10</v>
          </cell>
          <cell r="S941">
            <v>3</v>
          </cell>
          <cell r="T941">
            <v>10</v>
          </cell>
          <cell r="U941">
            <v>4</v>
          </cell>
          <cell r="V941">
            <v>1</v>
          </cell>
          <cell r="W941">
            <v>1</v>
          </cell>
          <cell r="X941">
            <v>18</v>
          </cell>
          <cell r="Y941">
            <v>1</v>
          </cell>
          <cell r="Z941" t="str">
            <v>Mid</v>
          </cell>
          <cell r="AA941" t="str">
            <v>Low</v>
          </cell>
          <cell r="AB941" t="str">
            <v>Long</v>
          </cell>
          <cell r="AC941" t="str">
            <v>High</v>
          </cell>
          <cell r="AD941">
            <v>1309</v>
          </cell>
        </row>
        <row r="942">
          <cell r="A942">
            <v>39</v>
          </cell>
          <cell r="B942" t="str">
            <v>Yes</v>
          </cell>
          <cell r="C942" t="str">
            <v>Research &amp; Development</v>
          </cell>
          <cell r="D942">
            <v>23</v>
          </cell>
          <cell r="E942">
            <v>3</v>
          </cell>
          <cell r="F942" t="str">
            <v>Medical</v>
          </cell>
          <cell r="G942">
            <v>3</v>
          </cell>
          <cell r="H942" t="str">
            <v>Male</v>
          </cell>
          <cell r="I942">
            <v>3</v>
          </cell>
          <cell r="J942">
            <v>1</v>
          </cell>
          <cell r="K942" t="str">
            <v>Research Scientist</v>
          </cell>
          <cell r="L942">
            <v>1</v>
          </cell>
          <cell r="M942" t="str">
            <v>Single</v>
          </cell>
          <cell r="N942">
            <v>3904</v>
          </cell>
          <cell r="O942">
            <v>0</v>
          </cell>
          <cell r="P942" t="str">
            <v>No</v>
          </cell>
          <cell r="Q942">
            <v>1</v>
          </cell>
          <cell r="R942">
            <v>6</v>
          </cell>
          <cell r="S942">
            <v>3</v>
          </cell>
          <cell r="T942">
            <v>5</v>
          </cell>
          <cell r="U942">
            <v>2</v>
          </cell>
          <cell r="V942">
            <v>0</v>
          </cell>
          <cell r="W942">
            <v>3</v>
          </cell>
          <cell r="X942">
            <v>13</v>
          </cell>
          <cell r="Y942">
            <v>1</v>
          </cell>
          <cell r="Z942" t="str">
            <v>Mid</v>
          </cell>
          <cell r="AA942" t="str">
            <v>Low</v>
          </cell>
          <cell r="AB942" t="str">
            <v>Mid</v>
          </cell>
          <cell r="AC942" t="str">
            <v>Medium</v>
          </cell>
          <cell r="AD942">
            <v>1310</v>
          </cell>
        </row>
        <row r="943">
          <cell r="A943">
            <v>30</v>
          </cell>
          <cell r="B943" t="str">
            <v>No</v>
          </cell>
          <cell r="C943" t="str">
            <v>Research &amp; Development</v>
          </cell>
          <cell r="D943">
            <v>6</v>
          </cell>
          <cell r="E943">
            <v>3</v>
          </cell>
          <cell r="F943" t="str">
            <v>Technical Degree</v>
          </cell>
          <cell r="G943">
            <v>1</v>
          </cell>
          <cell r="H943" t="str">
            <v>Female</v>
          </cell>
          <cell r="I943">
            <v>2</v>
          </cell>
          <cell r="J943">
            <v>2</v>
          </cell>
          <cell r="K943" t="str">
            <v>Laboratory Technician</v>
          </cell>
          <cell r="L943">
            <v>4</v>
          </cell>
          <cell r="M943" t="str">
            <v>Married</v>
          </cell>
          <cell r="N943">
            <v>4627</v>
          </cell>
          <cell r="O943">
            <v>0</v>
          </cell>
          <cell r="P943" t="str">
            <v>No</v>
          </cell>
          <cell r="Q943">
            <v>1</v>
          </cell>
          <cell r="R943">
            <v>10</v>
          </cell>
          <cell r="S943">
            <v>3</v>
          </cell>
          <cell r="T943">
            <v>9</v>
          </cell>
          <cell r="U943">
            <v>2</v>
          </cell>
          <cell r="V943">
            <v>6</v>
          </cell>
          <cell r="W943">
            <v>7</v>
          </cell>
          <cell r="X943">
            <v>12</v>
          </cell>
          <cell r="Y943">
            <v>0</v>
          </cell>
          <cell r="Z943" t="str">
            <v>Mid</v>
          </cell>
          <cell r="AA943" t="str">
            <v>Low</v>
          </cell>
          <cell r="AB943" t="str">
            <v>Long</v>
          </cell>
          <cell r="AC943" t="str">
            <v>Low</v>
          </cell>
          <cell r="AD943">
            <v>1311</v>
          </cell>
        </row>
        <row r="944">
          <cell r="A944">
            <v>36</v>
          </cell>
          <cell r="B944" t="str">
            <v>No</v>
          </cell>
          <cell r="C944" t="str">
            <v>Research &amp; Development</v>
          </cell>
          <cell r="D944">
            <v>10</v>
          </cell>
          <cell r="E944">
            <v>4</v>
          </cell>
          <cell r="F944" t="str">
            <v>Technical Degree</v>
          </cell>
          <cell r="G944">
            <v>4</v>
          </cell>
          <cell r="H944" t="str">
            <v>Female</v>
          </cell>
          <cell r="I944">
            <v>3</v>
          </cell>
          <cell r="J944">
            <v>3</v>
          </cell>
          <cell r="K944" t="str">
            <v>Healthcare Representative</v>
          </cell>
          <cell r="L944">
            <v>3</v>
          </cell>
          <cell r="M944" t="str">
            <v>Married</v>
          </cell>
          <cell r="N944">
            <v>7094</v>
          </cell>
          <cell r="O944">
            <v>3</v>
          </cell>
          <cell r="P944" t="str">
            <v>No</v>
          </cell>
          <cell r="Q944">
            <v>1</v>
          </cell>
          <cell r="R944">
            <v>10</v>
          </cell>
          <cell r="S944">
            <v>3</v>
          </cell>
          <cell r="T944">
            <v>7</v>
          </cell>
          <cell r="U944">
            <v>7</v>
          </cell>
          <cell r="V944">
            <v>1</v>
          </cell>
          <cell r="W944">
            <v>7</v>
          </cell>
          <cell r="X944">
            <v>12</v>
          </cell>
          <cell r="Y944">
            <v>0</v>
          </cell>
          <cell r="Z944" t="str">
            <v>Mid</v>
          </cell>
          <cell r="AA944" t="str">
            <v>Medium</v>
          </cell>
          <cell r="AB944" t="str">
            <v>Long</v>
          </cell>
          <cell r="AC944" t="str">
            <v>Low</v>
          </cell>
          <cell r="AD944">
            <v>1312</v>
          </cell>
        </row>
        <row r="945">
          <cell r="A945">
            <v>46</v>
          </cell>
          <cell r="B945" t="str">
            <v>No</v>
          </cell>
          <cell r="C945" t="str">
            <v>Human Resources</v>
          </cell>
          <cell r="D945">
            <v>1</v>
          </cell>
          <cell r="E945">
            <v>2</v>
          </cell>
          <cell r="F945" t="str">
            <v>Life Sciences</v>
          </cell>
          <cell r="G945">
            <v>4</v>
          </cell>
          <cell r="H945" t="str">
            <v>Female</v>
          </cell>
          <cell r="I945">
            <v>3</v>
          </cell>
          <cell r="J945">
            <v>1</v>
          </cell>
          <cell r="K945" t="str">
            <v>Human Resources</v>
          </cell>
          <cell r="L945">
            <v>1</v>
          </cell>
          <cell r="M945" t="str">
            <v>Single</v>
          </cell>
          <cell r="N945">
            <v>3423</v>
          </cell>
          <cell r="O945">
            <v>6</v>
          </cell>
          <cell r="P945" t="str">
            <v>No</v>
          </cell>
          <cell r="Q945">
            <v>3</v>
          </cell>
          <cell r="R945">
            <v>10</v>
          </cell>
          <cell r="S945">
            <v>4</v>
          </cell>
          <cell r="T945">
            <v>7</v>
          </cell>
          <cell r="U945">
            <v>6</v>
          </cell>
          <cell r="V945">
            <v>5</v>
          </cell>
          <cell r="W945">
            <v>7</v>
          </cell>
          <cell r="X945">
            <v>12</v>
          </cell>
          <cell r="Y945">
            <v>0</v>
          </cell>
          <cell r="Z945" t="str">
            <v>Senior</v>
          </cell>
          <cell r="AA945" t="str">
            <v>Low</v>
          </cell>
          <cell r="AB945" t="str">
            <v>Long</v>
          </cell>
          <cell r="AC945" t="str">
            <v>Low</v>
          </cell>
          <cell r="AD945">
            <v>1314</v>
          </cell>
        </row>
        <row r="946">
          <cell r="A946">
            <v>28</v>
          </cell>
          <cell r="B946" t="str">
            <v>No</v>
          </cell>
          <cell r="C946" t="str">
            <v>Research &amp; Development</v>
          </cell>
          <cell r="D946">
            <v>1</v>
          </cell>
          <cell r="E946">
            <v>3</v>
          </cell>
          <cell r="F946" t="str">
            <v>Life Sciences</v>
          </cell>
          <cell r="G946">
            <v>3</v>
          </cell>
          <cell r="H946" t="str">
            <v>Female</v>
          </cell>
          <cell r="I946">
            <v>1</v>
          </cell>
          <cell r="J946">
            <v>2</v>
          </cell>
          <cell r="K946" t="str">
            <v>Laboratory Technician</v>
          </cell>
          <cell r="L946">
            <v>4</v>
          </cell>
          <cell r="M946" t="str">
            <v>Married</v>
          </cell>
          <cell r="N946">
            <v>6674</v>
          </cell>
          <cell r="O946">
            <v>0</v>
          </cell>
          <cell r="P946" t="str">
            <v>No</v>
          </cell>
          <cell r="Q946">
            <v>1</v>
          </cell>
          <cell r="R946">
            <v>10</v>
          </cell>
          <cell r="S946">
            <v>3</v>
          </cell>
          <cell r="T946">
            <v>9</v>
          </cell>
          <cell r="U946">
            <v>8</v>
          </cell>
          <cell r="V946">
            <v>7</v>
          </cell>
          <cell r="W946">
            <v>5</v>
          </cell>
          <cell r="X946">
            <v>11</v>
          </cell>
          <cell r="Y946">
            <v>0</v>
          </cell>
          <cell r="Z946" t="str">
            <v>Young</v>
          </cell>
          <cell r="AA946" t="str">
            <v>Medium</v>
          </cell>
          <cell r="AB946" t="str">
            <v>Long</v>
          </cell>
          <cell r="AC946" t="str">
            <v>Low</v>
          </cell>
          <cell r="AD946">
            <v>1315</v>
          </cell>
        </row>
        <row r="947">
          <cell r="A947">
            <v>50</v>
          </cell>
          <cell r="B947" t="str">
            <v>No</v>
          </cell>
          <cell r="C947" t="str">
            <v>Research &amp; Development</v>
          </cell>
          <cell r="D947">
            <v>28</v>
          </cell>
          <cell r="E947">
            <v>3</v>
          </cell>
          <cell r="F947" t="str">
            <v>Life Sciences</v>
          </cell>
          <cell r="G947">
            <v>4</v>
          </cell>
          <cell r="H947" t="str">
            <v>Female</v>
          </cell>
          <cell r="I947">
            <v>3</v>
          </cell>
          <cell r="J947">
            <v>4</v>
          </cell>
          <cell r="K947" t="str">
            <v>Research Director</v>
          </cell>
          <cell r="L947">
            <v>1</v>
          </cell>
          <cell r="M947" t="str">
            <v>Married</v>
          </cell>
          <cell r="N947">
            <v>16880</v>
          </cell>
          <cell r="O947">
            <v>4</v>
          </cell>
          <cell r="P947" t="str">
            <v>Yes</v>
          </cell>
          <cell r="Q947">
            <v>2</v>
          </cell>
          <cell r="R947">
            <v>25</v>
          </cell>
          <cell r="S947">
            <v>3</v>
          </cell>
          <cell r="T947">
            <v>3</v>
          </cell>
          <cell r="U947">
            <v>2</v>
          </cell>
          <cell r="V947">
            <v>1</v>
          </cell>
          <cell r="W947">
            <v>2</v>
          </cell>
          <cell r="X947">
            <v>11</v>
          </cell>
          <cell r="Y947">
            <v>0</v>
          </cell>
          <cell r="Z947" t="str">
            <v>Senior</v>
          </cell>
          <cell r="AA947" t="str">
            <v>High</v>
          </cell>
          <cell r="AB947" t="str">
            <v>Mid</v>
          </cell>
          <cell r="AC947" t="str">
            <v>Low</v>
          </cell>
          <cell r="AD947">
            <v>1317</v>
          </cell>
        </row>
        <row r="948">
          <cell r="A948">
            <v>40</v>
          </cell>
          <cell r="B948" t="str">
            <v>Yes</v>
          </cell>
          <cell r="C948" t="str">
            <v>Sales</v>
          </cell>
          <cell r="D948">
            <v>25</v>
          </cell>
          <cell r="E948">
            <v>4</v>
          </cell>
          <cell r="F948" t="str">
            <v>Marketing</v>
          </cell>
          <cell r="G948">
            <v>4</v>
          </cell>
          <cell r="H948" t="str">
            <v>Male</v>
          </cell>
          <cell r="I948">
            <v>2</v>
          </cell>
          <cell r="J948">
            <v>3</v>
          </cell>
          <cell r="K948" t="str">
            <v>Sales Executive</v>
          </cell>
          <cell r="L948">
            <v>2</v>
          </cell>
          <cell r="M948" t="str">
            <v>Single</v>
          </cell>
          <cell r="N948">
            <v>9094</v>
          </cell>
          <cell r="O948">
            <v>2</v>
          </cell>
          <cell r="P948" t="str">
            <v>Yes</v>
          </cell>
          <cell r="Q948">
            <v>3</v>
          </cell>
          <cell r="R948">
            <v>9</v>
          </cell>
          <cell r="S948">
            <v>3</v>
          </cell>
          <cell r="T948">
            <v>5</v>
          </cell>
          <cell r="U948">
            <v>4</v>
          </cell>
          <cell r="V948">
            <v>1</v>
          </cell>
          <cell r="W948">
            <v>0</v>
          </cell>
          <cell r="X948">
            <v>12</v>
          </cell>
          <cell r="Y948">
            <v>1</v>
          </cell>
          <cell r="Z948" t="str">
            <v>Mid</v>
          </cell>
          <cell r="AA948" t="str">
            <v>Medium</v>
          </cell>
          <cell r="AB948" t="str">
            <v>Mid</v>
          </cell>
          <cell r="AC948" t="str">
            <v>Low</v>
          </cell>
          <cell r="AD948">
            <v>1318</v>
          </cell>
        </row>
        <row r="949">
          <cell r="A949">
            <v>52</v>
          </cell>
          <cell r="B949" t="str">
            <v>Yes</v>
          </cell>
          <cell r="C949" t="str">
            <v>Sales</v>
          </cell>
          <cell r="D949">
            <v>5</v>
          </cell>
          <cell r="E949">
            <v>3</v>
          </cell>
          <cell r="F949" t="str">
            <v>Life Sciences</v>
          </cell>
          <cell r="G949">
            <v>2</v>
          </cell>
          <cell r="H949" t="str">
            <v>Male</v>
          </cell>
          <cell r="I949">
            <v>3</v>
          </cell>
          <cell r="J949">
            <v>3</v>
          </cell>
          <cell r="K949" t="str">
            <v>Sales Executive</v>
          </cell>
          <cell r="L949">
            <v>2</v>
          </cell>
          <cell r="M949" t="str">
            <v>Single</v>
          </cell>
          <cell r="N949">
            <v>8446</v>
          </cell>
          <cell r="O949">
            <v>9</v>
          </cell>
          <cell r="P949" t="str">
            <v>Yes</v>
          </cell>
          <cell r="Q949">
            <v>3</v>
          </cell>
          <cell r="R949">
            <v>10</v>
          </cell>
          <cell r="S949">
            <v>2</v>
          </cell>
          <cell r="T949">
            <v>8</v>
          </cell>
          <cell r="U949">
            <v>7</v>
          </cell>
          <cell r="V949">
            <v>7</v>
          </cell>
          <cell r="W949">
            <v>7</v>
          </cell>
          <cell r="X949">
            <v>19</v>
          </cell>
          <cell r="Y949">
            <v>1</v>
          </cell>
          <cell r="Z949" t="str">
            <v>Senior</v>
          </cell>
          <cell r="AA949" t="str">
            <v>Medium</v>
          </cell>
          <cell r="AB949" t="str">
            <v>Long</v>
          </cell>
          <cell r="AC949" t="str">
            <v>High</v>
          </cell>
          <cell r="AD949">
            <v>1319</v>
          </cell>
        </row>
        <row r="950">
          <cell r="A950">
            <v>30</v>
          </cell>
          <cell r="B950" t="str">
            <v>No</v>
          </cell>
          <cell r="C950" t="str">
            <v>Research &amp; Development</v>
          </cell>
          <cell r="D950">
            <v>17</v>
          </cell>
          <cell r="E950">
            <v>4</v>
          </cell>
          <cell r="F950" t="str">
            <v>Medical</v>
          </cell>
          <cell r="G950">
            <v>2</v>
          </cell>
          <cell r="H950" t="str">
            <v>Female</v>
          </cell>
          <cell r="I950">
            <v>3</v>
          </cell>
          <cell r="J950">
            <v>3</v>
          </cell>
          <cell r="K950" t="str">
            <v>Manager</v>
          </cell>
          <cell r="L950">
            <v>1</v>
          </cell>
          <cell r="M950" t="str">
            <v>Married</v>
          </cell>
          <cell r="N950">
            <v>11916</v>
          </cell>
          <cell r="O950">
            <v>1</v>
          </cell>
          <cell r="P950" t="str">
            <v>Yes</v>
          </cell>
          <cell r="Q950">
            <v>4</v>
          </cell>
          <cell r="R950">
            <v>9</v>
          </cell>
          <cell r="S950">
            <v>3</v>
          </cell>
          <cell r="T950">
            <v>9</v>
          </cell>
          <cell r="U950">
            <v>1</v>
          </cell>
          <cell r="V950">
            <v>0</v>
          </cell>
          <cell r="W950">
            <v>8</v>
          </cell>
          <cell r="X950">
            <v>23</v>
          </cell>
          <cell r="Y950">
            <v>0</v>
          </cell>
          <cell r="Z950" t="str">
            <v>Mid</v>
          </cell>
          <cell r="AA950" t="str">
            <v>High</v>
          </cell>
          <cell r="AB950" t="str">
            <v>Long</v>
          </cell>
          <cell r="AC950" t="str">
            <v>High</v>
          </cell>
          <cell r="AD950">
            <v>1321</v>
          </cell>
        </row>
        <row r="951">
          <cell r="A951">
            <v>39</v>
          </cell>
          <cell r="B951" t="str">
            <v>No</v>
          </cell>
          <cell r="C951" t="str">
            <v>Research &amp; Development</v>
          </cell>
          <cell r="D951">
            <v>18</v>
          </cell>
          <cell r="E951">
            <v>2</v>
          </cell>
          <cell r="F951" t="str">
            <v>Life Sciences</v>
          </cell>
          <cell r="G951">
            <v>1</v>
          </cell>
          <cell r="H951" t="str">
            <v>Male</v>
          </cell>
          <cell r="I951">
            <v>3</v>
          </cell>
          <cell r="J951">
            <v>2</v>
          </cell>
          <cell r="K951" t="str">
            <v>Manufacturing Director</v>
          </cell>
          <cell r="L951">
            <v>3</v>
          </cell>
          <cell r="M951" t="str">
            <v>Single</v>
          </cell>
          <cell r="N951">
            <v>4534</v>
          </cell>
          <cell r="O951">
            <v>0</v>
          </cell>
          <cell r="P951" t="str">
            <v>No</v>
          </cell>
          <cell r="Q951">
            <v>1</v>
          </cell>
          <cell r="R951">
            <v>9</v>
          </cell>
          <cell r="S951">
            <v>3</v>
          </cell>
          <cell r="T951">
            <v>8</v>
          </cell>
          <cell r="U951">
            <v>7</v>
          </cell>
          <cell r="V951">
            <v>1</v>
          </cell>
          <cell r="W951">
            <v>7</v>
          </cell>
          <cell r="X951">
            <v>11</v>
          </cell>
          <cell r="Y951">
            <v>0</v>
          </cell>
          <cell r="Z951" t="str">
            <v>Mid</v>
          </cell>
          <cell r="AA951" t="str">
            <v>Low</v>
          </cell>
          <cell r="AB951" t="str">
            <v>Long</v>
          </cell>
          <cell r="AC951" t="str">
            <v>Low</v>
          </cell>
          <cell r="AD951">
            <v>1322</v>
          </cell>
        </row>
        <row r="952">
          <cell r="A952">
            <v>31</v>
          </cell>
          <cell r="B952" t="str">
            <v>No</v>
          </cell>
          <cell r="C952" t="str">
            <v>Sales</v>
          </cell>
          <cell r="D952">
            <v>2</v>
          </cell>
          <cell r="E952">
            <v>4</v>
          </cell>
          <cell r="F952" t="str">
            <v>Life Sciences</v>
          </cell>
          <cell r="G952">
            <v>4</v>
          </cell>
          <cell r="H952" t="str">
            <v>Female</v>
          </cell>
          <cell r="I952">
            <v>3</v>
          </cell>
          <cell r="J952">
            <v>3</v>
          </cell>
          <cell r="K952" t="str">
            <v>Sales Executive</v>
          </cell>
          <cell r="L952">
            <v>3</v>
          </cell>
          <cell r="M952" t="str">
            <v>Divorced</v>
          </cell>
          <cell r="N952">
            <v>9852</v>
          </cell>
          <cell r="O952">
            <v>1</v>
          </cell>
          <cell r="P952" t="str">
            <v>Yes</v>
          </cell>
          <cell r="Q952">
            <v>1</v>
          </cell>
          <cell r="R952">
            <v>10</v>
          </cell>
          <cell r="S952">
            <v>2</v>
          </cell>
          <cell r="T952">
            <v>10</v>
          </cell>
          <cell r="U952">
            <v>8</v>
          </cell>
          <cell r="V952">
            <v>9</v>
          </cell>
          <cell r="W952">
            <v>6</v>
          </cell>
          <cell r="X952">
            <v>19</v>
          </cell>
          <cell r="Y952">
            <v>0</v>
          </cell>
          <cell r="Z952" t="str">
            <v>Mid</v>
          </cell>
          <cell r="AA952" t="str">
            <v>Medium</v>
          </cell>
          <cell r="AB952" t="str">
            <v>Long</v>
          </cell>
          <cell r="AC952" t="str">
            <v>High</v>
          </cell>
          <cell r="AD952">
            <v>1324</v>
          </cell>
        </row>
        <row r="953">
          <cell r="A953">
            <v>41</v>
          </cell>
          <cell r="B953" t="str">
            <v>No</v>
          </cell>
          <cell r="C953" t="str">
            <v>Sales</v>
          </cell>
          <cell r="D953">
            <v>10</v>
          </cell>
          <cell r="E953">
            <v>2</v>
          </cell>
          <cell r="F953" t="str">
            <v>Medical</v>
          </cell>
          <cell r="G953">
            <v>3</v>
          </cell>
          <cell r="H953" t="str">
            <v>Male</v>
          </cell>
          <cell r="I953">
            <v>1</v>
          </cell>
          <cell r="J953">
            <v>2</v>
          </cell>
          <cell r="K953" t="str">
            <v>Sales Executive</v>
          </cell>
          <cell r="L953">
            <v>2</v>
          </cell>
          <cell r="M953" t="str">
            <v>Single</v>
          </cell>
          <cell r="N953">
            <v>6151</v>
          </cell>
          <cell r="O953">
            <v>1</v>
          </cell>
          <cell r="P953" t="str">
            <v>No</v>
          </cell>
          <cell r="Q953">
            <v>1</v>
          </cell>
          <cell r="R953">
            <v>19</v>
          </cell>
          <cell r="S953">
            <v>3</v>
          </cell>
          <cell r="T953">
            <v>19</v>
          </cell>
          <cell r="U953">
            <v>2</v>
          </cell>
          <cell r="V953">
            <v>11</v>
          </cell>
          <cell r="W953">
            <v>9</v>
          </cell>
          <cell r="X953">
            <v>13</v>
          </cell>
          <cell r="Y953">
            <v>0</v>
          </cell>
          <cell r="Z953" t="str">
            <v>Mid</v>
          </cell>
          <cell r="AA953" t="str">
            <v>Medium</v>
          </cell>
          <cell r="AB953" t="str">
            <v>Long</v>
          </cell>
          <cell r="AC953" t="str">
            <v>Medium</v>
          </cell>
          <cell r="AD953">
            <v>1329</v>
          </cell>
        </row>
        <row r="954">
          <cell r="A954">
            <v>31</v>
          </cell>
          <cell r="B954" t="str">
            <v>Yes</v>
          </cell>
          <cell r="C954" t="str">
            <v>Sales</v>
          </cell>
          <cell r="D954">
            <v>1</v>
          </cell>
          <cell r="E954">
            <v>3</v>
          </cell>
          <cell r="F954" t="str">
            <v>Life Sciences</v>
          </cell>
          <cell r="G954">
            <v>4</v>
          </cell>
          <cell r="H954" t="str">
            <v>Female</v>
          </cell>
          <cell r="I954">
            <v>3</v>
          </cell>
          <cell r="J954">
            <v>1</v>
          </cell>
          <cell r="K954" t="str">
            <v>Sales Representative</v>
          </cell>
          <cell r="L954">
            <v>2</v>
          </cell>
          <cell r="M954" t="str">
            <v>Single</v>
          </cell>
          <cell r="N954">
            <v>2302</v>
          </cell>
          <cell r="O954">
            <v>1</v>
          </cell>
          <cell r="P954" t="str">
            <v>Yes</v>
          </cell>
          <cell r="Q954">
            <v>1</v>
          </cell>
          <cell r="R954">
            <v>3</v>
          </cell>
          <cell r="S954">
            <v>4</v>
          </cell>
          <cell r="T954">
            <v>3</v>
          </cell>
          <cell r="U954">
            <v>2</v>
          </cell>
          <cell r="V954">
            <v>2</v>
          </cell>
          <cell r="W954">
            <v>2</v>
          </cell>
          <cell r="X954">
            <v>11</v>
          </cell>
          <cell r="Y954">
            <v>1</v>
          </cell>
          <cell r="Z954" t="str">
            <v>Mid</v>
          </cell>
          <cell r="AA954" t="str">
            <v>Low</v>
          </cell>
          <cell r="AB954" t="str">
            <v>Mid</v>
          </cell>
          <cell r="AC954" t="str">
            <v>Low</v>
          </cell>
          <cell r="AD954">
            <v>1331</v>
          </cell>
        </row>
        <row r="955">
          <cell r="A955">
            <v>44</v>
          </cell>
          <cell r="B955" t="str">
            <v>Yes</v>
          </cell>
          <cell r="C955" t="str">
            <v>Research &amp; Development</v>
          </cell>
          <cell r="D955">
            <v>3</v>
          </cell>
          <cell r="E955">
            <v>3</v>
          </cell>
          <cell r="F955" t="str">
            <v>Life Sciences</v>
          </cell>
          <cell r="G955">
            <v>1</v>
          </cell>
          <cell r="H955" t="str">
            <v>Male</v>
          </cell>
          <cell r="I955">
            <v>3</v>
          </cell>
          <cell r="J955">
            <v>1</v>
          </cell>
          <cell r="K955" t="str">
            <v>Laboratory Technician</v>
          </cell>
          <cell r="L955">
            <v>1</v>
          </cell>
          <cell r="M955" t="str">
            <v>Married</v>
          </cell>
          <cell r="N955">
            <v>2362</v>
          </cell>
          <cell r="O955">
            <v>4</v>
          </cell>
          <cell r="P955" t="str">
            <v>No</v>
          </cell>
          <cell r="Q955">
            <v>3</v>
          </cell>
          <cell r="R955">
            <v>10</v>
          </cell>
          <cell r="S955">
            <v>4</v>
          </cell>
          <cell r="T955">
            <v>3</v>
          </cell>
          <cell r="U955">
            <v>2</v>
          </cell>
          <cell r="V955">
            <v>1</v>
          </cell>
          <cell r="W955">
            <v>2</v>
          </cell>
          <cell r="X955">
            <v>12</v>
          </cell>
          <cell r="Y955">
            <v>1</v>
          </cell>
          <cell r="Z955" t="str">
            <v>Mid</v>
          </cell>
          <cell r="AA955" t="str">
            <v>Low</v>
          </cell>
          <cell r="AB955" t="str">
            <v>Mid</v>
          </cell>
          <cell r="AC955" t="str">
            <v>Low</v>
          </cell>
          <cell r="AD955">
            <v>1333</v>
          </cell>
        </row>
        <row r="956">
          <cell r="A956">
            <v>42</v>
          </cell>
          <cell r="B956" t="str">
            <v>No</v>
          </cell>
          <cell r="C956" t="str">
            <v>Research &amp; Development</v>
          </cell>
          <cell r="D956">
            <v>2</v>
          </cell>
          <cell r="E956">
            <v>1</v>
          </cell>
          <cell r="F956" t="str">
            <v>Life Sciences</v>
          </cell>
          <cell r="G956">
            <v>3</v>
          </cell>
          <cell r="H956" t="str">
            <v>Male</v>
          </cell>
          <cell r="I956">
            <v>3</v>
          </cell>
          <cell r="J956">
            <v>4</v>
          </cell>
          <cell r="K956" t="str">
            <v>Manager</v>
          </cell>
          <cell r="L956">
            <v>3</v>
          </cell>
          <cell r="M956" t="str">
            <v>Married</v>
          </cell>
          <cell r="N956">
            <v>17861</v>
          </cell>
          <cell r="O956">
            <v>0</v>
          </cell>
          <cell r="P956" t="str">
            <v>Yes</v>
          </cell>
          <cell r="Q956">
            <v>4</v>
          </cell>
          <cell r="R956">
            <v>21</v>
          </cell>
          <cell r="S956">
            <v>2</v>
          </cell>
          <cell r="T956">
            <v>20</v>
          </cell>
          <cell r="U956">
            <v>8</v>
          </cell>
          <cell r="V956">
            <v>2</v>
          </cell>
          <cell r="W956">
            <v>10</v>
          </cell>
          <cell r="X956">
            <v>13</v>
          </cell>
          <cell r="Y956">
            <v>0</v>
          </cell>
          <cell r="Z956" t="str">
            <v>Mid</v>
          </cell>
          <cell r="AA956" t="str">
            <v>High</v>
          </cell>
          <cell r="AB956" t="str">
            <v>Long</v>
          </cell>
          <cell r="AC956" t="str">
            <v>Medium</v>
          </cell>
          <cell r="AD956">
            <v>1334</v>
          </cell>
        </row>
        <row r="957">
          <cell r="A957">
            <v>55</v>
          </cell>
          <cell r="B957" t="str">
            <v>No</v>
          </cell>
          <cell r="C957" t="str">
            <v>Research &amp; Development</v>
          </cell>
          <cell r="D957">
            <v>2</v>
          </cell>
          <cell r="E957">
            <v>2</v>
          </cell>
          <cell r="F957" t="str">
            <v>Medical</v>
          </cell>
          <cell r="G957">
            <v>4</v>
          </cell>
          <cell r="H957" t="str">
            <v>Female</v>
          </cell>
          <cell r="I957">
            <v>1</v>
          </cell>
          <cell r="J957">
            <v>5</v>
          </cell>
          <cell r="K957" t="str">
            <v>Manager</v>
          </cell>
          <cell r="L957">
            <v>3</v>
          </cell>
          <cell r="M957" t="str">
            <v>Married</v>
          </cell>
          <cell r="N957">
            <v>19187</v>
          </cell>
          <cell r="O957">
            <v>4</v>
          </cell>
          <cell r="P957" t="str">
            <v>No</v>
          </cell>
          <cell r="Q957">
            <v>4</v>
          </cell>
          <cell r="R957">
            <v>23</v>
          </cell>
          <cell r="S957">
            <v>3</v>
          </cell>
          <cell r="T957">
            <v>19</v>
          </cell>
          <cell r="U957">
            <v>9</v>
          </cell>
          <cell r="V957">
            <v>9</v>
          </cell>
          <cell r="W957">
            <v>11</v>
          </cell>
          <cell r="X957">
            <v>14</v>
          </cell>
          <cell r="Y957">
            <v>0</v>
          </cell>
          <cell r="Z957" t="str">
            <v>Senior</v>
          </cell>
          <cell r="AA957" t="str">
            <v>High</v>
          </cell>
          <cell r="AB957" t="str">
            <v>Long</v>
          </cell>
          <cell r="AC957" t="str">
            <v>Medium</v>
          </cell>
          <cell r="AD957">
            <v>1336</v>
          </cell>
        </row>
        <row r="958">
          <cell r="A958">
            <v>56</v>
          </cell>
          <cell r="B958" t="str">
            <v>No</v>
          </cell>
          <cell r="C958" t="str">
            <v>Human Resources</v>
          </cell>
          <cell r="D958">
            <v>8</v>
          </cell>
          <cell r="E958">
            <v>4</v>
          </cell>
          <cell r="F958" t="str">
            <v>Life Sciences</v>
          </cell>
          <cell r="G958">
            <v>4</v>
          </cell>
          <cell r="H958" t="str">
            <v>Male</v>
          </cell>
          <cell r="I958">
            <v>3</v>
          </cell>
          <cell r="J958">
            <v>5</v>
          </cell>
          <cell r="K958" t="str">
            <v>Manager</v>
          </cell>
          <cell r="L958">
            <v>2</v>
          </cell>
          <cell r="M958" t="str">
            <v>Single</v>
          </cell>
          <cell r="N958">
            <v>19717</v>
          </cell>
          <cell r="O958">
            <v>6</v>
          </cell>
          <cell r="P958" t="str">
            <v>No</v>
          </cell>
          <cell r="Q958">
            <v>1</v>
          </cell>
          <cell r="R958">
            <v>36</v>
          </cell>
          <cell r="S958">
            <v>3</v>
          </cell>
          <cell r="T958">
            <v>7</v>
          </cell>
          <cell r="U958">
            <v>3</v>
          </cell>
          <cell r="V958">
            <v>7</v>
          </cell>
          <cell r="W958">
            <v>7</v>
          </cell>
          <cell r="X958">
            <v>14</v>
          </cell>
          <cell r="Y958">
            <v>0</v>
          </cell>
          <cell r="Z958" t="str">
            <v>Senior</v>
          </cell>
          <cell r="AA958" t="str">
            <v>High</v>
          </cell>
          <cell r="AB958" t="str">
            <v>Long</v>
          </cell>
          <cell r="AC958" t="str">
            <v>Medium</v>
          </cell>
          <cell r="AD958">
            <v>1338</v>
          </cell>
        </row>
        <row r="959">
          <cell r="A959">
            <v>40</v>
          </cell>
          <cell r="B959" t="str">
            <v>No</v>
          </cell>
          <cell r="C959" t="str">
            <v>Research &amp; Development</v>
          </cell>
          <cell r="D959">
            <v>16</v>
          </cell>
          <cell r="E959">
            <v>2</v>
          </cell>
          <cell r="F959" t="str">
            <v>Life Sciences</v>
          </cell>
          <cell r="G959">
            <v>3</v>
          </cell>
          <cell r="H959" t="str">
            <v>Male</v>
          </cell>
          <cell r="I959">
            <v>3</v>
          </cell>
          <cell r="J959">
            <v>1</v>
          </cell>
          <cell r="K959" t="str">
            <v>Research Scientist</v>
          </cell>
          <cell r="L959">
            <v>3</v>
          </cell>
          <cell r="M959" t="str">
            <v>Divorced</v>
          </cell>
          <cell r="N959">
            <v>3544</v>
          </cell>
          <cell r="O959">
            <v>9</v>
          </cell>
          <cell r="P959" t="str">
            <v>No</v>
          </cell>
          <cell r="Q959">
            <v>2</v>
          </cell>
          <cell r="R959">
            <v>6</v>
          </cell>
          <cell r="S959">
            <v>3</v>
          </cell>
          <cell r="T959">
            <v>4</v>
          </cell>
          <cell r="U959">
            <v>2</v>
          </cell>
          <cell r="V959">
            <v>0</v>
          </cell>
          <cell r="W959">
            <v>0</v>
          </cell>
          <cell r="X959">
            <v>16</v>
          </cell>
          <cell r="Y959">
            <v>0</v>
          </cell>
          <cell r="Z959" t="str">
            <v>Mid</v>
          </cell>
          <cell r="AA959" t="str">
            <v>Low</v>
          </cell>
          <cell r="AB959" t="str">
            <v>Mid</v>
          </cell>
          <cell r="AC959" t="str">
            <v>Medium</v>
          </cell>
          <cell r="AD959">
            <v>1340</v>
          </cell>
        </row>
        <row r="960">
          <cell r="A960">
            <v>34</v>
          </cell>
          <cell r="B960" t="str">
            <v>No</v>
          </cell>
          <cell r="C960" t="str">
            <v>Research &amp; Development</v>
          </cell>
          <cell r="D960">
            <v>9</v>
          </cell>
          <cell r="E960">
            <v>3</v>
          </cell>
          <cell r="F960" t="str">
            <v>Life Sciences</v>
          </cell>
          <cell r="G960">
            <v>4</v>
          </cell>
          <cell r="H960" t="str">
            <v>Male</v>
          </cell>
          <cell r="I960">
            <v>3</v>
          </cell>
          <cell r="J960">
            <v>3</v>
          </cell>
          <cell r="K960" t="str">
            <v>Healthcare Representative</v>
          </cell>
          <cell r="L960">
            <v>4</v>
          </cell>
          <cell r="M960" t="str">
            <v>Divorced</v>
          </cell>
          <cell r="N960">
            <v>8500</v>
          </cell>
          <cell r="O960">
            <v>0</v>
          </cell>
          <cell r="P960" t="str">
            <v>No</v>
          </cell>
          <cell r="Q960">
            <v>4</v>
          </cell>
          <cell r="R960">
            <v>10</v>
          </cell>
          <cell r="S960">
            <v>2</v>
          </cell>
          <cell r="T960">
            <v>9</v>
          </cell>
          <cell r="U960">
            <v>7</v>
          </cell>
          <cell r="V960">
            <v>1</v>
          </cell>
          <cell r="W960">
            <v>6</v>
          </cell>
          <cell r="X960">
            <v>11</v>
          </cell>
          <cell r="Y960">
            <v>0</v>
          </cell>
          <cell r="Z960" t="str">
            <v>Mid</v>
          </cell>
          <cell r="AA960" t="str">
            <v>Medium</v>
          </cell>
          <cell r="AB960" t="str">
            <v>Long</v>
          </cell>
          <cell r="AC960" t="str">
            <v>Low</v>
          </cell>
          <cell r="AD960">
            <v>1344</v>
          </cell>
        </row>
        <row r="961">
          <cell r="A961">
            <v>40</v>
          </cell>
          <cell r="B961" t="str">
            <v>No</v>
          </cell>
          <cell r="C961" t="str">
            <v>Research &amp; Development</v>
          </cell>
          <cell r="D961">
            <v>2</v>
          </cell>
          <cell r="E961">
            <v>3</v>
          </cell>
          <cell r="F961" t="str">
            <v>Life Sciences</v>
          </cell>
          <cell r="G961">
            <v>3</v>
          </cell>
          <cell r="H961" t="str">
            <v>Male</v>
          </cell>
          <cell r="I961">
            <v>3</v>
          </cell>
          <cell r="J961">
            <v>2</v>
          </cell>
          <cell r="K961" t="str">
            <v>Research Scientist</v>
          </cell>
          <cell r="L961">
            <v>4</v>
          </cell>
          <cell r="M961" t="str">
            <v>Single</v>
          </cell>
          <cell r="N961">
            <v>4661</v>
          </cell>
          <cell r="O961">
            <v>1</v>
          </cell>
          <cell r="P961" t="str">
            <v>No</v>
          </cell>
          <cell r="Q961">
            <v>3</v>
          </cell>
          <cell r="R961">
            <v>9</v>
          </cell>
          <cell r="S961">
            <v>3</v>
          </cell>
          <cell r="T961">
            <v>9</v>
          </cell>
          <cell r="U961">
            <v>8</v>
          </cell>
          <cell r="V961">
            <v>8</v>
          </cell>
          <cell r="W961">
            <v>8</v>
          </cell>
          <cell r="X961">
            <v>13</v>
          </cell>
          <cell r="Y961">
            <v>0</v>
          </cell>
          <cell r="Z961" t="str">
            <v>Mid</v>
          </cell>
          <cell r="AA961" t="str">
            <v>Low</v>
          </cell>
          <cell r="AB961" t="str">
            <v>Long</v>
          </cell>
          <cell r="AC961" t="str">
            <v>Medium</v>
          </cell>
          <cell r="AD961">
            <v>1346</v>
          </cell>
        </row>
        <row r="962">
          <cell r="A962">
            <v>41</v>
          </cell>
          <cell r="B962" t="str">
            <v>No</v>
          </cell>
          <cell r="C962" t="str">
            <v>Sales</v>
          </cell>
          <cell r="D962">
            <v>1</v>
          </cell>
          <cell r="E962">
            <v>3</v>
          </cell>
          <cell r="F962" t="str">
            <v>Marketing</v>
          </cell>
          <cell r="G962">
            <v>3</v>
          </cell>
          <cell r="H962" t="str">
            <v>Female</v>
          </cell>
          <cell r="I962">
            <v>3</v>
          </cell>
          <cell r="J962">
            <v>2</v>
          </cell>
          <cell r="K962" t="str">
            <v>Sales Executive</v>
          </cell>
          <cell r="L962">
            <v>1</v>
          </cell>
          <cell r="M962" t="str">
            <v>Divorced</v>
          </cell>
          <cell r="N962">
            <v>4103</v>
          </cell>
          <cell r="O962">
            <v>0</v>
          </cell>
          <cell r="P962" t="str">
            <v>No</v>
          </cell>
          <cell r="Q962">
            <v>4</v>
          </cell>
          <cell r="R962">
            <v>10</v>
          </cell>
          <cell r="S962">
            <v>3</v>
          </cell>
          <cell r="T962">
            <v>9</v>
          </cell>
          <cell r="U962">
            <v>3</v>
          </cell>
          <cell r="V962">
            <v>1</v>
          </cell>
          <cell r="W962">
            <v>7</v>
          </cell>
          <cell r="X962">
            <v>17</v>
          </cell>
          <cell r="Y962">
            <v>0</v>
          </cell>
          <cell r="Z962" t="str">
            <v>Mid</v>
          </cell>
          <cell r="AA962" t="str">
            <v>Low</v>
          </cell>
          <cell r="AB962" t="str">
            <v>Long</v>
          </cell>
          <cell r="AC962" t="str">
            <v>Medium</v>
          </cell>
          <cell r="AD962">
            <v>1349</v>
          </cell>
        </row>
        <row r="963">
          <cell r="A963">
            <v>35</v>
          </cell>
          <cell r="B963" t="str">
            <v>No</v>
          </cell>
          <cell r="C963" t="str">
            <v>Research &amp; Development</v>
          </cell>
          <cell r="D963">
            <v>4</v>
          </cell>
          <cell r="E963">
            <v>4</v>
          </cell>
          <cell r="F963" t="str">
            <v>Life Sciences</v>
          </cell>
          <cell r="G963">
            <v>3</v>
          </cell>
          <cell r="H963" t="str">
            <v>Male</v>
          </cell>
          <cell r="I963">
            <v>3</v>
          </cell>
          <cell r="J963">
            <v>2</v>
          </cell>
          <cell r="K963" t="str">
            <v>Research Scientist</v>
          </cell>
          <cell r="L963">
            <v>3</v>
          </cell>
          <cell r="M963" t="str">
            <v>Single</v>
          </cell>
          <cell r="N963">
            <v>4249</v>
          </cell>
          <cell r="O963">
            <v>1</v>
          </cell>
          <cell r="P963" t="str">
            <v>Yes</v>
          </cell>
          <cell r="Q963">
            <v>2</v>
          </cell>
          <cell r="R963">
            <v>9</v>
          </cell>
          <cell r="S963">
            <v>3</v>
          </cell>
          <cell r="T963">
            <v>9</v>
          </cell>
          <cell r="U963">
            <v>6</v>
          </cell>
          <cell r="V963">
            <v>1</v>
          </cell>
          <cell r="W963">
            <v>1</v>
          </cell>
          <cell r="X963">
            <v>11</v>
          </cell>
          <cell r="Y963">
            <v>0</v>
          </cell>
          <cell r="Z963" t="str">
            <v>Mid</v>
          </cell>
          <cell r="AA963" t="str">
            <v>Low</v>
          </cell>
          <cell r="AB963" t="str">
            <v>Long</v>
          </cell>
          <cell r="AC963" t="str">
            <v>Low</v>
          </cell>
          <cell r="AD963">
            <v>1350</v>
          </cell>
        </row>
        <row r="964">
          <cell r="A964">
            <v>51</v>
          </cell>
          <cell r="B964" t="str">
            <v>No</v>
          </cell>
          <cell r="C964" t="str">
            <v>Human Resources</v>
          </cell>
          <cell r="D964">
            <v>5</v>
          </cell>
          <cell r="E964">
            <v>3</v>
          </cell>
          <cell r="F964" t="str">
            <v>Life Sciences</v>
          </cell>
          <cell r="G964">
            <v>3</v>
          </cell>
          <cell r="H964" t="str">
            <v>Male</v>
          </cell>
          <cell r="I964">
            <v>3</v>
          </cell>
          <cell r="J964">
            <v>4</v>
          </cell>
          <cell r="K964" t="str">
            <v>Manager</v>
          </cell>
          <cell r="L964">
            <v>2</v>
          </cell>
          <cell r="M964" t="str">
            <v>Divorced</v>
          </cell>
          <cell r="N964">
            <v>14026</v>
          </cell>
          <cell r="O964">
            <v>1</v>
          </cell>
          <cell r="P964" t="str">
            <v>Yes</v>
          </cell>
          <cell r="Q964">
            <v>2</v>
          </cell>
          <cell r="R964">
            <v>33</v>
          </cell>
          <cell r="S964">
            <v>3</v>
          </cell>
          <cell r="T964">
            <v>33</v>
          </cell>
          <cell r="U964">
            <v>9</v>
          </cell>
          <cell r="V964">
            <v>0</v>
          </cell>
          <cell r="W964">
            <v>10</v>
          </cell>
          <cell r="X964">
            <v>11</v>
          </cell>
          <cell r="Y964">
            <v>0</v>
          </cell>
          <cell r="Z964" t="str">
            <v>Senior</v>
          </cell>
          <cell r="AA964" t="str">
            <v>High</v>
          </cell>
          <cell r="AB964" t="str">
            <v>Long</v>
          </cell>
          <cell r="AC964" t="str">
            <v>Low</v>
          </cell>
          <cell r="AD964">
            <v>1352</v>
          </cell>
        </row>
        <row r="965">
          <cell r="A965">
            <v>38</v>
          </cell>
          <cell r="B965" t="str">
            <v>No</v>
          </cell>
          <cell r="C965" t="str">
            <v>Sales</v>
          </cell>
          <cell r="D965">
            <v>2</v>
          </cell>
          <cell r="E965">
            <v>2</v>
          </cell>
          <cell r="F965" t="str">
            <v>Life Sciences</v>
          </cell>
          <cell r="G965">
            <v>2</v>
          </cell>
          <cell r="H965" t="str">
            <v>Female</v>
          </cell>
          <cell r="I965">
            <v>3</v>
          </cell>
          <cell r="J965">
            <v>2</v>
          </cell>
          <cell r="K965" t="str">
            <v>Sales Executive</v>
          </cell>
          <cell r="L965">
            <v>1</v>
          </cell>
          <cell r="M965" t="str">
            <v>Divorced</v>
          </cell>
          <cell r="N965">
            <v>6893</v>
          </cell>
          <cell r="O965">
            <v>3</v>
          </cell>
          <cell r="P965" t="str">
            <v>No</v>
          </cell>
          <cell r="Q965">
            <v>4</v>
          </cell>
          <cell r="R965">
            <v>11</v>
          </cell>
          <cell r="S965">
            <v>3</v>
          </cell>
          <cell r="T965">
            <v>7</v>
          </cell>
          <cell r="U965">
            <v>7</v>
          </cell>
          <cell r="V965">
            <v>1</v>
          </cell>
          <cell r="W965">
            <v>7</v>
          </cell>
          <cell r="X965">
            <v>15</v>
          </cell>
          <cell r="Y965">
            <v>0</v>
          </cell>
          <cell r="Z965" t="str">
            <v>Mid</v>
          </cell>
          <cell r="AA965" t="str">
            <v>Medium</v>
          </cell>
          <cell r="AB965" t="str">
            <v>Long</v>
          </cell>
          <cell r="AC965" t="str">
            <v>Medium</v>
          </cell>
          <cell r="AD965">
            <v>1355</v>
          </cell>
        </row>
        <row r="966">
          <cell r="A966">
            <v>34</v>
          </cell>
          <cell r="B966" t="str">
            <v>No</v>
          </cell>
          <cell r="C966" t="str">
            <v>Sales</v>
          </cell>
          <cell r="D966">
            <v>15</v>
          </cell>
          <cell r="E966">
            <v>2</v>
          </cell>
          <cell r="F966" t="str">
            <v>Medical</v>
          </cell>
          <cell r="G966">
            <v>3</v>
          </cell>
          <cell r="H966" t="str">
            <v>Female</v>
          </cell>
          <cell r="I966">
            <v>3</v>
          </cell>
          <cell r="J966">
            <v>2</v>
          </cell>
          <cell r="K966" t="str">
            <v>Sales Executive</v>
          </cell>
          <cell r="L966">
            <v>1</v>
          </cell>
          <cell r="M966" t="str">
            <v>Single</v>
          </cell>
          <cell r="N966">
            <v>6125</v>
          </cell>
          <cell r="O966">
            <v>1</v>
          </cell>
          <cell r="P966" t="str">
            <v>No</v>
          </cell>
          <cell r="Q966">
            <v>4</v>
          </cell>
          <cell r="R966">
            <v>10</v>
          </cell>
          <cell r="S966">
            <v>4</v>
          </cell>
          <cell r="T966">
            <v>10</v>
          </cell>
          <cell r="U966">
            <v>8</v>
          </cell>
          <cell r="V966">
            <v>9</v>
          </cell>
          <cell r="W966">
            <v>6</v>
          </cell>
          <cell r="X966">
            <v>12</v>
          </cell>
          <cell r="Y966">
            <v>0</v>
          </cell>
          <cell r="Z966" t="str">
            <v>Mid</v>
          </cell>
          <cell r="AA966" t="str">
            <v>Medium</v>
          </cell>
          <cell r="AB966" t="str">
            <v>Long</v>
          </cell>
          <cell r="AC966" t="str">
            <v>Low</v>
          </cell>
          <cell r="AD966">
            <v>1356</v>
          </cell>
        </row>
        <row r="967">
          <cell r="A967">
            <v>25</v>
          </cell>
          <cell r="B967" t="str">
            <v>No</v>
          </cell>
          <cell r="C967" t="str">
            <v>Research &amp; Development</v>
          </cell>
          <cell r="D967">
            <v>19</v>
          </cell>
          <cell r="E967">
            <v>1</v>
          </cell>
          <cell r="F967" t="str">
            <v>Medical</v>
          </cell>
          <cell r="G967">
            <v>4</v>
          </cell>
          <cell r="H967" t="str">
            <v>Male</v>
          </cell>
          <cell r="I967">
            <v>3</v>
          </cell>
          <cell r="J967">
            <v>1</v>
          </cell>
          <cell r="K967" t="str">
            <v>Laboratory Technician</v>
          </cell>
          <cell r="L967">
            <v>4</v>
          </cell>
          <cell r="M967" t="str">
            <v>Married</v>
          </cell>
          <cell r="N967">
            <v>3669</v>
          </cell>
          <cell r="O967">
            <v>3</v>
          </cell>
          <cell r="P967" t="str">
            <v>No</v>
          </cell>
          <cell r="Q967">
            <v>3</v>
          </cell>
          <cell r="R967">
            <v>7</v>
          </cell>
          <cell r="S967">
            <v>2</v>
          </cell>
          <cell r="T967">
            <v>3</v>
          </cell>
          <cell r="U967">
            <v>2</v>
          </cell>
          <cell r="V967">
            <v>1</v>
          </cell>
          <cell r="W967">
            <v>2</v>
          </cell>
          <cell r="X967">
            <v>11</v>
          </cell>
          <cell r="Y967">
            <v>0</v>
          </cell>
          <cell r="Z967" t="str">
            <v>Young</v>
          </cell>
          <cell r="AA967" t="str">
            <v>Low</v>
          </cell>
          <cell r="AB967" t="str">
            <v>Mid</v>
          </cell>
          <cell r="AC967" t="str">
            <v>Low</v>
          </cell>
          <cell r="AD967">
            <v>1358</v>
          </cell>
        </row>
        <row r="968">
          <cell r="A968">
            <v>58</v>
          </cell>
          <cell r="B968" t="str">
            <v>Yes</v>
          </cell>
          <cell r="C968" t="str">
            <v>Research &amp; Development</v>
          </cell>
          <cell r="D968">
            <v>7</v>
          </cell>
          <cell r="E968">
            <v>4</v>
          </cell>
          <cell r="F968" t="str">
            <v>Medical</v>
          </cell>
          <cell r="G968">
            <v>3</v>
          </cell>
          <cell r="H968" t="str">
            <v>Female</v>
          </cell>
          <cell r="I968">
            <v>2</v>
          </cell>
          <cell r="J968">
            <v>3</v>
          </cell>
          <cell r="K968" t="str">
            <v>Manufacturing Director</v>
          </cell>
          <cell r="L968">
            <v>1</v>
          </cell>
          <cell r="M968" t="str">
            <v>Married</v>
          </cell>
          <cell r="N968">
            <v>10008</v>
          </cell>
          <cell r="O968">
            <v>7</v>
          </cell>
          <cell r="P968" t="str">
            <v>Yes</v>
          </cell>
          <cell r="Q968">
            <v>4</v>
          </cell>
          <cell r="R968">
            <v>31</v>
          </cell>
          <cell r="S968">
            <v>2</v>
          </cell>
          <cell r="T968">
            <v>10</v>
          </cell>
          <cell r="U968">
            <v>9</v>
          </cell>
          <cell r="V968">
            <v>5</v>
          </cell>
          <cell r="W968">
            <v>9</v>
          </cell>
          <cell r="X968">
            <v>14</v>
          </cell>
          <cell r="Y968">
            <v>1</v>
          </cell>
          <cell r="Z968" t="str">
            <v>Senior</v>
          </cell>
          <cell r="AA968" t="str">
            <v>High</v>
          </cell>
          <cell r="AB968" t="str">
            <v>Long</v>
          </cell>
          <cell r="AC968" t="str">
            <v>Medium</v>
          </cell>
          <cell r="AD968">
            <v>1360</v>
          </cell>
        </row>
        <row r="969">
          <cell r="A969">
            <v>40</v>
          </cell>
          <cell r="B969" t="str">
            <v>No</v>
          </cell>
          <cell r="C969" t="str">
            <v>Research &amp; Development</v>
          </cell>
          <cell r="D969">
            <v>1</v>
          </cell>
          <cell r="E969">
            <v>4</v>
          </cell>
          <cell r="F969" t="str">
            <v>Life Sciences</v>
          </cell>
          <cell r="G969">
            <v>2</v>
          </cell>
          <cell r="H969" t="str">
            <v>Male</v>
          </cell>
          <cell r="I969">
            <v>3</v>
          </cell>
          <cell r="J969">
            <v>1</v>
          </cell>
          <cell r="K969" t="str">
            <v>Laboratory Technician</v>
          </cell>
          <cell r="L969">
            <v>2</v>
          </cell>
          <cell r="M969" t="str">
            <v>Married</v>
          </cell>
          <cell r="N969">
            <v>2387</v>
          </cell>
          <cell r="O969">
            <v>3</v>
          </cell>
          <cell r="P969" t="str">
            <v>No</v>
          </cell>
          <cell r="Q969">
            <v>3</v>
          </cell>
          <cell r="R969">
            <v>7</v>
          </cell>
          <cell r="S969">
            <v>3</v>
          </cell>
          <cell r="T969">
            <v>4</v>
          </cell>
          <cell r="U969">
            <v>2</v>
          </cell>
          <cell r="V969">
            <v>0</v>
          </cell>
          <cell r="W969">
            <v>3</v>
          </cell>
          <cell r="X969">
            <v>22</v>
          </cell>
          <cell r="Y969">
            <v>0</v>
          </cell>
          <cell r="Z969" t="str">
            <v>Mid</v>
          </cell>
          <cell r="AA969" t="str">
            <v>Low</v>
          </cell>
          <cell r="AB969" t="str">
            <v>Mid</v>
          </cell>
          <cell r="AC969" t="str">
            <v>High</v>
          </cell>
          <cell r="AD969">
            <v>1361</v>
          </cell>
        </row>
        <row r="970">
          <cell r="A970">
            <v>36</v>
          </cell>
          <cell r="B970" t="str">
            <v>No</v>
          </cell>
          <cell r="C970" t="str">
            <v>Sales</v>
          </cell>
          <cell r="D970">
            <v>7</v>
          </cell>
          <cell r="E970">
            <v>3</v>
          </cell>
          <cell r="F970" t="str">
            <v>Marketing</v>
          </cell>
          <cell r="G970">
            <v>1</v>
          </cell>
          <cell r="H970" t="str">
            <v>Female</v>
          </cell>
          <cell r="I970">
            <v>4</v>
          </cell>
          <cell r="J970">
            <v>2</v>
          </cell>
          <cell r="K970" t="str">
            <v>Sales Executive</v>
          </cell>
          <cell r="L970">
            <v>1</v>
          </cell>
          <cell r="M970" t="str">
            <v>Married</v>
          </cell>
          <cell r="N970">
            <v>4639</v>
          </cell>
          <cell r="O970">
            <v>2</v>
          </cell>
          <cell r="P970" t="str">
            <v>No</v>
          </cell>
          <cell r="Q970">
            <v>4</v>
          </cell>
          <cell r="R970">
            <v>17</v>
          </cell>
          <cell r="S970">
            <v>2</v>
          </cell>
          <cell r="T970">
            <v>15</v>
          </cell>
          <cell r="U970">
            <v>7</v>
          </cell>
          <cell r="V970">
            <v>6</v>
          </cell>
          <cell r="W970">
            <v>13</v>
          </cell>
          <cell r="X970">
            <v>16</v>
          </cell>
          <cell r="Y970">
            <v>0</v>
          </cell>
          <cell r="Z970" t="str">
            <v>Mid</v>
          </cell>
          <cell r="AA970" t="str">
            <v>Low</v>
          </cell>
          <cell r="AB970" t="str">
            <v>Long</v>
          </cell>
          <cell r="AC970" t="str">
            <v>Medium</v>
          </cell>
          <cell r="AD970">
            <v>1362</v>
          </cell>
        </row>
        <row r="971">
          <cell r="A971">
            <v>48</v>
          </cell>
          <cell r="B971" t="str">
            <v>No</v>
          </cell>
          <cell r="C971" t="str">
            <v>Research &amp; Development</v>
          </cell>
          <cell r="D971">
            <v>4</v>
          </cell>
          <cell r="E971">
            <v>3</v>
          </cell>
          <cell r="F971" t="str">
            <v>Life Sciences</v>
          </cell>
          <cell r="G971">
            <v>4</v>
          </cell>
          <cell r="H971" t="str">
            <v>Male</v>
          </cell>
          <cell r="I971">
            <v>3</v>
          </cell>
          <cell r="J971">
            <v>3</v>
          </cell>
          <cell r="K971" t="str">
            <v>Manufacturing Director</v>
          </cell>
          <cell r="L971">
            <v>4</v>
          </cell>
          <cell r="M971" t="str">
            <v>Single</v>
          </cell>
          <cell r="N971">
            <v>7898</v>
          </cell>
          <cell r="O971">
            <v>1</v>
          </cell>
          <cell r="P971" t="str">
            <v>No</v>
          </cell>
          <cell r="Q971">
            <v>3</v>
          </cell>
          <cell r="R971">
            <v>11</v>
          </cell>
          <cell r="S971">
            <v>3</v>
          </cell>
          <cell r="T971">
            <v>10</v>
          </cell>
          <cell r="U971">
            <v>9</v>
          </cell>
          <cell r="V971">
            <v>0</v>
          </cell>
          <cell r="W971">
            <v>8</v>
          </cell>
          <cell r="X971">
            <v>11</v>
          </cell>
          <cell r="Y971">
            <v>0</v>
          </cell>
          <cell r="Z971" t="str">
            <v>Senior</v>
          </cell>
          <cell r="AA971" t="str">
            <v>Medium</v>
          </cell>
          <cell r="AB971" t="str">
            <v>Long</v>
          </cell>
          <cell r="AC971" t="str">
            <v>Low</v>
          </cell>
          <cell r="AD971">
            <v>1363</v>
          </cell>
        </row>
        <row r="972">
          <cell r="A972">
            <v>27</v>
          </cell>
          <cell r="B972" t="str">
            <v>No</v>
          </cell>
          <cell r="C972" t="str">
            <v>Sales</v>
          </cell>
          <cell r="D972">
            <v>11</v>
          </cell>
          <cell r="E972">
            <v>3</v>
          </cell>
          <cell r="F972" t="str">
            <v>Medical</v>
          </cell>
          <cell r="G972">
            <v>3</v>
          </cell>
          <cell r="H972" t="str">
            <v>Female</v>
          </cell>
          <cell r="I972">
            <v>4</v>
          </cell>
          <cell r="J972">
            <v>1</v>
          </cell>
          <cell r="K972" t="str">
            <v>Sales Representative</v>
          </cell>
          <cell r="L972">
            <v>4</v>
          </cell>
          <cell r="M972" t="str">
            <v>Married</v>
          </cell>
          <cell r="N972">
            <v>2534</v>
          </cell>
          <cell r="O972">
            <v>8</v>
          </cell>
          <cell r="P972" t="str">
            <v>No</v>
          </cell>
          <cell r="Q972">
            <v>2</v>
          </cell>
          <cell r="R972">
            <v>5</v>
          </cell>
          <cell r="S972">
            <v>3</v>
          </cell>
          <cell r="T972">
            <v>1</v>
          </cell>
          <cell r="U972">
            <v>0</v>
          </cell>
          <cell r="V972">
            <v>0</v>
          </cell>
          <cell r="W972">
            <v>0</v>
          </cell>
          <cell r="X972">
            <v>14</v>
          </cell>
          <cell r="Y972">
            <v>0</v>
          </cell>
          <cell r="Z972" t="str">
            <v>Young</v>
          </cell>
          <cell r="AA972" t="str">
            <v>Low</v>
          </cell>
          <cell r="AB972" t="str">
            <v>Early</v>
          </cell>
          <cell r="AC972" t="str">
            <v>Medium</v>
          </cell>
          <cell r="AD972">
            <v>1364</v>
          </cell>
        </row>
        <row r="973">
          <cell r="A973">
            <v>51</v>
          </cell>
          <cell r="B973" t="str">
            <v>No</v>
          </cell>
          <cell r="C973" t="str">
            <v>Research &amp; Development</v>
          </cell>
          <cell r="D973">
            <v>11</v>
          </cell>
          <cell r="E973">
            <v>2</v>
          </cell>
          <cell r="F973" t="str">
            <v>Technical Degree</v>
          </cell>
          <cell r="G973">
            <v>4</v>
          </cell>
          <cell r="H973" t="str">
            <v>Female</v>
          </cell>
          <cell r="I973">
            <v>2</v>
          </cell>
          <cell r="J973">
            <v>4</v>
          </cell>
          <cell r="K973" t="str">
            <v>Manufacturing Director</v>
          </cell>
          <cell r="L973">
            <v>2</v>
          </cell>
          <cell r="M973" t="str">
            <v>Single</v>
          </cell>
          <cell r="N973">
            <v>13142</v>
          </cell>
          <cell r="O973">
            <v>3</v>
          </cell>
          <cell r="P973" t="str">
            <v>No</v>
          </cell>
          <cell r="Q973">
            <v>2</v>
          </cell>
          <cell r="R973">
            <v>29</v>
          </cell>
          <cell r="S973">
            <v>2</v>
          </cell>
          <cell r="T973">
            <v>5</v>
          </cell>
          <cell r="U973">
            <v>2</v>
          </cell>
          <cell r="V973">
            <v>0</v>
          </cell>
          <cell r="W973">
            <v>3</v>
          </cell>
          <cell r="X973">
            <v>16</v>
          </cell>
          <cell r="Y973">
            <v>0</v>
          </cell>
          <cell r="Z973" t="str">
            <v>Senior</v>
          </cell>
          <cell r="AA973" t="str">
            <v>High</v>
          </cell>
          <cell r="AB973" t="str">
            <v>Mid</v>
          </cell>
          <cell r="AC973" t="str">
            <v>Medium</v>
          </cell>
          <cell r="AD973">
            <v>1367</v>
          </cell>
        </row>
        <row r="974">
          <cell r="A974">
            <v>18</v>
          </cell>
          <cell r="B974" t="str">
            <v>No</v>
          </cell>
          <cell r="C974" t="str">
            <v>Research &amp; Development</v>
          </cell>
          <cell r="D974">
            <v>1</v>
          </cell>
          <cell r="E974">
            <v>3</v>
          </cell>
          <cell r="F974" t="str">
            <v>Life Sciences</v>
          </cell>
          <cell r="G974">
            <v>4</v>
          </cell>
          <cell r="H974" t="str">
            <v>Female</v>
          </cell>
          <cell r="I974">
            <v>3</v>
          </cell>
          <cell r="J974">
            <v>1</v>
          </cell>
          <cell r="K974" t="str">
            <v>Laboratory Technician</v>
          </cell>
          <cell r="L974">
            <v>4</v>
          </cell>
          <cell r="M974" t="str">
            <v>Single</v>
          </cell>
          <cell r="N974">
            <v>1611</v>
          </cell>
          <cell r="O974">
            <v>1</v>
          </cell>
          <cell r="P974" t="str">
            <v>No</v>
          </cell>
          <cell r="Q974">
            <v>3</v>
          </cell>
          <cell r="R974">
            <v>0</v>
          </cell>
          <cell r="S974">
            <v>4</v>
          </cell>
          <cell r="T974">
            <v>0</v>
          </cell>
          <cell r="U974">
            <v>0</v>
          </cell>
          <cell r="V974">
            <v>0</v>
          </cell>
          <cell r="W974">
            <v>0</v>
          </cell>
          <cell r="X974">
            <v>15</v>
          </cell>
          <cell r="Y974">
            <v>0</v>
          </cell>
          <cell r="Z974" t="str">
            <v>Young</v>
          </cell>
          <cell r="AA974" t="str">
            <v>Low</v>
          </cell>
          <cell r="AB974" t="str">
            <v>Early</v>
          </cell>
          <cell r="AC974" t="str">
            <v>Medium</v>
          </cell>
          <cell r="AD974">
            <v>1368</v>
          </cell>
        </row>
        <row r="975">
          <cell r="A975">
            <v>35</v>
          </cell>
          <cell r="B975" t="str">
            <v>No</v>
          </cell>
          <cell r="C975" t="str">
            <v>Research &amp; Development</v>
          </cell>
          <cell r="D975">
            <v>1</v>
          </cell>
          <cell r="E975">
            <v>3</v>
          </cell>
          <cell r="F975" t="str">
            <v>Medical</v>
          </cell>
          <cell r="G975">
            <v>4</v>
          </cell>
          <cell r="H975" t="str">
            <v>Female</v>
          </cell>
          <cell r="I975">
            <v>2</v>
          </cell>
          <cell r="J975">
            <v>2</v>
          </cell>
          <cell r="K975" t="str">
            <v>Laboratory Technician</v>
          </cell>
          <cell r="L975">
            <v>4</v>
          </cell>
          <cell r="M975" t="str">
            <v>Married</v>
          </cell>
          <cell r="N975">
            <v>5363</v>
          </cell>
          <cell r="O975">
            <v>0</v>
          </cell>
          <cell r="P975" t="str">
            <v>No</v>
          </cell>
          <cell r="Q975">
            <v>2</v>
          </cell>
          <cell r="R975">
            <v>10</v>
          </cell>
          <cell r="S975">
            <v>3</v>
          </cell>
          <cell r="T975">
            <v>9</v>
          </cell>
          <cell r="U975">
            <v>7</v>
          </cell>
          <cell r="V975">
            <v>0</v>
          </cell>
          <cell r="W975">
            <v>0</v>
          </cell>
          <cell r="X975">
            <v>12</v>
          </cell>
          <cell r="Y975">
            <v>0</v>
          </cell>
          <cell r="Z975" t="str">
            <v>Mid</v>
          </cell>
          <cell r="AA975" t="str">
            <v>Medium</v>
          </cell>
          <cell r="AB975" t="str">
            <v>Long</v>
          </cell>
          <cell r="AC975" t="str">
            <v>Low</v>
          </cell>
          <cell r="AD975">
            <v>1369</v>
          </cell>
        </row>
        <row r="976">
          <cell r="A976">
            <v>27</v>
          </cell>
          <cell r="B976" t="str">
            <v>No</v>
          </cell>
          <cell r="C976" t="str">
            <v>Sales</v>
          </cell>
          <cell r="D976">
            <v>2</v>
          </cell>
          <cell r="E976">
            <v>1</v>
          </cell>
          <cell r="F976" t="str">
            <v>Life Sciences</v>
          </cell>
          <cell r="G976">
            <v>4</v>
          </cell>
          <cell r="H976" t="str">
            <v>Male</v>
          </cell>
          <cell r="I976">
            <v>1</v>
          </cell>
          <cell r="J976">
            <v>2</v>
          </cell>
          <cell r="K976" t="str">
            <v>Sales Executive</v>
          </cell>
          <cell r="L976">
            <v>4</v>
          </cell>
          <cell r="M976" t="str">
            <v>Single</v>
          </cell>
          <cell r="N976">
            <v>5071</v>
          </cell>
          <cell r="O976">
            <v>3</v>
          </cell>
          <cell r="P976" t="str">
            <v>No</v>
          </cell>
          <cell r="Q976">
            <v>2</v>
          </cell>
          <cell r="R976">
            <v>8</v>
          </cell>
          <cell r="S976">
            <v>3</v>
          </cell>
          <cell r="T976">
            <v>6</v>
          </cell>
          <cell r="U976">
            <v>2</v>
          </cell>
          <cell r="V976">
            <v>0</v>
          </cell>
          <cell r="W976">
            <v>0</v>
          </cell>
          <cell r="X976">
            <v>20</v>
          </cell>
          <cell r="Y976">
            <v>0</v>
          </cell>
          <cell r="Z976" t="str">
            <v>Young</v>
          </cell>
          <cell r="AA976" t="str">
            <v>Medium</v>
          </cell>
          <cell r="AB976" t="str">
            <v>Mid</v>
          </cell>
          <cell r="AC976" t="str">
            <v>High</v>
          </cell>
          <cell r="AD976">
            <v>1371</v>
          </cell>
        </row>
        <row r="977">
          <cell r="A977">
            <v>55</v>
          </cell>
          <cell r="B977" t="str">
            <v>Yes</v>
          </cell>
          <cell r="C977" t="str">
            <v>Sales</v>
          </cell>
          <cell r="D977">
            <v>13</v>
          </cell>
          <cell r="E977">
            <v>4</v>
          </cell>
          <cell r="F977" t="str">
            <v>Marketing</v>
          </cell>
          <cell r="G977">
            <v>1</v>
          </cell>
          <cell r="H977" t="str">
            <v>Male</v>
          </cell>
          <cell r="I977">
            <v>4</v>
          </cell>
          <cell r="J977">
            <v>4</v>
          </cell>
          <cell r="K977" t="str">
            <v>Sales Executive</v>
          </cell>
          <cell r="L977">
            <v>3</v>
          </cell>
          <cell r="M977" t="str">
            <v>Single</v>
          </cell>
          <cell r="N977">
            <v>13695</v>
          </cell>
          <cell r="O977">
            <v>6</v>
          </cell>
          <cell r="P977" t="str">
            <v>Yes</v>
          </cell>
          <cell r="Q977">
            <v>3</v>
          </cell>
          <cell r="R977">
            <v>24</v>
          </cell>
          <cell r="S977">
            <v>2</v>
          </cell>
          <cell r="T977">
            <v>19</v>
          </cell>
          <cell r="U977">
            <v>7</v>
          </cell>
          <cell r="V977">
            <v>3</v>
          </cell>
          <cell r="W977">
            <v>8</v>
          </cell>
          <cell r="X977">
            <v>17</v>
          </cell>
          <cell r="Y977">
            <v>1</v>
          </cell>
          <cell r="Z977" t="str">
            <v>Senior</v>
          </cell>
          <cell r="AA977" t="str">
            <v>High</v>
          </cell>
          <cell r="AB977" t="str">
            <v>Long</v>
          </cell>
          <cell r="AC977" t="str">
            <v>Medium</v>
          </cell>
          <cell r="AD977">
            <v>1372</v>
          </cell>
        </row>
        <row r="978">
          <cell r="A978">
            <v>56</v>
          </cell>
          <cell r="B978" t="str">
            <v>No</v>
          </cell>
          <cell r="C978" t="str">
            <v>Research &amp; Development</v>
          </cell>
          <cell r="D978">
            <v>23</v>
          </cell>
          <cell r="E978">
            <v>3</v>
          </cell>
          <cell r="F978" t="str">
            <v>Life Sciences</v>
          </cell>
          <cell r="G978">
            <v>4</v>
          </cell>
          <cell r="H978" t="str">
            <v>Male</v>
          </cell>
          <cell r="I978">
            <v>3</v>
          </cell>
          <cell r="J978">
            <v>4</v>
          </cell>
          <cell r="K978" t="str">
            <v>Manufacturing Director</v>
          </cell>
          <cell r="L978">
            <v>2</v>
          </cell>
          <cell r="M978" t="str">
            <v>Married</v>
          </cell>
          <cell r="N978">
            <v>13402</v>
          </cell>
          <cell r="O978">
            <v>4</v>
          </cell>
          <cell r="P978" t="str">
            <v>Yes</v>
          </cell>
          <cell r="Q978">
            <v>1</v>
          </cell>
          <cell r="R978">
            <v>33</v>
          </cell>
          <cell r="S978">
            <v>3</v>
          </cell>
          <cell r="T978">
            <v>19</v>
          </cell>
          <cell r="U978">
            <v>16</v>
          </cell>
          <cell r="V978">
            <v>15</v>
          </cell>
          <cell r="W978">
            <v>9</v>
          </cell>
          <cell r="X978">
            <v>12</v>
          </cell>
          <cell r="Y978">
            <v>0</v>
          </cell>
          <cell r="Z978" t="str">
            <v>Senior</v>
          </cell>
          <cell r="AA978" t="str">
            <v>High</v>
          </cell>
          <cell r="AB978" t="str">
            <v>Long</v>
          </cell>
          <cell r="AC978" t="str">
            <v>Low</v>
          </cell>
          <cell r="AD978">
            <v>1373</v>
          </cell>
        </row>
        <row r="979">
          <cell r="A979">
            <v>34</v>
          </cell>
          <cell r="B979" t="str">
            <v>No</v>
          </cell>
          <cell r="C979" t="str">
            <v>Research &amp; Development</v>
          </cell>
          <cell r="D979">
            <v>26</v>
          </cell>
          <cell r="E979">
            <v>1</v>
          </cell>
          <cell r="F979" t="str">
            <v>Technical Degree</v>
          </cell>
          <cell r="G979">
            <v>1</v>
          </cell>
          <cell r="H979" t="str">
            <v>Female</v>
          </cell>
          <cell r="I979">
            <v>2</v>
          </cell>
          <cell r="J979">
            <v>1</v>
          </cell>
          <cell r="K979" t="str">
            <v>Research Scientist</v>
          </cell>
          <cell r="L979">
            <v>3</v>
          </cell>
          <cell r="M979" t="str">
            <v>Divorced</v>
          </cell>
          <cell r="N979">
            <v>2029</v>
          </cell>
          <cell r="O979">
            <v>1</v>
          </cell>
          <cell r="P979" t="str">
            <v>No</v>
          </cell>
          <cell r="Q979">
            <v>3</v>
          </cell>
          <cell r="R979">
            <v>5</v>
          </cell>
          <cell r="S979">
            <v>3</v>
          </cell>
          <cell r="T979">
            <v>5</v>
          </cell>
          <cell r="U979">
            <v>4</v>
          </cell>
          <cell r="V979">
            <v>0</v>
          </cell>
          <cell r="W979">
            <v>0</v>
          </cell>
          <cell r="X979">
            <v>20</v>
          </cell>
          <cell r="Y979">
            <v>0</v>
          </cell>
          <cell r="Z979" t="str">
            <v>Mid</v>
          </cell>
          <cell r="AA979" t="str">
            <v>Low</v>
          </cell>
          <cell r="AB979" t="str">
            <v>Mid</v>
          </cell>
          <cell r="AC979" t="str">
            <v>High</v>
          </cell>
          <cell r="AD979">
            <v>1374</v>
          </cell>
        </row>
        <row r="980">
          <cell r="A980">
            <v>40</v>
          </cell>
          <cell r="B980" t="str">
            <v>No</v>
          </cell>
          <cell r="C980" t="str">
            <v>Research &amp; Development</v>
          </cell>
          <cell r="D980">
            <v>2</v>
          </cell>
          <cell r="E980">
            <v>1</v>
          </cell>
          <cell r="F980" t="str">
            <v>Medical</v>
          </cell>
          <cell r="G980">
            <v>2</v>
          </cell>
          <cell r="H980" t="str">
            <v>Female</v>
          </cell>
          <cell r="I980">
            <v>4</v>
          </cell>
          <cell r="J980">
            <v>2</v>
          </cell>
          <cell r="K980" t="str">
            <v>Healthcare Representative</v>
          </cell>
          <cell r="L980">
            <v>3</v>
          </cell>
          <cell r="M980" t="str">
            <v>Divorced</v>
          </cell>
          <cell r="N980">
            <v>6377</v>
          </cell>
          <cell r="O980">
            <v>5</v>
          </cell>
          <cell r="P980" t="str">
            <v>No</v>
          </cell>
          <cell r="Q980">
            <v>2</v>
          </cell>
          <cell r="R980">
            <v>15</v>
          </cell>
          <cell r="S980">
            <v>3</v>
          </cell>
          <cell r="T980">
            <v>12</v>
          </cell>
          <cell r="U980">
            <v>11</v>
          </cell>
          <cell r="V980">
            <v>11</v>
          </cell>
          <cell r="W980">
            <v>8</v>
          </cell>
          <cell r="X980">
            <v>20</v>
          </cell>
          <cell r="Y980">
            <v>0</v>
          </cell>
          <cell r="Z980" t="str">
            <v>Mid</v>
          </cell>
          <cell r="AA980" t="str">
            <v>Medium</v>
          </cell>
          <cell r="AB980" t="str">
            <v>Long</v>
          </cell>
          <cell r="AC980" t="str">
            <v>High</v>
          </cell>
          <cell r="AD980">
            <v>1375</v>
          </cell>
        </row>
        <row r="981">
          <cell r="A981">
            <v>34</v>
          </cell>
          <cell r="B981" t="str">
            <v>No</v>
          </cell>
          <cell r="C981" t="str">
            <v>Research &amp; Development</v>
          </cell>
          <cell r="D981">
            <v>29</v>
          </cell>
          <cell r="E981">
            <v>3</v>
          </cell>
          <cell r="F981" t="str">
            <v>Medical</v>
          </cell>
          <cell r="G981">
            <v>2</v>
          </cell>
          <cell r="H981" t="str">
            <v>Male</v>
          </cell>
          <cell r="I981">
            <v>3</v>
          </cell>
          <cell r="J981">
            <v>2</v>
          </cell>
          <cell r="K981" t="str">
            <v>Laboratory Technician</v>
          </cell>
          <cell r="L981">
            <v>3</v>
          </cell>
          <cell r="M981" t="str">
            <v>Married</v>
          </cell>
          <cell r="N981">
            <v>5429</v>
          </cell>
          <cell r="O981">
            <v>4</v>
          </cell>
          <cell r="P981" t="str">
            <v>No</v>
          </cell>
          <cell r="Q981">
            <v>1</v>
          </cell>
          <cell r="R981">
            <v>10</v>
          </cell>
          <cell r="S981">
            <v>3</v>
          </cell>
          <cell r="T981">
            <v>8</v>
          </cell>
          <cell r="U981">
            <v>7</v>
          </cell>
          <cell r="V981">
            <v>7</v>
          </cell>
          <cell r="W981">
            <v>7</v>
          </cell>
          <cell r="X981">
            <v>13</v>
          </cell>
          <cell r="Y981">
            <v>0</v>
          </cell>
          <cell r="Z981" t="str">
            <v>Mid</v>
          </cell>
          <cell r="AA981" t="str">
            <v>Medium</v>
          </cell>
          <cell r="AB981" t="str">
            <v>Long</v>
          </cell>
          <cell r="AC981" t="str">
            <v>Medium</v>
          </cell>
          <cell r="AD981">
            <v>1377</v>
          </cell>
        </row>
        <row r="982">
          <cell r="A982">
            <v>31</v>
          </cell>
          <cell r="B982" t="str">
            <v>Yes</v>
          </cell>
          <cell r="C982" t="str">
            <v>Sales</v>
          </cell>
          <cell r="D982">
            <v>2</v>
          </cell>
          <cell r="E982">
            <v>3</v>
          </cell>
          <cell r="F982" t="str">
            <v>Life Sciences</v>
          </cell>
          <cell r="G982">
            <v>3</v>
          </cell>
          <cell r="H982" t="str">
            <v>Female</v>
          </cell>
          <cell r="I982">
            <v>2</v>
          </cell>
          <cell r="J982">
            <v>1</v>
          </cell>
          <cell r="K982" t="str">
            <v>Sales Representative</v>
          </cell>
          <cell r="L982">
            <v>4</v>
          </cell>
          <cell r="M982" t="str">
            <v>Single</v>
          </cell>
          <cell r="N982">
            <v>2785</v>
          </cell>
          <cell r="O982">
            <v>7</v>
          </cell>
          <cell r="P982" t="str">
            <v>No</v>
          </cell>
          <cell r="Q982">
            <v>3</v>
          </cell>
          <cell r="R982">
            <v>3</v>
          </cell>
          <cell r="S982">
            <v>4</v>
          </cell>
          <cell r="T982">
            <v>1</v>
          </cell>
          <cell r="U982">
            <v>0</v>
          </cell>
          <cell r="V982">
            <v>0</v>
          </cell>
          <cell r="W982">
            <v>0</v>
          </cell>
          <cell r="X982">
            <v>14</v>
          </cell>
          <cell r="Y982">
            <v>1</v>
          </cell>
          <cell r="Z982" t="str">
            <v>Mid</v>
          </cell>
          <cell r="AA982" t="str">
            <v>Low</v>
          </cell>
          <cell r="AB982" t="str">
            <v>Early</v>
          </cell>
          <cell r="AC982" t="str">
            <v>Medium</v>
          </cell>
          <cell r="AD982">
            <v>1379</v>
          </cell>
        </row>
        <row r="983">
          <cell r="A983">
            <v>35</v>
          </cell>
          <cell r="B983" t="str">
            <v>Yes</v>
          </cell>
          <cell r="C983" t="str">
            <v>Sales</v>
          </cell>
          <cell r="D983">
            <v>18</v>
          </cell>
          <cell r="E983">
            <v>4</v>
          </cell>
          <cell r="F983" t="str">
            <v>Marketing</v>
          </cell>
          <cell r="G983">
            <v>4</v>
          </cell>
          <cell r="H983" t="str">
            <v>Female</v>
          </cell>
          <cell r="I983">
            <v>3</v>
          </cell>
          <cell r="J983">
            <v>2</v>
          </cell>
          <cell r="K983" t="str">
            <v>Sales Executive</v>
          </cell>
          <cell r="L983">
            <v>3</v>
          </cell>
          <cell r="M983" t="str">
            <v>Married</v>
          </cell>
          <cell r="N983">
            <v>4614</v>
          </cell>
          <cell r="O983">
            <v>0</v>
          </cell>
          <cell r="P983" t="str">
            <v>Yes</v>
          </cell>
          <cell r="Q983">
            <v>3</v>
          </cell>
          <cell r="R983">
            <v>5</v>
          </cell>
          <cell r="S983">
            <v>2</v>
          </cell>
          <cell r="T983">
            <v>4</v>
          </cell>
          <cell r="U983">
            <v>2</v>
          </cell>
          <cell r="V983">
            <v>3</v>
          </cell>
          <cell r="W983">
            <v>2</v>
          </cell>
          <cell r="X983">
            <v>18</v>
          </cell>
          <cell r="Y983">
            <v>1</v>
          </cell>
          <cell r="Z983" t="str">
            <v>Mid</v>
          </cell>
          <cell r="AA983" t="str">
            <v>Low</v>
          </cell>
          <cell r="AB983" t="str">
            <v>Mid</v>
          </cell>
          <cell r="AC983" t="str">
            <v>High</v>
          </cell>
          <cell r="AD983">
            <v>1380</v>
          </cell>
        </row>
        <row r="984">
          <cell r="A984">
            <v>38</v>
          </cell>
          <cell r="B984" t="str">
            <v>No</v>
          </cell>
          <cell r="C984" t="str">
            <v>Research &amp; Development</v>
          </cell>
          <cell r="D984">
            <v>7</v>
          </cell>
          <cell r="E984">
            <v>3</v>
          </cell>
          <cell r="F984" t="str">
            <v>Life Sciences</v>
          </cell>
          <cell r="G984">
            <v>4</v>
          </cell>
          <cell r="H984" t="str">
            <v>Male</v>
          </cell>
          <cell r="I984">
            <v>4</v>
          </cell>
          <cell r="J984">
            <v>1</v>
          </cell>
          <cell r="K984" t="str">
            <v>Research Scientist</v>
          </cell>
          <cell r="L984">
            <v>3</v>
          </cell>
          <cell r="M984" t="str">
            <v>Divorced</v>
          </cell>
          <cell r="N984">
            <v>2610</v>
          </cell>
          <cell r="O984">
            <v>1</v>
          </cell>
          <cell r="P984" t="str">
            <v>No</v>
          </cell>
          <cell r="Q984">
            <v>4</v>
          </cell>
          <cell r="R984">
            <v>4</v>
          </cell>
          <cell r="S984">
            <v>3</v>
          </cell>
          <cell r="T984">
            <v>4</v>
          </cell>
          <cell r="U984">
            <v>2</v>
          </cell>
          <cell r="V984">
            <v>0</v>
          </cell>
          <cell r="W984">
            <v>3</v>
          </cell>
          <cell r="X984">
            <v>11</v>
          </cell>
          <cell r="Y984">
            <v>0</v>
          </cell>
          <cell r="Z984" t="str">
            <v>Mid</v>
          </cell>
          <cell r="AA984" t="str">
            <v>Low</v>
          </cell>
          <cell r="AB984" t="str">
            <v>Mid</v>
          </cell>
          <cell r="AC984" t="str">
            <v>Low</v>
          </cell>
          <cell r="AD984">
            <v>1382</v>
          </cell>
        </row>
        <row r="985">
          <cell r="A985">
            <v>34</v>
          </cell>
          <cell r="B985" t="str">
            <v>No</v>
          </cell>
          <cell r="C985" t="str">
            <v>Research &amp; Development</v>
          </cell>
          <cell r="D985">
            <v>2</v>
          </cell>
          <cell r="E985">
            <v>4</v>
          </cell>
          <cell r="F985" t="str">
            <v>Technical Degree</v>
          </cell>
          <cell r="G985">
            <v>3</v>
          </cell>
          <cell r="H985" t="str">
            <v>Female</v>
          </cell>
          <cell r="I985">
            <v>3</v>
          </cell>
          <cell r="J985">
            <v>2</v>
          </cell>
          <cell r="K985" t="str">
            <v>Healthcare Representative</v>
          </cell>
          <cell r="L985">
            <v>4</v>
          </cell>
          <cell r="M985" t="str">
            <v>Single</v>
          </cell>
          <cell r="N985">
            <v>6687</v>
          </cell>
          <cell r="O985">
            <v>1</v>
          </cell>
          <cell r="P985" t="str">
            <v>No</v>
          </cell>
          <cell r="Q985">
            <v>4</v>
          </cell>
          <cell r="R985">
            <v>14</v>
          </cell>
          <cell r="S985">
            <v>4</v>
          </cell>
          <cell r="T985">
            <v>14</v>
          </cell>
          <cell r="U985">
            <v>11</v>
          </cell>
          <cell r="V985">
            <v>4</v>
          </cell>
          <cell r="W985">
            <v>11</v>
          </cell>
          <cell r="X985">
            <v>11</v>
          </cell>
          <cell r="Y985">
            <v>0</v>
          </cell>
          <cell r="Z985" t="str">
            <v>Mid</v>
          </cell>
          <cell r="AA985" t="str">
            <v>Medium</v>
          </cell>
          <cell r="AB985" t="str">
            <v>Long</v>
          </cell>
          <cell r="AC985" t="str">
            <v>Low</v>
          </cell>
          <cell r="AD985">
            <v>1383</v>
          </cell>
        </row>
        <row r="986">
          <cell r="A986">
            <v>28</v>
          </cell>
          <cell r="B986" t="str">
            <v>No</v>
          </cell>
          <cell r="C986" t="str">
            <v>Sales</v>
          </cell>
          <cell r="D986">
            <v>26</v>
          </cell>
          <cell r="E986">
            <v>3</v>
          </cell>
          <cell r="F986" t="str">
            <v>Life Sciences</v>
          </cell>
          <cell r="G986">
            <v>3</v>
          </cell>
          <cell r="H986" t="str">
            <v>Male</v>
          </cell>
          <cell r="I986">
            <v>2</v>
          </cell>
          <cell r="J986">
            <v>2</v>
          </cell>
          <cell r="K986" t="str">
            <v>Sales Executive</v>
          </cell>
          <cell r="L986">
            <v>1</v>
          </cell>
          <cell r="M986" t="str">
            <v>Married</v>
          </cell>
          <cell r="N986">
            <v>4724</v>
          </cell>
          <cell r="O986">
            <v>1</v>
          </cell>
          <cell r="P986" t="str">
            <v>No</v>
          </cell>
          <cell r="Q986">
            <v>3</v>
          </cell>
          <cell r="R986">
            <v>5</v>
          </cell>
          <cell r="S986">
            <v>3</v>
          </cell>
          <cell r="T986">
            <v>5</v>
          </cell>
          <cell r="U986">
            <v>3</v>
          </cell>
          <cell r="V986">
            <v>0</v>
          </cell>
          <cell r="W986">
            <v>4</v>
          </cell>
          <cell r="X986">
            <v>11</v>
          </cell>
          <cell r="Y986">
            <v>0</v>
          </cell>
          <cell r="Z986" t="str">
            <v>Young</v>
          </cell>
          <cell r="AA986" t="str">
            <v>Low</v>
          </cell>
          <cell r="AB986" t="str">
            <v>Mid</v>
          </cell>
          <cell r="AC986" t="str">
            <v>Low</v>
          </cell>
          <cell r="AD986">
            <v>1387</v>
          </cell>
        </row>
        <row r="987">
          <cell r="A987">
            <v>31</v>
          </cell>
          <cell r="B987" t="str">
            <v>Yes</v>
          </cell>
          <cell r="C987" t="str">
            <v>Research &amp; Development</v>
          </cell>
          <cell r="D987">
            <v>22</v>
          </cell>
          <cell r="E987">
            <v>4</v>
          </cell>
          <cell r="F987" t="str">
            <v>Medical</v>
          </cell>
          <cell r="G987">
            <v>4</v>
          </cell>
          <cell r="H987" t="str">
            <v>Male</v>
          </cell>
          <cell r="I987">
            <v>3</v>
          </cell>
          <cell r="J987">
            <v>2</v>
          </cell>
          <cell r="K987" t="str">
            <v>Manufacturing Director</v>
          </cell>
          <cell r="L987">
            <v>3</v>
          </cell>
          <cell r="M987" t="str">
            <v>Married</v>
          </cell>
          <cell r="N987">
            <v>6179</v>
          </cell>
          <cell r="O987">
            <v>1</v>
          </cell>
          <cell r="P987" t="str">
            <v>Yes</v>
          </cell>
          <cell r="Q987">
            <v>4</v>
          </cell>
          <cell r="R987">
            <v>10</v>
          </cell>
          <cell r="S987">
            <v>2</v>
          </cell>
          <cell r="T987">
            <v>10</v>
          </cell>
          <cell r="U987">
            <v>2</v>
          </cell>
          <cell r="V987">
            <v>6</v>
          </cell>
          <cell r="W987">
            <v>7</v>
          </cell>
          <cell r="X987">
            <v>15</v>
          </cell>
          <cell r="Y987">
            <v>1</v>
          </cell>
          <cell r="Z987" t="str">
            <v>Mid</v>
          </cell>
          <cell r="AA987" t="str">
            <v>Medium</v>
          </cell>
          <cell r="AB987" t="str">
            <v>Long</v>
          </cell>
          <cell r="AC987" t="str">
            <v>Medium</v>
          </cell>
          <cell r="AD987">
            <v>1389</v>
          </cell>
        </row>
        <row r="988">
          <cell r="A988">
            <v>39</v>
          </cell>
          <cell r="B988" t="str">
            <v>No</v>
          </cell>
          <cell r="C988" t="str">
            <v>Sales</v>
          </cell>
          <cell r="D988">
            <v>21</v>
          </cell>
          <cell r="E988">
            <v>4</v>
          </cell>
          <cell r="F988" t="str">
            <v>Life Sciences</v>
          </cell>
          <cell r="G988">
            <v>1</v>
          </cell>
          <cell r="H988" t="str">
            <v>Male</v>
          </cell>
          <cell r="I988">
            <v>2</v>
          </cell>
          <cell r="J988">
            <v>2</v>
          </cell>
          <cell r="K988" t="str">
            <v>Sales Executive</v>
          </cell>
          <cell r="L988">
            <v>4</v>
          </cell>
          <cell r="M988" t="str">
            <v>Married</v>
          </cell>
          <cell r="N988">
            <v>6120</v>
          </cell>
          <cell r="O988">
            <v>3</v>
          </cell>
          <cell r="P988" t="str">
            <v>Yes</v>
          </cell>
          <cell r="Q988">
            <v>4</v>
          </cell>
          <cell r="R988">
            <v>8</v>
          </cell>
          <cell r="S988">
            <v>4</v>
          </cell>
          <cell r="T988">
            <v>5</v>
          </cell>
          <cell r="U988">
            <v>4</v>
          </cell>
          <cell r="V988">
            <v>1</v>
          </cell>
          <cell r="W988">
            <v>4</v>
          </cell>
          <cell r="X988">
            <v>12</v>
          </cell>
          <cell r="Y988">
            <v>0</v>
          </cell>
          <cell r="Z988" t="str">
            <v>Mid</v>
          </cell>
          <cell r="AA988" t="str">
            <v>Medium</v>
          </cell>
          <cell r="AB988" t="str">
            <v>Mid</v>
          </cell>
          <cell r="AC988" t="str">
            <v>Low</v>
          </cell>
          <cell r="AD988">
            <v>1390</v>
          </cell>
        </row>
        <row r="989">
          <cell r="A989">
            <v>51</v>
          </cell>
          <cell r="B989" t="str">
            <v>No</v>
          </cell>
          <cell r="C989" t="str">
            <v>Sales</v>
          </cell>
          <cell r="D989">
            <v>2</v>
          </cell>
          <cell r="E989">
            <v>3</v>
          </cell>
          <cell r="F989" t="str">
            <v>Marketing</v>
          </cell>
          <cell r="G989">
            <v>2</v>
          </cell>
          <cell r="H989" t="str">
            <v>Male</v>
          </cell>
          <cell r="I989">
            <v>3</v>
          </cell>
          <cell r="J989">
            <v>3</v>
          </cell>
          <cell r="K989" t="str">
            <v>Sales Executive</v>
          </cell>
          <cell r="L989">
            <v>2</v>
          </cell>
          <cell r="M989" t="str">
            <v>Married</v>
          </cell>
          <cell r="N989">
            <v>10596</v>
          </cell>
          <cell r="O989">
            <v>2</v>
          </cell>
          <cell r="P989" t="str">
            <v>No</v>
          </cell>
          <cell r="Q989">
            <v>2</v>
          </cell>
          <cell r="R989">
            <v>14</v>
          </cell>
          <cell r="S989">
            <v>3</v>
          </cell>
          <cell r="T989">
            <v>4</v>
          </cell>
          <cell r="U989">
            <v>2</v>
          </cell>
          <cell r="V989">
            <v>3</v>
          </cell>
          <cell r="W989">
            <v>2</v>
          </cell>
          <cell r="X989">
            <v>11</v>
          </cell>
          <cell r="Y989">
            <v>0</v>
          </cell>
          <cell r="Z989" t="str">
            <v>Senior</v>
          </cell>
          <cell r="AA989" t="str">
            <v>High</v>
          </cell>
          <cell r="AB989" t="str">
            <v>Mid</v>
          </cell>
          <cell r="AC989" t="str">
            <v>Low</v>
          </cell>
          <cell r="AD989">
            <v>1391</v>
          </cell>
        </row>
        <row r="990">
          <cell r="A990">
            <v>41</v>
          </cell>
          <cell r="B990" t="str">
            <v>No</v>
          </cell>
          <cell r="C990" t="str">
            <v>Research &amp; Development</v>
          </cell>
          <cell r="D990">
            <v>22</v>
          </cell>
          <cell r="E990">
            <v>3</v>
          </cell>
          <cell r="F990" t="str">
            <v>Life Sciences</v>
          </cell>
          <cell r="G990">
            <v>4</v>
          </cell>
          <cell r="H990" t="str">
            <v>Female</v>
          </cell>
          <cell r="I990">
            <v>3</v>
          </cell>
          <cell r="J990">
            <v>2</v>
          </cell>
          <cell r="K990" t="str">
            <v>Research Scientist</v>
          </cell>
          <cell r="L990">
            <v>4</v>
          </cell>
          <cell r="M990" t="str">
            <v>Divorced</v>
          </cell>
          <cell r="N990">
            <v>5467</v>
          </cell>
          <cell r="O990">
            <v>3</v>
          </cell>
          <cell r="P990" t="str">
            <v>Yes</v>
          </cell>
          <cell r="Q990">
            <v>1</v>
          </cell>
          <cell r="R990">
            <v>12</v>
          </cell>
          <cell r="S990">
            <v>2</v>
          </cell>
          <cell r="T990">
            <v>6</v>
          </cell>
          <cell r="U990">
            <v>2</v>
          </cell>
          <cell r="V990">
            <v>3</v>
          </cell>
          <cell r="W990">
            <v>3</v>
          </cell>
          <cell r="X990">
            <v>14</v>
          </cell>
          <cell r="Y990">
            <v>0</v>
          </cell>
          <cell r="Z990" t="str">
            <v>Mid</v>
          </cell>
          <cell r="AA990" t="str">
            <v>Medium</v>
          </cell>
          <cell r="AB990" t="str">
            <v>Mid</v>
          </cell>
          <cell r="AC990" t="str">
            <v>Medium</v>
          </cell>
          <cell r="AD990">
            <v>1392</v>
          </cell>
        </row>
        <row r="991">
          <cell r="A991">
            <v>37</v>
          </cell>
          <cell r="B991" t="str">
            <v>No</v>
          </cell>
          <cell r="C991" t="str">
            <v>Research &amp; Development</v>
          </cell>
          <cell r="D991">
            <v>4</v>
          </cell>
          <cell r="E991">
            <v>1</v>
          </cell>
          <cell r="F991" t="str">
            <v>Life Sciences</v>
          </cell>
          <cell r="G991">
            <v>3</v>
          </cell>
          <cell r="H991" t="str">
            <v>Male</v>
          </cell>
          <cell r="I991">
            <v>3</v>
          </cell>
          <cell r="J991">
            <v>1</v>
          </cell>
          <cell r="K991" t="str">
            <v>Research Scientist</v>
          </cell>
          <cell r="L991">
            <v>3</v>
          </cell>
          <cell r="M991" t="str">
            <v>Married</v>
          </cell>
          <cell r="N991">
            <v>2996</v>
          </cell>
          <cell r="O991">
            <v>7</v>
          </cell>
          <cell r="P991" t="str">
            <v>Yes</v>
          </cell>
          <cell r="Q991">
            <v>4</v>
          </cell>
          <cell r="R991">
            <v>8</v>
          </cell>
          <cell r="S991">
            <v>3</v>
          </cell>
          <cell r="T991">
            <v>6</v>
          </cell>
          <cell r="U991">
            <v>4</v>
          </cell>
          <cell r="V991">
            <v>1</v>
          </cell>
          <cell r="W991">
            <v>3</v>
          </cell>
          <cell r="X991">
            <v>15</v>
          </cell>
          <cell r="Y991">
            <v>0</v>
          </cell>
          <cell r="Z991" t="str">
            <v>Mid</v>
          </cell>
          <cell r="AA991" t="str">
            <v>Low</v>
          </cell>
          <cell r="AB991" t="str">
            <v>Mid</v>
          </cell>
          <cell r="AC991" t="str">
            <v>Medium</v>
          </cell>
          <cell r="AD991">
            <v>1394</v>
          </cell>
        </row>
        <row r="992">
          <cell r="A992">
            <v>33</v>
          </cell>
          <cell r="B992" t="str">
            <v>No</v>
          </cell>
          <cell r="C992" t="str">
            <v>Sales</v>
          </cell>
          <cell r="D992">
            <v>5</v>
          </cell>
          <cell r="E992">
            <v>1</v>
          </cell>
          <cell r="F992" t="str">
            <v>Life Sciences</v>
          </cell>
          <cell r="G992">
            <v>2</v>
          </cell>
          <cell r="H992" t="str">
            <v>Male</v>
          </cell>
          <cell r="I992">
            <v>3</v>
          </cell>
          <cell r="J992">
            <v>2</v>
          </cell>
          <cell r="K992" t="str">
            <v>Sales Executive</v>
          </cell>
          <cell r="L992">
            <v>4</v>
          </cell>
          <cell r="M992" t="str">
            <v>Married</v>
          </cell>
          <cell r="N992">
            <v>9998</v>
          </cell>
          <cell r="O992">
            <v>6</v>
          </cell>
          <cell r="P992" t="str">
            <v>No</v>
          </cell>
          <cell r="Q992">
            <v>1</v>
          </cell>
          <cell r="R992">
            <v>8</v>
          </cell>
          <cell r="S992">
            <v>4</v>
          </cell>
          <cell r="T992">
            <v>5</v>
          </cell>
          <cell r="U992">
            <v>4</v>
          </cell>
          <cell r="V992">
            <v>1</v>
          </cell>
          <cell r="W992">
            <v>2</v>
          </cell>
          <cell r="X992">
            <v>13</v>
          </cell>
          <cell r="Y992">
            <v>0</v>
          </cell>
          <cell r="Z992" t="str">
            <v>Mid</v>
          </cell>
          <cell r="AA992" t="str">
            <v>Medium</v>
          </cell>
          <cell r="AB992" t="str">
            <v>Mid</v>
          </cell>
          <cell r="AC992" t="str">
            <v>Medium</v>
          </cell>
          <cell r="AD992">
            <v>1395</v>
          </cell>
        </row>
        <row r="993">
          <cell r="A993">
            <v>32</v>
          </cell>
          <cell r="B993" t="str">
            <v>No</v>
          </cell>
          <cell r="C993" t="str">
            <v>Sales</v>
          </cell>
          <cell r="D993">
            <v>2</v>
          </cell>
          <cell r="E993">
            <v>1</v>
          </cell>
          <cell r="F993" t="str">
            <v>Marketing</v>
          </cell>
          <cell r="G993">
            <v>3</v>
          </cell>
          <cell r="H993" t="str">
            <v>Male</v>
          </cell>
          <cell r="I993">
            <v>3</v>
          </cell>
          <cell r="J993">
            <v>2</v>
          </cell>
          <cell r="K993" t="str">
            <v>Sales Executive</v>
          </cell>
          <cell r="L993">
            <v>2</v>
          </cell>
          <cell r="M993" t="str">
            <v>Married</v>
          </cell>
          <cell r="N993">
            <v>4078</v>
          </cell>
          <cell r="O993">
            <v>0</v>
          </cell>
          <cell r="P993" t="str">
            <v>Yes</v>
          </cell>
          <cell r="Q993">
            <v>1</v>
          </cell>
          <cell r="R993">
            <v>4</v>
          </cell>
          <cell r="S993">
            <v>2</v>
          </cell>
          <cell r="T993">
            <v>3</v>
          </cell>
          <cell r="U993">
            <v>2</v>
          </cell>
          <cell r="V993">
            <v>1</v>
          </cell>
          <cell r="W993">
            <v>2</v>
          </cell>
          <cell r="X993">
            <v>13</v>
          </cell>
          <cell r="Y993">
            <v>0</v>
          </cell>
          <cell r="Z993" t="str">
            <v>Mid</v>
          </cell>
          <cell r="AA993" t="str">
            <v>Low</v>
          </cell>
          <cell r="AB993" t="str">
            <v>Mid</v>
          </cell>
          <cell r="AC993" t="str">
            <v>Medium</v>
          </cell>
          <cell r="AD993">
            <v>1396</v>
          </cell>
        </row>
        <row r="994">
          <cell r="A994">
            <v>39</v>
          </cell>
          <cell r="B994" t="str">
            <v>No</v>
          </cell>
          <cell r="C994" t="str">
            <v>Research &amp; Development</v>
          </cell>
          <cell r="D994">
            <v>25</v>
          </cell>
          <cell r="E994">
            <v>2</v>
          </cell>
          <cell r="F994" t="str">
            <v>Life Sciences</v>
          </cell>
          <cell r="G994">
            <v>3</v>
          </cell>
          <cell r="H994" t="str">
            <v>Male</v>
          </cell>
          <cell r="I994">
            <v>3</v>
          </cell>
          <cell r="J994">
            <v>3</v>
          </cell>
          <cell r="K994" t="str">
            <v>Healthcare Representative</v>
          </cell>
          <cell r="L994">
            <v>3</v>
          </cell>
          <cell r="M994" t="str">
            <v>Married</v>
          </cell>
          <cell r="N994">
            <v>10920</v>
          </cell>
          <cell r="O994">
            <v>3</v>
          </cell>
          <cell r="P994" t="str">
            <v>No</v>
          </cell>
          <cell r="Q994">
            <v>2</v>
          </cell>
          <cell r="R994">
            <v>13</v>
          </cell>
          <cell r="S994">
            <v>3</v>
          </cell>
          <cell r="T994">
            <v>6</v>
          </cell>
          <cell r="U994">
            <v>4</v>
          </cell>
          <cell r="V994">
            <v>0</v>
          </cell>
          <cell r="W994">
            <v>5</v>
          </cell>
          <cell r="X994">
            <v>21</v>
          </cell>
          <cell r="Y994">
            <v>0</v>
          </cell>
          <cell r="Z994" t="str">
            <v>Mid</v>
          </cell>
          <cell r="AA994" t="str">
            <v>High</v>
          </cell>
          <cell r="AB994" t="str">
            <v>Mid</v>
          </cell>
          <cell r="AC994" t="str">
            <v>High</v>
          </cell>
          <cell r="AD994">
            <v>1397</v>
          </cell>
        </row>
        <row r="995">
          <cell r="A995">
            <v>25</v>
          </cell>
          <cell r="B995" t="str">
            <v>No</v>
          </cell>
          <cell r="C995" t="str">
            <v>Sales</v>
          </cell>
          <cell r="D995">
            <v>18</v>
          </cell>
          <cell r="E995">
            <v>1</v>
          </cell>
          <cell r="F995" t="str">
            <v>Life Sciences</v>
          </cell>
          <cell r="G995">
            <v>1</v>
          </cell>
          <cell r="H995" t="str">
            <v>Male</v>
          </cell>
          <cell r="I995">
            <v>4</v>
          </cell>
          <cell r="J995">
            <v>2</v>
          </cell>
          <cell r="K995" t="str">
            <v>Sales Executive</v>
          </cell>
          <cell r="L995">
            <v>3</v>
          </cell>
          <cell r="M995" t="str">
            <v>Married</v>
          </cell>
          <cell r="N995">
            <v>6232</v>
          </cell>
          <cell r="O995">
            <v>2</v>
          </cell>
          <cell r="P995" t="str">
            <v>No</v>
          </cell>
          <cell r="Q995">
            <v>2</v>
          </cell>
          <cell r="R995">
            <v>6</v>
          </cell>
          <cell r="S995">
            <v>2</v>
          </cell>
          <cell r="T995">
            <v>3</v>
          </cell>
          <cell r="U995">
            <v>2</v>
          </cell>
          <cell r="V995">
            <v>1</v>
          </cell>
          <cell r="W995">
            <v>2</v>
          </cell>
          <cell r="X995">
            <v>11</v>
          </cell>
          <cell r="Y995">
            <v>0</v>
          </cell>
          <cell r="Z995" t="str">
            <v>Young</v>
          </cell>
          <cell r="AA995" t="str">
            <v>Medium</v>
          </cell>
          <cell r="AB995" t="str">
            <v>Mid</v>
          </cell>
          <cell r="AC995" t="str">
            <v>Low</v>
          </cell>
          <cell r="AD995">
            <v>1399</v>
          </cell>
        </row>
        <row r="996">
          <cell r="A996">
            <v>52</v>
          </cell>
          <cell r="B996" t="str">
            <v>No</v>
          </cell>
          <cell r="C996" t="str">
            <v>Research &amp; Development</v>
          </cell>
          <cell r="D996">
            <v>28</v>
          </cell>
          <cell r="E996">
            <v>2</v>
          </cell>
          <cell r="F996" t="str">
            <v>Medical</v>
          </cell>
          <cell r="G996">
            <v>4</v>
          </cell>
          <cell r="H996" t="str">
            <v>Female</v>
          </cell>
          <cell r="I996">
            <v>4</v>
          </cell>
          <cell r="J996">
            <v>4</v>
          </cell>
          <cell r="K996" t="str">
            <v>Manufacturing Director</v>
          </cell>
          <cell r="L996">
            <v>3</v>
          </cell>
          <cell r="M996" t="str">
            <v>Married</v>
          </cell>
          <cell r="N996">
            <v>13247</v>
          </cell>
          <cell r="O996">
            <v>2</v>
          </cell>
          <cell r="P996" t="str">
            <v>Yes</v>
          </cell>
          <cell r="Q996">
            <v>2</v>
          </cell>
          <cell r="R996">
            <v>24</v>
          </cell>
          <cell r="S996">
            <v>2</v>
          </cell>
          <cell r="T996">
            <v>5</v>
          </cell>
          <cell r="U996">
            <v>3</v>
          </cell>
          <cell r="V996">
            <v>0</v>
          </cell>
          <cell r="W996">
            <v>2</v>
          </cell>
          <cell r="X996">
            <v>11</v>
          </cell>
          <cell r="Y996">
            <v>0</v>
          </cell>
          <cell r="Z996" t="str">
            <v>Senior</v>
          </cell>
          <cell r="AA996" t="str">
            <v>High</v>
          </cell>
          <cell r="AB996" t="str">
            <v>Mid</v>
          </cell>
          <cell r="AC996" t="str">
            <v>Low</v>
          </cell>
          <cell r="AD996">
            <v>1401</v>
          </cell>
        </row>
        <row r="997">
          <cell r="A997">
            <v>43</v>
          </cell>
          <cell r="B997" t="str">
            <v>No</v>
          </cell>
          <cell r="C997" t="str">
            <v>Research &amp; Development</v>
          </cell>
          <cell r="D997">
            <v>6</v>
          </cell>
          <cell r="E997">
            <v>3</v>
          </cell>
          <cell r="F997" t="str">
            <v>Medical</v>
          </cell>
          <cell r="G997">
            <v>1</v>
          </cell>
          <cell r="H997" t="str">
            <v>Female</v>
          </cell>
          <cell r="I997">
            <v>2</v>
          </cell>
          <cell r="J997">
            <v>2</v>
          </cell>
          <cell r="K997" t="str">
            <v>Research Scientist</v>
          </cell>
          <cell r="L997">
            <v>3</v>
          </cell>
          <cell r="M997" t="str">
            <v>Single</v>
          </cell>
          <cell r="N997">
            <v>4081</v>
          </cell>
          <cell r="O997">
            <v>1</v>
          </cell>
          <cell r="P997" t="str">
            <v>Yes</v>
          </cell>
          <cell r="Q997">
            <v>1</v>
          </cell>
          <cell r="R997">
            <v>20</v>
          </cell>
          <cell r="S997">
            <v>1</v>
          </cell>
          <cell r="T997">
            <v>20</v>
          </cell>
          <cell r="U997">
            <v>7</v>
          </cell>
          <cell r="V997">
            <v>1</v>
          </cell>
          <cell r="W997">
            <v>8</v>
          </cell>
          <cell r="X997">
            <v>14</v>
          </cell>
          <cell r="Y997">
            <v>0</v>
          </cell>
          <cell r="Z997" t="str">
            <v>Mid</v>
          </cell>
          <cell r="AA997" t="str">
            <v>Low</v>
          </cell>
          <cell r="AB997" t="str">
            <v>Long</v>
          </cell>
          <cell r="AC997" t="str">
            <v>Medium</v>
          </cell>
          <cell r="AD997">
            <v>1402</v>
          </cell>
        </row>
        <row r="998">
          <cell r="A998">
            <v>27</v>
          </cell>
          <cell r="B998" t="str">
            <v>No</v>
          </cell>
          <cell r="C998" t="str">
            <v>Sales</v>
          </cell>
          <cell r="D998">
            <v>10</v>
          </cell>
          <cell r="E998">
            <v>3</v>
          </cell>
          <cell r="F998" t="str">
            <v>Marketing</v>
          </cell>
          <cell r="G998">
            <v>4</v>
          </cell>
          <cell r="H998" t="str">
            <v>Female</v>
          </cell>
          <cell r="I998">
            <v>2</v>
          </cell>
          <cell r="J998">
            <v>2</v>
          </cell>
          <cell r="K998" t="str">
            <v>Sales Executive</v>
          </cell>
          <cell r="L998">
            <v>4</v>
          </cell>
          <cell r="M998" t="str">
            <v>Married</v>
          </cell>
          <cell r="N998">
            <v>5769</v>
          </cell>
          <cell r="O998">
            <v>1</v>
          </cell>
          <cell r="P998" t="str">
            <v>Yes</v>
          </cell>
          <cell r="Q998">
            <v>4</v>
          </cell>
          <cell r="R998">
            <v>6</v>
          </cell>
          <cell r="S998">
            <v>3</v>
          </cell>
          <cell r="T998">
            <v>6</v>
          </cell>
          <cell r="U998">
            <v>2</v>
          </cell>
          <cell r="V998">
            <v>4</v>
          </cell>
          <cell r="W998">
            <v>4</v>
          </cell>
          <cell r="X998">
            <v>11</v>
          </cell>
          <cell r="Y998">
            <v>0</v>
          </cell>
          <cell r="Z998" t="str">
            <v>Young</v>
          </cell>
          <cell r="AA998" t="str">
            <v>Medium</v>
          </cell>
          <cell r="AB998" t="str">
            <v>Mid</v>
          </cell>
          <cell r="AC998" t="str">
            <v>Low</v>
          </cell>
          <cell r="AD998">
            <v>1403</v>
          </cell>
        </row>
        <row r="999">
          <cell r="A999">
            <v>27</v>
          </cell>
          <cell r="B999" t="str">
            <v>Yes</v>
          </cell>
          <cell r="C999" t="str">
            <v>Research &amp; Development</v>
          </cell>
          <cell r="D999">
            <v>17</v>
          </cell>
          <cell r="E999">
            <v>4</v>
          </cell>
          <cell r="F999" t="str">
            <v>Life Sciences</v>
          </cell>
          <cell r="G999">
            <v>4</v>
          </cell>
          <cell r="H999" t="str">
            <v>Female</v>
          </cell>
          <cell r="I999">
            <v>3</v>
          </cell>
          <cell r="J999">
            <v>1</v>
          </cell>
          <cell r="K999" t="str">
            <v>Research Scientist</v>
          </cell>
          <cell r="L999">
            <v>3</v>
          </cell>
          <cell r="M999" t="str">
            <v>Single</v>
          </cell>
          <cell r="N999">
            <v>2394</v>
          </cell>
          <cell r="O999">
            <v>1</v>
          </cell>
          <cell r="P999" t="str">
            <v>Yes</v>
          </cell>
          <cell r="Q999">
            <v>4</v>
          </cell>
          <cell r="R999">
            <v>8</v>
          </cell>
          <cell r="S999">
            <v>3</v>
          </cell>
          <cell r="T999">
            <v>8</v>
          </cell>
          <cell r="U999">
            <v>2</v>
          </cell>
          <cell r="V999">
            <v>7</v>
          </cell>
          <cell r="W999">
            <v>7</v>
          </cell>
          <cell r="X999">
            <v>13</v>
          </cell>
          <cell r="Y999">
            <v>1</v>
          </cell>
          <cell r="Z999" t="str">
            <v>Young</v>
          </cell>
          <cell r="AA999" t="str">
            <v>Low</v>
          </cell>
          <cell r="AB999" t="str">
            <v>Long</v>
          </cell>
          <cell r="AC999" t="str">
            <v>Medium</v>
          </cell>
          <cell r="AD999">
            <v>1405</v>
          </cell>
        </row>
        <row r="1000">
          <cell r="A1000">
            <v>26</v>
          </cell>
          <cell r="B1000" t="str">
            <v>No</v>
          </cell>
          <cell r="C1000" t="str">
            <v>Research &amp; Development</v>
          </cell>
          <cell r="D1000">
            <v>2</v>
          </cell>
          <cell r="E1000">
            <v>1</v>
          </cell>
          <cell r="F1000" t="str">
            <v>Medical</v>
          </cell>
          <cell r="G1000">
            <v>1</v>
          </cell>
          <cell r="H1000" t="str">
            <v>Male</v>
          </cell>
          <cell r="I1000">
            <v>2</v>
          </cell>
          <cell r="J1000">
            <v>1</v>
          </cell>
          <cell r="K1000" t="str">
            <v>Research Scientist</v>
          </cell>
          <cell r="L1000">
            <v>4</v>
          </cell>
          <cell r="M1000" t="str">
            <v>Single</v>
          </cell>
          <cell r="N1000">
            <v>3904</v>
          </cell>
          <cell r="O1000">
            <v>0</v>
          </cell>
          <cell r="P1000" t="str">
            <v>No</v>
          </cell>
          <cell r="Q1000">
            <v>4</v>
          </cell>
          <cell r="R1000">
            <v>5</v>
          </cell>
          <cell r="S1000">
            <v>3</v>
          </cell>
          <cell r="T1000">
            <v>4</v>
          </cell>
          <cell r="U1000">
            <v>3</v>
          </cell>
          <cell r="V1000">
            <v>1</v>
          </cell>
          <cell r="W1000">
            <v>1</v>
          </cell>
          <cell r="X1000">
            <v>12</v>
          </cell>
          <cell r="Y1000">
            <v>0</v>
          </cell>
          <cell r="Z1000" t="str">
            <v>Young</v>
          </cell>
          <cell r="AA1000" t="str">
            <v>Low</v>
          </cell>
          <cell r="AB1000" t="str">
            <v>Mid</v>
          </cell>
          <cell r="AC1000" t="str">
            <v>Low</v>
          </cell>
          <cell r="AD1000">
            <v>1407</v>
          </cell>
        </row>
        <row r="1001">
          <cell r="A1001">
            <v>42</v>
          </cell>
          <cell r="B1001" t="str">
            <v>No</v>
          </cell>
          <cell r="C1001" t="str">
            <v>Human Resources</v>
          </cell>
          <cell r="D1001">
            <v>10</v>
          </cell>
          <cell r="E1001">
            <v>3</v>
          </cell>
          <cell r="F1001" t="str">
            <v>Human Resources</v>
          </cell>
          <cell r="G1001">
            <v>3</v>
          </cell>
          <cell r="H1001" t="str">
            <v>Female</v>
          </cell>
          <cell r="I1001">
            <v>3</v>
          </cell>
          <cell r="J1001">
            <v>4</v>
          </cell>
          <cell r="K1001" t="str">
            <v>Manager</v>
          </cell>
          <cell r="L1001">
            <v>1</v>
          </cell>
          <cell r="M1001" t="str">
            <v>Married</v>
          </cell>
          <cell r="N1001">
            <v>16799</v>
          </cell>
          <cell r="O1001">
            <v>0</v>
          </cell>
          <cell r="P1001" t="str">
            <v>No</v>
          </cell>
          <cell r="Q1001">
            <v>3</v>
          </cell>
          <cell r="R1001">
            <v>21</v>
          </cell>
          <cell r="S1001">
            <v>3</v>
          </cell>
          <cell r="T1001">
            <v>20</v>
          </cell>
          <cell r="U1001">
            <v>7</v>
          </cell>
          <cell r="V1001">
            <v>0</v>
          </cell>
          <cell r="W1001">
            <v>9</v>
          </cell>
          <cell r="X1001">
            <v>14</v>
          </cell>
          <cell r="Y1001">
            <v>0</v>
          </cell>
          <cell r="Z1001" t="str">
            <v>Mid</v>
          </cell>
          <cell r="AA1001" t="str">
            <v>High</v>
          </cell>
          <cell r="AB1001" t="str">
            <v>Long</v>
          </cell>
          <cell r="AC1001" t="str">
            <v>Medium</v>
          </cell>
          <cell r="AD1001">
            <v>1408</v>
          </cell>
        </row>
        <row r="1002">
          <cell r="A1002">
            <v>52</v>
          </cell>
          <cell r="B1002" t="str">
            <v>No</v>
          </cell>
          <cell r="C1002" t="str">
            <v>Research &amp; Development</v>
          </cell>
          <cell r="D1002">
            <v>8</v>
          </cell>
          <cell r="E1002">
            <v>4</v>
          </cell>
          <cell r="F1002" t="str">
            <v>Other</v>
          </cell>
          <cell r="G1002">
            <v>3</v>
          </cell>
          <cell r="H1002" t="str">
            <v>Female</v>
          </cell>
          <cell r="I1002">
            <v>3</v>
          </cell>
          <cell r="J1002">
            <v>1</v>
          </cell>
          <cell r="K1002" t="str">
            <v>Laboratory Technician</v>
          </cell>
          <cell r="L1002">
            <v>1</v>
          </cell>
          <cell r="M1002" t="str">
            <v>Married</v>
          </cell>
          <cell r="N1002">
            <v>2950</v>
          </cell>
          <cell r="O1002">
            <v>9</v>
          </cell>
          <cell r="P1002" t="str">
            <v>No</v>
          </cell>
          <cell r="Q1002">
            <v>3</v>
          </cell>
          <cell r="R1002">
            <v>12</v>
          </cell>
          <cell r="S1002">
            <v>1</v>
          </cell>
          <cell r="T1002">
            <v>5</v>
          </cell>
          <cell r="U1002">
            <v>4</v>
          </cell>
          <cell r="V1002">
            <v>0</v>
          </cell>
          <cell r="W1002">
            <v>4</v>
          </cell>
          <cell r="X1002">
            <v>13</v>
          </cell>
          <cell r="Y1002">
            <v>0</v>
          </cell>
          <cell r="Z1002" t="str">
            <v>Senior</v>
          </cell>
          <cell r="AA1002" t="str">
            <v>Low</v>
          </cell>
          <cell r="AB1002" t="str">
            <v>Mid</v>
          </cell>
          <cell r="AC1002" t="str">
            <v>Medium</v>
          </cell>
          <cell r="AD1002">
            <v>1409</v>
          </cell>
        </row>
        <row r="1003">
          <cell r="A1003">
            <v>37</v>
          </cell>
          <cell r="B1003" t="str">
            <v>No</v>
          </cell>
          <cell r="C1003" t="str">
            <v>Research &amp; Development</v>
          </cell>
          <cell r="D1003">
            <v>11</v>
          </cell>
          <cell r="E1003">
            <v>3</v>
          </cell>
          <cell r="F1003" t="str">
            <v>Medical</v>
          </cell>
          <cell r="G1003">
            <v>1</v>
          </cell>
          <cell r="H1003" t="str">
            <v>Female</v>
          </cell>
          <cell r="I1003">
            <v>3</v>
          </cell>
          <cell r="J1003">
            <v>1</v>
          </cell>
          <cell r="K1003" t="str">
            <v>Laboratory Technician</v>
          </cell>
          <cell r="L1003">
            <v>3</v>
          </cell>
          <cell r="M1003" t="str">
            <v>Single</v>
          </cell>
          <cell r="N1003">
            <v>3629</v>
          </cell>
          <cell r="O1003">
            <v>4</v>
          </cell>
          <cell r="P1003" t="str">
            <v>No</v>
          </cell>
          <cell r="Q1003">
            <v>1</v>
          </cell>
          <cell r="R1003">
            <v>8</v>
          </cell>
          <cell r="S1003">
            <v>3</v>
          </cell>
          <cell r="T1003">
            <v>3</v>
          </cell>
          <cell r="U1003">
            <v>2</v>
          </cell>
          <cell r="V1003">
            <v>0</v>
          </cell>
          <cell r="W1003">
            <v>2</v>
          </cell>
          <cell r="X1003">
            <v>18</v>
          </cell>
          <cell r="Y1003">
            <v>0</v>
          </cell>
          <cell r="Z1003" t="str">
            <v>Mid</v>
          </cell>
          <cell r="AA1003" t="str">
            <v>Low</v>
          </cell>
          <cell r="AB1003" t="str">
            <v>Mid</v>
          </cell>
          <cell r="AC1003" t="str">
            <v>High</v>
          </cell>
          <cell r="AD1003">
            <v>1411</v>
          </cell>
        </row>
        <row r="1004">
          <cell r="A1004">
            <v>35</v>
          </cell>
          <cell r="B1004" t="str">
            <v>No</v>
          </cell>
          <cell r="C1004" t="str">
            <v>Research &amp; Development</v>
          </cell>
          <cell r="D1004">
            <v>18</v>
          </cell>
          <cell r="E1004">
            <v>2</v>
          </cell>
          <cell r="F1004" t="str">
            <v>Life Sciences</v>
          </cell>
          <cell r="G1004">
            <v>3</v>
          </cell>
          <cell r="H1004" t="str">
            <v>Male</v>
          </cell>
          <cell r="I1004">
            <v>3</v>
          </cell>
          <cell r="J1004">
            <v>3</v>
          </cell>
          <cell r="K1004" t="str">
            <v>Manufacturing Director</v>
          </cell>
          <cell r="L1004">
            <v>4</v>
          </cell>
          <cell r="M1004" t="str">
            <v>Single</v>
          </cell>
          <cell r="N1004">
            <v>9362</v>
          </cell>
          <cell r="O1004">
            <v>2</v>
          </cell>
          <cell r="P1004" t="str">
            <v>No</v>
          </cell>
          <cell r="Q1004">
            <v>3</v>
          </cell>
          <cell r="R1004">
            <v>10</v>
          </cell>
          <cell r="S1004">
            <v>3</v>
          </cell>
          <cell r="T1004">
            <v>2</v>
          </cell>
          <cell r="U1004">
            <v>2</v>
          </cell>
          <cell r="V1004">
            <v>2</v>
          </cell>
          <cell r="W1004">
            <v>2</v>
          </cell>
          <cell r="X1004">
            <v>11</v>
          </cell>
          <cell r="Y1004">
            <v>0</v>
          </cell>
          <cell r="Z1004" t="str">
            <v>Mid</v>
          </cell>
          <cell r="AA1004" t="str">
            <v>Medium</v>
          </cell>
          <cell r="AB1004" t="str">
            <v>Early</v>
          </cell>
          <cell r="AC1004" t="str">
            <v>Low</v>
          </cell>
          <cell r="AD1004">
            <v>1412</v>
          </cell>
        </row>
        <row r="1005">
          <cell r="A1005">
            <v>25</v>
          </cell>
          <cell r="B1005" t="str">
            <v>No</v>
          </cell>
          <cell r="C1005" t="str">
            <v>Research &amp; Development</v>
          </cell>
          <cell r="D1005">
            <v>1</v>
          </cell>
          <cell r="E1005">
            <v>3</v>
          </cell>
          <cell r="F1005" t="str">
            <v>Technical Degree</v>
          </cell>
          <cell r="G1005">
            <v>1</v>
          </cell>
          <cell r="H1005" t="str">
            <v>Male</v>
          </cell>
          <cell r="I1005">
            <v>3</v>
          </cell>
          <cell r="J1005">
            <v>1</v>
          </cell>
          <cell r="K1005" t="str">
            <v>Laboratory Technician</v>
          </cell>
          <cell r="L1005">
            <v>4</v>
          </cell>
          <cell r="M1005" t="str">
            <v>Married</v>
          </cell>
          <cell r="N1005">
            <v>3229</v>
          </cell>
          <cell r="O1005">
            <v>4</v>
          </cell>
          <cell r="P1005" t="str">
            <v>No</v>
          </cell>
          <cell r="Q1005">
            <v>2</v>
          </cell>
          <cell r="R1005">
            <v>7</v>
          </cell>
          <cell r="S1005">
            <v>2</v>
          </cell>
          <cell r="T1005">
            <v>3</v>
          </cell>
          <cell r="U1005">
            <v>2</v>
          </cell>
          <cell r="V1005">
            <v>0</v>
          </cell>
          <cell r="W1005">
            <v>2</v>
          </cell>
          <cell r="X1005">
            <v>11</v>
          </cell>
          <cell r="Y1005">
            <v>0</v>
          </cell>
          <cell r="Z1005" t="str">
            <v>Young</v>
          </cell>
          <cell r="AA1005" t="str">
            <v>Low</v>
          </cell>
          <cell r="AB1005" t="str">
            <v>Mid</v>
          </cell>
          <cell r="AC1005" t="str">
            <v>Low</v>
          </cell>
          <cell r="AD1005">
            <v>1415</v>
          </cell>
        </row>
        <row r="1006">
          <cell r="A1006">
            <v>26</v>
          </cell>
          <cell r="B1006" t="str">
            <v>No</v>
          </cell>
          <cell r="C1006" t="str">
            <v>Research &amp; Development</v>
          </cell>
          <cell r="D1006">
            <v>7</v>
          </cell>
          <cell r="E1006">
            <v>3</v>
          </cell>
          <cell r="F1006" t="str">
            <v>Other</v>
          </cell>
          <cell r="G1006">
            <v>3</v>
          </cell>
          <cell r="H1006" t="str">
            <v>Male</v>
          </cell>
          <cell r="I1006">
            <v>4</v>
          </cell>
          <cell r="J1006">
            <v>1</v>
          </cell>
          <cell r="K1006" t="str">
            <v>Laboratory Technician</v>
          </cell>
          <cell r="L1006">
            <v>1</v>
          </cell>
          <cell r="M1006" t="str">
            <v>Single</v>
          </cell>
          <cell r="N1006">
            <v>3578</v>
          </cell>
          <cell r="O1006">
            <v>0</v>
          </cell>
          <cell r="P1006" t="str">
            <v>No</v>
          </cell>
          <cell r="Q1006">
            <v>4</v>
          </cell>
          <cell r="R1006">
            <v>8</v>
          </cell>
          <cell r="S1006">
            <v>3</v>
          </cell>
          <cell r="T1006">
            <v>7</v>
          </cell>
          <cell r="U1006">
            <v>7</v>
          </cell>
          <cell r="V1006">
            <v>0</v>
          </cell>
          <cell r="W1006">
            <v>7</v>
          </cell>
          <cell r="X1006">
            <v>12</v>
          </cell>
          <cell r="Y1006">
            <v>0</v>
          </cell>
          <cell r="Z1006" t="str">
            <v>Young</v>
          </cell>
          <cell r="AA1006" t="str">
            <v>Low</v>
          </cell>
          <cell r="AB1006" t="str">
            <v>Long</v>
          </cell>
          <cell r="AC1006" t="str">
            <v>Low</v>
          </cell>
          <cell r="AD1006">
            <v>1417</v>
          </cell>
        </row>
        <row r="1007">
          <cell r="A1007">
            <v>29</v>
          </cell>
          <cell r="B1007" t="str">
            <v>No</v>
          </cell>
          <cell r="C1007" t="str">
            <v>Human Resources</v>
          </cell>
          <cell r="D1007">
            <v>17</v>
          </cell>
          <cell r="E1007">
            <v>3</v>
          </cell>
          <cell r="F1007" t="str">
            <v>Other</v>
          </cell>
          <cell r="G1007">
            <v>2</v>
          </cell>
          <cell r="H1007" t="str">
            <v>Male</v>
          </cell>
          <cell r="I1007">
            <v>2</v>
          </cell>
          <cell r="J1007">
            <v>3</v>
          </cell>
          <cell r="K1007" t="str">
            <v>Human Resources</v>
          </cell>
          <cell r="L1007">
            <v>1</v>
          </cell>
          <cell r="M1007" t="str">
            <v>Single</v>
          </cell>
          <cell r="N1007">
            <v>7988</v>
          </cell>
          <cell r="O1007">
            <v>1</v>
          </cell>
          <cell r="P1007" t="str">
            <v>No</v>
          </cell>
          <cell r="Q1007">
            <v>1</v>
          </cell>
          <cell r="R1007">
            <v>10</v>
          </cell>
          <cell r="S1007">
            <v>2</v>
          </cell>
          <cell r="T1007">
            <v>10</v>
          </cell>
          <cell r="U1007">
            <v>9</v>
          </cell>
          <cell r="V1007">
            <v>0</v>
          </cell>
          <cell r="W1007">
            <v>9</v>
          </cell>
          <cell r="X1007">
            <v>13</v>
          </cell>
          <cell r="Y1007">
            <v>0</v>
          </cell>
          <cell r="Z1007" t="str">
            <v>Young</v>
          </cell>
          <cell r="AA1007" t="str">
            <v>Medium</v>
          </cell>
          <cell r="AB1007" t="str">
            <v>Long</v>
          </cell>
          <cell r="AC1007" t="str">
            <v>Medium</v>
          </cell>
          <cell r="AD1007">
            <v>1419</v>
          </cell>
        </row>
        <row r="1008">
          <cell r="A1008">
            <v>49</v>
          </cell>
          <cell r="B1008" t="str">
            <v>Yes</v>
          </cell>
          <cell r="C1008" t="str">
            <v>Research &amp; Development</v>
          </cell>
          <cell r="D1008">
            <v>28</v>
          </cell>
          <cell r="E1008">
            <v>2</v>
          </cell>
          <cell r="F1008" t="str">
            <v>Life Sciences</v>
          </cell>
          <cell r="G1008">
            <v>1</v>
          </cell>
          <cell r="H1008" t="str">
            <v>Male</v>
          </cell>
          <cell r="I1008">
            <v>2</v>
          </cell>
          <cell r="J1008">
            <v>2</v>
          </cell>
          <cell r="K1008" t="str">
            <v>Laboratory Technician</v>
          </cell>
          <cell r="L1008">
            <v>1</v>
          </cell>
          <cell r="M1008" t="str">
            <v>Single</v>
          </cell>
          <cell r="N1008">
            <v>4284</v>
          </cell>
          <cell r="O1008">
            <v>3</v>
          </cell>
          <cell r="P1008" t="str">
            <v>No</v>
          </cell>
          <cell r="Q1008">
            <v>1</v>
          </cell>
          <cell r="R1008">
            <v>20</v>
          </cell>
          <cell r="S1008">
            <v>3</v>
          </cell>
          <cell r="T1008">
            <v>4</v>
          </cell>
          <cell r="U1008">
            <v>3</v>
          </cell>
          <cell r="V1008">
            <v>1</v>
          </cell>
          <cell r="W1008">
            <v>3</v>
          </cell>
          <cell r="X1008">
            <v>20</v>
          </cell>
          <cell r="Y1008">
            <v>1</v>
          </cell>
          <cell r="Z1008" t="str">
            <v>Senior</v>
          </cell>
          <cell r="AA1008" t="str">
            <v>Low</v>
          </cell>
          <cell r="AB1008" t="str">
            <v>Mid</v>
          </cell>
          <cell r="AC1008" t="str">
            <v>High</v>
          </cell>
          <cell r="AD1008">
            <v>1420</v>
          </cell>
        </row>
        <row r="1009">
          <cell r="A1009">
            <v>29</v>
          </cell>
          <cell r="B1009" t="str">
            <v>Yes</v>
          </cell>
          <cell r="C1009" t="str">
            <v>Research &amp; Development</v>
          </cell>
          <cell r="D1009">
            <v>14</v>
          </cell>
          <cell r="E1009">
            <v>1</v>
          </cell>
          <cell r="F1009" t="str">
            <v>Other</v>
          </cell>
          <cell r="G1009">
            <v>3</v>
          </cell>
          <cell r="H1009" t="str">
            <v>Female</v>
          </cell>
          <cell r="I1009">
            <v>3</v>
          </cell>
          <cell r="J1009">
            <v>3</v>
          </cell>
          <cell r="K1009" t="str">
            <v>Healthcare Representative</v>
          </cell>
          <cell r="L1009">
            <v>4</v>
          </cell>
          <cell r="M1009" t="str">
            <v>Single</v>
          </cell>
          <cell r="N1009">
            <v>7553</v>
          </cell>
          <cell r="O1009">
            <v>0</v>
          </cell>
          <cell r="P1009" t="str">
            <v>Yes</v>
          </cell>
          <cell r="Q1009">
            <v>1</v>
          </cell>
          <cell r="R1009">
            <v>9</v>
          </cell>
          <cell r="S1009">
            <v>3</v>
          </cell>
          <cell r="T1009">
            <v>8</v>
          </cell>
          <cell r="U1009">
            <v>7</v>
          </cell>
          <cell r="V1009">
            <v>7</v>
          </cell>
          <cell r="W1009">
            <v>7</v>
          </cell>
          <cell r="X1009">
            <v>12</v>
          </cell>
          <cell r="Y1009">
            <v>1</v>
          </cell>
          <cell r="Z1009" t="str">
            <v>Young</v>
          </cell>
          <cell r="AA1009" t="str">
            <v>Medium</v>
          </cell>
          <cell r="AB1009" t="str">
            <v>Long</v>
          </cell>
          <cell r="AC1009" t="str">
            <v>Low</v>
          </cell>
          <cell r="AD1009">
            <v>1421</v>
          </cell>
        </row>
        <row r="1010">
          <cell r="A1010">
            <v>54</v>
          </cell>
          <cell r="B1010" t="str">
            <v>No</v>
          </cell>
          <cell r="C1010" t="str">
            <v>Research &amp; Development</v>
          </cell>
          <cell r="D1010">
            <v>1</v>
          </cell>
          <cell r="E1010">
            <v>3</v>
          </cell>
          <cell r="F1010" t="str">
            <v>Medical</v>
          </cell>
          <cell r="G1010">
            <v>4</v>
          </cell>
          <cell r="H1010" t="str">
            <v>Female</v>
          </cell>
          <cell r="I1010">
            <v>3</v>
          </cell>
          <cell r="J1010">
            <v>4</v>
          </cell>
          <cell r="K1010" t="str">
            <v>Research Director</v>
          </cell>
          <cell r="L1010">
            <v>4</v>
          </cell>
          <cell r="M1010" t="str">
            <v>Single</v>
          </cell>
          <cell r="N1010">
            <v>17328</v>
          </cell>
          <cell r="O1010">
            <v>6</v>
          </cell>
          <cell r="P1010" t="str">
            <v>No</v>
          </cell>
          <cell r="Q1010">
            <v>4</v>
          </cell>
          <cell r="R1010">
            <v>29</v>
          </cell>
          <cell r="S1010">
            <v>2</v>
          </cell>
          <cell r="T1010">
            <v>20</v>
          </cell>
          <cell r="U1010">
            <v>7</v>
          </cell>
          <cell r="V1010">
            <v>12</v>
          </cell>
          <cell r="W1010">
            <v>7</v>
          </cell>
          <cell r="X1010">
            <v>19</v>
          </cell>
          <cell r="Y1010">
            <v>0</v>
          </cell>
          <cell r="Z1010" t="str">
            <v>Senior</v>
          </cell>
          <cell r="AA1010" t="str">
            <v>High</v>
          </cell>
          <cell r="AB1010" t="str">
            <v>Long</v>
          </cell>
          <cell r="AC1010" t="str">
            <v>High</v>
          </cell>
          <cell r="AD1010">
            <v>1422</v>
          </cell>
        </row>
        <row r="1011">
          <cell r="A1011">
            <v>58</v>
          </cell>
          <cell r="B1011" t="str">
            <v>No</v>
          </cell>
          <cell r="C1011" t="str">
            <v>Research &amp; Development</v>
          </cell>
          <cell r="D1011">
            <v>1</v>
          </cell>
          <cell r="E1011">
            <v>3</v>
          </cell>
          <cell r="F1011" t="str">
            <v>Medical</v>
          </cell>
          <cell r="G1011">
            <v>4</v>
          </cell>
          <cell r="H1011" t="str">
            <v>Female</v>
          </cell>
          <cell r="I1011">
            <v>3</v>
          </cell>
          <cell r="J1011">
            <v>5</v>
          </cell>
          <cell r="K1011" t="str">
            <v>Research Director</v>
          </cell>
          <cell r="L1011">
            <v>1</v>
          </cell>
          <cell r="M1011" t="str">
            <v>Married</v>
          </cell>
          <cell r="N1011">
            <v>19701</v>
          </cell>
          <cell r="O1011">
            <v>3</v>
          </cell>
          <cell r="P1011" t="str">
            <v>Yes</v>
          </cell>
          <cell r="Q1011">
            <v>3</v>
          </cell>
          <cell r="R1011">
            <v>32</v>
          </cell>
          <cell r="S1011">
            <v>3</v>
          </cell>
          <cell r="T1011">
            <v>9</v>
          </cell>
          <cell r="U1011">
            <v>8</v>
          </cell>
          <cell r="V1011">
            <v>1</v>
          </cell>
          <cell r="W1011">
            <v>5</v>
          </cell>
          <cell r="X1011">
            <v>21</v>
          </cell>
          <cell r="Y1011">
            <v>0</v>
          </cell>
          <cell r="Z1011" t="str">
            <v>Senior</v>
          </cell>
          <cell r="AA1011" t="str">
            <v>High</v>
          </cell>
          <cell r="AB1011" t="str">
            <v>Long</v>
          </cell>
          <cell r="AC1011" t="str">
            <v>High</v>
          </cell>
          <cell r="AD1011">
            <v>1423</v>
          </cell>
        </row>
        <row r="1012">
          <cell r="A1012">
            <v>55</v>
          </cell>
          <cell r="B1012" t="str">
            <v>No</v>
          </cell>
          <cell r="C1012" t="str">
            <v>Research &amp; Development</v>
          </cell>
          <cell r="D1012">
            <v>1</v>
          </cell>
          <cell r="E1012">
            <v>4</v>
          </cell>
          <cell r="F1012" t="str">
            <v>Medical</v>
          </cell>
          <cell r="G1012">
            <v>2</v>
          </cell>
          <cell r="H1012" t="str">
            <v>Male</v>
          </cell>
          <cell r="I1012">
            <v>4</v>
          </cell>
          <cell r="J1012">
            <v>4</v>
          </cell>
          <cell r="K1012" t="str">
            <v>Research Director</v>
          </cell>
          <cell r="L1012">
            <v>4</v>
          </cell>
          <cell r="M1012" t="str">
            <v>Divorced</v>
          </cell>
          <cell r="N1012">
            <v>14732</v>
          </cell>
          <cell r="O1012">
            <v>2</v>
          </cell>
          <cell r="P1012" t="str">
            <v>No</v>
          </cell>
          <cell r="Q1012">
            <v>4</v>
          </cell>
          <cell r="R1012">
            <v>31</v>
          </cell>
          <cell r="S1012">
            <v>4</v>
          </cell>
          <cell r="T1012">
            <v>7</v>
          </cell>
          <cell r="U1012">
            <v>7</v>
          </cell>
          <cell r="V1012">
            <v>0</v>
          </cell>
          <cell r="W1012">
            <v>0</v>
          </cell>
          <cell r="X1012">
            <v>13</v>
          </cell>
          <cell r="Y1012">
            <v>0</v>
          </cell>
          <cell r="Z1012" t="str">
            <v>Senior</v>
          </cell>
          <cell r="AA1012" t="str">
            <v>High</v>
          </cell>
          <cell r="AB1012" t="str">
            <v>Long</v>
          </cell>
          <cell r="AC1012" t="str">
            <v>Medium</v>
          </cell>
          <cell r="AD1012">
            <v>1424</v>
          </cell>
        </row>
        <row r="1013">
          <cell r="A1013">
            <v>36</v>
          </cell>
          <cell r="B1013" t="str">
            <v>No</v>
          </cell>
          <cell r="C1013" t="str">
            <v>Sales</v>
          </cell>
          <cell r="D1013">
            <v>3</v>
          </cell>
          <cell r="E1013">
            <v>4</v>
          </cell>
          <cell r="F1013" t="str">
            <v>Marketing</v>
          </cell>
          <cell r="G1013">
            <v>1</v>
          </cell>
          <cell r="H1013" t="str">
            <v>Female</v>
          </cell>
          <cell r="I1013">
            <v>3</v>
          </cell>
          <cell r="J1013">
            <v>2</v>
          </cell>
          <cell r="K1013" t="str">
            <v>Sales Executive</v>
          </cell>
          <cell r="L1013">
            <v>2</v>
          </cell>
          <cell r="M1013" t="str">
            <v>Single</v>
          </cell>
          <cell r="N1013">
            <v>9278</v>
          </cell>
          <cell r="O1013">
            <v>3</v>
          </cell>
          <cell r="P1013" t="str">
            <v>Yes</v>
          </cell>
          <cell r="Q1013">
            <v>4</v>
          </cell>
          <cell r="R1013">
            <v>15</v>
          </cell>
          <cell r="S1013">
            <v>3</v>
          </cell>
          <cell r="T1013">
            <v>5</v>
          </cell>
          <cell r="U1013">
            <v>4</v>
          </cell>
          <cell r="V1013">
            <v>0</v>
          </cell>
          <cell r="W1013">
            <v>1</v>
          </cell>
          <cell r="X1013">
            <v>16</v>
          </cell>
          <cell r="Y1013">
            <v>0</v>
          </cell>
          <cell r="Z1013" t="str">
            <v>Mid</v>
          </cell>
          <cell r="AA1013" t="str">
            <v>Medium</v>
          </cell>
          <cell r="AB1013" t="str">
            <v>Mid</v>
          </cell>
          <cell r="AC1013" t="str">
            <v>Medium</v>
          </cell>
          <cell r="AD1013">
            <v>1425</v>
          </cell>
        </row>
        <row r="1014">
          <cell r="A1014">
            <v>31</v>
          </cell>
          <cell r="B1014" t="str">
            <v>Yes</v>
          </cell>
          <cell r="C1014" t="str">
            <v>Sales</v>
          </cell>
          <cell r="D1014">
            <v>1</v>
          </cell>
          <cell r="E1014">
            <v>4</v>
          </cell>
          <cell r="F1014" t="str">
            <v>Life Sciences</v>
          </cell>
          <cell r="G1014">
            <v>2</v>
          </cell>
          <cell r="H1014" t="str">
            <v>Female</v>
          </cell>
          <cell r="I1014">
            <v>1</v>
          </cell>
          <cell r="J1014">
            <v>1</v>
          </cell>
          <cell r="K1014" t="str">
            <v>Sales Representative</v>
          </cell>
          <cell r="L1014">
            <v>3</v>
          </cell>
          <cell r="M1014" t="str">
            <v>Single</v>
          </cell>
          <cell r="N1014">
            <v>1359</v>
          </cell>
          <cell r="O1014">
            <v>1</v>
          </cell>
          <cell r="P1014" t="str">
            <v>No</v>
          </cell>
          <cell r="Q1014">
            <v>2</v>
          </cell>
          <cell r="R1014">
            <v>1</v>
          </cell>
          <cell r="S1014">
            <v>3</v>
          </cell>
          <cell r="T1014">
            <v>1</v>
          </cell>
          <cell r="U1014">
            <v>0</v>
          </cell>
          <cell r="V1014">
            <v>0</v>
          </cell>
          <cell r="W1014">
            <v>0</v>
          </cell>
          <cell r="X1014">
            <v>12</v>
          </cell>
          <cell r="Y1014">
            <v>1</v>
          </cell>
          <cell r="Z1014" t="str">
            <v>Mid</v>
          </cell>
          <cell r="AA1014" t="str">
            <v>Low</v>
          </cell>
          <cell r="AB1014" t="str">
            <v>Early</v>
          </cell>
          <cell r="AC1014" t="str">
            <v>Low</v>
          </cell>
          <cell r="AD1014">
            <v>1427</v>
          </cell>
        </row>
        <row r="1015">
          <cell r="A1015">
            <v>30</v>
          </cell>
          <cell r="B1015" t="str">
            <v>No</v>
          </cell>
          <cell r="C1015" t="str">
            <v>Sales</v>
          </cell>
          <cell r="D1015">
            <v>7</v>
          </cell>
          <cell r="E1015">
            <v>4</v>
          </cell>
          <cell r="F1015" t="str">
            <v>Marketing</v>
          </cell>
          <cell r="G1015">
            <v>4</v>
          </cell>
          <cell r="H1015" t="str">
            <v>Female</v>
          </cell>
          <cell r="I1015">
            <v>3</v>
          </cell>
          <cell r="J1015">
            <v>2</v>
          </cell>
          <cell r="K1015" t="str">
            <v>Sales Executive</v>
          </cell>
          <cell r="L1015">
            <v>1</v>
          </cell>
          <cell r="M1015" t="str">
            <v>Divorced</v>
          </cell>
          <cell r="N1015">
            <v>4779</v>
          </cell>
          <cell r="O1015">
            <v>7</v>
          </cell>
          <cell r="P1015" t="str">
            <v>No</v>
          </cell>
          <cell r="Q1015">
            <v>2</v>
          </cell>
          <cell r="R1015">
            <v>8</v>
          </cell>
          <cell r="S1015">
            <v>3</v>
          </cell>
          <cell r="T1015">
            <v>3</v>
          </cell>
          <cell r="U1015">
            <v>2</v>
          </cell>
          <cell r="V1015">
            <v>0</v>
          </cell>
          <cell r="W1015">
            <v>2</v>
          </cell>
          <cell r="X1015">
            <v>14</v>
          </cell>
          <cell r="Y1015">
            <v>0</v>
          </cell>
          <cell r="Z1015" t="str">
            <v>Mid</v>
          </cell>
          <cell r="AA1015" t="str">
            <v>Low</v>
          </cell>
          <cell r="AB1015" t="str">
            <v>Mid</v>
          </cell>
          <cell r="AC1015" t="str">
            <v>Medium</v>
          </cell>
          <cell r="AD1015">
            <v>1428</v>
          </cell>
        </row>
        <row r="1016">
          <cell r="A1016">
            <v>31</v>
          </cell>
          <cell r="B1016" t="str">
            <v>No</v>
          </cell>
          <cell r="C1016" t="str">
            <v>Research &amp; Development</v>
          </cell>
          <cell r="D1016">
            <v>8</v>
          </cell>
          <cell r="E1016">
            <v>5</v>
          </cell>
          <cell r="F1016" t="str">
            <v>Life Sciences</v>
          </cell>
          <cell r="G1016">
            <v>1</v>
          </cell>
          <cell r="H1016" t="str">
            <v>Female</v>
          </cell>
          <cell r="I1016">
            <v>3</v>
          </cell>
          <cell r="J1016">
            <v>4</v>
          </cell>
          <cell r="K1016" t="str">
            <v>Research Director</v>
          </cell>
          <cell r="L1016">
            <v>2</v>
          </cell>
          <cell r="M1016" t="str">
            <v>Single</v>
          </cell>
          <cell r="N1016">
            <v>16422</v>
          </cell>
          <cell r="O1016">
            <v>3</v>
          </cell>
          <cell r="P1016" t="str">
            <v>No</v>
          </cell>
          <cell r="Q1016">
            <v>3</v>
          </cell>
          <cell r="R1016">
            <v>9</v>
          </cell>
          <cell r="S1016">
            <v>4</v>
          </cell>
          <cell r="T1016">
            <v>3</v>
          </cell>
          <cell r="U1016">
            <v>2</v>
          </cell>
          <cell r="V1016">
            <v>1</v>
          </cell>
          <cell r="W1016">
            <v>0</v>
          </cell>
          <cell r="X1016">
            <v>11</v>
          </cell>
          <cell r="Y1016">
            <v>0</v>
          </cell>
          <cell r="Z1016" t="str">
            <v>Mid</v>
          </cell>
          <cell r="AA1016" t="str">
            <v>High</v>
          </cell>
          <cell r="AB1016" t="str">
            <v>Mid</v>
          </cell>
          <cell r="AC1016" t="str">
            <v>Low</v>
          </cell>
          <cell r="AD1016">
            <v>1430</v>
          </cell>
        </row>
        <row r="1017">
          <cell r="A1017">
            <v>34</v>
          </cell>
          <cell r="B1017" t="str">
            <v>No</v>
          </cell>
          <cell r="C1017" t="str">
            <v>Research &amp; Development</v>
          </cell>
          <cell r="D1017">
            <v>1</v>
          </cell>
          <cell r="E1017">
            <v>4</v>
          </cell>
          <cell r="F1017" t="str">
            <v>Other</v>
          </cell>
          <cell r="G1017">
            <v>4</v>
          </cell>
          <cell r="H1017" t="str">
            <v>Male</v>
          </cell>
          <cell r="I1017">
            <v>3</v>
          </cell>
          <cell r="J1017">
            <v>1</v>
          </cell>
          <cell r="K1017" t="str">
            <v>Research Scientist</v>
          </cell>
          <cell r="L1017">
            <v>1</v>
          </cell>
          <cell r="M1017" t="str">
            <v>Divorced</v>
          </cell>
          <cell r="N1017">
            <v>2996</v>
          </cell>
          <cell r="O1017">
            <v>5</v>
          </cell>
          <cell r="P1017" t="str">
            <v>No</v>
          </cell>
          <cell r="Q1017">
            <v>3</v>
          </cell>
          <cell r="R1017">
            <v>10</v>
          </cell>
          <cell r="S1017">
            <v>3</v>
          </cell>
          <cell r="T1017">
            <v>4</v>
          </cell>
          <cell r="U1017">
            <v>3</v>
          </cell>
          <cell r="V1017">
            <v>1</v>
          </cell>
          <cell r="W1017">
            <v>3</v>
          </cell>
          <cell r="X1017">
            <v>14</v>
          </cell>
          <cell r="Y1017">
            <v>0</v>
          </cell>
          <cell r="Z1017" t="str">
            <v>Mid</v>
          </cell>
          <cell r="AA1017" t="str">
            <v>Low</v>
          </cell>
          <cell r="AB1017" t="str">
            <v>Mid</v>
          </cell>
          <cell r="AC1017" t="str">
            <v>Medium</v>
          </cell>
          <cell r="AD1017">
            <v>1431</v>
          </cell>
        </row>
        <row r="1018">
          <cell r="A1018">
            <v>31</v>
          </cell>
          <cell r="B1018" t="str">
            <v>Yes</v>
          </cell>
          <cell r="C1018" t="str">
            <v>Research &amp; Development</v>
          </cell>
          <cell r="D1018">
            <v>8</v>
          </cell>
          <cell r="E1018">
            <v>3</v>
          </cell>
          <cell r="F1018" t="str">
            <v>Life Sciences</v>
          </cell>
          <cell r="G1018">
            <v>1</v>
          </cell>
          <cell r="H1018" t="str">
            <v>Female</v>
          </cell>
          <cell r="I1018">
            <v>2</v>
          </cell>
          <cell r="J1018">
            <v>1</v>
          </cell>
          <cell r="K1018" t="str">
            <v>Research Scientist</v>
          </cell>
          <cell r="L1018">
            <v>2</v>
          </cell>
          <cell r="M1018" t="str">
            <v>Single</v>
          </cell>
          <cell r="N1018">
            <v>1261</v>
          </cell>
          <cell r="O1018">
            <v>1</v>
          </cell>
          <cell r="P1018" t="str">
            <v>No</v>
          </cell>
          <cell r="Q1018">
            <v>3</v>
          </cell>
          <cell r="R1018">
            <v>1</v>
          </cell>
          <cell r="S1018">
            <v>4</v>
          </cell>
          <cell r="T1018">
            <v>1</v>
          </cell>
          <cell r="U1018">
            <v>0</v>
          </cell>
          <cell r="V1018">
            <v>0</v>
          </cell>
          <cell r="W1018">
            <v>0</v>
          </cell>
          <cell r="X1018">
            <v>12</v>
          </cell>
          <cell r="Y1018">
            <v>1</v>
          </cell>
          <cell r="Z1018" t="str">
            <v>Mid</v>
          </cell>
          <cell r="AA1018" t="str">
            <v>Low</v>
          </cell>
          <cell r="AB1018" t="str">
            <v>Early</v>
          </cell>
          <cell r="AC1018" t="str">
            <v>Low</v>
          </cell>
          <cell r="AD1018">
            <v>1433</v>
          </cell>
        </row>
        <row r="1019">
          <cell r="A1019">
            <v>27</v>
          </cell>
          <cell r="B1019" t="str">
            <v>No</v>
          </cell>
          <cell r="C1019" t="str">
            <v>Research &amp; Development</v>
          </cell>
          <cell r="D1019">
            <v>11</v>
          </cell>
          <cell r="E1019">
            <v>1</v>
          </cell>
          <cell r="F1019" t="str">
            <v>Life Sciences</v>
          </cell>
          <cell r="G1019">
            <v>2</v>
          </cell>
          <cell r="H1019" t="str">
            <v>Male</v>
          </cell>
          <cell r="I1019">
            <v>3</v>
          </cell>
          <cell r="J1019">
            <v>1</v>
          </cell>
          <cell r="K1019" t="str">
            <v>Laboratory Technician</v>
          </cell>
          <cell r="L1019">
            <v>1</v>
          </cell>
          <cell r="M1019" t="str">
            <v>Married</v>
          </cell>
          <cell r="N1019">
            <v>2099</v>
          </cell>
          <cell r="O1019">
            <v>0</v>
          </cell>
          <cell r="P1019" t="str">
            <v>No</v>
          </cell>
          <cell r="Q1019">
            <v>2</v>
          </cell>
          <cell r="R1019">
            <v>6</v>
          </cell>
          <cell r="S1019">
            <v>4</v>
          </cell>
          <cell r="T1019">
            <v>5</v>
          </cell>
          <cell r="U1019">
            <v>0</v>
          </cell>
          <cell r="V1019">
            <v>1</v>
          </cell>
          <cell r="W1019">
            <v>4</v>
          </cell>
          <cell r="X1019">
            <v>14</v>
          </cell>
          <cell r="Y1019">
            <v>0</v>
          </cell>
          <cell r="Z1019" t="str">
            <v>Young</v>
          </cell>
          <cell r="AA1019" t="str">
            <v>Low</v>
          </cell>
          <cell r="AB1019" t="str">
            <v>Mid</v>
          </cell>
          <cell r="AC1019" t="str">
            <v>Medium</v>
          </cell>
          <cell r="AD1019">
            <v>1434</v>
          </cell>
        </row>
        <row r="1020">
          <cell r="A1020">
            <v>36</v>
          </cell>
          <cell r="B1020" t="str">
            <v>No</v>
          </cell>
          <cell r="C1020" t="str">
            <v>Research &amp; Development</v>
          </cell>
          <cell r="D1020">
            <v>4</v>
          </cell>
          <cell r="E1020">
            <v>4</v>
          </cell>
          <cell r="F1020" t="str">
            <v>Life Sciences</v>
          </cell>
          <cell r="G1020">
            <v>1</v>
          </cell>
          <cell r="H1020" t="str">
            <v>Male</v>
          </cell>
          <cell r="I1020">
            <v>2</v>
          </cell>
          <cell r="J1020">
            <v>2</v>
          </cell>
          <cell r="K1020" t="str">
            <v>Laboratory Technician</v>
          </cell>
          <cell r="L1020">
            <v>4</v>
          </cell>
          <cell r="M1020" t="str">
            <v>Single</v>
          </cell>
          <cell r="N1020">
            <v>5810</v>
          </cell>
          <cell r="O1020">
            <v>1</v>
          </cell>
          <cell r="P1020" t="str">
            <v>No</v>
          </cell>
          <cell r="Q1020">
            <v>3</v>
          </cell>
          <cell r="R1020">
            <v>10</v>
          </cell>
          <cell r="S1020">
            <v>2</v>
          </cell>
          <cell r="T1020">
            <v>10</v>
          </cell>
          <cell r="U1020">
            <v>4</v>
          </cell>
          <cell r="V1020">
            <v>1</v>
          </cell>
          <cell r="W1020">
            <v>8</v>
          </cell>
          <cell r="X1020">
            <v>16</v>
          </cell>
          <cell r="Y1020">
            <v>0</v>
          </cell>
          <cell r="Z1020" t="str">
            <v>Mid</v>
          </cell>
          <cell r="AA1020" t="str">
            <v>Medium</v>
          </cell>
          <cell r="AB1020" t="str">
            <v>Long</v>
          </cell>
          <cell r="AC1020" t="str">
            <v>Medium</v>
          </cell>
          <cell r="AD1020">
            <v>1435</v>
          </cell>
        </row>
        <row r="1021">
          <cell r="A1021">
            <v>36</v>
          </cell>
          <cell r="B1021" t="str">
            <v>No</v>
          </cell>
          <cell r="C1021" t="str">
            <v>Sales</v>
          </cell>
          <cell r="D1021">
            <v>16</v>
          </cell>
          <cell r="E1021">
            <v>4</v>
          </cell>
          <cell r="F1021" t="str">
            <v>Marketing</v>
          </cell>
          <cell r="G1021">
            <v>3</v>
          </cell>
          <cell r="H1021" t="str">
            <v>Female</v>
          </cell>
          <cell r="I1021">
            <v>2</v>
          </cell>
          <cell r="J1021">
            <v>2</v>
          </cell>
          <cell r="K1021" t="str">
            <v>Sales Executive</v>
          </cell>
          <cell r="L1021">
            <v>1</v>
          </cell>
          <cell r="M1021" t="str">
            <v>Married</v>
          </cell>
          <cell r="N1021">
            <v>5647</v>
          </cell>
          <cell r="O1021">
            <v>4</v>
          </cell>
          <cell r="P1021" t="str">
            <v>No</v>
          </cell>
          <cell r="Q1021">
            <v>1</v>
          </cell>
          <cell r="R1021">
            <v>11</v>
          </cell>
          <cell r="S1021">
            <v>2</v>
          </cell>
          <cell r="T1021">
            <v>3</v>
          </cell>
          <cell r="U1021">
            <v>2</v>
          </cell>
          <cell r="V1021">
            <v>0</v>
          </cell>
          <cell r="W1021">
            <v>2</v>
          </cell>
          <cell r="X1021">
            <v>13</v>
          </cell>
          <cell r="Y1021">
            <v>0</v>
          </cell>
          <cell r="Z1021" t="str">
            <v>Mid</v>
          </cell>
          <cell r="AA1021" t="str">
            <v>Medium</v>
          </cell>
          <cell r="AB1021" t="str">
            <v>Mid</v>
          </cell>
          <cell r="AC1021" t="str">
            <v>Medium</v>
          </cell>
          <cell r="AD1021">
            <v>1436</v>
          </cell>
        </row>
        <row r="1022">
          <cell r="A1022">
            <v>47</v>
          </cell>
          <cell r="B1022" t="str">
            <v>No</v>
          </cell>
          <cell r="C1022" t="str">
            <v>Research &amp; Development</v>
          </cell>
          <cell r="D1022">
            <v>1</v>
          </cell>
          <cell r="E1022">
            <v>3</v>
          </cell>
          <cell r="F1022" t="str">
            <v>Technical Degree</v>
          </cell>
          <cell r="G1022">
            <v>1</v>
          </cell>
          <cell r="H1022" t="str">
            <v>Male</v>
          </cell>
          <cell r="I1022">
            <v>3</v>
          </cell>
          <cell r="J1022">
            <v>1</v>
          </cell>
          <cell r="K1022" t="str">
            <v>Research Scientist</v>
          </cell>
          <cell r="L1022">
            <v>4</v>
          </cell>
          <cell r="M1022" t="str">
            <v>Married</v>
          </cell>
          <cell r="N1022">
            <v>3420</v>
          </cell>
          <cell r="O1022">
            <v>7</v>
          </cell>
          <cell r="P1022" t="str">
            <v>No</v>
          </cell>
          <cell r="Q1022">
            <v>3</v>
          </cell>
          <cell r="R1022">
            <v>17</v>
          </cell>
          <cell r="S1022">
            <v>2</v>
          </cell>
          <cell r="T1022">
            <v>6</v>
          </cell>
          <cell r="U1022">
            <v>5</v>
          </cell>
          <cell r="V1022">
            <v>1</v>
          </cell>
          <cell r="W1022">
            <v>2</v>
          </cell>
          <cell r="X1022">
            <v>12</v>
          </cell>
          <cell r="Y1022">
            <v>0</v>
          </cell>
          <cell r="Z1022" t="str">
            <v>Senior</v>
          </cell>
          <cell r="AA1022" t="str">
            <v>Low</v>
          </cell>
          <cell r="AB1022" t="str">
            <v>Mid</v>
          </cell>
          <cell r="AC1022" t="str">
            <v>Low</v>
          </cell>
          <cell r="AD1022">
            <v>1438</v>
          </cell>
        </row>
        <row r="1023">
          <cell r="A1023">
            <v>25</v>
          </cell>
          <cell r="B1023" t="str">
            <v>Yes</v>
          </cell>
          <cell r="C1023" t="str">
            <v>Sales</v>
          </cell>
          <cell r="D1023">
            <v>9</v>
          </cell>
          <cell r="E1023">
            <v>2</v>
          </cell>
          <cell r="F1023" t="str">
            <v>Life Sciences</v>
          </cell>
          <cell r="G1023">
            <v>1</v>
          </cell>
          <cell r="H1023" t="str">
            <v>Male</v>
          </cell>
          <cell r="I1023">
            <v>2</v>
          </cell>
          <cell r="J1023">
            <v>1</v>
          </cell>
          <cell r="K1023" t="str">
            <v>Sales Representative</v>
          </cell>
          <cell r="L1023">
            <v>1</v>
          </cell>
          <cell r="M1023" t="str">
            <v>Married</v>
          </cell>
          <cell r="N1023">
            <v>4400</v>
          </cell>
          <cell r="O1023">
            <v>3</v>
          </cell>
          <cell r="P1023" t="str">
            <v>No</v>
          </cell>
          <cell r="Q1023">
            <v>1</v>
          </cell>
          <cell r="R1023">
            <v>6</v>
          </cell>
          <cell r="S1023">
            <v>3</v>
          </cell>
          <cell r="T1023">
            <v>3</v>
          </cell>
          <cell r="U1023">
            <v>2</v>
          </cell>
          <cell r="V1023">
            <v>2</v>
          </cell>
          <cell r="W1023">
            <v>2</v>
          </cell>
          <cell r="X1023">
            <v>12</v>
          </cell>
          <cell r="Y1023">
            <v>1</v>
          </cell>
          <cell r="Z1023" t="str">
            <v>Young</v>
          </cell>
          <cell r="AA1023" t="str">
            <v>Low</v>
          </cell>
          <cell r="AB1023" t="str">
            <v>Mid</v>
          </cell>
          <cell r="AC1023" t="str">
            <v>Low</v>
          </cell>
          <cell r="AD1023">
            <v>1439</v>
          </cell>
        </row>
        <row r="1024">
          <cell r="A1024">
            <v>37</v>
          </cell>
          <cell r="B1024" t="str">
            <v>No</v>
          </cell>
          <cell r="C1024" t="str">
            <v>Research &amp; Development</v>
          </cell>
          <cell r="D1024">
            <v>5</v>
          </cell>
          <cell r="E1024">
            <v>2</v>
          </cell>
          <cell r="F1024" t="str">
            <v>Technical Degree</v>
          </cell>
          <cell r="G1024">
            <v>3</v>
          </cell>
          <cell r="H1024" t="str">
            <v>Male</v>
          </cell>
          <cell r="I1024">
            <v>4</v>
          </cell>
          <cell r="J1024">
            <v>1</v>
          </cell>
          <cell r="K1024" t="str">
            <v>Laboratory Technician</v>
          </cell>
          <cell r="L1024">
            <v>3</v>
          </cell>
          <cell r="M1024" t="str">
            <v>Single</v>
          </cell>
          <cell r="N1024">
            <v>3500</v>
          </cell>
          <cell r="O1024">
            <v>0</v>
          </cell>
          <cell r="P1024" t="str">
            <v>No</v>
          </cell>
          <cell r="Q1024">
            <v>1</v>
          </cell>
          <cell r="R1024">
            <v>7</v>
          </cell>
          <cell r="S1024">
            <v>1</v>
          </cell>
          <cell r="T1024">
            <v>6</v>
          </cell>
          <cell r="U1024">
            <v>5</v>
          </cell>
          <cell r="V1024">
            <v>1</v>
          </cell>
          <cell r="W1024">
            <v>3</v>
          </cell>
          <cell r="X1024">
            <v>14</v>
          </cell>
          <cell r="Y1024">
            <v>0</v>
          </cell>
          <cell r="Z1024" t="str">
            <v>Mid</v>
          </cell>
          <cell r="AA1024" t="str">
            <v>Low</v>
          </cell>
          <cell r="AB1024" t="str">
            <v>Mid</v>
          </cell>
          <cell r="AC1024" t="str">
            <v>Medium</v>
          </cell>
          <cell r="AD1024">
            <v>1440</v>
          </cell>
        </row>
        <row r="1025">
          <cell r="A1025">
            <v>56</v>
          </cell>
          <cell r="B1025" t="str">
            <v>No</v>
          </cell>
          <cell r="C1025" t="str">
            <v>Research &amp; Development</v>
          </cell>
          <cell r="D1025">
            <v>1</v>
          </cell>
          <cell r="E1025">
            <v>2</v>
          </cell>
          <cell r="F1025" t="str">
            <v>Life Sciences</v>
          </cell>
          <cell r="G1025">
            <v>1</v>
          </cell>
          <cell r="H1025" t="str">
            <v>Female</v>
          </cell>
          <cell r="I1025">
            <v>3</v>
          </cell>
          <cell r="J1025">
            <v>1</v>
          </cell>
          <cell r="K1025" t="str">
            <v>Research Scientist</v>
          </cell>
          <cell r="L1025">
            <v>1</v>
          </cell>
          <cell r="M1025" t="str">
            <v>Married</v>
          </cell>
          <cell r="N1025">
            <v>2066</v>
          </cell>
          <cell r="O1025">
            <v>2</v>
          </cell>
          <cell r="P1025" t="str">
            <v>No</v>
          </cell>
          <cell r="Q1025">
            <v>4</v>
          </cell>
          <cell r="R1025">
            <v>5</v>
          </cell>
          <cell r="S1025">
            <v>4</v>
          </cell>
          <cell r="T1025">
            <v>3</v>
          </cell>
          <cell r="U1025">
            <v>2</v>
          </cell>
          <cell r="V1025">
            <v>1</v>
          </cell>
          <cell r="W1025">
            <v>0</v>
          </cell>
          <cell r="X1025">
            <v>22</v>
          </cell>
          <cell r="Y1025">
            <v>0</v>
          </cell>
          <cell r="Z1025" t="str">
            <v>Senior</v>
          </cell>
          <cell r="AA1025" t="str">
            <v>Low</v>
          </cell>
          <cell r="AB1025" t="str">
            <v>Mid</v>
          </cell>
          <cell r="AC1025" t="str">
            <v>High</v>
          </cell>
          <cell r="AD1025">
            <v>1441</v>
          </cell>
        </row>
        <row r="1026">
          <cell r="A1026">
            <v>47</v>
          </cell>
          <cell r="B1026" t="str">
            <v>No</v>
          </cell>
          <cell r="C1026" t="str">
            <v>Research &amp; Development</v>
          </cell>
          <cell r="D1026">
            <v>2</v>
          </cell>
          <cell r="E1026">
            <v>4</v>
          </cell>
          <cell r="F1026" t="str">
            <v>Medical</v>
          </cell>
          <cell r="G1026">
            <v>1</v>
          </cell>
          <cell r="H1026" t="str">
            <v>Female</v>
          </cell>
          <cell r="I1026">
            <v>3</v>
          </cell>
          <cell r="J1026">
            <v>4</v>
          </cell>
          <cell r="K1026" t="str">
            <v>Research Director</v>
          </cell>
          <cell r="L1026">
            <v>3</v>
          </cell>
          <cell r="M1026" t="str">
            <v>Married</v>
          </cell>
          <cell r="N1026">
            <v>17169</v>
          </cell>
          <cell r="O1026">
            <v>3</v>
          </cell>
          <cell r="P1026" t="str">
            <v>No</v>
          </cell>
          <cell r="Q1026">
            <v>2</v>
          </cell>
          <cell r="R1026">
            <v>26</v>
          </cell>
          <cell r="S1026">
            <v>4</v>
          </cell>
          <cell r="T1026">
            <v>20</v>
          </cell>
          <cell r="U1026">
            <v>17</v>
          </cell>
          <cell r="V1026">
            <v>5</v>
          </cell>
          <cell r="W1026">
            <v>6</v>
          </cell>
          <cell r="X1026">
            <v>19</v>
          </cell>
          <cell r="Y1026">
            <v>0</v>
          </cell>
          <cell r="Z1026" t="str">
            <v>Senior</v>
          </cell>
          <cell r="AA1026" t="str">
            <v>High</v>
          </cell>
          <cell r="AB1026" t="str">
            <v>Long</v>
          </cell>
          <cell r="AC1026" t="str">
            <v>High</v>
          </cell>
          <cell r="AD1026">
            <v>1443</v>
          </cell>
        </row>
        <row r="1027">
          <cell r="A1027">
            <v>24</v>
          </cell>
          <cell r="B1027" t="str">
            <v>No</v>
          </cell>
          <cell r="C1027" t="str">
            <v>Sales</v>
          </cell>
          <cell r="D1027">
            <v>4</v>
          </cell>
          <cell r="E1027">
            <v>1</v>
          </cell>
          <cell r="F1027" t="str">
            <v>Medical</v>
          </cell>
          <cell r="G1027">
            <v>4</v>
          </cell>
          <cell r="H1027" t="str">
            <v>Female</v>
          </cell>
          <cell r="I1027">
            <v>3</v>
          </cell>
          <cell r="J1027">
            <v>2</v>
          </cell>
          <cell r="K1027" t="str">
            <v>Sales Executive</v>
          </cell>
          <cell r="L1027">
            <v>3</v>
          </cell>
          <cell r="M1027" t="str">
            <v>Married</v>
          </cell>
          <cell r="N1027">
            <v>4162</v>
          </cell>
          <cell r="O1027">
            <v>1</v>
          </cell>
          <cell r="P1027" t="str">
            <v>Yes</v>
          </cell>
          <cell r="Q1027">
            <v>3</v>
          </cell>
          <cell r="R1027">
            <v>5</v>
          </cell>
          <cell r="S1027">
            <v>3</v>
          </cell>
          <cell r="T1027">
            <v>5</v>
          </cell>
          <cell r="U1027">
            <v>4</v>
          </cell>
          <cell r="V1027">
            <v>0</v>
          </cell>
          <cell r="W1027">
            <v>3</v>
          </cell>
          <cell r="X1027">
            <v>12</v>
          </cell>
          <cell r="Y1027">
            <v>0</v>
          </cell>
          <cell r="Z1027" t="str">
            <v>Young</v>
          </cell>
          <cell r="AA1027" t="str">
            <v>Low</v>
          </cell>
          <cell r="AB1027" t="str">
            <v>Mid</v>
          </cell>
          <cell r="AC1027" t="str">
            <v>Low</v>
          </cell>
          <cell r="AD1027">
            <v>1445</v>
          </cell>
        </row>
        <row r="1028">
          <cell r="A1028">
            <v>32</v>
          </cell>
          <cell r="B1028" t="str">
            <v>No</v>
          </cell>
          <cell r="C1028" t="str">
            <v>Sales</v>
          </cell>
          <cell r="D1028">
            <v>7</v>
          </cell>
          <cell r="E1028">
            <v>5</v>
          </cell>
          <cell r="F1028" t="str">
            <v>Marketing</v>
          </cell>
          <cell r="G1028">
            <v>4</v>
          </cell>
          <cell r="H1028" t="str">
            <v>Male</v>
          </cell>
          <cell r="I1028">
            <v>3</v>
          </cell>
          <cell r="J1028">
            <v>2</v>
          </cell>
          <cell r="K1028" t="str">
            <v>Sales Executive</v>
          </cell>
          <cell r="L1028">
            <v>4</v>
          </cell>
          <cell r="M1028" t="str">
            <v>Married</v>
          </cell>
          <cell r="N1028">
            <v>9204</v>
          </cell>
          <cell r="O1028">
            <v>4</v>
          </cell>
          <cell r="P1028" t="str">
            <v>No</v>
          </cell>
          <cell r="Q1028">
            <v>3</v>
          </cell>
          <cell r="R1028">
            <v>7</v>
          </cell>
          <cell r="S1028">
            <v>2</v>
          </cell>
          <cell r="T1028">
            <v>4</v>
          </cell>
          <cell r="U1028">
            <v>3</v>
          </cell>
          <cell r="V1028">
            <v>0</v>
          </cell>
          <cell r="W1028">
            <v>3</v>
          </cell>
          <cell r="X1028">
            <v>12</v>
          </cell>
          <cell r="Y1028">
            <v>0</v>
          </cell>
          <cell r="Z1028" t="str">
            <v>Mid</v>
          </cell>
          <cell r="AA1028" t="str">
            <v>Medium</v>
          </cell>
          <cell r="AB1028" t="str">
            <v>Mid</v>
          </cell>
          <cell r="AC1028" t="str">
            <v>Low</v>
          </cell>
          <cell r="AD1028">
            <v>1446</v>
          </cell>
        </row>
        <row r="1029">
          <cell r="A1029">
            <v>34</v>
          </cell>
          <cell r="B1029" t="str">
            <v>No</v>
          </cell>
          <cell r="C1029" t="str">
            <v>Research &amp; Development</v>
          </cell>
          <cell r="D1029">
            <v>1</v>
          </cell>
          <cell r="E1029">
            <v>3</v>
          </cell>
          <cell r="F1029" t="str">
            <v>Life Sciences</v>
          </cell>
          <cell r="G1029">
            <v>4</v>
          </cell>
          <cell r="H1029" t="str">
            <v>Female</v>
          </cell>
          <cell r="I1029">
            <v>2</v>
          </cell>
          <cell r="J1029">
            <v>1</v>
          </cell>
          <cell r="K1029" t="str">
            <v>Laboratory Technician</v>
          </cell>
          <cell r="L1029">
            <v>2</v>
          </cell>
          <cell r="M1029" t="str">
            <v>Married</v>
          </cell>
          <cell r="N1029">
            <v>3294</v>
          </cell>
          <cell r="O1029">
            <v>5</v>
          </cell>
          <cell r="P1029" t="str">
            <v>No</v>
          </cell>
          <cell r="Q1029">
            <v>1</v>
          </cell>
          <cell r="R1029">
            <v>7</v>
          </cell>
          <cell r="S1029">
            <v>2</v>
          </cell>
          <cell r="T1029">
            <v>5</v>
          </cell>
          <cell r="U1029">
            <v>4</v>
          </cell>
          <cell r="V1029">
            <v>0</v>
          </cell>
          <cell r="W1029">
            <v>2</v>
          </cell>
          <cell r="X1029">
            <v>17</v>
          </cell>
          <cell r="Y1029">
            <v>0</v>
          </cell>
          <cell r="Z1029" t="str">
            <v>Mid</v>
          </cell>
          <cell r="AA1029" t="str">
            <v>Low</v>
          </cell>
          <cell r="AB1029" t="str">
            <v>Mid</v>
          </cell>
          <cell r="AC1029" t="str">
            <v>Medium</v>
          </cell>
          <cell r="AD1029">
            <v>1447</v>
          </cell>
        </row>
        <row r="1030">
          <cell r="A1030">
            <v>41</v>
          </cell>
          <cell r="B1030" t="str">
            <v>No</v>
          </cell>
          <cell r="C1030" t="str">
            <v>Research &amp; Development</v>
          </cell>
          <cell r="D1030">
            <v>5</v>
          </cell>
          <cell r="E1030">
            <v>5</v>
          </cell>
          <cell r="F1030" t="str">
            <v>Medical</v>
          </cell>
          <cell r="G1030">
            <v>2</v>
          </cell>
          <cell r="H1030" t="str">
            <v>Male</v>
          </cell>
          <cell r="I1030">
            <v>4</v>
          </cell>
          <cell r="J1030">
            <v>1</v>
          </cell>
          <cell r="K1030" t="str">
            <v>Research Scientist</v>
          </cell>
          <cell r="L1030">
            <v>3</v>
          </cell>
          <cell r="M1030" t="str">
            <v>Married</v>
          </cell>
          <cell r="N1030">
            <v>2127</v>
          </cell>
          <cell r="O1030">
            <v>2</v>
          </cell>
          <cell r="P1030" t="str">
            <v>Yes</v>
          </cell>
          <cell r="Q1030">
            <v>1</v>
          </cell>
          <cell r="R1030">
            <v>7</v>
          </cell>
          <cell r="S1030">
            <v>2</v>
          </cell>
          <cell r="T1030">
            <v>4</v>
          </cell>
          <cell r="U1030">
            <v>2</v>
          </cell>
          <cell r="V1030">
            <v>0</v>
          </cell>
          <cell r="W1030">
            <v>3</v>
          </cell>
          <cell r="X1030">
            <v>12</v>
          </cell>
          <cell r="Y1030">
            <v>0</v>
          </cell>
          <cell r="Z1030" t="str">
            <v>Mid</v>
          </cell>
          <cell r="AA1030" t="str">
            <v>Low</v>
          </cell>
          <cell r="AB1030" t="str">
            <v>Mid</v>
          </cell>
          <cell r="AC1030" t="str">
            <v>Low</v>
          </cell>
          <cell r="AD1030">
            <v>1448</v>
          </cell>
        </row>
        <row r="1031">
          <cell r="A1031">
            <v>40</v>
          </cell>
          <cell r="B1031" t="str">
            <v>No</v>
          </cell>
          <cell r="C1031" t="str">
            <v>Research &amp; Development</v>
          </cell>
          <cell r="D1031">
            <v>9</v>
          </cell>
          <cell r="E1031">
            <v>4</v>
          </cell>
          <cell r="F1031" t="str">
            <v>Other</v>
          </cell>
          <cell r="G1031">
            <v>3</v>
          </cell>
          <cell r="H1031" t="str">
            <v>Male</v>
          </cell>
          <cell r="I1031">
            <v>3</v>
          </cell>
          <cell r="J1031">
            <v>2</v>
          </cell>
          <cell r="K1031" t="str">
            <v>Laboratory Technician</v>
          </cell>
          <cell r="L1031">
            <v>3</v>
          </cell>
          <cell r="M1031" t="str">
            <v>Divorced</v>
          </cell>
          <cell r="N1031">
            <v>3975</v>
          </cell>
          <cell r="O1031">
            <v>3</v>
          </cell>
          <cell r="P1031" t="str">
            <v>No</v>
          </cell>
          <cell r="Q1031">
            <v>3</v>
          </cell>
          <cell r="R1031">
            <v>11</v>
          </cell>
          <cell r="S1031">
            <v>4</v>
          </cell>
          <cell r="T1031">
            <v>8</v>
          </cell>
          <cell r="U1031">
            <v>7</v>
          </cell>
          <cell r="V1031">
            <v>0</v>
          </cell>
          <cell r="W1031">
            <v>7</v>
          </cell>
          <cell r="X1031">
            <v>11</v>
          </cell>
          <cell r="Y1031">
            <v>0</v>
          </cell>
          <cell r="Z1031" t="str">
            <v>Mid</v>
          </cell>
          <cell r="AA1031" t="str">
            <v>Low</v>
          </cell>
          <cell r="AB1031" t="str">
            <v>Long</v>
          </cell>
          <cell r="AC1031" t="str">
            <v>Low</v>
          </cell>
          <cell r="AD1031">
            <v>1449</v>
          </cell>
        </row>
        <row r="1032">
          <cell r="A1032">
            <v>31</v>
          </cell>
          <cell r="B1032" t="str">
            <v>No</v>
          </cell>
          <cell r="C1032" t="str">
            <v>Sales</v>
          </cell>
          <cell r="D1032">
            <v>8</v>
          </cell>
          <cell r="E1032">
            <v>2</v>
          </cell>
          <cell r="F1032" t="str">
            <v>Life Sciences</v>
          </cell>
          <cell r="G1032">
            <v>1</v>
          </cell>
          <cell r="H1032" t="str">
            <v>Male</v>
          </cell>
          <cell r="I1032">
            <v>3</v>
          </cell>
          <cell r="J1032">
            <v>3</v>
          </cell>
          <cell r="K1032" t="str">
            <v>Sales Executive</v>
          </cell>
          <cell r="L1032">
            <v>4</v>
          </cell>
          <cell r="M1032" t="str">
            <v>Divorced</v>
          </cell>
          <cell r="N1032">
            <v>10793</v>
          </cell>
          <cell r="O1032">
            <v>1</v>
          </cell>
          <cell r="P1032" t="str">
            <v>No</v>
          </cell>
          <cell r="Q1032">
            <v>1</v>
          </cell>
          <cell r="R1032">
            <v>13</v>
          </cell>
          <cell r="S1032">
            <v>3</v>
          </cell>
          <cell r="T1032">
            <v>13</v>
          </cell>
          <cell r="U1032">
            <v>7</v>
          </cell>
          <cell r="V1032">
            <v>9</v>
          </cell>
          <cell r="W1032">
            <v>9</v>
          </cell>
          <cell r="X1032">
            <v>18</v>
          </cell>
          <cell r="Y1032">
            <v>0</v>
          </cell>
          <cell r="Z1032" t="str">
            <v>Mid</v>
          </cell>
          <cell r="AA1032" t="str">
            <v>High</v>
          </cell>
          <cell r="AB1032" t="str">
            <v>Long</v>
          </cell>
          <cell r="AC1032" t="str">
            <v>High</v>
          </cell>
          <cell r="AD1032">
            <v>1453</v>
          </cell>
        </row>
        <row r="1033">
          <cell r="A1033">
            <v>46</v>
          </cell>
          <cell r="B1033" t="str">
            <v>Yes</v>
          </cell>
          <cell r="C1033" t="str">
            <v>Sales</v>
          </cell>
          <cell r="D1033">
            <v>9</v>
          </cell>
          <cell r="E1033">
            <v>3</v>
          </cell>
          <cell r="F1033" t="str">
            <v>Marketing</v>
          </cell>
          <cell r="G1033">
            <v>1</v>
          </cell>
          <cell r="H1033" t="str">
            <v>Male</v>
          </cell>
          <cell r="I1033">
            <v>3</v>
          </cell>
          <cell r="J1033">
            <v>3</v>
          </cell>
          <cell r="K1033" t="str">
            <v>Sales Executive</v>
          </cell>
          <cell r="L1033">
            <v>4</v>
          </cell>
          <cell r="M1033" t="str">
            <v>Divorced</v>
          </cell>
          <cell r="N1033">
            <v>10096</v>
          </cell>
          <cell r="O1033">
            <v>4</v>
          </cell>
          <cell r="P1033" t="str">
            <v>No</v>
          </cell>
          <cell r="Q1033">
            <v>1</v>
          </cell>
          <cell r="R1033">
            <v>28</v>
          </cell>
          <cell r="S1033">
            <v>4</v>
          </cell>
          <cell r="T1033">
            <v>7</v>
          </cell>
          <cell r="U1033">
            <v>7</v>
          </cell>
          <cell r="V1033">
            <v>4</v>
          </cell>
          <cell r="W1033">
            <v>3</v>
          </cell>
          <cell r="X1033">
            <v>11</v>
          </cell>
          <cell r="Y1033">
            <v>1</v>
          </cell>
          <cell r="Z1033" t="str">
            <v>Senior</v>
          </cell>
          <cell r="AA1033" t="str">
            <v>High</v>
          </cell>
          <cell r="AB1033" t="str">
            <v>Long</v>
          </cell>
          <cell r="AC1033" t="str">
            <v>Low</v>
          </cell>
          <cell r="AD1033">
            <v>1457</v>
          </cell>
        </row>
        <row r="1034">
          <cell r="A1034">
            <v>39</v>
          </cell>
          <cell r="B1034" t="str">
            <v>Yes</v>
          </cell>
          <cell r="C1034" t="str">
            <v>Research &amp; Development</v>
          </cell>
          <cell r="D1034">
            <v>2</v>
          </cell>
          <cell r="E1034">
            <v>3</v>
          </cell>
          <cell r="F1034" t="str">
            <v>Life Sciences</v>
          </cell>
          <cell r="G1034">
            <v>1</v>
          </cell>
          <cell r="H1034" t="str">
            <v>Female</v>
          </cell>
          <cell r="I1034">
            <v>2</v>
          </cell>
          <cell r="J1034">
            <v>1</v>
          </cell>
          <cell r="K1034" t="str">
            <v>Laboratory Technician</v>
          </cell>
          <cell r="L1034">
            <v>1</v>
          </cell>
          <cell r="M1034" t="str">
            <v>Single</v>
          </cell>
          <cell r="N1034">
            <v>3646</v>
          </cell>
          <cell r="O1034">
            <v>2</v>
          </cell>
          <cell r="P1034" t="str">
            <v>Yes</v>
          </cell>
          <cell r="Q1034">
            <v>2</v>
          </cell>
          <cell r="R1034">
            <v>11</v>
          </cell>
          <cell r="S1034">
            <v>4</v>
          </cell>
          <cell r="T1034">
            <v>1</v>
          </cell>
          <cell r="U1034">
            <v>0</v>
          </cell>
          <cell r="V1034">
            <v>0</v>
          </cell>
          <cell r="W1034">
            <v>0</v>
          </cell>
          <cell r="X1034">
            <v>23</v>
          </cell>
          <cell r="Y1034">
            <v>1</v>
          </cell>
          <cell r="Z1034" t="str">
            <v>Mid</v>
          </cell>
          <cell r="AA1034" t="str">
            <v>Low</v>
          </cell>
          <cell r="AB1034" t="str">
            <v>Early</v>
          </cell>
          <cell r="AC1034" t="str">
            <v>High</v>
          </cell>
          <cell r="AD1034">
            <v>1458</v>
          </cell>
        </row>
        <row r="1035">
          <cell r="A1035">
            <v>31</v>
          </cell>
          <cell r="B1035" t="str">
            <v>Yes</v>
          </cell>
          <cell r="C1035" t="str">
            <v>Research &amp; Development</v>
          </cell>
          <cell r="D1035">
            <v>1</v>
          </cell>
          <cell r="E1035">
            <v>5</v>
          </cell>
          <cell r="F1035" t="str">
            <v>Life Sciences</v>
          </cell>
          <cell r="G1035">
            <v>3</v>
          </cell>
          <cell r="H1035" t="str">
            <v>Female</v>
          </cell>
          <cell r="I1035">
            <v>4</v>
          </cell>
          <cell r="J1035">
            <v>3</v>
          </cell>
          <cell r="K1035" t="str">
            <v>Manufacturing Director</v>
          </cell>
          <cell r="L1035">
            <v>2</v>
          </cell>
          <cell r="M1035" t="str">
            <v>Single</v>
          </cell>
          <cell r="N1035">
            <v>7446</v>
          </cell>
          <cell r="O1035">
            <v>1</v>
          </cell>
          <cell r="P1035" t="str">
            <v>No</v>
          </cell>
          <cell r="Q1035">
            <v>1</v>
          </cell>
          <cell r="R1035">
            <v>10</v>
          </cell>
          <cell r="S1035">
            <v>3</v>
          </cell>
          <cell r="T1035">
            <v>10</v>
          </cell>
          <cell r="U1035">
            <v>8</v>
          </cell>
          <cell r="V1035">
            <v>4</v>
          </cell>
          <cell r="W1035">
            <v>7</v>
          </cell>
          <cell r="X1035">
            <v>11</v>
          </cell>
          <cell r="Y1035">
            <v>1</v>
          </cell>
          <cell r="Z1035" t="str">
            <v>Mid</v>
          </cell>
          <cell r="AA1035" t="str">
            <v>Medium</v>
          </cell>
          <cell r="AB1035" t="str">
            <v>Long</v>
          </cell>
          <cell r="AC1035" t="str">
            <v>Low</v>
          </cell>
          <cell r="AD1035">
            <v>1459</v>
          </cell>
        </row>
        <row r="1036">
          <cell r="A1036">
            <v>45</v>
          </cell>
          <cell r="B1036" t="str">
            <v>No</v>
          </cell>
          <cell r="C1036" t="str">
            <v>Research &amp; Development</v>
          </cell>
          <cell r="D1036">
            <v>20</v>
          </cell>
          <cell r="E1036">
            <v>3</v>
          </cell>
          <cell r="F1036" t="str">
            <v>Medical</v>
          </cell>
          <cell r="G1036">
            <v>2</v>
          </cell>
          <cell r="H1036" t="str">
            <v>Male</v>
          </cell>
          <cell r="I1036">
            <v>1</v>
          </cell>
          <cell r="J1036">
            <v>3</v>
          </cell>
          <cell r="K1036" t="str">
            <v>Healthcare Representative</v>
          </cell>
          <cell r="L1036">
            <v>1</v>
          </cell>
          <cell r="M1036" t="str">
            <v>Divorced</v>
          </cell>
          <cell r="N1036">
            <v>10851</v>
          </cell>
          <cell r="O1036">
            <v>2</v>
          </cell>
          <cell r="P1036" t="str">
            <v>Yes</v>
          </cell>
          <cell r="Q1036">
            <v>2</v>
          </cell>
          <cell r="R1036">
            <v>24</v>
          </cell>
          <cell r="S1036">
            <v>3</v>
          </cell>
          <cell r="T1036">
            <v>7</v>
          </cell>
          <cell r="U1036">
            <v>7</v>
          </cell>
          <cell r="V1036">
            <v>0</v>
          </cell>
          <cell r="W1036">
            <v>7</v>
          </cell>
          <cell r="X1036">
            <v>18</v>
          </cell>
          <cell r="Y1036">
            <v>0</v>
          </cell>
          <cell r="Z1036" t="str">
            <v>Senior</v>
          </cell>
          <cell r="AA1036" t="str">
            <v>High</v>
          </cell>
          <cell r="AB1036" t="str">
            <v>Long</v>
          </cell>
          <cell r="AC1036" t="str">
            <v>High</v>
          </cell>
          <cell r="AD1036">
            <v>1460</v>
          </cell>
        </row>
        <row r="1037">
          <cell r="A1037">
            <v>31</v>
          </cell>
          <cell r="B1037" t="str">
            <v>No</v>
          </cell>
          <cell r="C1037" t="str">
            <v>Human Resources</v>
          </cell>
          <cell r="D1037">
            <v>8</v>
          </cell>
          <cell r="E1037">
            <v>2</v>
          </cell>
          <cell r="F1037" t="str">
            <v>Medical</v>
          </cell>
          <cell r="G1037">
            <v>4</v>
          </cell>
          <cell r="H1037" t="str">
            <v>Female</v>
          </cell>
          <cell r="I1037">
            <v>4</v>
          </cell>
          <cell r="J1037">
            <v>1</v>
          </cell>
          <cell r="K1037" t="str">
            <v>Human Resources</v>
          </cell>
          <cell r="L1037">
            <v>2</v>
          </cell>
          <cell r="M1037" t="str">
            <v>Single</v>
          </cell>
          <cell r="N1037">
            <v>2109</v>
          </cell>
          <cell r="O1037">
            <v>9</v>
          </cell>
          <cell r="P1037" t="str">
            <v>No</v>
          </cell>
          <cell r="Q1037">
            <v>4</v>
          </cell>
          <cell r="R1037">
            <v>8</v>
          </cell>
          <cell r="S1037">
            <v>3</v>
          </cell>
          <cell r="T1037">
            <v>3</v>
          </cell>
          <cell r="U1037">
            <v>2</v>
          </cell>
          <cell r="V1037">
            <v>0</v>
          </cell>
          <cell r="W1037">
            <v>2</v>
          </cell>
          <cell r="X1037">
            <v>18</v>
          </cell>
          <cell r="Y1037">
            <v>0</v>
          </cell>
          <cell r="Z1037" t="str">
            <v>Mid</v>
          </cell>
          <cell r="AA1037" t="str">
            <v>Low</v>
          </cell>
          <cell r="AB1037" t="str">
            <v>Mid</v>
          </cell>
          <cell r="AC1037" t="str">
            <v>High</v>
          </cell>
          <cell r="AD1037">
            <v>1461</v>
          </cell>
        </row>
        <row r="1038">
          <cell r="A1038">
            <v>31</v>
          </cell>
          <cell r="B1038" t="str">
            <v>Yes</v>
          </cell>
          <cell r="C1038" t="str">
            <v>Research &amp; Development</v>
          </cell>
          <cell r="D1038">
            <v>2</v>
          </cell>
          <cell r="E1038">
            <v>3</v>
          </cell>
          <cell r="F1038" t="str">
            <v>Life Sciences</v>
          </cell>
          <cell r="G1038">
            <v>2</v>
          </cell>
          <cell r="H1038" t="str">
            <v>Male</v>
          </cell>
          <cell r="I1038">
            <v>3</v>
          </cell>
          <cell r="J1038">
            <v>1</v>
          </cell>
          <cell r="K1038" t="str">
            <v>Laboratory Technician</v>
          </cell>
          <cell r="L1038">
            <v>4</v>
          </cell>
          <cell r="M1038" t="str">
            <v>Married</v>
          </cell>
          <cell r="N1038">
            <v>3722</v>
          </cell>
          <cell r="O1038">
            <v>6</v>
          </cell>
          <cell r="P1038" t="str">
            <v>Yes</v>
          </cell>
          <cell r="Q1038">
            <v>3</v>
          </cell>
          <cell r="R1038">
            <v>7</v>
          </cell>
          <cell r="S1038">
            <v>1</v>
          </cell>
          <cell r="T1038">
            <v>2</v>
          </cell>
          <cell r="U1038">
            <v>2</v>
          </cell>
          <cell r="V1038">
            <v>2</v>
          </cell>
          <cell r="W1038">
            <v>2</v>
          </cell>
          <cell r="X1038">
            <v>13</v>
          </cell>
          <cell r="Y1038">
            <v>1</v>
          </cell>
          <cell r="Z1038" t="str">
            <v>Mid</v>
          </cell>
          <cell r="AA1038" t="str">
            <v>Low</v>
          </cell>
          <cell r="AB1038" t="str">
            <v>Early</v>
          </cell>
          <cell r="AC1038" t="str">
            <v>Medium</v>
          </cell>
          <cell r="AD1038">
            <v>1464</v>
          </cell>
        </row>
        <row r="1039">
          <cell r="A1039">
            <v>45</v>
          </cell>
          <cell r="B1039" t="str">
            <v>No</v>
          </cell>
          <cell r="C1039" t="str">
            <v>Research &amp; Development</v>
          </cell>
          <cell r="D1039">
            <v>29</v>
          </cell>
          <cell r="E1039">
            <v>3</v>
          </cell>
          <cell r="F1039" t="str">
            <v>Technical Degree</v>
          </cell>
          <cell r="G1039">
            <v>2</v>
          </cell>
          <cell r="H1039" t="str">
            <v>Male</v>
          </cell>
          <cell r="I1039">
            <v>3</v>
          </cell>
          <cell r="J1039">
            <v>3</v>
          </cell>
          <cell r="K1039" t="str">
            <v>Manufacturing Director</v>
          </cell>
          <cell r="L1039">
            <v>4</v>
          </cell>
          <cell r="M1039" t="str">
            <v>Married</v>
          </cell>
          <cell r="N1039">
            <v>9380</v>
          </cell>
          <cell r="O1039">
            <v>4</v>
          </cell>
          <cell r="P1039" t="str">
            <v>Yes</v>
          </cell>
          <cell r="Q1039">
            <v>4</v>
          </cell>
          <cell r="R1039">
            <v>10</v>
          </cell>
          <cell r="S1039">
            <v>4</v>
          </cell>
          <cell r="T1039">
            <v>3</v>
          </cell>
          <cell r="U1039">
            <v>1</v>
          </cell>
          <cell r="V1039">
            <v>1</v>
          </cell>
          <cell r="W1039">
            <v>2</v>
          </cell>
          <cell r="X1039">
            <v>18</v>
          </cell>
          <cell r="Y1039">
            <v>0</v>
          </cell>
          <cell r="Z1039" t="str">
            <v>Senior</v>
          </cell>
          <cell r="AA1039" t="str">
            <v>Medium</v>
          </cell>
          <cell r="AB1039" t="str">
            <v>Mid</v>
          </cell>
          <cell r="AC1039" t="str">
            <v>High</v>
          </cell>
          <cell r="AD1039">
            <v>1465</v>
          </cell>
        </row>
        <row r="1040">
          <cell r="A1040">
            <v>48</v>
          </cell>
          <cell r="B1040" t="str">
            <v>No</v>
          </cell>
          <cell r="C1040" t="str">
            <v>Sales</v>
          </cell>
          <cell r="D1040">
            <v>7</v>
          </cell>
          <cell r="E1040">
            <v>3</v>
          </cell>
          <cell r="F1040" t="str">
            <v>Marketing</v>
          </cell>
          <cell r="G1040">
            <v>3</v>
          </cell>
          <cell r="H1040" t="str">
            <v>Male</v>
          </cell>
          <cell r="I1040">
            <v>3</v>
          </cell>
          <cell r="J1040">
            <v>2</v>
          </cell>
          <cell r="K1040" t="str">
            <v>Sales Executive</v>
          </cell>
          <cell r="L1040">
            <v>1</v>
          </cell>
          <cell r="M1040" t="str">
            <v>Divorced</v>
          </cell>
          <cell r="N1040">
            <v>5486</v>
          </cell>
          <cell r="O1040">
            <v>4</v>
          </cell>
          <cell r="P1040" t="str">
            <v>No</v>
          </cell>
          <cell r="Q1040">
            <v>1</v>
          </cell>
          <cell r="R1040">
            <v>15</v>
          </cell>
          <cell r="S1040">
            <v>3</v>
          </cell>
          <cell r="T1040">
            <v>2</v>
          </cell>
          <cell r="U1040">
            <v>2</v>
          </cell>
          <cell r="V1040">
            <v>2</v>
          </cell>
          <cell r="W1040">
            <v>2</v>
          </cell>
          <cell r="X1040">
            <v>11</v>
          </cell>
          <cell r="Y1040">
            <v>0</v>
          </cell>
          <cell r="Z1040" t="str">
            <v>Senior</v>
          </cell>
          <cell r="AA1040" t="str">
            <v>Medium</v>
          </cell>
          <cell r="AB1040" t="str">
            <v>Early</v>
          </cell>
          <cell r="AC1040" t="str">
            <v>Low</v>
          </cell>
          <cell r="AD1040">
            <v>1466</v>
          </cell>
        </row>
        <row r="1041">
          <cell r="A1041">
            <v>34</v>
          </cell>
          <cell r="B1041" t="str">
            <v>Yes</v>
          </cell>
          <cell r="C1041" t="str">
            <v>Human Resources</v>
          </cell>
          <cell r="D1041">
            <v>9</v>
          </cell>
          <cell r="E1041">
            <v>4</v>
          </cell>
          <cell r="F1041" t="str">
            <v>Technical Degree</v>
          </cell>
          <cell r="G1041">
            <v>1</v>
          </cell>
          <cell r="H1041" t="str">
            <v>Female</v>
          </cell>
          <cell r="I1041">
            <v>3</v>
          </cell>
          <cell r="J1041">
            <v>1</v>
          </cell>
          <cell r="K1041" t="str">
            <v>Human Resources</v>
          </cell>
          <cell r="L1041">
            <v>3</v>
          </cell>
          <cell r="M1041" t="str">
            <v>Married</v>
          </cell>
          <cell r="N1041">
            <v>2742</v>
          </cell>
          <cell r="O1041">
            <v>1</v>
          </cell>
          <cell r="P1041" t="str">
            <v>No</v>
          </cell>
          <cell r="Q1041">
            <v>4</v>
          </cell>
          <cell r="R1041">
            <v>2</v>
          </cell>
          <cell r="S1041">
            <v>3</v>
          </cell>
          <cell r="T1041">
            <v>2</v>
          </cell>
          <cell r="U1041">
            <v>2</v>
          </cell>
          <cell r="V1041">
            <v>2</v>
          </cell>
          <cell r="W1041">
            <v>2</v>
          </cell>
          <cell r="X1041">
            <v>15</v>
          </cell>
          <cell r="Y1041">
            <v>1</v>
          </cell>
          <cell r="Z1041" t="str">
            <v>Mid</v>
          </cell>
          <cell r="AA1041" t="str">
            <v>Low</v>
          </cell>
          <cell r="AB1041" t="str">
            <v>Early</v>
          </cell>
          <cell r="AC1041" t="str">
            <v>Medium</v>
          </cell>
          <cell r="AD1041">
            <v>1467</v>
          </cell>
        </row>
        <row r="1042">
          <cell r="A1042">
            <v>40</v>
          </cell>
          <cell r="B1042" t="str">
            <v>No</v>
          </cell>
          <cell r="C1042" t="str">
            <v>Research &amp; Development</v>
          </cell>
          <cell r="D1042">
            <v>8</v>
          </cell>
          <cell r="E1042">
            <v>1</v>
          </cell>
          <cell r="F1042" t="str">
            <v>Medical</v>
          </cell>
          <cell r="G1042">
            <v>4</v>
          </cell>
          <cell r="H1042" t="str">
            <v>Male</v>
          </cell>
          <cell r="I1042">
            <v>2</v>
          </cell>
          <cell r="J1042">
            <v>3</v>
          </cell>
          <cell r="K1042" t="str">
            <v>Research Director</v>
          </cell>
          <cell r="L1042">
            <v>2</v>
          </cell>
          <cell r="M1042" t="str">
            <v>Divorced</v>
          </cell>
          <cell r="N1042">
            <v>13757</v>
          </cell>
          <cell r="O1042">
            <v>2</v>
          </cell>
          <cell r="P1042" t="str">
            <v>No</v>
          </cell>
          <cell r="Q1042">
            <v>3</v>
          </cell>
          <cell r="R1042">
            <v>16</v>
          </cell>
          <cell r="S1042">
            <v>3</v>
          </cell>
          <cell r="T1042">
            <v>9</v>
          </cell>
          <cell r="U1042">
            <v>8</v>
          </cell>
          <cell r="V1042">
            <v>4</v>
          </cell>
          <cell r="W1042">
            <v>8</v>
          </cell>
          <cell r="X1042">
            <v>11</v>
          </cell>
          <cell r="Y1042">
            <v>0</v>
          </cell>
          <cell r="Z1042" t="str">
            <v>Mid</v>
          </cell>
          <cell r="AA1042" t="str">
            <v>High</v>
          </cell>
          <cell r="AB1042" t="str">
            <v>Long</v>
          </cell>
          <cell r="AC1042" t="str">
            <v>Low</v>
          </cell>
          <cell r="AD1042">
            <v>1468</v>
          </cell>
        </row>
        <row r="1043">
          <cell r="A1043">
            <v>28</v>
          </cell>
          <cell r="B1043" t="str">
            <v>No</v>
          </cell>
          <cell r="C1043" t="str">
            <v>Sales</v>
          </cell>
          <cell r="D1043">
            <v>5</v>
          </cell>
          <cell r="E1043">
            <v>3</v>
          </cell>
          <cell r="F1043" t="str">
            <v>Medical</v>
          </cell>
          <cell r="G1043">
            <v>4</v>
          </cell>
          <cell r="H1043" t="str">
            <v>Male</v>
          </cell>
          <cell r="I1043">
            <v>3</v>
          </cell>
          <cell r="J1043">
            <v>2</v>
          </cell>
          <cell r="K1043" t="str">
            <v>Sales Executive</v>
          </cell>
          <cell r="L1043">
            <v>1</v>
          </cell>
          <cell r="M1043" t="str">
            <v>Single</v>
          </cell>
          <cell r="N1043">
            <v>8463</v>
          </cell>
          <cell r="O1043">
            <v>0</v>
          </cell>
          <cell r="P1043" t="str">
            <v>No</v>
          </cell>
          <cell r="Q1043">
            <v>4</v>
          </cell>
          <cell r="R1043">
            <v>6</v>
          </cell>
          <cell r="S1043">
            <v>3</v>
          </cell>
          <cell r="T1043">
            <v>5</v>
          </cell>
          <cell r="U1043">
            <v>4</v>
          </cell>
          <cell r="V1043">
            <v>1</v>
          </cell>
          <cell r="W1043">
            <v>3</v>
          </cell>
          <cell r="X1043">
            <v>18</v>
          </cell>
          <cell r="Y1043">
            <v>0</v>
          </cell>
          <cell r="Z1043" t="str">
            <v>Young</v>
          </cell>
          <cell r="AA1043" t="str">
            <v>Medium</v>
          </cell>
          <cell r="AB1043" t="str">
            <v>Mid</v>
          </cell>
          <cell r="AC1043" t="str">
            <v>High</v>
          </cell>
          <cell r="AD1043">
            <v>1469</v>
          </cell>
        </row>
        <row r="1044">
          <cell r="A1044">
            <v>44</v>
          </cell>
          <cell r="B1044" t="str">
            <v>No</v>
          </cell>
          <cell r="C1044" t="str">
            <v>Research &amp; Development</v>
          </cell>
          <cell r="D1044">
            <v>5</v>
          </cell>
          <cell r="E1044">
            <v>3</v>
          </cell>
          <cell r="F1044" t="str">
            <v>Life Sciences</v>
          </cell>
          <cell r="G1044">
            <v>3</v>
          </cell>
          <cell r="H1044" t="str">
            <v>Male</v>
          </cell>
          <cell r="I1044">
            <v>2</v>
          </cell>
          <cell r="J1044">
            <v>1</v>
          </cell>
          <cell r="K1044" t="str">
            <v>Laboratory Technician</v>
          </cell>
          <cell r="L1044">
            <v>3</v>
          </cell>
          <cell r="M1044" t="str">
            <v>Single</v>
          </cell>
          <cell r="N1044">
            <v>3162</v>
          </cell>
          <cell r="O1044">
            <v>3</v>
          </cell>
          <cell r="P1044" t="str">
            <v>No</v>
          </cell>
          <cell r="Q1044">
            <v>4</v>
          </cell>
          <cell r="R1044">
            <v>7</v>
          </cell>
          <cell r="S1044">
            <v>3</v>
          </cell>
          <cell r="T1044">
            <v>5</v>
          </cell>
          <cell r="U1044">
            <v>2</v>
          </cell>
          <cell r="V1044">
            <v>0</v>
          </cell>
          <cell r="W1044">
            <v>3</v>
          </cell>
          <cell r="X1044">
            <v>14</v>
          </cell>
          <cell r="Y1044">
            <v>0</v>
          </cell>
          <cell r="Z1044" t="str">
            <v>Mid</v>
          </cell>
          <cell r="AA1044" t="str">
            <v>Low</v>
          </cell>
          <cell r="AB1044" t="str">
            <v>Mid</v>
          </cell>
          <cell r="AC1044" t="str">
            <v>Medium</v>
          </cell>
          <cell r="AD1044">
            <v>1471</v>
          </cell>
        </row>
        <row r="1045">
          <cell r="A1045">
            <v>53</v>
          </cell>
          <cell r="B1045" t="str">
            <v>No</v>
          </cell>
          <cell r="C1045" t="str">
            <v>Research &amp; Development</v>
          </cell>
          <cell r="D1045">
            <v>2</v>
          </cell>
          <cell r="E1045">
            <v>3</v>
          </cell>
          <cell r="F1045" t="str">
            <v>Medical</v>
          </cell>
          <cell r="G1045">
            <v>4</v>
          </cell>
          <cell r="H1045" t="str">
            <v>Male</v>
          </cell>
          <cell r="I1045">
            <v>4</v>
          </cell>
          <cell r="J1045">
            <v>4</v>
          </cell>
          <cell r="K1045" t="str">
            <v>Research Director</v>
          </cell>
          <cell r="L1045">
            <v>2</v>
          </cell>
          <cell r="M1045" t="str">
            <v>Single</v>
          </cell>
          <cell r="N1045">
            <v>16598</v>
          </cell>
          <cell r="O1045">
            <v>4</v>
          </cell>
          <cell r="P1045" t="str">
            <v>No</v>
          </cell>
          <cell r="Q1045">
            <v>2</v>
          </cell>
          <cell r="R1045">
            <v>35</v>
          </cell>
          <cell r="S1045">
            <v>2</v>
          </cell>
          <cell r="T1045">
            <v>9</v>
          </cell>
          <cell r="U1045">
            <v>8</v>
          </cell>
          <cell r="V1045">
            <v>8</v>
          </cell>
          <cell r="W1045">
            <v>8</v>
          </cell>
          <cell r="X1045">
            <v>12</v>
          </cell>
          <cell r="Y1045">
            <v>0</v>
          </cell>
          <cell r="Z1045" t="str">
            <v>Senior</v>
          </cell>
          <cell r="AA1045" t="str">
            <v>High</v>
          </cell>
          <cell r="AB1045" t="str">
            <v>Long</v>
          </cell>
          <cell r="AC1045" t="str">
            <v>Low</v>
          </cell>
          <cell r="AD1045">
            <v>1472</v>
          </cell>
        </row>
        <row r="1046">
          <cell r="A1046">
            <v>49</v>
          </cell>
          <cell r="B1046" t="str">
            <v>No</v>
          </cell>
          <cell r="C1046" t="str">
            <v>Research &amp; Development</v>
          </cell>
          <cell r="D1046">
            <v>5</v>
          </cell>
          <cell r="E1046">
            <v>4</v>
          </cell>
          <cell r="F1046" t="str">
            <v>Technical Degree</v>
          </cell>
          <cell r="G1046">
            <v>1</v>
          </cell>
          <cell r="H1046" t="str">
            <v>Male</v>
          </cell>
          <cell r="I1046">
            <v>3</v>
          </cell>
          <cell r="J1046">
            <v>2</v>
          </cell>
          <cell r="K1046" t="str">
            <v>Healthcare Representative</v>
          </cell>
          <cell r="L1046">
            <v>3</v>
          </cell>
          <cell r="M1046" t="str">
            <v>Married</v>
          </cell>
          <cell r="N1046">
            <v>6651</v>
          </cell>
          <cell r="O1046">
            <v>2</v>
          </cell>
          <cell r="P1046" t="str">
            <v>No</v>
          </cell>
          <cell r="Q1046">
            <v>2</v>
          </cell>
          <cell r="R1046">
            <v>20</v>
          </cell>
          <cell r="S1046">
            <v>2</v>
          </cell>
          <cell r="T1046">
            <v>3</v>
          </cell>
          <cell r="U1046">
            <v>2</v>
          </cell>
          <cell r="V1046">
            <v>1</v>
          </cell>
          <cell r="W1046">
            <v>2</v>
          </cell>
          <cell r="X1046">
            <v>14</v>
          </cell>
          <cell r="Y1046">
            <v>0</v>
          </cell>
          <cell r="Z1046" t="str">
            <v>Senior</v>
          </cell>
          <cell r="AA1046" t="str">
            <v>Medium</v>
          </cell>
          <cell r="AB1046" t="str">
            <v>Mid</v>
          </cell>
          <cell r="AC1046" t="str">
            <v>Medium</v>
          </cell>
          <cell r="AD1046">
            <v>1473</v>
          </cell>
        </row>
        <row r="1047">
          <cell r="A1047">
            <v>40</v>
          </cell>
          <cell r="B1047" t="str">
            <v>No</v>
          </cell>
          <cell r="C1047" t="str">
            <v>Research &amp; Development</v>
          </cell>
          <cell r="D1047">
            <v>2</v>
          </cell>
          <cell r="E1047">
            <v>3</v>
          </cell>
          <cell r="F1047" t="str">
            <v>Medical</v>
          </cell>
          <cell r="G1047">
            <v>3</v>
          </cell>
          <cell r="H1047" t="str">
            <v>Male</v>
          </cell>
          <cell r="I1047">
            <v>3</v>
          </cell>
          <cell r="J1047">
            <v>1</v>
          </cell>
          <cell r="K1047" t="str">
            <v>Research Scientist</v>
          </cell>
          <cell r="L1047">
            <v>3</v>
          </cell>
          <cell r="M1047" t="str">
            <v>Divorced</v>
          </cell>
          <cell r="N1047">
            <v>2345</v>
          </cell>
          <cell r="O1047">
            <v>2</v>
          </cell>
          <cell r="P1047" t="str">
            <v>No</v>
          </cell>
          <cell r="Q1047">
            <v>3</v>
          </cell>
          <cell r="R1047">
            <v>8</v>
          </cell>
          <cell r="S1047">
            <v>4</v>
          </cell>
          <cell r="T1047">
            <v>3</v>
          </cell>
          <cell r="U1047">
            <v>1</v>
          </cell>
          <cell r="V1047">
            <v>1</v>
          </cell>
          <cell r="W1047">
            <v>2</v>
          </cell>
          <cell r="X1047">
            <v>14</v>
          </cell>
          <cell r="Y1047">
            <v>0</v>
          </cell>
          <cell r="Z1047" t="str">
            <v>Mid</v>
          </cell>
          <cell r="AA1047" t="str">
            <v>Low</v>
          </cell>
          <cell r="AB1047" t="str">
            <v>Mid</v>
          </cell>
          <cell r="AC1047" t="str">
            <v>Medium</v>
          </cell>
          <cell r="AD1047">
            <v>1474</v>
          </cell>
        </row>
        <row r="1048">
          <cell r="A1048">
            <v>44</v>
          </cell>
          <cell r="B1048" t="str">
            <v>No</v>
          </cell>
          <cell r="C1048" t="str">
            <v>Research &amp; Development</v>
          </cell>
          <cell r="D1048">
            <v>20</v>
          </cell>
          <cell r="E1048">
            <v>3</v>
          </cell>
          <cell r="F1048" t="str">
            <v>Life Sciences</v>
          </cell>
          <cell r="G1048">
            <v>4</v>
          </cell>
          <cell r="H1048" t="str">
            <v>Male</v>
          </cell>
          <cell r="I1048">
            <v>3</v>
          </cell>
          <cell r="J1048">
            <v>1</v>
          </cell>
          <cell r="K1048" t="str">
            <v>Research Scientist</v>
          </cell>
          <cell r="L1048">
            <v>2</v>
          </cell>
          <cell r="M1048" t="str">
            <v>Single</v>
          </cell>
          <cell r="N1048">
            <v>3420</v>
          </cell>
          <cell r="O1048">
            <v>1</v>
          </cell>
          <cell r="P1048" t="str">
            <v>No</v>
          </cell>
          <cell r="Q1048">
            <v>3</v>
          </cell>
          <cell r="R1048">
            <v>6</v>
          </cell>
          <cell r="S1048">
            <v>2</v>
          </cell>
          <cell r="T1048">
            <v>5</v>
          </cell>
          <cell r="U1048">
            <v>2</v>
          </cell>
          <cell r="V1048">
            <v>1</v>
          </cell>
          <cell r="W1048">
            <v>3</v>
          </cell>
          <cell r="X1048">
            <v>13</v>
          </cell>
          <cell r="Y1048">
            <v>0</v>
          </cell>
          <cell r="Z1048" t="str">
            <v>Mid</v>
          </cell>
          <cell r="AA1048" t="str">
            <v>Low</v>
          </cell>
          <cell r="AB1048" t="str">
            <v>Mid</v>
          </cell>
          <cell r="AC1048" t="str">
            <v>Medium</v>
          </cell>
          <cell r="AD1048">
            <v>1475</v>
          </cell>
        </row>
        <row r="1049">
          <cell r="A1049">
            <v>33</v>
          </cell>
          <cell r="B1049" t="str">
            <v>No</v>
          </cell>
          <cell r="C1049" t="str">
            <v>Sales</v>
          </cell>
          <cell r="D1049">
            <v>7</v>
          </cell>
          <cell r="E1049">
            <v>3</v>
          </cell>
          <cell r="F1049" t="str">
            <v>Medical</v>
          </cell>
          <cell r="G1049">
            <v>4</v>
          </cell>
          <cell r="H1049" t="str">
            <v>Male</v>
          </cell>
          <cell r="I1049">
            <v>3</v>
          </cell>
          <cell r="J1049">
            <v>2</v>
          </cell>
          <cell r="K1049" t="str">
            <v>Sales Executive</v>
          </cell>
          <cell r="L1049">
            <v>1</v>
          </cell>
          <cell r="M1049" t="str">
            <v>Married</v>
          </cell>
          <cell r="N1049">
            <v>4373</v>
          </cell>
          <cell r="O1049">
            <v>0</v>
          </cell>
          <cell r="P1049" t="str">
            <v>No</v>
          </cell>
          <cell r="Q1049">
            <v>1</v>
          </cell>
          <cell r="R1049">
            <v>5</v>
          </cell>
          <cell r="S1049">
            <v>3</v>
          </cell>
          <cell r="T1049">
            <v>4</v>
          </cell>
          <cell r="U1049">
            <v>3</v>
          </cell>
          <cell r="V1049">
            <v>0</v>
          </cell>
          <cell r="W1049">
            <v>3</v>
          </cell>
          <cell r="X1049">
            <v>14</v>
          </cell>
          <cell r="Y1049">
            <v>0</v>
          </cell>
          <cell r="Z1049" t="str">
            <v>Mid</v>
          </cell>
          <cell r="AA1049" t="str">
            <v>Low</v>
          </cell>
          <cell r="AB1049" t="str">
            <v>Mid</v>
          </cell>
          <cell r="AC1049" t="str">
            <v>Medium</v>
          </cell>
          <cell r="AD1049">
            <v>1477</v>
          </cell>
        </row>
        <row r="1050">
          <cell r="A1050">
            <v>34</v>
          </cell>
          <cell r="B1050" t="str">
            <v>No</v>
          </cell>
          <cell r="C1050" t="str">
            <v>Sales</v>
          </cell>
          <cell r="D1050">
            <v>3</v>
          </cell>
          <cell r="E1050">
            <v>3</v>
          </cell>
          <cell r="F1050" t="str">
            <v>Other</v>
          </cell>
          <cell r="G1050">
            <v>4</v>
          </cell>
          <cell r="H1050" t="str">
            <v>Male</v>
          </cell>
          <cell r="I1050">
            <v>1</v>
          </cell>
          <cell r="J1050">
            <v>2</v>
          </cell>
          <cell r="K1050" t="str">
            <v>Sales Executive</v>
          </cell>
          <cell r="L1050">
            <v>1</v>
          </cell>
          <cell r="M1050" t="str">
            <v>Single</v>
          </cell>
          <cell r="N1050">
            <v>4759</v>
          </cell>
          <cell r="O1050">
            <v>3</v>
          </cell>
          <cell r="P1050" t="str">
            <v>No</v>
          </cell>
          <cell r="Q1050">
            <v>4</v>
          </cell>
          <cell r="R1050">
            <v>15</v>
          </cell>
          <cell r="S1050">
            <v>3</v>
          </cell>
          <cell r="T1050">
            <v>13</v>
          </cell>
          <cell r="U1050">
            <v>9</v>
          </cell>
          <cell r="V1050">
            <v>3</v>
          </cell>
          <cell r="W1050">
            <v>12</v>
          </cell>
          <cell r="X1050">
            <v>18</v>
          </cell>
          <cell r="Y1050">
            <v>0</v>
          </cell>
          <cell r="Z1050" t="str">
            <v>Mid</v>
          </cell>
          <cell r="AA1050" t="str">
            <v>Low</v>
          </cell>
          <cell r="AB1050" t="str">
            <v>Long</v>
          </cell>
          <cell r="AC1050" t="str">
            <v>High</v>
          </cell>
          <cell r="AD1050">
            <v>1478</v>
          </cell>
        </row>
        <row r="1051">
          <cell r="A1051">
            <v>30</v>
          </cell>
          <cell r="B1051" t="str">
            <v>No</v>
          </cell>
          <cell r="C1051" t="str">
            <v>Sales</v>
          </cell>
          <cell r="D1051">
            <v>16</v>
          </cell>
          <cell r="E1051">
            <v>1</v>
          </cell>
          <cell r="F1051" t="str">
            <v>Life Sciences</v>
          </cell>
          <cell r="G1051">
            <v>4</v>
          </cell>
          <cell r="H1051" t="str">
            <v>Male</v>
          </cell>
          <cell r="I1051">
            <v>3</v>
          </cell>
          <cell r="J1051">
            <v>2</v>
          </cell>
          <cell r="K1051" t="str">
            <v>Sales Executive</v>
          </cell>
          <cell r="L1051">
            <v>3</v>
          </cell>
          <cell r="M1051" t="str">
            <v>Married</v>
          </cell>
          <cell r="N1051">
            <v>5301</v>
          </cell>
          <cell r="O1051">
            <v>8</v>
          </cell>
          <cell r="P1051" t="str">
            <v>No</v>
          </cell>
          <cell r="Q1051">
            <v>3</v>
          </cell>
          <cell r="R1051">
            <v>4</v>
          </cell>
          <cell r="S1051">
            <v>2</v>
          </cell>
          <cell r="T1051">
            <v>2</v>
          </cell>
          <cell r="U1051">
            <v>1</v>
          </cell>
          <cell r="V1051">
            <v>2</v>
          </cell>
          <cell r="W1051">
            <v>2</v>
          </cell>
          <cell r="X1051">
            <v>15</v>
          </cell>
          <cell r="Y1051">
            <v>0</v>
          </cell>
          <cell r="Z1051" t="str">
            <v>Mid</v>
          </cell>
          <cell r="AA1051" t="str">
            <v>Medium</v>
          </cell>
          <cell r="AB1051" t="str">
            <v>Early</v>
          </cell>
          <cell r="AC1051" t="str">
            <v>Medium</v>
          </cell>
          <cell r="AD1051">
            <v>1479</v>
          </cell>
        </row>
        <row r="1052">
          <cell r="A1052">
            <v>42</v>
          </cell>
          <cell r="B1052" t="str">
            <v>No</v>
          </cell>
          <cell r="C1052" t="str">
            <v>Research &amp; Development</v>
          </cell>
          <cell r="D1052">
            <v>9</v>
          </cell>
          <cell r="E1052">
            <v>2</v>
          </cell>
          <cell r="F1052" t="str">
            <v>Medical</v>
          </cell>
          <cell r="G1052">
            <v>1</v>
          </cell>
          <cell r="H1052" t="str">
            <v>Female</v>
          </cell>
          <cell r="I1052">
            <v>3</v>
          </cell>
          <cell r="J1052">
            <v>1</v>
          </cell>
          <cell r="K1052" t="str">
            <v>Laboratory Technician</v>
          </cell>
          <cell r="L1052">
            <v>4</v>
          </cell>
          <cell r="M1052" t="str">
            <v>Single</v>
          </cell>
          <cell r="N1052">
            <v>3673</v>
          </cell>
          <cell r="O1052">
            <v>1</v>
          </cell>
          <cell r="P1052" t="str">
            <v>No</v>
          </cell>
          <cell r="Q1052">
            <v>3</v>
          </cell>
          <cell r="R1052">
            <v>12</v>
          </cell>
          <cell r="S1052">
            <v>3</v>
          </cell>
          <cell r="T1052">
            <v>12</v>
          </cell>
          <cell r="U1052">
            <v>9</v>
          </cell>
          <cell r="V1052">
            <v>5</v>
          </cell>
          <cell r="W1052">
            <v>8</v>
          </cell>
          <cell r="X1052">
            <v>13</v>
          </cell>
          <cell r="Y1052">
            <v>0</v>
          </cell>
          <cell r="Z1052" t="str">
            <v>Mid</v>
          </cell>
          <cell r="AA1052" t="str">
            <v>Low</v>
          </cell>
          <cell r="AB1052" t="str">
            <v>Long</v>
          </cell>
          <cell r="AC1052" t="str">
            <v>Medium</v>
          </cell>
          <cell r="AD1052">
            <v>1480</v>
          </cell>
        </row>
        <row r="1053">
          <cell r="A1053">
            <v>44</v>
          </cell>
          <cell r="B1053" t="str">
            <v>No</v>
          </cell>
          <cell r="C1053" t="str">
            <v>Sales</v>
          </cell>
          <cell r="D1053">
            <v>1</v>
          </cell>
          <cell r="E1053">
            <v>5</v>
          </cell>
          <cell r="F1053" t="str">
            <v>Marketing</v>
          </cell>
          <cell r="G1053">
            <v>1</v>
          </cell>
          <cell r="H1053" t="str">
            <v>Female</v>
          </cell>
          <cell r="I1053">
            <v>3</v>
          </cell>
          <cell r="J1053">
            <v>2</v>
          </cell>
          <cell r="K1053" t="str">
            <v>Sales Executive</v>
          </cell>
          <cell r="L1053">
            <v>3</v>
          </cell>
          <cell r="M1053" t="str">
            <v>Married</v>
          </cell>
          <cell r="N1053">
            <v>4768</v>
          </cell>
          <cell r="O1053">
            <v>7</v>
          </cell>
          <cell r="P1053" t="str">
            <v>No</v>
          </cell>
          <cell r="Q1053">
            <v>3</v>
          </cell>
          <cell r="R1053">
            <v>11</v>
          </cell>
          <cell r="S1053">
            <v>2</v>
          </cell>
          <cell r="T1053">
            <v>1</v>
          </cell>
          <cell r="U1053">
            <v>0</v>
          </cell>
          <cell r="V1053">
            <v>0</v>
          </cell>
          <cell r="W1053">
            <v>0</v>
          </cell>
          <cell r="X1053">
            <v>12</v>
          </cell>
          <cell r="Y1053">
            <v>0</v>
          </cell>
          <cell r="Z1053" t="str">
            <v>Mid</v>
          </cell>
          <cell r="AA1053" t="str">
            <v>Low</v>
          </cell>
          <cell r="AB1053" t="str">
            <v>Early</v>
          </cell>
          <cell r="AC1053" t="str">
            <v>Low</v>
          </cell>
          <cell r="AD1053">
            <v>1481</v>
          </cell>
        </row>
        <row r="1054">
          <cell r="A1054">
            <v>30</v>
          </cell>
          <cell r="B1054" t="str">
            <v>No</v>
          </cell>
          <cell r="C1054" t="str">
            <v>Research &amp; Development</v>
          </cell>
          <cell r="D1054">
            <v>7</v>
          </cell>
          <cell r="E1054">
            <v>3</v>
          </cell>
          <cell r="F1054" t="str">
            <v>Technical Degree</v>
          </cell>
          <cell r="G1054">
            <v>3</v>
          </cell>
          <cell r="H1054" t="str">
            <v>Male</v>
          </cell>
          <cell r="I1054">
            <v>3</v>
          </cell>
          <cell r="J1054">
            <v>1</v>
          </cell>
          <cell r="K1054" t="str">
            <v>Research Scientist</v>
          </cell>
          <cell r="L1054">
            <v>3</v>
          </cell>
          <cell r="M1054" t="str">
            <v>Divorced</v>
          </cell>
          <cell r="N1054">
            <v>1274</v>
          </cell>
          <cell r="O1054">
            <v>1</v>
          </cell>
          <cell r="P1054" t="str">
            <v>No</v>
          </cell>
          <cell r="Q1054">
            <v>2</v>
          </cell>
          <cell r="R1054">
            <v>1</v>
          </cell>
          <cell r="S1054">
            <v>2</v>
          </cell>
          <cell r="T1054">
            <v>1</v>
          </cell>
          <cell r="U1054">
            <v>0</v>
          </cell>
          <cell r="V1054">
            <v>0</v>
          </cell>
          <cell r="W1054">
            <v>0</v>
          </cell>
          <cell r="X1054">
            <v>13</v>
          </cell>
          <cell r="Y1054">
            <v>0</v>
          </cell>
          <cell r="Z1054" t="str">
            <v>Mid</v>
          </cell>
          <cell r="AA1054" t="str">
            <v>Low</v>
          </cell>
          <cell r="AB1054" t="str">
            <v>Early</v>
          </cell>
          <cell r="AC1054" t="str">
            <v>Medium</v>
          </cell>
          <cell r="AD1054">
            <v>1482</v>
          </cell>
        </row>
        <row r="1055">
          <cell r="A1055">
            <v>57</v>
          </cell>
          <cell r="B1055" t="str">
            <v>No</v>
          </cell>
          <cell r="C1055" t="str">
            <v>Research &amp; Development</v>
          </cell>
          <cell r="D1055">
            <v>1</v>
          </cell>
          <cell r="E1055">
            <v>2</v>
          </cell>
          <cell r="F1055" t="str">
            <v>Life Sciences</v>
          </cell>
          <cell r="G1055">
            <v>2</v>
          </cell>
          <cell r="H1055" t="str">
            <v>Male</v>
          </cell>
          <cell r="I1055">
            <v>4</v>
          </cell>
          <cell r="J1055">
            <v>2</v>
          </cell>
          <cell r="K1055" t="str">
            <v>Research Scientist</v>
          </cell>
          <cell r="L1055">
            <v>3</v>
          </cell>
          <cell r="M1055" t="str">
            <v>Married</v>
          </cell>
          <cell r="N1055">
            <v>4900</v>
          </cell>
          <cell r="O1055">
            <v>0</v>
          </cell>
          <cell r="P1055" t="str">
            <v>No</v>
          </cell>
          <cell r="Q1055">
            <v>1</v>
          </cell>
          <cell r="R1055">
            <v>13</v>
          </cell>
          <cell r="S1055">
            <v>2</v>
          </cell>
          <cell r="T1055">
            <v>12</v>
          </cell>
          <cell r="U1055">
            <v>9</v>
          </cell>
          <cell r="V1055">
            <v>2</v>
          </cell>
          <cell r="W1055">
            <v>8</v>
          </cell>
          <cell r="X1055">
            <v>24</v>
          </cell>
          <cell r="Y1055">
            <v>0</v>
          </cell>
          <cell r="Z1055" t="str">
            <v>Senior</v>
          </cell>
          <cell r="AA1055" t="str">
            <v>Low</v>
          </cell>
          <cell r="AB1055" t="str">
            <v>Long</v>
          </cell>
          <cell r="AC1055" t="str">
            <v>High</v>
          </cell>
          <cell r="AD1055">
            <v>1483</v>
          </cell>
        </row>
        <row r="1056">
          <cell r="A1056">
            <v>49</v>
          </cell>
          <cell r="B1056" t="str">
            <v>No</v>
          </cell>
          <cell r="C1056" t="str">
            <v>Research &amp; Development</v>
          </cell>
          <cell r="D1056">
            <v>7</v>
          </cell>
          <cell r="E1056">
            <v>4</v>
          </cell>
          <cell r="F1056" t="str">
            <v>Life Sciences</v>
          </cell>
          <cell r="G1056">
            <v>3</v>
          </cell>
          <cell r="H1056" t="str">
            <v>Male</v>
          </cell>
          <cell r="I1056">
            <v>3</v>
          </cell>
          <cell r="J1056">
            <v>3</v>
          </cell>
          <cell r="K1056" t="str">
            <v>Healthcare Representative</v>
          </cell>
          <cell r="L1056">
            <v>2</v>
          </cell>
          <cell r="M1056" t="str">
            <v>Divorced</v>
          </cell>
          <cell r="N1056">
            <v>10466</v>
          </cell>
          <cell r="O1056">
            <v>3</v>
          </cell>
          <cell r="P1056" t="str">
            <v>No</v>
          </cell>
          <cell r="Q1056">
            <v>2</v>
          </cell>
          <cell r="R1056">
            <v>29</v>
          </cell>
          <cell r="S1056">
            <v>3</v>
          </cell>
          <cell r="T1056">
            <v>8</v>
          </cell>
          <cell r="U1056">
            <v>7</v>
          </cell>
          <cell r="V1056">
            <v>0</v>
          </cell>
          <cell r="W1056">
            <v>7</v>
          </cell>
          <cell r="X1056">
            <v>14</v>
          </cell>
          <cell r="Y1056">
            <v>0</v>
          </cell>
          <cell r="Z1056" t="str">
            <v>Senior</v>
          </cell>
          <cell r="AA1056" t="str">
            <v>High</v>
          </cell>
          <cell r="AB1056" t="str">
            <v>Long</v>
          </cell>
          <cell r="AC1056" t="str">
            <v>Medium</v>
          </cell>
          <cell r="AD1056">
            <v>1484</v>
          </cell>
        </row>
        <row r="1057">
          <cell r="A1057">
            <v>34</v>
          </cell>
          <cell r="B1057" t="str">
            <v>No</v>
          </cell>
          <cell r="C1057" t="str">
            <v>Research &amp; Development</v>
          </cell>
          <cell r="D1057">
            <v>15</v>
          </cell>
          <cell r="E1057">
            <v>3</v>
          </cell>
          <cell r="F1057" t="str">
            <v>Medical</v>
          </cell>
          <cell r="G1057">
            <v>2</v>
          </cell>
          <cell r="H1057" t="str">
            <v>Male</v>
          </cell>
          <cell r="I1057">
            <v>3</v>
          </cell>
          <cell r="J1057">
            <v>4</v>
          </cell>
          <cell r="K1057" t="str">
            <v>Research Director</v>
          </cell>
          <cell r="L1057">
            <v>1</v>
          </cell>
          <cell r="M1057" t="str">
            <v>Divorced</v>
          </cell>
          <cell r="N1057">
            <v>17007</v>
          </cell>
          <cell r="O1057">
            <v>7</v>
          </cell>
          <cell r="P1057" t="str">
            <v>No</v>
          </cell>
          <cell r="Q1057">
            <v>4</v>
          </cell>
          <cell r="R1057">
            <v>16</v>
          </cell>
          <cell r="S1057">
            <v>2</v>
          </cell>
          <cell r="T1057">
            <v>14</v>
          </cell>
          <cell r="U1057">
            <v>8</v>
          </cell>
          <cell r="V1057">
            <v>6</v>
          </cell>
          <cell r="W1057">
            <v>9</v>
          </cell>
          <cell r="X1057">
            <v>14</v>
          </cell>
          <cell r="Y1057">
            <v>0</v>
          </cell>
          <cell r="Z1057" t="str">
            <v>Mid</v>
          </cell>
          <cell r="AA1057" t="str">
            <v>High</v>
          </cell>
          <cell r="AB1057" t="str">
            <v>Long</v>
          </cell>
          <cell r="AC1057" t="str">
            <v>Medium</v>
          </cell>
          <cell r="AD1057">
            <v>1485</v>
          </cell>
        </row>
        <row r="1058">
          <cell r="A1058">
            <v>28</v>
          </cell>
          <cell r="B1058" t="str">
            <v>Yes</v>
          </cell>
          <cell r="C1058" t="str">
            <v>Sales</v>
          </cell>
          <cell r="D1058">
            <v>1</v>
          </cell>
          <cell r="E1058">
            <v>3</v>
          </cell>
          <cell r="F1058" t="str">
            <v>Technical Degree</v>
          </cell>
          <cell r="G1058">
            <v>1</v>
          </cell>
          <cell r="H1058" t="str">
            <v>Male</v>
          </cell>
          <cell r="I1058">
            <v>3</v>
          </cell>
          <cell r="J1058">
            <v>1</v>
          </cell>
          <cell r="K1058" t="str">
            <v>Sales Representative</v>
          </cell>
          <cell r="L1058">
            <v>3</v>
          </cell>
          <cell r="M1058" t="str">
            <v>Married</v>
          </cell>
          <cell r="N1058">
            <v>2909</v>
          </cell>
          <cell r="O1058">
            <v>3</v>
          </cell>
          <cell r="P1058" t="str">
            <v>No</v>
          </cell>
          <cell r="Q1058">
            <v>4</v>
          </cell>
          <cell r="R1058">
            <v>5</v>
          </cell>
          <cell r="S1058">
            <v>4</v>
          </cell>
          <cell r="T1058">
            <v>3</v>
          </cell>
          <cell r="U1058">
            <v>2</v>
          </cell>
          <cell r="V1058">
            <v>1</v>
          </cell>
          <cell r="W1058">
            <v>2</v>
          </cell>
          <cell r="X1058">
            <v>15</v>
          </cell>
          <cell r="Y1058">
            <v>1</v>
          </cell>
          <cell r="Z1058" t="str">
            <v>Young</v>
          </cell>
          <cell r="AA1058" t="str">
            <v>Low</v>
          </cell>
          <cell r="AB1058" t="str">
            <v>Mid</v>
          </cell>
          <cell r="AC1058" t="str">
            <v>Medium</v>
          </cell>
          <cell r="AD1058">
            <v>1486</v>
          </cell>
        </row>
        <row r="1059">
          <cell r="A1059">
            <v>29</v>
          </cell>
          <cell r="B1059" t="str">
            <v>Yes</v>
          </cell>
          <cell r="C1059" t="str">
            <v>Sales</v>
          </cell>
          <cell r="D1059">
            <v>13</v>
          </cell>
          <cell r="E1059">
            <v>3</v>
          </cell>
          <cell r="F1059" t="str">
            <v>Technical Degree</v>
          </cell>
          <cell r="G1059">
            <v>1</v>
          </cell>
          <cell r="H1059" t="str">
            <v>Female</v>
          </cell>
          <cell r="I1059">
            <v>3</v>
          </cell>
          <cell r="J1059">
            <v>2</v>
          </cell>
          <cell r="K1059" t="str">
            <v>Sales Executive</v>
          </cell>
          <cell r="L1059">
            <v>2</v>
          </cell>
          <cell r="M1059" t="str">
            <v>Single</v>
          </cell>
          <cell r="N1059">
            <v>5765</v>
          </cell>
          <cell r="O1059">
            <v>5</v>
          </cell>
          <cell r="P1059" t="str">
            <v>No</v>
          </cell>
          <cell r="Q1059">
            <v>1</v>
          </cell>
          <cell r="R1059">
            <v>7</v>
          </cell>
          <cell r="S1059">
            <v>1</v>
          </cell>
          <cell r="T1059">
            <v>5</v>
          </cell>
          <cell r="U1059">
            <v>3</v>
          </cell>
          <cell r="V1059">
            <v>0</v>
          </cell>
          <cell r="W1059">
            <v>0</v>
          </cell>
          <cell r="X1059">
            <v>11</v>
          </cell>
          <cell r="Y1059">
            <v>1</v>
          </cell>
          <cell r="Z1059" t="str">
            <v>Young</v>
          </cell>
          <cell r="AA1059" t="str">
            <v>Medium</v>
          </cell>
          <cell r="AB1059" t="str">
            <v>Mid</v>
          </cell>
          <cell r="AC1059" t="str">
            <v>Low</v>
          </cell>
          <cell r="AD1059">
            <v>1487</v>
          </cell>
        </row>
        <row r="1060">
          <cell r="A1060">
            <v>34</v>
          </cell>
          <cell r="B1060" t="str">
            <v>Yes</v>
          </cell>
          <cell r="C1060" t="str">
            <v>Sales</v>
          </cell>
          <cell r="D1060">
            <v>24</v>
          </cell>
          <cell r="E1060">
            <v>4</v>
          </cell>
          <cell r="F1060" t="str">
            <v>Medical</v>
          </cell>
          <cell r="G1060">
            <v>1</v>
          </cell>
          <cell r="H1060" t="str">
            <v>Female</v>
          </cell>
          <cell r="I1060">
            <v>2</v>
          </cell>
          <cell r="J1060">
            <v>2</v>
          </cell>
          <cell r="K1060" t="str">
            <v>Sales Executive</v>
          </cell>
          <cell r="L1060">
            <v>2</v>
          </cell>
          <cell r="M1060" t="str">
            <v>Single</v>
          </cell>
          <cell r="N1060">
            <v>4599</v>
          </cell>
          <cell r="O1060">
            <v>0</v>
          </cell>
          <cell r="P1060" t="str">
            <v>Yes</v>
          </cell>
          <cell r="Q1060">
            <v>3</v>
          </cell>
          <cell r="R1060">
            <v>16</v>
          </cell>
          <cell r="S1060">
            <v>4</v>
          </cell>
          <cell r="T1060">
            <v>15</v>
          </cell>
          <cell r="U1060">
            <v>9</v>
          </cell>
          <cell r="V1060">
            <v>10</v>
          </cell>
          <cell r="W1060">
            <v>10</v>
          </cell>
          <cell r="X1060">
            <v>23</v>
          </cell>
          <cell r="Y1060">
            <v>1</v>
          </cell>
          <cell r="Z1060" t="str">
            <v>Mid</v>
          </cell>
          <cell r="AA1060" t="str">
            <v>Low</v>
          </cell>
          <cell r="AB1060" t="str">
            <v>Long</v>
          </cell>
          <cell r="AC1060" t="str">
            <v>High</v>
          </cell>
          <cell r="AD1060">
            <v>1489</v>
          </cell>
        </row>
        <row r="1061">
          <cell r="A1061">
            <v>35</v>
          </cell>
          <cell r="B1061" t="str">
            <v>No</v>
          </cell>
          <cell r="C1061" t="str">
            <v>Sales</v>
          </cell>
          <cell r="D1061">
            <v>7</v>
          </cell>
          <cell r="E1061">
            <v>1</v>
          </cell>
          <cell r="F1061" t="str">
            <v>Life Sciences</v>
          </cell>
          <cell r="G1061">
            <v>4</v>
          </cell>
          <cell r="H1061" t="str">
            <v>Male</v>
          </cell>
          <cell r="I1061">
            <v>3</v>
          </cell>
          <cell r="J1061">
            <v>1</v>
          </cell>
          <cell r="K1061" t="str">
            <v>Sales Representative</v>
          </cell>
          <cell r="L1061">
            <v>3</v>
          </cell>
          <cell r="M1061" t="str">
            <v>Married</v>
          </cell>
          <cell r="N1061">
            <v>2404</v>
          </cell>
          <cell r="O1061">
            <v>1</v>
          </cell>
          <cell r="P1061" t="str">
            <v>No</v>
          </cell>
          <cell r="Q1061">
            <v>1</v>
          </cell>
          <cell r="R1061">
            <v>1</v>
          </cell>
          <cell r="S1061">
            <v>3</v>
          </cell>
          <cell r="T1061">
            <v>1</v>
          </cell>
          <cell r="U1061">
            <v>0</v>
          </cell>
          <cell r="V1061">
            <v>0</v>
          </cell>
          <cell r="W1061">
            <v>0</v>
          </cell>
          <cell r="X1061">
            <v>13</v>
          </cell>
          <cell r="Y1061">
            <v>0</v>
          </cell>
          <cell r="Z1061" t="str">
            <v>Mid</v>
          </cell>
          <cell r="AA1061" t="str">
            <v>Low</v>
          </cell>
          <cell r="AB1061" t="str">
            <v>Early</v>
          </cell>
          <cell r="AC1061" t="str">
            <v>Medium</v>
          </cell>
          <cell r="AD1061">
            <v>1492</v>
          </cell>
        </row>
        <row r="1062">
          <cell r="A1062">
            <v>24</v>
          </cell>
          <cell r="B1062" t="str">
            <v>Yes</v>
          </cell>
          <cell r="C1062" t="str">
            <v>Research &amp; Development</v>
          </cell>
          <cell r="D1062">
            <v>9</v>
          </cell>
          <cell r="E1062">
            <v>3</v>
          </cell>
          <cell r="F1062" t="str">
            <v>Medical</v>
          </cell>
          <cell r="G1062">
            <v>2</v>
          </cell>
          <cell r="H1062" t="str">
            <v>Male</v>
          </cell>
          <cell r="I1062">
            <v>3</v>
          </cell>
          <cell r="J1062">
            <v>1</v>
          </cell>
          <cell r="K1062" t="str">
            <v>Laboratory Technician</v>
          </cell>
          <cell r="L1062">
            <v>1</v>
          </cell>
          <cell r="M1062" t="str">
            <v>Single</v>
          </cell>
          <cell r="N1062">
            <v>3172</v>
          </cell>
          <cell r="O1062">
            <v>2</v>
          </cell>
          <cell r="P1062" t="str">
            <v>Yes</v>
          </cell>
          <cell r="Q1062">
            <v>3</v>
          </cell>
          <cell r="R1062">
            <v>4</v>
          </cell>
          <cell r="S1062">
            <v>2</v>
          </cell>
          <cell r="T1062">
            <v>0</v>
          </cell>
          <cell r="U1062">
            <v>0</v>
          </cell>
          <cell r="V1062">
            <v>0</v>
          </cell>
          <cell r="W1062">
            <v>0</v>
          </cell>
          <cell r="X1062">
            <v>11</v>
          </cell>
          <cell r="Y1062">
            <v>1</v>
          </cell>
          <cell r="Z1062" t="str">
            <v>Young</v>
          </cell>
          <cell r="AA1062" t="str">
            <v>Low</v>
          </cell>
          <cell r="AB1062" t="str">
            <v>Early</v>
          </cell>
          <cell r="AC1062" t="str">
            <v>Low</v>
          </cell>
          <cell r="AD1062">
            <v>1494</v>
          </cell>
        </row>
        <row r="1063">
          <cell r="A1063">
            <v>24</v>
          </cell>
          <cell r="B1063" t="str">
            <v>No</v>
          </cell>
          <cell r="C1063" t="str">
            <v>Sales</v>
          </cell>
          <cell r="D1063">
            <v>13</v>
          </cell>
          <cell r="E1063">
            <v>2</v>
          </cell>
          <cell r="F1063" t="str">
            <v>Life Sciences</v>
          </cell>
          <cell r="G1063">
            <v>4</v>
          </cell>
          <cell r="H1063" t="str">
            <v>Female</v>
          </cell>
          <cell r="I1063">
            <v>3</v>
          </cell>
          <cell r="J1063">
            <v>1</v>
          </cell>
          <cell r="K1063" t="str">
            <v>Sales Representative</v>
          </cell>
          <cell r="L1063">
            <v>2</v>
          </cell>
          <cell r="M1063" t="str">
            <v>Married</v>
          </cell>
          <cell r="N1063">
            <v>2033</v>
          </cell>
          <cell r="O1063">
            <v>1</v>
          </cell>
          <cell r="P1063" t="str">
            <v>No</v>
          </cell>
          <cell r="Q1063">
            <v>3</v>
          </cell>
          <cell r="R1063">
            <v>1</v>
          </cell>
          <cell r="S1063">
            <v>3</v>
          </cell>
          <cell r="T1063">
            <v>1</v>
          </cell>
          <cell r="U1063">
            <v>0</v>
          </cell>
          <cell r="V1063">
            <v>0</v>
          </cell>
          <cell r="W1063">
            <v>0</v>
          </cell>
          <cell r="X1063">
            <v>13</v>
          </cell>
          <cell r="Y1063">
            <v>0</v>
          </cell>
          <cell r="Z1063" t="str">
            <v>Young</v>
          </cell>
          <cell r="AA1063" t="str">
            <v>Low</v>
          </cell>
          <cell r="AB1063" t="str">
            <v>Early</v>
          </cell>
          <cell r="AC1063" t="str">
            <v>Medium</v>
          </cell>
          <cell r="AD1063">
            <v>1495</v>
          </cell>
        </row>
        <row r="1064">
          <cell r="A1064">
            <v>44</v>
          </cell>
          <cell r="B1064" t="str">
            <v>No</v>
          </cell>
          <cell r="C1064" t="str">
            <v>Research &amp; Development</v>
          </cell>
          <cell r="D1064">
            <v>2</v>
          </cell>
          <cell r="E1064">
            <v>1</v>
          </cell>
          <cell r="F1064" t="str">
            <v>Medical</v>
          </cell>
          <cell r="G1064">
            <v>2</v>
          </cell>
          <cell r="H1064" t="str">
            <v>Male</v>
          </cell>
          <cell r="I1064">
            <v>3</v>
          </cell>
          <cell r="J1064">
            <v>3</v>
          </cell>
          <cell r="K1064" t="str">
            <v>Manufacturing Director</v>
          </cell>
          <cell r="L1064">
            <v>3</v>
          </cell>
          <cell r="M1064" t="str">
            <v>Single</v>
          </cell>
          <cell r="N1064">
            <v>10209</v>
          </cell>
          <cell r="O1064">
            <v>5</v>
          </cell>
          <cell r="P1064" t="str">
            <v>Yes</v>
          </cell>
          <cell r="Q1064">
            <v>2</v>
          </cell>
          <cell r="R1064">
            <v>16</v>
          </cell>
          <cell r="S1064">
            <v>2</v>
          </cell>
          <cell r="T1064">
            <v>2</v>
          </cell>
          <cell r="U1064">
            <v>2</v>
          </cell>
          <cell r="V1064">
            <v>2</v>
          </cell>
          <cell r="W1064">
            <v>2</v>
          </cell>
          <cell r="X1064">
            <v>18</v>
          </cell>
          <cell r="Y1064">
            <v>0</v>
          </cell>
          <cell r="Z1064" t="str">
            <v>Mid</v>
          </cell>
          <cell r="AA1064" t="str">
            <v>High</v>
          </cell>
          <cell r="AB1064" t="str">
            <v>Early</v>
          </cell>
          <cell r="AC1064" t="str">
            <v>High</v>
          </cell>
          <cell r="AD1064">
            <v>1496</v>
          </cell>
        </row>
        <row r="1065">
          <cell r="A1065">
            <v>29</v>
          </cell>
          <cell r="B1065" t="str">
            <v>No</v>
          </cell>
          <cell r="C1065" t="str">
            <v>Sales</v>
          </cell>
          <cell r="D1065">
            <v>19</v>
          </cell>
          <cell r="E1065">
            <v>3</v>
          </cell>
          <cell r="F1065" t="str">
            <v>Life Sciences</v>
          </cell>
          <cell r="G1065">
            <v>3</v>
          </cell>
          <cell r="H1065" t="str">
            <v>Male</v>
          </cell>
          <cell r="I1065">
            <v>2</v>
          </cell>
          <cell r="J1065">
            <v>2</v>
          </cell>
          <cell r="K1065" t="str">
            <v>Sales Executive</v>
          </cell>
          <cell r="L1065">
            <v>3</v>
          </cell>
          <cell r="M1065" t="str">
            <v>Divorced</v>
          </cell>
          <cell r="N1065">
            <v>8620</v>
          </cell>
          <cell r="O1065">
            <v>1</v>
          </cell>
          <cell r="P1065" t="str">
            <v>No</v>
          </cell>
          <cell r="Q1065">
            <v>3</v>
          </cell>
          <cell r="R1065">
            <v>10</v>
          </cell>
          <cell r="S1065">
            <v>3</v>
          </cell>
          <cell r="T1065">
            <v>10</v>
          </cell>
          <cell r="U1065">
            <v>7</v>
          </cell>
          <cell r="V1065">
            <v>0</v>
          </cell>
          <cell r="W1065">
            <v>4</v>
          </cell>
          <cell r="X1065">
            <v>14</v>
          </cell>
          <cell r="Y1065">
            <v>0</v>
          </cell>
          <cell r="Z1065" t="str">
            <v>Young</v>
          </cell>
          <cell r="AA1065" t="str">
            <v>Medium</v>
          </cell>
          <cell r="AB1065" t="str">
            <v>Long</v>
          </cell>
          <cell r="AC1065" t="str">
            <v>Medium</v>
          </cell>
          <cell r="AD1065">
            <v>1497</v>
          </cell>
        </row>
        <row r="1066">
          <cell r="A1066">
            <v>30</v>
          </cell>
          <cell r="B1066" t="str">
            <v>No</v>
          </cell>
          <cell r="C1066" t="str">
            <v>Human Resources</v>
          </cell>
          <cell r="D1066">
            <v>1</v>
          </cell>
          <cell r="E1066">
            <v>3</v>
          </cell>
          <cell r="F1066" t="str">
            <v>Life Sciences</v>
          </cell>
          <cell r="G1066">
            <v>3</v>
          </cell>
          <cell r="H1066" t="str">
            <v>Male</v>
          </cell>
          <cell r="I1066">
            <v>3</v>
          </cell>
          <cell r="J1066">
            <v>1</v>
          </cell>
          <cell r="K1066" t="str">
            <v>Human Resources</v>
          </cell>
          <cell r="L1066">
            <v>3</v>
          </cell>
          <cell r="M1066" t="str">
            <v>Divorced</v>
          </cell>
          <cell r="N1066">
            <v>2064</v>
          </cell>
          <cell r="O1066">
            <v>0</v>
          </cell>
          <cell r="P1066" t="str">
            <v>No</v>
          </cell>
          <cell r="Q1066">
            <v>1</v>
          </cell>
          <cell r="R1066">
            <v>6</v>
          </cell>
          <cell r="S1066">
            <v>4</v>
          </cell>
          <cell r="T1066">
            <v>5</v>
          </cell>
          <cell r="U1066">
            <v>3</v>
          </cell>
          <cell r="V1066">
            <v>1</v>
          </cell>
          <cell r="W1066">
            <v>3</v>
          </cell>
          <cell r="X1066">
            <v>21</v>
          </cell>
          <cell r="Y1066">
            <v>0</v>
          </cell>
          <cell r="Z1066" t="str">
            <v>Mid</v>
          </cell>
          <cell r="AA1066" t="str">
            <v>Low</v>
          </cell>
          <cell r="AB1066" t="str">
            <v>Mid</v>
          </cell>
          <cell r="AC1066" t="str">
            <v>High</v>
          </cell>
          <cell r="AD1066">
            <v>1499</v>
          </cell>
        </row>
        <row r="1067">
          <cell r="A1067">
            <v>55</v>
          </cell>
          <cell r="B1067" t="str">
            <v>No</v>
          </cell>
          <cell r="C1067" t="str">
            <v>Research &amp; Development</v>
          </cell>
          <cell r="D1067">
            <v>4</v>
          </cell>
          <cell r="E1067">
            <v>4</v>
          </cell>
          <cell r="F1067" t="str">
            <v>Life Sciences</v>
          </cell>
          <cell r="G1067">
            <v>4</v>
          </cell>
          <cell r="H1067" t="str">
            <v>Male</v>
          </cell>
          <cell r="I1067">
            <v>3</v>
          </cell>
          <cell r="J1067">
            <v>2</v>
          </cell>
          <cell r="K1067" t="str">
            <v>Healthcare Representative</v>
          </cell>
          <cell r="L1067">
            <v>3</v>
          </cell>
          <cell r="M1067" t="str">
            <v>Married</v>
          </cell>
          <cell r="N1067">
            <v>4035</v>
          </cell>
          <cell r="O1067">
            <v>0</v>
          </cell>
          <cell r="P1067" t="str">
            <v>Yes</v>
          </cell>
          <cell r="Q1067">
            <v>2</v>
          </cell>
          <cell r="R1067">
            <v>4</v>
          </cell>
          <cell r="S1067">
            <v>3</v>
          </cell>
          <cell r="T1067">
            <v>3</v>
          </cell>
          <cell r="U1067">
            <v>2</v>
          </cell>
          <cell r="V1067">
            <v>1</v>
          </cell>
          <cell r="W1067">
            <v>2</v>
          </cell>
          <cell r="X1067">
            <v>16</v>
          </cell>
          <cell r="Y1067">
            <v>0</v>
          </cell>
          <cell r="Z1067" t="str">
            <v>Senior</v>
          </cell>
          <cell r="AA1067" t="str">
            <v>Low</v>
          </cell>
          <cell r="AB1067" t="str">
            <v>Mid</v>
          </cell>
          <cell r="AC1067" t="str">
            <v>Medium</v>
          </cell>
          <cell r="AD1067">
            <v>1501</v>
          </cell>
        </row>
        <row r="1068">
          <cell r="A1068">
            <v>33</v>
          </cell>
          <cell r="B1068" t="str">
            <v>No</v>
          </cell>
          <cell r="C1068" t="str">
            <v>Research &amp; Development</v>
          </cell>
          <cell r="D1068">
            <v>4</v>
          </cell>
          <cell r="E1068">
            <v>4</v>
          </cell>
          <cell r="F1068" t="str">
            <v>Medical</v>
          </cell>
          <cell r="G1068">
            <v>1</v>
          </cell>
          <cell r="H1068" t="str">
            <v>Female</v>
          </cell>
          <cell r="I1068">
            <v>2</v>
          </cell>
          <cell r="J1068">
            <v>1</v>
          </cell>
          <cell r="K1068" t="str">
            <v>Laboratory Technician</v>
          </cell>
          <cell r="L1068">
            <v>2</v>
          </cell>
          <cell r="M1068" t="str">
            <v>Married</v>
          </cell>
          <cell r="N1068">
            <v>3838</v>
          </cell>
          <cell r="O1068">
            <v>8</v>
          </cell>
          <cell r="P1068" t="str">
            <v>No</v>
          </cell>
          <cell r="Q1068">
            <v>4</v>
          </cell>
          <cell r="R1068">
            <v>8</v>
          </cell>
          <cell r="S1068">
            <v>3</v>
          </cell>
          <cell r="T1068">
            <v>5</v>
          </cell>
          <cell r="U1068">
            <v>4</v>
          </cell>
          <cell r="V1068">
            <v>0</v>
          </cell>
          <cell r="W1068">
            <v>2</v>
          </cell>
          <cell r="X1068">
            <v>11</v>
          </cell>
          <cell r="Y1068">
            <v>0</v>
          </cell>
          <cell r="Z1068" t="str">
            <v>Mid</v>
          </cell>
          <cell r="AA1068" t="str">
            <v>Low</v>
          </cell>
          <cell r="AB1068" t="str">
            <v>Mid</v>
          </cell>
          <cell r="AC1068" t="str">
            <v>Low</v>
          </cell>
          <cell r="AD1068">
            <v>1502</v>
          </cell>
        </row>
        <row r="1069">
          <cell r="A1069">
            <v>47</v>
          </cell>
          <cell r="B1069" t="str">
            <v>No</v>
          </cell>
          <cell r="C1069" t="str">
            <v>Sales</v>
          </cell>
          <cell r="D1069">
            <v>14</v>
          </cell>
          <cell r="E1069">
            <v>3</v>
          </cell>
          <cell r="F1069" t="str">
            <v>Medical</v>
          </cell>
          <cell r="G1069">
            <v>3</v>
          </cell>
          <cell r="H1069" t="str">
            <v>Female</v>
          </cell>
          <cell r="I1069">
            <v>3</v>
          </cell>
          <cell r="J1069">
            <v>2</v>
          </cell>
          <cell r="K1069" t="str">
            <v>Sales Executive</v>
          </cell>
          <cell r="L1069">
            <v>3</v>
          </cell>
          <cell r="M1069" t="str">
            <v>Married</v>
          </cell>
          <cell r="N1069">
            <v>4591</v>
          </cell>
          <cell r="O1069">
            <v>3</v>
          </cell>
          <cell r="P1069" t="str">
            <v>Yes</v>
          </cell>
          <cell r="Q1069">
            <v>3</v>
          </cell>
          <cell r="R1069">
            <v>11</v>
          </cell>
          <cell r="S1069">
            <v>2</v>
          </cell>
          <cell r="T1069">
            <v>5</v>
          </cell>
          <cell r="U1069">
            <v>4</v>
          </cell>
          <cell r="V1069">
            <v>1</v>
          </cell>
          <cell r="W1069">
            <v>2</v>
          </cell>
          <cell r="X1069">
            <v>17</v>
          </cell>
          <cell r="Y1069">
            <v>0</v>
          </cell>
          <cell r="Z1069" t="str">
            <v>Senior</v>
          </cell>
          <cell r="AA1069" t="str">
            <v>Low</v>
          </cell>
          <cell r="AB1069" t="str">
            <v>Mid</v>
          </cell>
          <cell r="AC1069" t="str">
            <v>Medium</v>
          </cell>
          <cell r="AD1069">
            <v>1503</v>
          </cell>
        </row>
        <row r="1070">
          <cell r="A1070">
            <v>28</v>
          </cell>
          <cell r="B1070" t="str">
            <v>Yes</v>
          </cell>
          <cell r="C1070" t="str">
            <v>Research &amp; Development</v>
          </cell>
          <cell r="D1070">
            <v>2</v>
          </cell>
          <cell r="E1070">
            <v>2</v>
          </cell>
          <cell r="F1070" t="str">
            <v>Medical</v>
          </cell>
          <cell r="G1070">
            <v>3</v>
          </cell>
          <cell r="H1070" t="str">
            <v>Male</v>
          </cell>
          <cell r="I1070">
            <v>2</v>
          </cell>
          <cell r="J1070">
            <v>1</v>
          </cell>
          <cell r="K1070" t="str">
            <v>Laboratory Technician</v>
          </cell>
          <cell r="L1070">
            <v>1</v>
          </cell>
          <cell r="M1070" t="str">
            <v>Single</v>
          </cell>
          <cell r="N1070">
            <v>2561</v>
          </cell>
          <cell r="O1070">
            <v>7</v>
          </cell>
          <cell r="P1070" t="str">
            <v>No</v>
          </cell>
          <cell r="Q1070">
            <v>3</v>
          </cell>
          <cell r="R1070">
            <v>8</v>
          </cell>
          <cell r="S1070">
            <v>2</v>
          </cell>
          <cell r="T1070">
            <v>0</v>
          </cell>
          <cell r="U1070">
            <v>0</v>
          </cell>
          <cell r="V1070">
            <v>0</v>
          </cell>
          <cell r="W1070">
            <v>0</v>
          </cell>
          <cell r="X1070">
            <v>11</v>
          </cell>
          <cell r="Y1070">
            <v>1</v>
          </cell>
          <cell r="Z1070" t="str">
            <v>Young</v>
          </cell>
          <cell r="AA1070" t="str">
            <v>Low</v>
          </cell>
          <cell r="AB1070" t="str">
            <v>Early</v>
          </cell>
          <cell r="AC1070" t="str">
            <v>Low</v>
          </cell>
          <cell r="AD1070">
            <v>1504</v>
          </cell>
        </row>
        <row r="1071">
          <cell r="A1071">
            <v>28</v>
          </cell>
          <cell r="B1071" t="str">
            <v>No</v>
          </cell>
          <cell r="C1071" t="str">
            <v>Research &amp; Development</v>
          </cell>
          <cell r="D1071">
            <v>1</v>
          </cell>
          <cell r="E1071">
            <v>3</v>
          </cell>
          <cell r="F1071" t="str">
            <v>Life Sciences</v>
          </cell>
          <cell r="G1071">
            <v>1</v>
          </cell>
          <cell r="H1071" t="str">
            <v>Male</v>
          </cell>
          <cell r="I1071">
            <v>2</v>
          </cell>
          <cell r="J1071">
            <v>1</v>
          </cell>
          <cell r="K1071" t="str">
            <v>Research Scientist</v>
          </cell>
          <cell r="L1071">
            <v>3</v>
          </cell>
          <cell r="M1071" t="str">
            <v>Divorced</v>
          </cell>
          <cell r="N1071">
            <v>1563</v>
          </cell>
          <cell r="O1071">
            <v>1</v>
          </cell>
          <cell r="P1071" t="str">
            <v>No</v>
          </cell>
          <cell r="Q1071">
            <v>4</v>
          </cell>
          <cell r="R1071">
            <v>1</v>
          </cell>
          <cell r="S1071">
            <v>1</v>
          </cell>
          <cell r="T1071">
            <v>1</v>
          </cell>
          <cell r="U1071">
            <v>0</v>
          </cell>
          <cell r="V1071">
            <v>0</v>
          </cell>
          <cell r="W1071">
            <v>0</v>
          </cell>
          <cell r="X1071">
            <v>14</v>
          </cell>
          <cell r="Y1071">
            <v>0</v>
          </cell>
          <cell r="Z1071" t="str">
            <v>Young</v>
          </cell>
          <cell r="AA1071" t="str">
            <v>Low</v>
          </cell>
          <cell r="AB1071" t="str">
            <v>Early</v>
          </cell>
          <cell r="AC1071" t="str">
            <v>Medium</v>
          </cell>
          <cell r="AD1071">
            <v>1506</v>
          </cell>
        </row>
        <row r="1072">
          <cell r="A1072">
            <v>28</v>
          </cell>
          <cell r="B1072" t="str">
            <v>No</v>
          </cell>
          <cell r="C1072" t="str">
            <v>Sales</v>
          </cell>
          <cell r="D1072">
            <v>7</v>
          </cell>
          <cell r="E1072">
            <v>3</v>
          </cell>
          <cell r="F1072" t="str">
            <v>Life Sciences</v>
          </cell>
          <cell r="G1072">
            <v>3</v>
          </cell>
          <cell r="H1072" t="str">
            <v>Male</v>
          </cell>
          <cell r="I1072">
            <v>3</v>
          </cell>
          <cell r="J1072">
            <v>2</v>
          </cell>
          <cell r="K1072" t="str">
            <v>Sales Executive</v>
          </cell>
          <cell r="L1072">
            <v>1</v>
          </cell>
          <cell r="M1072" t="str">
            <v>Single</v>
          </cell>
          <cell r="N1072">
            <v>4898</v>
          </cell>
          <cell r="O1072">
            <v>0</v>
          </cell>
          <cell r="P1072" t="str">
            <v>No</v>
          </cell>
          <cell r="Q1072">
            <v>4</v>
          </cell>
          <cell r="R1072">
            <v>5</v>
          </cell>
          <cell r="S1072">
            <v>3</v>
          </cell>
          <cell r="T1072">
            <v>4</v>
          </cell>
          <cell r="U1072">
            <v>2</v>
          </cell>
          <cell r="V1072">
            <v>1</v>
          </cell>
          <cell r="W1072">
            <v>3</v>
          </cell>
          <cell r="X1072">
            <v>14</v>
          </cell>
          <cell r="Y1072">
            <v>0</v>
          </cell>
          <cell r="Z1072" t="str">
            <v>Young</v>
          </cell>
          <cell r="AA1072" t="str">
            <v>Low</v>
          </cell>
          <cell r="AB1072" t="str">
            <v>Mid</v>
          </cell>
          <cell r="AC1072" t="str">
            <v>Medium</v>
          </cell>
          <cell r="AD1072">
            <v>1507</v>
          </cell>
        </row>
        <row r="1073">
          <cell r="A1073">
            <v>49</v>
          </cell>
          <cell r="B1073" t="str">
            <v>No</v>
          </cell>
          <cell r="C1073" t="str">
            <v>Research &amp; Development</v>
          </cell>
          <cell r="D1073">
            <v>3</v>
          </cell>
          <cell r="E1073">
            <v>2</v>
          </cell>
          <cell r="F1073" t="str">
            <v>Medical</v>
          </cell>
          <cell r="G1073">
            <v>3</v>
          </cell>
          <cell r="H1073" t="str">
            <v>Female</v>
          </cell>
          <cell r="I1073">
            <v>2</v>
          </cell>
          <cell r="J1073">
            <v>2</v>
          </cell>
          <cell r="K1073" t="str">
            <v>Laboratory Technician</v>
          </cell>
          <cell r="L1073">
            <v>1</v>
          </cell>
          <cell r="M1073" t="str">
            <v>Married</v>
          </cell>
          <cell r="N1073">
            <v>4789</v>
          </cell>
          <cell r="O1073">
            <v>4</v>
          </cell>
          <cell r="P1073" t="str">
            <v>No</v>
          </cell>
          <cell r="Q1073">
            <v>1</v>
          </cell>
          <cell r="R1073">
            <v>10</v>
          </cell>
          <cell r="S1073">
            <v>3</v>
          </cell>
          <cell r="T1073">
            <v>3</v>
          </cell>
          <cell r="U1073">
            <v>2</v>
          </cell>
          <cell r="V1073">
            <v>1</v>
          </cell>
          <cell r="W1073">
            <v>2</v>
          </cell>
          <cell r="X1073">
            <v>25</v>
          </cell>
          <cell r="Y1073">
            <v>0</v>
          </cell>
          <cell r="Z1073" t="str">
            <v>Senior</v>
          </cell>
          <cell r="AA1073" t="str">
            <v>Low</v>
          </cell>
          <cell r="AB1073" t="str">
            <v>Mid</v>
          </cell>
          <cell r="AC1073" t="str">
            <v>High</v>
          </cell>
          <cell r="AD1073">
            <v>1509</v>
          </cell>
        </row>
        <row r="1074">
          <cell r="A1074">
            <v>29</v>
          </cell>
          <cell r="B1074" t="str">
            <v>No</v>
          </cell>
          <cell r="C1074" t="str">
            <v>Research &amp; Development</v>
          </cell>
          <cell r="D1074">
            <v>2</v>
          </cell>
          <cell r="E1074">
            <v>1</v>
          </cell>
          <cell r="F1074" t="str">
            <v>Life Sciences</v>
          </cell>
          <cell r="G1074">
            <v>4</v>
          </cell>
          <cell r="H1074" t="str">
            <v>Female</v>
          </cell>
          <cell r="I1074">
            <v>3</v>
          </cell>
          <cell r="J1074">
            <v>1</v>
          </cell>
          <cell r="K1074" t="str">
            <v>Laboratory Technician</v>
          </cell>
          <cell r="L1074">
            <v>2</v>
          </cell>
          <cell r="M1074" t="str">
            <v>Married</v>
          </cell>
          <cell r="N1074">
            <v>3180</v>
          </cell>
          <cell r="O1074">
            <v>0</v>
          </cell>
          <cell r="P1074" t="str">
            <v>No</v>
          </cell>
          <cell r="Q1074">
            <v>3</v>
          </cell>
          <cell r="R1074">
            <v>4</v>
          </cell>
          <cell r="S1074">
            <v>3</v>
          </cell>
          <cell r="T1074">
            <v>3</v>
          </cell>
          <cell r="U1074">
            <v>2</v>
          </cell>
          <cell r="V1074">
            <v>0</v>
          </cell>
          <cell r="W1074">
            <v>2</v>
          </cell>
          <cell r="X1074">
            <v>13</v>
          </cell>
          <cell r="Y1074">
            <v>0</v>
          </cell>
          <cell r="Z1074" t="str">
            <v>Young</v>
          </cell>
          <cell r="AA1074" t="str">
            <v>Low</v>
          </cell>
          <cell r="AB1074" t="str">
            <v>Mid</v>
          </cell>
          <cell r="AC1074" t="str">
            <v>Medium</v>
          </cell>
          <cell r="AD1074">
            <v>1513</v>
          </cell>
        </row>
        <row r="1075">
          <cell r="A1075">
            <v>28</v>
          </cell>
          <cell r="B1075" t="str">
            <v>No</v>
          </cell>
          <cell r="C1075" t="str">
            <v>Research &amp; Development</v>
          </cell>
          <cell r="D1075">
            <v>29</v>
          </cell>
          <cell r="E1075">
            <v>1</v>
          </cell>
          <cell r="F1075" t="str">
            <v>Life Sciences</v>
          </cell>
          <cell r="G1075">
            <v>3</v>
          </cell>
          <cell r="H1075" t="str">
            <v>Male</v>
          </cell>
          <cell r="I1075">
            <v>1</v>
          </cell>
          <cell r="J1075">
            <v>2</v>
          </cell>
          <cell r="K1075" t="str">
            <v>Manufacturing Director</v>
          </cell>
          <cell r="L1075">
            <v>2</v>
          </cell>
          <cell r="M1075" t="str">
            <v>Married</v>
          </cell>
          <cell r="N1075">
            <v>6549</v>
          </cell>
          <cell r="O1075">
            <v>1</v>
          </cell>
          <cell r="P1075" t="str">
            <v>No</v>
          </cell>
          <cell r="Q1075">
            <v>2</v>
          </cell>
          <cell r="R1075">
            <v>8</v>
          </cell>
          <cell r="S1075">
            <v>2</v>
          </cell>
          <cell r="T1075">
            <v>8</v>
          </cell>
          <cell r="U1075">
            <v>6</v>
          </cell>
          <cell r="V1075">
            <v>1</v>
          </cell>
          <cell r="W1075">
            <v>7</v>
          </cell>
          <cell r="X1075">
            <v>14</v>
          </cell>
          <cell r="Y1075">
            <v>0</v>
          </cell>
          <cell r="Z1075" t="str">
            <v>Young</v>
          </cell>
          <cell r="AA1075" t="str">
            <v>Medium</v>
          </cell>
          <cell r="AB1075" t="str">
            <v>Long</v>
          </cell>
          <cell r="AC1075" t="str">
            <v>Medium</v>
          </cell>
          <cell r="AD1075">
            <v>1514</v>
          </cell>
        </row>
        <row r="1076">
          <cell r="A1076">
            <v>33</v>
          </cell>
          <cell r="B1076" t="str">
            <v>No</v>
          </cell>
          <cell r="C1076" t="str">
            <v>Research &amp; Development</v>
          </cell>
          <cell r="D1076">
            <v>8</v>
          </cell>
          <cell r="E1076">
            <v>5</v>
          </cell>
          <cell r="F1076" t="str">
            <v>Life Sciences</v>
          </cell>
          <cell r="G1076">
            <v>4</v>
          </cell>
          <cell r="H1076" t="str">
            <v>Male</v>
          </cell>
          <cell r="I1076">
            <v>3</v>
          </cell>
          <cell r="J1076">
            <v>2</v>
          </cell>
          <cell r="K1076" t="str">
            <v>Healthcare Representative</v>
          </cell>
          <cell r="L1076">
            <v>3</v>
          </cell>
          <cell r="M1076" t="str">
            <v>Single</v>
          </cell>
          <cell r="N1076">
            <v>6388</v>
          </cell>
          <cell r="O1076">
            <v>2</v>
          </cell>
          <cell r="P1076" t="str">
            <v>Yes</v>
          </cell>
          <cell r="Q1076">
            <v>1</v>
          </cell>
          <cell r="R1076">
            <v>14</v>
          </cell>
          <cell r="S1076">
            <v>3</v>
          </cell>
          <cell r="T1076">
            <v>0</v>
          </cell>
          <cell r="U1076">
            <v>0</v>
          </cell>
          <cell r="V1076">
            <v>0</v>
          </cell>
          <cell r="W1076">
            <v>0</v>
          </cell>
          <cell r="X1076">
            <v>17</v>
          </cell>
          <cell r="Y1076">
            <v>0</v>
          </cell>
          <cell r="Z1076" t="str">
            <v>Mid</v>
          </cell>
          <cell r="AA1076" t="str">
            <v>Medium</v>
          </cell>
          <cell r="AB1076" t="str">
            <v>Early</v>
          </cell>
          <cell r="AC1076" t="str">
            <v>Medium</v>
          </cell>
          <cell r="AD1076">
            <v>1515</v>
          </cell>
        </row>
        <row r="1077">
          <cell r="A1077">
            <v>32</v>
          </cell>
          <cell r="B1077" t="str">
            <v>No</v>
          </cell>
          <cell r="C1077" t="str">
            <v>Research &amp; Development</v>
          </cell>
          <cell r="D1077">
            <v>10</v>
          </cell>
          <cell r="E1077">
            <v>3</v>
          </cell>
          <cell r="F1077" t="str">
            <v>Medical</v>
          </cell>
          <cell r="G1077">
            <v>3</v>
          </cell>
          <cell r="H1077" t="str">
            <v>Male</v>
          </cell>
          <cell r="I1077">
            <v>3</v>
          </cell>
          <cell r="J1077">
            <v>3</v>
          </cell>
          <cell r="K1077" t="str">
            <v>Manager</v>
          </cell>
          <cell r="L1077">
            <v>4</v>
          </cell>
          <cell r="M1077" t="str">
            <v>Single</v>
          </cell>
          <cell r="N1077">
            <v>11244</v>
          </cell>
          <cell r="O1077">
            <v>2</v>
          </cell>
          <cell r="P1077" t="str">
            <v>No</v>
          </cell>
          <cell r="Q1077">
            <v>2</v>
          </cell>
          <cell r="R1077">
            <v>10</v>
          </cell>
          <cell r="S1077">
            <v>4</v>
          </cell>
          <cell r="T1077">
            <v>5</v>
          </cell>
          <cell r="U1077">
            <v>2</v>
          </cell>
          <cell r="V1077">
            <v>0</v>
          </cell>
          <cell r="W1077">
            <v>0</v>
          </cell>
          <cell r="X1077">
            <v>25</v>
          </cell>
          <cell r="Y1077">
            <v>0</v>
          </cell>
          <cell r="Z1077" t="str">
            <v>Mid</v>
          </cell>
          <cell r="AA1077" t="str">
            <v>High</v>
          </cell>
          <cell r="AB1077" t="str">
            <v>Mid</v>
          </cell>
          <cell r="AC1077" t="str">
            <v>High</v>
          </cell>
          <cell r="AD1077">
            <v>1516</v>
          </cell>
        </row>
        <row r="1078">
          <cell r="A1078">
            <v>54</v>
          </cell>
          <cell r="B1078" t="str">
            <v>No</v>
          </cell>
          <cell r="C1078" t="str">
            <v>Research &amp; Development</v>
          </cell>
          <cell r="D1078">
            <v>11</v>
          </cell>
          <cell r="E1078">
            <v>4</v>
          </cell>
          <cell r="F1078" t="str">
            <v>Medical</v>
          </cell>
          <cell r="G1078">
            <v>2</v>
          </cell>
          <cell r="H1078" t="str">
            <v>Female</v>
          </cell>
          <cell r="I1078">
            <v>3</v>
          </cell>
          <cell r="J1078">
            <v>4</v>
          </cell>
          <cell r="K1078" t="str">
            <v>Manager</v>
          </cell>
          <cell r="L1078">
            <v>4</v>
          </cell>
          <cell r="M1078" t="str">
            <v>Divorced</v>
          </cell>
          <cell r="N1078">
            <v>16032</v>
          </cell>
          <cell r="O1078">
            <v>3</v>
          </cell>
          <cell r="P1078" t="str">
            <v>No</v>
          </cell>
          <cell r="Q1078">
            <v>1</v>
          </cell>
          <cell r="R1078">
            <v>26</v>
          </cell>
          <cell r="S1078">
            <v>3</v>
          </cell>
          <cell r="T1078">
            <v>14</v>
          </cell>
          <cell r="U1078">
            <v>9</v>
          </cell>
          <cell r="V1078">
            <v>1</v>
          </cell>
          <cell r="W1078">
            <v>12</v>
          </cell>
          <cell r="X1078">
            <v>20</v>
          </cell>
          <cell r="Y1078">
            <v>0</v>
          </cell>
          <cell r="Z1078" t="str">
            <v>Senior</v>
          </cell>
          <cell r="AA1078" t="str">
            <v>High</v>
          </cell>
          <cell r="AB1078" t="str">
            <v>Long</v>
          </cell>
          <cell r="AC1078" t="str">
            <v>High</v>
          </cell>
          <cell r="AD1078">
            <v>1520</v>
          </cell>
        </row>
        <row r="1079">
          <cell r="A1079">
            <v>29</v>
          </cell>
          <cell r="B1079" t="str">
            <v>Yes</v>
          </cell>
          <cell r="C1079" t="str">
            <v>Research &amp; Development</v>
          </cell>
          <cell r="D1079">
            <v>1</v>
          </cell>
          <cell r="E1079">
            <v>4</v>
          </cell>
          <cell r="F1079" t="str">
            <v>Technical Degree</v>
          </cell>
          <cell r="G1079">
            <v>1</v>
          </cell>
          <cell r="H1079" t="str">
            <v>Male</v>
          </cell>
          <cell r="I1079">
            <v>2</v>
          </cell>
          <cell r="J1079">
            <v>1</v>
          </cell>
          <cell r="K1079" t="str">
            <v>Research Scientist</v>
          </cell>
          <cell r="L1079">
            <v>1</v>
          </cell>
          <cell r="M1079" t="str">
            <v>Single</v>
          </cell>
          <cell r="N1079">
            <v>2362</v>
          </cell>
          <cell r="O1079">
            <v>6</v>
          </cell>
          <cell r="P1079" t="str">
            <v>No</v>
          </cell>
          <cell r="Q1079">
            <v>3</v>
          </cell>
          <cell r="R1079">
            <v>11</v>
          </cell>
          <cell r="S1079">
            <v>1</v>
          </cell>
          <cell r="T1079">
            <v>9</v>
          </cell>
          <cell r="U1079">
            <v>7</v>
          </cell>
          <cell r="V1079">
            <v>0</v>
          </cell>
          <cell r="W1079">
            <v>7</v>
          </cell>
          <cell r="X1079">
            <v>13</v>
          </cell>
          <cell r="Y1079">
            <v>1</v>
          </cell>
          <cell r="Z1079" t="str">
            <v>Young</v>
          </cell>
          <cell r="AA1079" t="str">
            <v>Low</v>
          </cell>
          <cell r="AB1079" t="str">
            <v>Long</v>
          </cell>
          <cell r="AC1079" t="str">
            <v>Medium</v>
          </cell>
          <cell r="AD1079">
            <v>1522</v>
          </cell>
        </row>
        <row r="1080">
          <cell r="A1080">
            <v>44</v>
          </cell>
          <cell r="B1080" t="str">
            <v>No</v>
          </cell>
          <cell r="C1080" t="str">
            <v>Research &amp; Development</v>
          </cell>
          <cell r="D1080">
            <v>28</v>
          </cell>
          <cell r="E1080">
            <v>3</v>
          </cell>
          <cell r="F1080" t="str">
            <v>Life Sciences</v>
          </cell>
          <cell r="G1080">
            <v>4</v>
          </cell>
          <cell r="H1080" t="str">
            <v>Male</v>
          </cell>
          <cell r="I1080">
            <v>3</v>
          </cell>
          <cell r="J1080">
            <v>4</v>
          </cell>
          <cell r="K1080" t="str">
            <v>Research Director</v>
          </cell>
          <cell r="L1080">
            <v>1</v>
          </cell>
          <cell r="M1080" t="str">
            <v>Married</v>
          </cell>
          <cell r="N1080">
            <v>16328</v>
          </cell>
          <cell r="O1080">
            <v>3</v>
          </cell>
          <cell r="P1080" t="str">
            <v>No</v>
          </cell>
          <cell r="Q1080">
            <v>3</v>
          </cell>
          <cell r="R1080">
            <v>24</v>
          </cell>
          <cell r="S1080">
            <v>4</v>
          </cell>
          <cell r="T1080">
            <v>20</v>
          </cell>
          <cell r="U1080">
            <v>6</v>
          </cell>
          <cell r="V1080">
            <v>14</v>
          </cell>
          <cell r="W1080">
            <v>17</v>
          </cell>
          <cell r="X1080">
            <v>13</v>
          </cell>
          <cell r="Y1080">
            <v>0</v>
          </cell>
          <cell r="Z1080" t="str">
            <v>Mid</v>
          </cell>
          <cell r="AA1080" t="str">
            <v>High</v>
          </cell>
          <cell r="AB1080" t="str">
            <v>Long</v>
          </cell>
          <cell r="AC1080" t="str">
            <v>Medium</v>
          </cell>
          <cell r="AD1080">
            <v>1523</v>
          </cell>
        </row>
        <row r="1081">
          <cell r="A1081">
            <v>39</v>
          </cell>
          <cell r="B1081" t="str">
            <v>No</v>
          </cell>
          <cell r="C1081" t="str">
            <v>Research &amp; Development</v>
          </cell>
          <cell r="D1081">
            <v>6</v>
          </cell>
          <cell r="E1081">
            <v>3</v>
          </cell>
          <cell r="F1081" t="str">
            <v>Life Sciences</v>
          </cell>
          <cell r="G1081">
            <v>2</v>
          </cell>
          <cell r="H1081" t="str">
            <v>Female</v>
          </cell>
          <cell r="I1081">
            <v>3</v>
          </cell>
          <cell r="J1081">
            <v>3</v>
          </cell>
          <cell r="K1081" t="str">
            <v>Manufacturing Director</v>
          </cell>
          <cell r="L1081">
            <v>2</v>
          </cell>
          <cell r="M1081" t="str">
            <v>Single</v>
          </cell>
          <cell r="N1081">
            <v>8376</v>
          </cell>
          <cell r="O1081">
            <v>4</v>
          </cell>
          <cell r="P1081" t="str">
            <v>No</v>
          </cell>
          <cell r="Q1081">
            <v>4</v>
          </cell>
          <cell r="R1081">
            <v>9</v>
          </cell>
          <cell r="S1081">
            <v>3</v>
          </cell>
          <cell r="T1081">
            <v>2</v>
          </cell>
          <cell r="U1081">
            <v>0</v>
          </cell>
          <cell r="V1081">
            <v>2</v>
          </cell>
          <cell r="W1081">
            <v>2</v>
          </cell>
          <cell r="X1081">
            <v>18</v>
          </cell>
          <cell r="Y1081">
            <v>0</v>
          </cell>
          <cell r="Z1081" t="str">
            <v>Mid</v>
          </cell>
          <cell r="AA1081" t="str">
            <v>Medium</v>
          </cell>
          <cell r="AB1081" t="str">
            <v>Early</v>
          </cell>
          <cell r="AC1081" t="str">
            <v>High</v>
          </cell>
          <cell r="AD1081">
            <v>1525</v>
          </cell>
        </row>
        <row r="1082">
          <cell r="A1082">
            <v>46</v>
          </cell>
          <cell r="B1082" t="str">
            <v>No</v>
          </cell>
          <cell r="C1082" t="str">
            <v>Sales</v>
          </cell>
          <cell r="D1082">
            <v>3</v>
          </cell>
          <cell r="E1082">
            <v>3</v>
          </cell>
          <cell r="F1082" t="str">
            <v>Life Sciences</v>
          </cell>
          <cell r="G1082">
            <v>3</v>
          </cell>
          <cell r="H1082" t="str">
            <v>Female</v>
          </cell>
          <cell r="I1082">
            <v>3</v>
          </cell>
          <cell r="J1082">
            <v>4</v>
          </cell>
          <cell r="K1082" t="str">
            <v>Manager</v>
          </cell>
          <cell r="L1082">
            <v>2</v>
          </cell>
          <cell r="M1082" t="str">
            <v>Married</v>
          </cell>
          <cell r="N1082">
            <v>16606</v>
          </cell>
          <cell r="O1082">
            <v>8</v>
          </cell>
          <cell r="P1082" t="str">
            <v>No</v>
          </cell>
          <cell r="Q1082">
            <v>4</v>
          </cell>
          <cell r="R1082">
            <v>23</v>
          </cell>
          <cell r="S1082">
            <v>4</v>
          </cell>
          <cell r="T1082">
            <v>13</v>
          </cell>
          <cell r="U1082">
            <v>12</v>
          </cell>
          <cell r="V1082">
            <v>5</v>
          </cell>
          <cell r="W1082">
            <v>1</v>
          </cell>
          <cell r="X1082">
            <v>12</v>
          </cell>
          <cell r="Y1082">
            <v>0</v>
          </cell>
          <cell r="Z1082" t="str">
            <v>Senior</v>
          </cell>
          <cell r="AA1082" t="str">
            <v>High</v>
          </cell>
          <cell r="AB1082" t="str">
            <v>Long</v>
          </cell>
          <cell r="AC1082" t="str">
            <v>Low</v>
          </cell>
          <cell r="AD1082">
            <v>1527</v>
          </cell>
        </row>
        <row r="1083">
          <cell r="A1083">
            <v>35</v>
          </cell>
          <cell r="B1083" t="str">
            <v>No</v>
          </cell>
          <cell r="C1083" t="str">
            <v>Research &amp; Development</v>
          </cell>
          <cell r="D1083">
            <v>16</v>
          </cell>
          <cell r="E1083">
            <v>3</v>
          </cell>
          <cell r="F1083" t="str">
            <v>Life Sciences</v>
          </cell>
          <cell r="G1083">
            <v>4</v>
          </cell>
          <cell r="H1083" t="str">
            <v>Female</v>
          </cell>
          <cell r="I1083">
            <v>2</v>
          </cell>
          <cell r="J1083">
            <v>3</v>
          </cell>
          <cell r="K1083" t="str">
            <v>Healthcare Representative</v>
          </cell>
          <cell r="L1083">
            <v>2</v>
          </cell>
          <cell r="M1083" t="str">
            <v>Single</v>
          </cell>
          <cell r="N1083">
            <v>8606</v>
          </cell>
          <cell r="O1083">
            <v>1</v>
          </cell>
          <cell r="P1083" t="str">
            <v>No</v>
          </cell>
          <cell r="Q1083">
            <v>4</v>
          </cell>
          <cell r="R1083">
            <v>11</v>
          </cell>
          <cell r="S1083">
            <v>1</v>
          </cell>
          <cell r="T1083">
            <v>11</v>
          </cell>
          <cell r="U1083">
            <v>8</v>
          </cell>
          <cell r="V1083">
            <v>3</v>
          </cell>
          <cell r="W1083">
            <v>3</v>
          </cell>
          <cell r="X1083">
            <v>19</v>
          </cell>
          <cell r="Y1083">
            <v>0</v>
          </cell>
          <cell r="Z1083" t="str">
            <v>Mid</v>
          </cell>
          <cell r="AA1083" t="str">
            <v>Medium</v>
          </cell>
          <cell r="AB1083" t="str">
            <v>Long</v>
          </cell>
          <cell r="AC1083" t="str">
            <v>High</v>
          </cell>
          <cell r="AD1083">
            <v>1529</v>
          </cell>
        </row>
        <row r="1084">
          <cell r="A1084">
            <v>23</v>
          </cell>
          <cell r="B1084" t="str">
            <v>No</v>
          </cell>
          <cell r="C1084" t="str">
            <v>Research &amp; Development</v>
          </cell>
          <cell r="D1084">
            <v>20</v>
          </cell>
          <cell r="E1084">
            <v>1</v>
          </cell>
          <cell r="F1084" t="str">
            <v>Life Sciences</v>
          </cell>
          <cell r="G1084">
            <v>1</v>
          </cell>
          <cell r="H1084" t="str">
            <v>Male</v>
          </cell>
          <cell r="I1084">
            <v>3</v>
          </cell>
          <cell r="J1084">
            <v>2</v>
          </cell>
          <cell r="K1084" t="str">
            <v>Laboratory Technician</v>
          </cell>
          <cell r="L1084">
            <v>3</v>
          </cell>
          <cell r="M1084" t="str">
            <v>Single</v>
          </cell>
          <cell r="N1084">
            <v>2272</v>
          </cell>
          <cell r="O1084">
            <v>0</v>
          </cell>
          <cell r="P1084" t="str">
            <v>No</v>
          </cell>
          <cell r="Q1084">
            <v>2</v>
          </cell>
          <cell r="R1084">
            <v>5</v>
          </cell>
          <cell r="S1084">
            <v>3</v>
          </cell>
          <cell r="T1084">
            <v>4</v>
          </cell>
          <cell r="U1084">
            <v>3</v>
          </cell>
          <cell r="V1084">
            <v>1</v>
          </cell>
          <cell r="W1084">
            <v>2</v>
          </cell>
          <cell r="X1084">
            <v>14</v>
          </cell>
          <cell r="Y1084">
            <v>0</v>
          </cell>
          <cell r="Z1084" t="str">
            <v>Young</v>
          </cell>
          <cell r="AA1084" t="str">
            <v>Low</v>
          </cell>
          <cell r="AB1084" t="str">
            <v>Mid</v>
          </cell>
          <cell r="AC1084" t="str">
            <v>Medium</v>
          </cell>
          <cell r="AD1084">
            <v>1533</v>
          </cell>
        </row>
        <row r="1085">
          <cell r="A1085">
            <v>40</v>
          </cell>
          <cell r="B1085" t="str">
            <v>Yes</v>
          </cell>
          <cell r="C1085" t="str">
            <v>Research &amp; Development</v>
          </cell>
          <cell r="D1085">
            <v>9</v>
          </cell>
          <cell r="E1085">
            <v>4</v>
          </cell>
          <cell r="F1085" t="str">
            <v>Life Sciences</v>
          </cell>
          <cell r="G1085">
            <v>4</v>
          </cell>
          <cell r="H1085" t="str">
            <v>Male</v>
          </cell>
          <cell r="I1085">
            <v>3</v>
          </cell>
          <cell r="J1085">
            <v>1</v>
          </cell>
          <cell r="K1085" t="str">
            <v>Laboratory Technician</v>
          </cell>
          <cell r="L1085">
            <v>1</v>
          </cell>
          <cell r="M1085" t="str">
            <v>Single</v>
          </cell>
          <cell r="N1085">
            <v>2018</v>
          </cell>
          <cell r="O1085">
            <v>3</v>
          </cell>
          <cell r="P1085" t="str">
            <v>No</v>
          </cell>
          <cell r="Q1085">
            <v>2</v>
          </cell>
          <cell r="R1085">
            <v>15</v>
          </cell>
          <cell r="S1085">
            <v>1</v>
          </cell>
          <cell r="T1085">
            <v>5</v>
          </cell>
          <cell r="U1085">
            <v>4</v>
          </cell>
          <cell r="V1085">
            <v>1</v>
          </cell>
          <cell r="W1085">
            <v>0</v>
          </cell>
          <cell r="X1085">
            <v>14</v>
          </cell>
          <cell r="Y1085">
            <v>1</v>
          </cell>
          <cell r="Z1085" t="str">
            <v>Mid</v>
          </cell>
          <cell r="AA1085" t="str">
            <v>Low</v>
          </cell>
          <cell r="AB1085" t="str">
            <v>Mid</v>
          </cell>
          <cell r="AC1085" t="str">
            <v>Medium</v>
          </cell>
          <cell r="AD1085">
            <v>1534</v>
          </cell>
        </row>
        <row r="1086">
          <cell r="A1086">
            <v>34</v>
          </cell>
          <cell r="B1086" t="str">
            <v>No</v>
          </cell>
          <cell r="C1086" t="str">
            <v>Sales</v>
          </cell>
          <cell r="D1086">
            <v>1</v>
          </cell>
          <cell r="E1086">
            <v>3</v>
          </cell>
          <cell r="F1086" t="str">
            <v>Technical Degree</v>
          </cell>
          <cell r="G1086">
            <v>4</v>
          </cell>
          <cell r="H1086" t="str">
            <v>Male</v>
          </cell>
          <cell r="I1086">
            <v>2</v>
          </cell>
          <cell r="J1086">
            <v>3</v>
          </cell>
          <cell r="K1086" t="str">
            <v>Sales Executive</v>
          </cell>
          <cell r="L1086">
            <v>3</v>
          </cell>
          <cell r="M1086" t="str">
            <v>Married</v>
          </cell>
          <cell r="N1086">
            <v>7083</v>
          </cell>
          <cell r="O1086">
            <v>1</v>
          </cell>
          <cell r="P1086" t="str">
            <v>Yes</v>
          </cell>
          <cell r="Q1086">
            <v>4</v>
          </cell>
          <cell r="R1086">
            <v>10</v>
          </cell>
          <cell r="S1086">
            <v>3</v>
          </cell>
          <cell r="T1086">
            <v>10</v>
          </cell>
          <cell r="U1086">
            <v>9</v>
          </cell>
          <cell r="V1086">
            <v>8</v>
          </cell>
          <cell r="W1086">
            <v>6</v>
          </cell>
          <cell r="X1086">
            <v>14</v>
          </cell>
          <cell r="Y1086">
            <v>0</v>
          </cell>
          <cell r="Z1086" t="str">
            <v>Mid</v>
          </cell>
          <cell r="AA1086" t="str">
            <v>Medium</v>
          </cell>
          <cell r="AB1086" t="str">
            <v>Long</v>
          </cell>
          <cell r="AC1086" t="str">
            <v>Medium</v>
          </cell>
          <cell r="AD1086">
            <v>1535</v>
          </cell>
        </row>
        <row r="1087">
          <cell r="A1087">
            <v>31</v>
          </cell>
          <cell r="B1087" t="str">
            <v>Yes</v>
          </cell>
          <cell r="C1087" t="str">
            <v>Research &amp; Development</v>
          </cell>
          <cell r="D1087">
            <v>3</v>
          </cell>
          <cell r="E1087">
            <v>3</v>
          </cell>
          <cell r="F1087" t="str">
            <v>Life Sciences</v>
          </cell>
          <cell r="G1087">
            <v>4</v>
          </cell>
          <cell r="H1087" t="str">
            <v>Female</v>
          </cell>
          <cell r="I1087">
            <v>3</v>
          </cell>
          <cell r="J1087">
            <v>1</v>
          </cell>
          <cell r="K1087" t="str">
            <v>Research Scientist</v>
          </cell>
          <cell r="L1087">
            <v>3</v>
          </cell>
          <cell r="M1087" t="str">
            <v>Single</v>
          </cell>
          <cell r="N1087">
            <v>4084</v>
          </cell>
          <cell r="O1087">
            <v>1</v>
          </cell>
          <cell r="P1087" t="str">
            <v>No</v>
          </cell>
          <cell r="Q1087">
            <v>1</v>
          </cell>
          <cell r="R1087">
            <v>7</v>
          </cell>
          <cell r="S1087">
            <v>1</v>
          </cell>
          <cell r="T1087">
            <v>7</v>
          </cell>
          <cell r="U1087">
            <v>2</v>
          </cell>
          <cell r="V1087">
            <v>7</v>
          </cell>
          <cell r="W1087">
            <v>7</v>
          </cell>
          <cell r="X1087">
            <v>12</v>
          </cell>
          <cell r="Y1087">
            <v>1</v>
          </cell>
          <cell r="Z1087" t="str">
            <v>Mid</v>
          </cell>
          <cell r="AA1087" t="str">
            <v>Low</v>
          </cell>
          <cell r="AB1087" t="str">
            <v>Long</v>
          </cell>
          <cell r="AC1087" t="str">
            <v>Low</v>
          </cell>
          <cell r="AD1087">
            <v>1537</v>
          </cell>
        </row>
        <row r="1088">
          <cell r="A1088">
            <v>50</v>
          </cell>
          <cell r="B1088" t="str">
            <v>No</v>
          </cell>
          <cell r="C1088" t="str">
            <v>Research &amp; Development</v>
          </cell>
          <cell r="D1088">
            <v>22</v>
          </cell>
          <cell r="E1088">
            <v>5</v>
          </cell>
          <cell r="F1088" t="str">
            <v>Medical</v>
          </cell>
          <cell r="G1088">
            <v>3</v>
          </cell>
          <cell r="H1088" t="str">
            <v>Male</v>
          </cell>
          <cell r="I1088">
            <v>1</v>
          </cell>
          <cell r="J1088">
            <v>4</v>
          </cell>
          <cell r="K1088" t="str">
            <v>Research Director</v>
          </cell>
          <cell r="L1088">
            <v>4</v>
          </cell>
          <cell r="M1088" t="str">
            <v>Single</v>
          </cell>
          <cell r="N1088">
            <v>14411</v>
          </cell>
          <cell r="O1088">
            <v>1</v>
          </cell>
          <cell r="P1088" t="str">
            <v>Yes</v>
          </cell>
          <cell r="Q1088">
            <v>4</v>
          </cell>
          <cell r="R1088">
            <v>32</v>
          </cell>
          <cell r="S1088">
            <v>3</v>
          </cell>
          <cell r="T1088">
            <v>32</v>
          </cell>
          <cell r="U1088">
            <v>6</v>
          </cell>
          <cell r="V1088">
            <v>13</v>
          </cell>
          <cell r="W1088">
            <v>9</v>
          </cell>
          <cell r="X1088">
            <v>13</v>
          </cell>
          <cell r="Y1088">
            <v>0</v>
          </cell>
          <cell r="Z1088" t="str">
            <v>Senior</v>
          </cell>
          <cell r="AA1088" t="str">
            <v>High</v>
          </cell>
          <cell r="AB1088" t="str">
            <v>Long</v>
          </cell>
          <cell r="AC1088" t="str">
            <v>Medium</v>
          </cell>
          <cell r="AD1088">
            <v>1539</v>
          </cell>
        </row>
        <row r="1089">
          <cell r="A1089">
            <v>34</v>
          </cell>
          <cell r="B1089" t="str">
            <v>No</v>
          </cell>
          <cell r="C1089" t="str">
            <v>Sales</v>
          </cell>
          <cell r="D1089">
            <v>7</v>
          </cell>
          <cell r="E1089">
            <v>2</v>
          </cell>
          <cell r="F1089" t="str">
            <v>Technical Degree</v>
          </cell>
          <cell r="G1089">
            <v>2</v>
          </cell>
          <cell r="H1089" t="str">
            <v>Male</v>
          </cell>
          <cell r="I1089">
            <v>3</v>
          </cell>
          <cell r="J1089">
            <v>1</v>
          </cell>
          <cell r="K1089" t="str">
            <v>Sales Representative</v>
          </cell>
          <cell r="L1089">
            <v>3</v>
          </cell>
          <cell r="M1089" t="str">
            <v>Married</v>
          </cell>
          <cell r="N1089">
            <v>2308</v>
          </cell>
          <cell r="O1089">
            <v>0</v>
          </cell>
          <cell r="P1089" t="str">
            <v>Yes</v>
          </cell>
          <cell r="Q1089">
            <v>2</v>
          </cell>
          <cell r="R1089">
            <v>12</v>
          </cell>
          <cell r="S1089">
            <v>3</v>
          </cell>
          <cell r="T1089">
            <v>11</v>
          </cell>
          <cell r="U1089">
            <v>10</v>
          </cell>
          <cell r="V1089">
            <v>5</v>
          </cell>
          <cell r="W1089">
            <v>7</v>
          </cell>
          <cell r="X1089">
            <v>25</v>
          </cell>
          <cell r="Y1089">
            <v>0</v>
          </cell>
          <cell r="Z1089" t="str">
            <v>Mid</v>
          </cell>
          <cell r="AA1089" t="str">
            <v>Low</v>
          </cell>
          <cell r="AB1089" t="str">
            <v>Long</v>
          </cell>
          <cell r="AC1089" t="str">
            <v>High</v>
          </cell>
          <cell r="AD1089">
            <v>1541</v>
          </cell>
        </row>
        <row r="1090">
          <cell r="A1090">
            <v>42</v>
          </cell>
          <cell r="B1090" t="str">
            <v>No</v>
          </cell>
          <cell r="C1090" t="str">
            <v>Research &amp; Development</v>
          </cell>
          <cell r="D1090">
            <v>2</v>
          </cell>
          <cell r="E1090">
            <v>3</v>
          </cell>
          <cell r="F1090" t="str">
            <v>Medical</v>
          </cell>
          <cell r="G1090">
            <v>3</v>
          </cell>
          <cell r="H1090" t="str">
            <v>Male</v>
          </cell>
          <cell r="I1090">
            <v>2</v>
          </cell>
          <cell r="J1090">
            <v>1</v>
          </cell>
          <cell r="K1090" t="str">
            <v>Laboratory Technician</v>
          </cell>
          <cell r="L1090">
            <v>2</v>
          </cell>
          <cell r="M1090" t="str">
            <v>Married</v>
          </cell>
          <cell r="N1090">
            <v>4841</v>
          </cell>
          <cell r="O1090">
            <v>4</v>
          </cell>
          <cell r="P1090" t="str">
            <v>No</v>
          </cell>
          <cell r="Q1090">
            <v>2</v>
          </cell>
          <cell r="R1090">
            <v>4</v>
          </cell>
          <cell r="S1090">
            <v>3</v>
          </cell>
          <cell r="T1090">
            <v>1</v>
          </cell>
          <cell r="U1090">
            <v>0</v>
          </cell>
          <cell r="V1090">
            <v>0</v>
          </cell>
          <cell r="W1090">
            <v>0</v>
          </cell>
          <cell r="X1090">
            <v>14</v>
          </cell>
          <cell r="Y1090">
            <v>0</v>
          </cell>
          <cell r="Z1090" t="str">
            <v>Mid</v>
          </cell>
          <cell r="AA1090" t="str">
            <v>Low</v>
          </cell>
          <cell r="AB1090" t="str">
            <v>Early</v>
          </cell>
          <cell r="AC1090" t="str">
            <v>Medium</v>
          </cell>
          <cell r="AD1090">
            <v>1542</v>
          </cell>
        </row>
        <row r="1091">
          <cell r="A1091">
            <v>37</v>
          </cell>
          <cell r="B1091" t="str">
            <v>No</v>
          </cell>
          <cell r="C1091" t="str">
            <v>Research &amp; Development</v>
          </cell>
          <cell r="D1091">
            <v>13</v>
          </cell>
          <cell r="E1091">
            <v>3</v>
          </cell>
          <cell r="F1091" t="str">
            <v>Medical</v>
          </cell>
          <cell r="G1091">
            <v>1</v>
          </cell>
          <cell r="H1091" t="str">
            <v>Male</v>
          </cell>
          <cell r="I1091">
            <v>3</v>
          </cell>
          <cell r="J1091">
            <v>2</v>
          </cell>
          <cell r="K1091" t="str">
            <v>Research Scientist</v>
          </cell>
          <cell r="L1091">
            <v>4</v>
          </cell>
          <cell r="M1091" t="str">
            <v>Married</v>
          </cell>
          <cell r="N1091">
            <v>4285</v>
          </cell>
          <cell r="O1091">
            <v>1</v>
          </cell>
          <cell r="P1091" t="str">
            <v>No</v>
          </cell>
          <cell r="Q1091">
            <v>1</v>
          </cell>
          <cell r="R1091">
            <v>10</v>
          </cell>
          <cell r="S1091">
            <v>3</v>
          </cell>
          <cell r="T1091">
            <v>10</v>
          </cell>
          <cell r="U1091">
            <v>8</v>
          </cell>
          <cell r="V1091">
            <v>3</v>
          </cell>
          <cell r="W1091">
            <v>7</v>
          </cell>
          <cell r="X1091">
            <v>17</v>
          </cell>
          <cell r="Y1091">
            <v>0</v>
          </cell>
          <cell r="Z1091" t="str">
            <v>Mid</v>
          </cell>
          <cell r="AA1091" t="str">
            <v>Low</v>
          </cell>
          <cell r="AB1091" t="str">
            <v>Long</v>
          </cell>
          <cell r="AC1091" t="str">
            <v>Medium</v>
          </cell>
          <cell r="AD1091">
            <v>1543</v>
          </cell>
        </row>
        <row r="1092">
          <cell r="A1092">
            <v>29</v>
          </cell>
          <cell r="B1092" t="str">
            <v>No</v>
          </cell>
          <cell r="C1092" t="str">
            <v>Research &amp; Development</v>
          </cell>
          <cell r="D1092">
            <v>8</v>
          </cell>
          <cell r="E1092">
            <v>1</v>
          </cell>
          <cell r="F1092" t="str">
            <v>Other</v>
          </cell>
          <cell r="G1092">
            <v>3</v>
          </cell>
          <cell r="H1092" t="str">
            <v>Female</v>
          </cell>
          <cell r="I1092">
            <v>1</v>
          </cell>
          <cell r="J1092">
            <v>2</v>
          </cell>
          <cell r="K1092" t="str">
            <v>Healthcare Representative</v>
          </cell>
          <cell r="L1092">
            <v>1</v>
          </cell>
          <cell r="M1092" t="str">
            <v>Married</v>
          </cell>
          <cell r="N1092">
            <v>9715</v>
          </cell>
          <cell r="O1092">
            <v>3</v>
          </cell>
          <cell r="P1092" t="str">
            <v>No</v>
          </cell>
          <cell r="Q1092">
            <v>3</v>
          </cell>
          <cell r="R1092">
            <v>9</v>
          </cell>
          <cell r="S1092">
            <v>3</v>
          </cell>
          <cell r="T1092">
            <v>7</v>
          </cell>
          <cell r="U1092">
            <v>7</v>
          </cell>
          <cell r="V1092">
            <v>0</v>
          </cell>
          <cell r="W1092">
            <v>7</v>
          </cell>
          <cell r="X1092">
            <v>13</v>
          </cell>
          <cell r="Y1092">
            <v>0</v>
          </cell>
          <cell r="Z1092" t="str">
            <v>Young</v>
          </cell>
          <cell r="AA1092" t="str">
            <v>Medium</v>
          </cell>
          <cell r="AB1092" t="str">
            <v>Long</v>
          </cell>
          <cell r="AC1092" t="str">
            <v>Medium</v>
          </cell>
          <cell r="AD1092">
            <v>1544</v>
          </cell>
        </row>
        <row r="1093">
          <cell r="A1093">
            <v>33</v>
          </cell>
          <cell r="B1093" t="str">
            <v>No</v>
          </cell>
          <cell r="C1093" t="str">
            <v>Research &amp; Development</v>
          </cell>
          <cell r="D1093">
            <v>25</v>
          </cell>
          <cell r="E1093">
            <v>3</v>
          </cell>
          <cell r="F1093" t="str">
            <v>Life Sciences</v>
          </cell>
          <cell r="G1093">
            <v>4</v>
          </cell>
          <cell r="H1093" t="str">
            <v>Male</v>
          </cell>
          <cell r="I1093">
            <v>2</v>
          </cell>
          <cell r="J1093">
            <v>2</v>
          </cell>
          <cell r="K1093" t="str">
            <v>Manufacturing Director</v>
          </cell>
          <cell r="L1093">
            <v>2</v>
          </cell>
          <cell r="M1093" t="str">
            <v>Single</v>
          </cell>
          <cell r="N1093">
            <v>4320</v>
          </cell>
          <cell r="O1093">
            <v>1</v>
          </cell>
          <cell r="P1093" t="str">
            <v>No</v>
          </cell>
          <cell r="Q1093">
            <v>4</v>
          </cell>
          <cell r="R1093">
            <v>5</v>
          </cell>
          <cell r="S1093">
            <v>3</v>
          </cell>
          <cell r="T1093">
            <v>5</v>
          </cell>
          <cell r="U1093">
            <v>3</v>
          </cell>
          <cell r="V1093">
            <v>0</v>
          </cell>
          <cell r="W1093">
            <v>2</v>
          </cell>
          <cell r="X1093">
            <v>13</v>
          </cell>
          <cell r="Y1093">
            <v>0</v>
          </cell>
          <cell r="Z1093" t="str">
            <v>Mid</v>
          </cell>
          <cell r="AA1093" t="str">
            <v>Low</v>
          </cell>
          <cell r="AB1093" t="str">
            <v>Mid</v>
          </cell>
          <cell r="AC1093" t="str">
            <v>Medium</v>
          </cell>
          <cell r="AD1093">
            <v>1545</v>
          </cell>
        </row>
        <row r="1094">
          <cell r="A1094">
            <v>45</v>
          </cell>
          <cell r="B1094" t="str">
            <v>No</v>
          </cell>
          <cell r="C1094" t="str">
            <v>Research &amp; Development</v>
          </cell>
          <cell r="D1094">
            <v>28</v>
          </cell>
          <cell r="E1094">
            <v>3</v>
          </cell>
          <cell r="F1094" t="str">
            <v>Technical Degree</v>
          </cell>
          <cell r="G1094">
            <v>4</v>
          </cell>
          <cell r="H1094" t="str">
            <v>Male</v>
          </cell>
          <cell r="I1094">
            <v>3</v>
          </cell>
          <cell r="J1094">
            <v>1</v>
          </cell>
          <cell r="K1094" t="str">
            <v>Research Scientist</v>
          </cell>
          <cell r="L1094">
            <v>4</v>
          </cell>
          <cell r="M1094" t="str">
            <v>Married</v>
          </cell>
          <cell r="N1094">
            <v>2132</v>
          </cell>
          <cell r="O1094">
            <v>4</v>
          </cell>
          <cell r="P1094" t="str">
            <v>No</v>
          </cell>
          <cell r="Q1094">
            <v>4</v>
          </cell>
          <cell r="R1094">
            <v>8</v>
          </cell>
          <cell r="S1094">
            <v>3</v>
          </cell>
          <cell r="T1094">
            <v>5</v>
          </cell>
          <cell r="U1094">
            <v>4</v>
          </cell>
          <cell r="V1094">
            <v>0</v>
          </cell>
          <cell r="W1094">
            <v>3</v>
          </cell>
          <cell r="X1094">
            <v>20</v>
          </cell>
          <cell r="Y1094">
            <v>0</v>
          </cell>
          <cell r="Z1094" t="str">
            <v>Senior</v>
          </cell>
          <cell r="AA1094" t="str">
            <v>Low</v>
          </cell>
          <cell r="AB1094" t="str">
            <v>Mid</v>
          </cell>
          <cell r="AC1094" t="str">
            <v>High</v>
          </cell>
          <cell r="AD1094">
            <v>1546</v>
          </cell>
        </row>
        <row r="1095">
          <cell r="A1095">
            <v>42</v>
          </cell>
          <cell r="B1095" t="str">
            <v>No</v>
          </cell>
          <cell r="C1095" t="str">
            <v>Research &amp; Development</v>
          </cell>
          <cell r="D1095">
            <v>2</v>
          </cell>
          <cell r="E1095">
            <v>3</v>
          </cell>
          <cell r="F1095" t="str">
            <v>Life Sciences</v>
          </cell>
          <cell r="G1095">
            <v>4</v>
          </cell>
          <cell r="H1095" t="str">
            <v>Male</v>
          </cell>
          <cell r="I1095">
            <v>3</v>
          </cell>
          <cell r="J1095">
            <v>3</v>
          </cell>
          <cell r="K1095" t="str">
            <v>Healthcare Representative</v>
          </cell>
          <cell r="L1095">
            <v>4</v>
          </cell>
          <cell r="M1095" t="str">
            <v>Married</v>
          </cell>
          <cell r="N1095">
            <v>10124</v>
          </cell>
          <cell r="O1095">
            <v>2</v>
          </cell>
          <cell r="P1095" t="str">
            <v>Yes</v>
          </cell>
          <cell r="Q1095">
            <v>3</v>
          </cell>
          <cell r="R1095">
            <v>24</v>
          </cell>
          <cell r="S1095">
            <v>1</v>
          </cell>
          <cell r="T1095">
            <v>20</v>
          </cell>
          <cell r="U1095">
            <v>8</v>
          </cell>
          <cell r="V1095">
            <v>13</v>
          </cell>
          <cell r="W1095">
            <v>9</v>
          </cell>
          <cell r="X1095">
            <v>14</v>
          </cell>
          <cell r="Y1095">
            <v>0</v>
          </cell>
          <cell r="Z1095" t="str">
            <v>Mid</v>
          </cell>
          <cell r="AA1095" t="str">
            <v>High</v>
          </cell>
          <cell r="AB1095" t="str">
            <v>Long</v>
          </cell>
          <cell r="AC1095" t="str">
            <v>Medium</v>
          </cell>
          <cell r="AD1095">
            <v>1547</v>
          </cell>
        </row>
        <row r="1096">
          <cell r="A1096">
            <v>40</v>
          </cell>
          <cell r="B1096" t="str">
            <v>No</v>
          </cell>
          <cell r="C1096" t="str">
            <v>Sales</v>
          </cell>
          <cell r="D1096">
            <v>9</v>
          </cell>
          <cell r="E1096">
            <v>2</v>
          </cell>
          <cell r="F1096" t="str">
            <v>Medical</v>
          </cell>
          <cell r="G1096">
            <v>1</v>
          </cell>
          <cell r="H1096" t="str">
            <v>Male</v>
          </cell>
          <cell r="I1096">
            <v>3</v>
          </cell>
          <cell r="J1096">
            <v>2</v>
          </cell>
          <cell r="K1096" t="str">
            <v>Sales Executive</v>
          </cell>
          <cell r="L1096">
            <v>1</v>
          </cell>
          <cell r="M1096" t="str">
            <v>Married</v>
          </cell>
          <cell r="N1096">
            <v>5473</v>
          </cell>
          <cell r="O1096">
            <v>0</v>
          </cell>
          <cell r="P1096" t="str">
            <v>No</v>
          </cell>
          <cell r="Q1096">
            <v>4</v>
          </cell>
          <cell r="R1096">
            <v>9</v>
          </cell>
          <cell r="S1096">
            <v>4</v>
          </cell>
          <cell r="T1096">
            <v>8</v>
          </cell>
          <cell r="U1096">
            <v>4</v>
          </cell>
          <cell r="V1096">
            <v>7</v>
          </cell>
          <cell r="W1096">
            <v>1</v>
          </cell>
          <cell r="X1096">
            <v>12</v>
          </cell>
          <cell r="Y1096">
            <v>0</v>
          </cell>
          <cell r="Z1096" t="str">
            <v>Mid</v>
          </cell>
          <cell r="AA1096" t="str">
            <v>Medium</v>
          </cell>
          <cell r="AB1096" t="str">
            <v>Long</v>
          </cell>
          <cell r="AC1096" t="str">
            <v>Low</v>
          </cell>
          <cell r="AD1096">
            <v>1548</v>
          </cell>
        </row>
        <row r="1097">
          <cell r="A1097">
            <v>33</v>
          </cell>
          <cell r="B1097" t="str">
            <v>No</v>
          </cell>
          <cell r="C1097" t="str">
            <v>Research &amp; Development</v>
          </cell>
          <cell r="D1097">
            <v>28</v>
          </cell>
          <cell r="E1097">
            <v>4</v>
          </cell>
          <cell r="F1097" t="str">
            <v>Life Sciences</v>
          </cell>
          <cell r="G1097">
            <v>2</v>
          </cell>
          <cell r="H1097" t="str">
            <v>Male</v>
          </cell>
          <cell r="I1097">
            <v>3</v>
          </cell>
          <cell r="J1097">
            <v>2</v>
          </cell>
          <cell r="K1097" t="str">
            <v>Laboratory Technician</v>
          </cell>
          <cell r="L1097">
            <v>3</v>
          </cell>
          <cell r="M1097" t="str">
            <v>Married</v>
          </cell>
          <cell r="N1097">
            <v>5207</v>
          </cell>
          <cell r="O1097">
            <v>1</v>
          </cell>
          <cell r="P1097" t="str">
            <v>Yes</v>
          </cell>
          <cell r="Q1097">
            <v>2</v>
          </cell>
          <cell r="R1097">
            <v>15</v>
          </cell>
          <cell r="S1097">
            <v>3</v>
          </cell>
          <cell r="T1097">
            <v>15</v>
          </cell>
          <cell r="U1097">
            <v>14</v>
          </cell>
          <cell r="V1097">
            <v>5</v>
          </cell>
          <cell r="W1097">
            <v>7</v>
          </cell>
          <cell r="X1097">
            <v>12</v>
          </cell>
          <cell r="Y1097">
            <v>0</v>
          </cell>
          <cell r="Z1097" t="str">
            <v>Mid</v>
          </cell>
          <cell r="AA1097" t="str">
            <v>Medium</v>
          </cell>
          <cell r="AB1097" t="str">
            <v>Long</v>
          </cell>
          <cell r="AC1097" t="str">
            <v>Low</v>
          </cell>
          <cell r="AD1097">
            <v>1549</v>
          </cell>
        </row>
        <row r="1098">
          <cell r="A1098">
            <v>40</v>
          </cell>
          <cell r="B1098" t="str">
            <v>No</v>
          </cell>
          <cell r="C1098" t="str">
            <v>Human Resources</v>
          </cell>
          <cell r="D1098">
            <v>6</v>
          </cell>
          <cell r="E1098">
            <v>2</v>
          </cell>
          <cell r="F1098" t="str">
            <v>Medical</v>
          </cell>
          <cell r="G1098">
            <v>3</v>
          </cell>
          <cell r="H1098" t="str">
            <v>Male</v>
          </cell>
          <cell r="I1098">
            <v>3</v>
          </cell>
          <cell r="J1098">
            <v>4</v>
          </cell>
          <cell r="K1098" t="str">
            <v>Manager</v>
          </cell>
          <cell r="L1098">
            <v>4</v>
          </cell>
          <cell r="M1098" t="str">
            <v>Single</v>
          </cell>
          <cell r="N1098">
            <v>16437</v>
          </cell>
          <cell r="O1098">
            <v>1</v>
          </cell>
          <cell r="P1098" t="str">
            <v>Yes</v>
          </cell>
          <cell r="Q1098">
            <v>4</v>
          </cell>
          <cell r="R1098">
            <v>21</v>
          </cell>
          <cell r="S1098">
            <v>3</v>
          </cell>
          <cell r="T1098">
            <v>21</v>
          </cell>
          <cell r="U1098">
            <v>7</v>
          </cell>
          <cell r="V1098">
            <v>7</v>
          </cell>
          <cell r="W1098">
            <v>7</v>
          </cell>
          <cell r="X1098">
            <v>21</v>
          </cell>
          <cell r="Y1098">
            <v>0</v>
          </cell>
          <cell r="Z1098" t="str">
            <v>Mid</v>
          </cell>
          <cell r="AA1098" t="str">
            <v>High</v>
          </cell>
          <cell r="AB1098" t="str">
            <v>Long</v>
          </cell>
          <cell r="AC1098" t="str">
            <v>High</v>
          </cell>
          <cell r="AD1098">
            <v>1550</v>
          </cell>
        </row>
        <row r="1099">
          <cell r="A1099">
            <v>24</v>
          </cell>
          <cell r="B1099" t="str">
            <v>No</v>
          </cell>
          <cell r="C1099" t="str">
            <v>Research &amp; Development</v>
          </cell>
          <cell r="D1099">
            <v>21</v>
          </cell>
          <cell r="E1099">
            <v>2</v>
          </cell>
          <cell r="F1099" t="str">
            <v>Technical Degree</v>
          </cell>
          <cell r="G1099">
            <v>3</v>
          </cell>
          <cell r="H1099" t="str">
            <v>Male</v>
          </cell>
          <cell r="I1099">
            <v>2</v>
          </cell>
          <cell r="J1099">
            <v>1</v>
          </cell>
          <cell r="K1099" t="str">
            <v>Laboratory Technician</v>
          </cell>
          <cell r="L1099">
            <v>1</v>
          </cell>
          <cell r="M1099" t="str">
            <v>Divorced</v>
          </cell>
          <cell r="N1099">
            <v>2296</v>
          </cell>
          <cell r="O1099">
            <v>0</v>
          </cell>
          <cell r="P1099" t="str">
            <v>No</v>
          </cell>
          <cell r="Q1099">
            <v>2</v>
          </cell>
          <cell r="R1099">
            <v>2</v>
          </cell>
          <cell r="S1099">
            <v>3</v>
          </cell>
          <cell r="T1099">
            <v>1</v>
          </cell>
          <cell r="U1099">
            <v>1</v>
          </cell>
          <cell r="V1099">
            <v>0</v>
          </cell>
          <cell r="W1099">
            <v>0</v>
          </cell>
          <cell r="X1099">
            <v>14</v>
          </cell>
          <cell r="Y1099">
            <v>0</v>
          </cell>
          <cell r="Z1099" t="str">
            <v>Young</v>
          </cell>
          <cell r="AA1099" t="str">
            <v>Low</v>
          </cell>
          <cell r="AB1099" t="str">
            <v>Early</v>
          </cell>
          <cell r="AC1099" t="str">
            <v>Medium</v>
          </cell>
          <cell r="AD1099">
            <v>1551</v>
          </cell>
        </row>
        <row r="1100">
          <cell r="A1100">
            <v>40</v>
          </cell>
          <cell r="B1100" t="str">
            <v>No</v>
          </cell>
          <cell r="C1100" t="str">
            <v>Research &amp; Development</v>
          </cell>
          <cell r="D1100">
            <v>8</v>
          </cell>
          <cell r="E1100">
            <v>2</v>
          </cell>
          <cell r="F1100" t="str">
            <v>Life Sciences</v>
          </cell>
          <cell r="G1100">
            <v>4</v>
          </cell>
          <cell r="H1100" t="str">
            <v>Male</v>
          </cell>
          <cell r="I1100">
            <v>3</v>
          </cell>
          <cell r="J1100">
            <v>2</v>
          </cell>
          <cell r="K1100" t="str">
            <v>Healthcare Representative</v>
          </cell>
          <cell r="L1100">
            <v>4</v>
          </cell>
          <cell r="M1100" t="str">
            <v>Divorced</v>
          </cell>
          <cell r="N1100">
            <v>4069</v>
          </cell>
          <cell r="O1100">
            <v>3</v>
          </cell>
          <cell r="P1100" t="str">
            <v>Yes</v>
          </cell>
          <cell r="Q1100">
            <v>3</v>
          </cell>
          <cell r="R1100">
            <v>8</v>
          </cell>
          <cell r="S1100">
            <v>3</v>
          </cell>
          <cell r="T1100">
            <v>2</v>
          </cell>
          <cell r="U1100">
            <v>2</v>
          </cell>
          <cell r="V1100">
            <v>2</v>
          </cell>
          <cell r="W1100">
            <v>2</v>
          </cell>
          <cell r="X1100">
            <v>18</v>
          </cell>
          <cell r="Y1100">
            <v>0</v>
          </cell>
          <cell r="Z1100" t="str">
            <v>Mid</v>
          </cell>
          <cell r="AA1100" t="str">
            <v>Low</v>
          </cell>
          <cell r="AB1100" t="str">
            <v>Early</v>
          </cell>
          <cell r="AC1100" t="str">
            <v>High</v>
          </cell>
          <cell r="AD1100">
            <v>1552</v>
          </cell>
        </row>
        <row r="1101">
          <cell r="A1101">
            <v>45</v>
          </cell>
          <cell r="B1101" t="str">
            <v>No</v>
          </cell>
          <cell r="C1101" t="str">
            <v>Research &amp; Development</v>
          </cell>
          <cell r="D1101">
            <v>1</v>
          </cell>
          <cell r="E1101">
            <v>4</v>
          </cell>
          <cell r="F1101" t="str">
            <v>Technical Degree</v>
          </cell>
          <cell r="G1101">
            <v>1</v>
          </cell>
          <cell r="H1101" t="str">
            <v>Male</v>
          </cell>
          <cell r="I1101">
            <v>3</v>
          </cell>
          <cell r="J1101">
            <v>3</v>
          </cell>
          <cell r="K1101" t="str">
            <v>Healthcare Representative</v>
          </cell>
          <cell r="L1101">
            <v>2</v>
          </cell>
          <cell r="M1101" t="str">
            <v>Divorced</v>
          </cell>
          <cell r="N1101">
            <v>7441</v>
          </cell>
          <cell r="O1101">
            <v>1</v>
          </cell>
          <cell r="P1101" t="str">
            <v>No</v>
          </cell>
          <cell r="Q1101">
            <v>1</v>
          </cell>
          <cell r="R1101">
            <v>10</v>
          </cell>
          <cell r="S1101">
            <v>3</v>
          </cell>
          <cell r="T1101">
            <v>10</v>
          </cell>
          <cell r="U1101">
            <v>8</v>
          </cell>
          <cell r="V1101">
            <v>7</v>
          </cell>
          <cell r="W1101">
            <v>7</v>
          </cell>
          <cell r="X1101">
            <v>12</v>
          </cell>
          <cell r="Y1101">
            <v>0</v>
          </cell>
          <cell r="Z1101" t="str">
            <v>Senior</v>
          </cell>
          <cell r="AA1101" t="str">
            <v>Medium</v>
          </cell>
          <cell r="AB1101" t="str">
            <v>Long</v>
          </cell>
          <cell r="AC1101" t="str">
            <v>Low</v>
          </cell>
          <cell r="AD1101">
            <v>1553</v>
          </cell>
        </row>
        <row r="1102">
          <cell r="A1102">
            <v>35</v>
          </cell>
          <cell r="B1102" t="str">
            <v>No</v>
          </cell>
          <cell r="C1102" t="str">
            <v>Sales</v>
          </cell>
          <cell r="D1102">
            <v>28</v>
          </cell>
          <cell r="E1102">
            <v>4</v>
          </cell>
          <cell r="F1102" t="str">
            <v>Life Sciences</v>
          </cell>
          <cell r="G1102">
            <v>2</v>
          </cell>
          <cell r="H1102" t="str">
            <v>Female</v>
          </cell>
          <cell r="I1102">
            <v>2</v>
          </cell>
          <cell r="J1102">
            <v>1</v>
          </cell>
          <cell r="K1102" t="str">
            <v>Sales Representative</v>
          </cell>
          <cell r="L1102">
            <v>3</v>
          </cell>
          <cell r="M1102" t="str">
            <v>Married</v>
          </cell>
          <cell r="N1102">
            <v>2430</v>
          </cell>
          <cell r="O1102">
            <v>0</v>
          </cell>
          <cell r="P1102" t="str">
            <v>No</v>
          </cell>
          <cell r="Q1102">
            <v>1</v>
          </cell>
          <cell r="R1102">
            <v>6</v>
          </cell>
          <cell r="S1102">
            <v>3</v>
          </cell>
          <cell r="T1102">
            <v>5</v>
          </cell>
          <cell r="U1102">
            <v>3</v>
          </cell>
          <cell r="V1102">
            <v>4</v>
          </cell>
          <cell r="W1102">
            <v>2</v>
          </cell>
          <cell r="X1102">
            <v>23</v>
          </cell>
          <cell r="Y1102">
            <v>0</v>
          </cell>
          <cell r="Z1102" t="str">
            <v>Mid</v>
          </cell>
          <cell r="AA1102" t="str">
            <v>Low</v>
          </cell>
          <cell r="AB1102" t="str">
            <v>Mid</v>
          </cell>
          <cell r="AC1102" t="str">
            <v>High</v>
          </cell>
          <cell r="AD1102">
            <v>1554</v>
          </cell>
        </row>
        <row r="1103">
          <cell r="A1103">
            <v>32</v>
          </cell>
          <cell r="B1103" t="str">
            <v>No</v>
          </cell>
          <cell r="C1103" t="str">
            <v>Research &amp; Development</v>
          </cell>
          <cell r="D1103">
            <v>5</v>
          </cell>
          <cell r="E1103">
            <v>2</v>
          </cell>
          <cell r="F1103" t="str">
            <v>Life Sciences</v>
          </cell>
          <cell r="G1103">
            <v>4</v>
          </cell>
          <cell r="H1103" t="str">
            <v>Female</v>
          </cell>
          <cell r="I1103">
            <v>2</v>
          </cell>
          <cell r="J1103">
            <v>2</v>
          </cell>
          <cell r="K1103" t="str">
            <v>Research Scientist</v>
          </cell>
          <cell r="L1103">
            <v>2</v>
          </cell>
          <cell r="M1103" t="str">
            <v>Married</v>
          </cell>
          <cell r="N1103">
            <v>5878</v>
          </cell>
          <cell r="O1103">
            <v>3</v>
          </cell>
          <cell r="P1103" t="str">
            <v>No</v>
          </cell>
          <cell r="Q1103">
            <v>1</v>
          </cell>
          <cell r="R1103">
            <v>12</v>
          </cell>
          <cell r="S1103">
            <v>3</v>
          </cell>
          <cell r="T1103">
            <v>7</v>
          </cell>
          <cell r="U1103">
            <v>1</v>
          </cell>
          <cell r="V1103">
            <v>2</v>
          </cell>
          <cell r="W1103">
            <v>5</v>
          </cell>
          <cell r="X1103">
            <v>12</v>
          </cell>
          <cell r="Y1103">
            <v>0</v>
          </cell>
          <cell r="Z1103" t="str">
            <v>Mid</v>
          </cell>
          <cell r="AA1103" t="str">
            <v>Medium</v>
          </cell>
          <cell r="AB1103" t="str">
            <v>Long</v>
          </cell>
          <cell r="AC1103" t="str">
            <v>Low</v>
          </cell>
          <cell r="AD1103">
            <v>1555</v>
          </cell>
        </row>
        <row r="1104">
          <cell r="A1104">
            <v>36</v>
          </cell>
          <cell r="B1104" t="str">
            <v>No</v>
          </cell>
          <cell r="C1104" t="str">
            <v>Sales</v>
          </cell>
          <cell r="D1104">
            <v>2</v>
          </cell>
          <cell r="E1104">
            <v>4</v>
          </cell>
          <cell r="F1104" t="str">
            <v>Life Sciences</v>
          </cell>
          <cell r="G1104">
            <v>3</v>
          </cell>
          <cell r="H1104" t="str">
            <v>Male</v>
          </cell>
          <cell r="I1104">
            <v>3</v>
          </cell>
          <cell r="J1104">
            <v>1</v>
          </cell>
          <cell r="K1104" t="str">
            <v>Sales Representative</v>
          </cell>
          <cell r="L1104">
            <v>4</v>
          </cell>
          <cell r="M1104" t="str">
            <v>Single</v>
          </cell>
          <cell r="N1104">
            <v>2644</v>
          </cell>
          <cell r="O1104">
            <v>3</v>
          </cell>
          <cell r="P1104" t="str">
            <v>Yes</v>
          </cell>
          <cell r="Q1104">
            <v>4</v>
          </cell>
          <cell r="R1104">
            <v>7</v>
          </cell>
          <cell r="S1104">
            <v>2</v>
          </cell>
          <cell r="T1104">
            <v>3</v>
          </cell>
          <cell r="U1104">
            <v>2</v>
          </cell>
          <cell r="V1104">
            <v>1</v>
          </cell>
          <cell r="W1104">
            <v>2</v>
          </cell>
          <cell r="X1104">
            <v>21</v>
          </cell>
          <cell r="Y1104">
            <v>0</v>
          </cell>
          <cell r="Z1104" t="str">
            <v>Mid</v>
          </cell>
          <cell r="AA1104" t="str">
            <v>Low</v>
          </cell>
          <cell r="AB1104" t="str">
            <v>Mid</v>
          </cell>
          <cell r="AC1104" t="str">
            <v>High</v>
          </cell>
          <cell r="AD1104">
            <v>1556</v>
          </cell>
        </row>
        <row r="1105">
          <cell r="A1105">
            <v>48</v>
          </cell>
          <cell r="B1105" t="str">
            <v>No</v>
          </cell>
          <cell r="C1105" t="str">
            <v>Sales</v>
          </cell>
          <cell r="D1105">
            <v>16</v>
          </cell>
          <cell r="E1105">
            <v>4</v>
          </cell>
          <cell r="F1105" t="str">
            <v>Life Sciences</v>
          </cell>
          <cell r="G1105">
            <v>3</v>
          </cell>
          <cell r="H1105" t="str">
            <v>Female</v>
          </cell>
          <cell r="I1105">
            <v>3</v>
          </cell>
          <cell r="J1105">
            <v>2</v>
          </cell>
          <cell r="K1105" t="str">
            <v>Sales Executive</v>
          </cell>
          <cell r="L1105">
            <v>3</v>
          </cell>
          <cell r="M1105" t="str">
            <v>Divorced</v>
          </cell>
          <cell r="N1105">
            <v>6439</v>
          </cell>
          <cell r="O1105">
            <v>8</v>
          </cell>
          <cell r="P1105" t="str">
            <v>No</v>
          </cell>
          <cell r="Q1105">
            <v>3</v>
          </cell>
          <cell r="R1105">
            <v>18</v>
          </cell>
          <cell r="S1105">
            <v>3</v>
          </cell>
          <cell r="T1105">
            <v>8</v>
          </cell>
          <cell r="U1105">
            <v>7</v>
          </cell>
          <cell r="V1105">
            <v>7</v>
          </cell>
          <cell r="W1105">
            <v>7</v>
          </cell>
          <cell r="X1105">
            <v>14</v>
          </cell>
          <cell r="Y1105">
            <v>0</v>
          </cell>
          <cell r="Z1105" t="str">
            <v>Senior</v>
          </cell>
          <cell r="AA1105" t="str">
            <v>Medium</v>
          </cell>
          <cell r="AB1105" t="str">
            <v>Long</v>
          </cell>
          <cell r="AC1105" t="str">
            <v>Medium</v>
          </cell>
          <cell r="AD1105">
            <v>1557</v>
          </cell>
        </row>
        <row r="1106">
          <cell r="A1106">
            <v>29</v>
          </cell>
          <cell r="B1106" t="str">
            <v>No</v>
          </cell>
          <cell r="C1106" t="str">
            <v>Research &amp; Development</v>
          </cell>
          <cell r="D1106">
            <v>9</v>
          </cell>
          <cell r="E1106">
            <v>3</v>
          </cell>
          <cell r="F1106" t="str">
            <v>Life Sciences</v>
          </cell>
          <cell r="G1106">
            <v>3</v>
          </cell>
          <cell r="H1106" t="str">
            <v>Male</v>
          </cell>
          <cell r="I1106">
            <v>4</v>
          </cell>
          <cell r="J1106">
            <v>1</v>
          </cell>
          <cell r="K1106" t="str">
            <v>Research Scientist</v>
          </cell>
          <cell r="L1106">
            <v>3</v>
          </cell>
          <cell r="M1106" t="str">
            <v>Married</v>
          </cell>
          <cell r="N1106">
            <v>2451</v>
          </cell>
          <cell r="O1106">
            <v>6</v>
          </cell>
          <cell r="P1106" t="str">
            <v>No</v>
          </cell>
          <cell r="Q1106">
            <v>1</v>
          </cell>
          <cell r="R1106">
            <v>5</v>
          </cell>
          <cell r="S1106">
            <v>2</v>
          </cell>
          <cell r="T1106">
            <v>1</v>
          </cell>
          <cell r="U1106">
            <v>0</v>
          </cell>
          <cell r="V1106">
            <v>0</v>
          </cell>
          <cell r="W1106">
            <v>0</v>
          </cell>
          <cell r="X1106">
            <v>18</v>
          </cell>
          <cell r="Y1106">
            <v>0</v>
          </cell>
          <cell r="Z1106" t="str">
            <v>Young</v>
          </cell>
          <cell r="AA1106" t="str">
            <v>Low</v>
          </cell>
          <cell r="AB1106" t="str">
            <v>Early</v>
          </cell>
          <cell r="AC1106" t="str">
            <v>High</v>
          </cell>
          <cell r="AD1106">
            <v>1558</v>
          </cell>
        </row>
        <row r="1107">
          <cell r="A1107">
            <v>33</v>
          </cell>
          <cell r="B1107" t="str">
            <v>No</v>
          </cell>
          <cell r="C1107" t="str">
            <v>Sales</v>
          </cell>
          <cell r="D1107">
            <v>8</v>
          </cell>
          <cell r="E1107">
            <v>4</v>
          </cell>
          <cell r="F1107" t="str">
            <v>Life Sciences</v>
          </cell>
          <cell r="G1107">
            <v>1</v>
          </cell>
          <cell r="H1107" t="str">
            <v>Male</v>
          </cell>
          <cell r="I1107">
            <v>3</v>
          </cell>
          <cell r="J1107">
            <v>2</v>
          </cell>
          <cell r="K1107" t="str">
            <v>Sales Executive</v>
          </cell>
          <cell r="L1107">
            <v>1</v>
          </cell>
          <cell r="M1107" t="str">
            <v>Married</v>
          </cell>
          <cell r="N1107">
            <v>6392</v>
          </cell>
          <cell r="O1107">
            <v>2</v>
          </cell>
          <cell r="P1107" t="str">
            <v>No</v>
          </cell>
          <cell r="Q1107">
            <v>4</v>
          </cell>
          <cell r="R1107">
            <v>8</v>
          </cell>
          <cell r="S1107">
            <v>1</v>
          </cell>
          <cell r="T1107">
            <v>2</v>
          </cell>
          <cell r="U1107">
            <v>2</v>
          </cell>
          <cell r="V1107">
            <v>2</v>
          </cell>
          <cell r="W1107">
            <v>2</v>
          </cell>
          <cell r="X1107">
            <v>13</v>
          </cell>
          <cell r="Y1107">
            <v>0</v>
          </cell>
          <cell r="Z1107" t="str">
            <v>Mid</v>
          </cell>
          <cell r="AA1107" t="str">
            <v>Medium</v>
          </cell>
          <cell r="AB1107" t="str">
            <v>Early</v>
          </cell>
          <cell r="AC1107" t="str">
            <v>Medium</v>
          </cell>
          <cell r="AD1107">
            <v>1560</v>
          </cell>
        </row>
        <row r="1108">
          <cell r="A1108">
            <v>30</v>
          </cell>
          <cell r="B1108" t="str">
            <v>Yes</v>
          </cell>
          <cell r="C1108" t="str">
            <v>Sales</v>
          </cell>
          <cell r="D1108">
            <v>1</v>
          </cell>
          <cell r="E1108">
            <v>3</v>
          </cell>
          <cell r="F1108" t="str">
            <v>Life Sciences</v>
          </cell>
          <cell r="G1108">
            <v>2</v>
          </cell>
          <cell r="H1108" t="str">
            <v>Male</v>
          </cell>
          <cell r="I1108">
            <v>2</v>
          </cell>
          <cell r="J1108">
            <v>2</v>
          </cell>
          <cell r="K1108" t="str">
            <v>Sales Executive</v>
          </cell>
          <cell r="L1108">
            <v>1</v>
          </cell>
          <cell r="M1108" t="str">
            <v>Married</v>
          </cell>
          <cell r="N1108">
            <v>9714</v>
          </cell>
          <cell r="O1108">
            <v>1</v>
          </cell>
          <cell r="P1108" t="str">
            <v>No</v>
          </cell>
          <cell r="Q1108">
            <v>4</v>
          </cell>
          <cell r="R1108">
            <v>10</v>
          </cell>
          <cell r="S1108">
            <v>3</v>
          </cell>
          <cell r="T1108">
            <v>10</v>
          </cell>
          <cell r="U1108">
            <v>8</v>
          </cell>
          <cell r="V1108">
            <v>6</v>
          </cell>
          <cell r="W1108">
            <v>7</v>
          </cell>
          <cell r="X1108">
            <v>11</v>
          </cell>
          <cell r="Y1108">
            <v>1</v>
          </cell>
          <cell r="Z1108" t="str">
            <v>Mid</v>
          </cell>
          <cell r="AA1108" t="str">
            <v>Medium</v>
          </cell>
          <cell r="AB1108" t="str">
            <v>Long</v>
          </cell>
          <cell r="AC1108" t="str">
            <v>Low</v>
          </cell>
          <cell r="AD1108">
            <v>1562</v>
          </cell>
        </row>
        <row r="1109">
          <cell r="A1109">
            <v>38</v>
          </cell>
          <cell r="B1109" t="str">
            <v>No</v>
          </cell>
          <cell r="C1109" t="str">
            <v>Human Resources</v>
          </cell>
          <cell r="D1109">
            <v>10</v>
          </cell>
          <cell r="E1109">
            <v>4</v>
          </cell>
          <cell r="F1109" t="str">
            <v>Human Resources</v>
          </cell>
          <cell r="G1109">
            <v>3</v>
          </cell>
          <cell r="H1109" t="str">
            <v>Male</v>
          </cell>
          <cell r="I1109">
            <v>3</v>
          </cell>
          <cell r="J1109">
            <v>2</v>
          </cell>
          <cell r="K1109" t="str">
            <v>Human Resources</v>
          </cell>
          <cell r="L1109">
            <v>3</v>
          </cell>
          <cell r="M1109" t="str">
            <v>Married</v>
          </cell>
          <cell r="N1109">
            <v>6077</v>
          </cell>
          <cell r="O1109">
            <v>3</v>
          </cell>
          <cell r="P1109" t="str">
            <v>No</v>
          </cell>
          <cell r="Q1109">
            <v>3</v>
          </cell>
          <cell r="R1109">
            <v>10</v>
          </cell>
          <cell r="S1109">
            <v>3</v>
          </cell>
          <cell r="T1109">
            <v>6</v>
          </cell>
          <cell r="U1109">
            <v>3</v>
          </cell>
          <cell r="V1109">
            <v>1</v>
          </cell>
          <cell r="W1109">
            <v>2</v>
          </cell>
          <cell r="X1109">
            <v>11</v>
          </cell>
          <cell r="Y1109">
            <v>0</v>
          </cell>
          <cell r="Z1109" t="str">
            <v>Mid</v>
          </cell>
          <cell r="AA1109" t="str">
            <v>Medium</v>
          </cell>
          <cell r="AB1109" t="str">
            <v>Mid</v>
          </cell>
          <cell r="AC1109" t="str">
            <v>Low</v>
          </cell>
          <cell r="AD1109">
            <v>1563</v>
          </cell>
        </row>
        <row r="1110">
          <cell r="A1110">
            <v>35</v>
          </cell>
          <cell r="B1110" t="str">
            <v>No</v>
          </cell>
          <cell r="C1110" t="str">
            <v>Research &amp; Development</v>
          </cell>
          <cell r="D1110">
            <v>1</v>
          </cell>
          <cell r="E1110">
            <v>3</v>
          </cell>
          <cell r="F1110" t="str">
            <v>Medical</v>
          </cell>
          <cell r="G1110">
            <v>4</v>
          </cell>
          <cell r="H1110" t="str">
            <v>Male</v>
          </cell>
          <cell r="I1110">
            <v>2</v>
          </cell>
          <cell r="J1110">
            <v>1</v>
          </cell>
          <cell r="K1110" t="str">
            <v>Laboratory Technician</v>
          </cell>
          <cell r="L1110">
            <v>1</v>
          </cell>
          <cell r="M1110" t="str">
            <v>Single</v>
          </cell>
          <cell r="N1110">
            <v>2450</v>
          </cell>
          <cell r="O1110">
            <v>1</v>
          </cell>
          <cell r="P1110" t="str">
            <v>No</v>
          </cell>
          <cell r="Q1110">
            <v>2</v>
          </cell>
          <cell r="R1110">
            <v>3</v>
          </cell>
          <cell r="S1110">
            <v>3</v>
          </cell>
          <cell r="T1110">
            <v>3</v>
          </cell>
          <cell r="U1110">
            <v>0</v>
          </cell>
          <cell r="V1110">
            <v>1</v>
          </cell>
          <cell r="W1110">
            <v>2</v>
          </cell>
          <cell r="X1110">
            <v>19</v>
          </cell>
          <cell r="Y1110">
            <v>0</v>
          </cell>
          <cell r="Z1110" t="str">
            <v>Mid</v>
          </cell>
          <cell r="AA1110" t="str">
            <v>Low</v>
          </cell>
          <cell r="AB1110" t="str">
            <v>Mid</v>
          </cell>
          <cell r="AC1110" t="str">
            <v>High</v>
          </cell>
          <cell r="AD1110">
            <v>1564</v>
          </cell>
        </row>
        <row r="1111">
          <cell r="A1111">
            <v>30</v>
          </cell>
          <cell r="B1111" t="str">
            <v>No</v>
          </cell>
          <cell r="C1111" t="str">
            <v>Sales</v>
          </cell>
          <cell r="D1111">
            <v>29</v>
          </cell>
          <cell r="E1111">
            <v>4</v>
          </cell>
          <cell r="F1111" t="str">
            <v>Technical Degree</v>
          </cell>
          <cell r="G1111">
            <v>3</v>
          </cell>
          <cell r="H1111" t="str">
            <v>Male</v>
          </cell>
          <cell r="I1111">
            <v>3</v>
          </cell>
          <cell r="J1111">
            <v>3</v>
          </cell>
          <cell r="K1111" t="str">
            <v>Sales Executive</v>
          </cell>
          <cell r="L1111">
            <v>2</v>
          </cell>
          <cell r="M1111" t="str">
            <v>Married</v>
          </cell>
          <cell r="N1111">
            <v>9250</v>
          </cell>
          <cell r="O1111">
            <v>3</v>
          </cell>
          <cell r="P1111" t="str">
            <v>No</v>
          </cell>
          <cell r="Q1111">
            <v>2</v>
          </cell>
          <cell r="R1111">
            <v>9</v>
          </cell>
          <cell r="S1111">
            <v>3</v>
          </cell>
          <cell r="T1111">
            <v>4</v>
          </cell>
          <cell r="U1111">
            <v>2</v>
          </cell>
          <cell r="V1111">
            <v>1</v>
          </cell>
          <cell r="W1111">
            <v>3</v>
          </cell>
          <cell r="X1111">
            <v>12</v>
          </cell>
          <cell r="Y1111">
            <v>0</v>
          </cell>
          <cell r="Z1111" t="str">
            <v>Mid</v>
          </cell>
          <cell r="AA1111" t="str">
            <v>Medium</v>
          </cell>
          <cell r="AB1111" t="str">
            <v>Mid</v>
          </cell>
          <cell r="AC1111" t="str">
            <v>Low</v>
          </cell>
          <cell r="AD1111">
            <v>1568</v>
          </cell>
        </row>
        <row r="1112">
          <cell r="A1112">
            <v>35</v>
          </cell>
          <cell r="B1112" t="str">
            <v>Yes</v>
          </cell>
          <cell r="C1112" t="str">
            <v>Research &amp; Development</v>
          </cell>
          <cell r="D1112">
            <v>2</v>
          </cell>
          <cell r="E1112">
            <v>3</v>
          </cell>
          <cell r="F1112" t="str">
            <v>Life Sciences</v>
          </cell>
          <cell r="G1112">
            <v>1</v>
          </cell>
          <cell r="H1112" t="str">
            <v>Female</v>
          </cell>
          <cell r="I1112">
            <v>3</v>
          </cell>
          <cell r="J1112">
            <v>1</v>
          </cell>
          <cell r="K1112" t="str">
            <v>Laboratory Technician</v>
          </cell>
          <cell r="L1112">
            <v>1</v>
          </cell>
          <cell r="M1112" t="str">
            <v>Divorced</v>
          </cell>
          <cell r="N1112">
            <v>2074</v>
          </cell>
          <cell r="O1112">
            <v>1</v>
          </cell>
          <cell r="P1112" t="str">
            <v>Yes</v>
          </cell>
          <cell r="Q1112">
            <v>4</v>
          </cell>
          <cell r="R1112">
            <v>1</v>
          </cell>
          <cell r="S1112">
            <v>3</v>
          </cell>
          <cell r="T1112">
            <v>1</v>
          </cell>
          <cell r="U1112">
            <v>0</v>
          </cell>
          <cell r="V1112">
            <v>0</v>
          </cell>
          <cell r="W1112">
            <v>0</v>
          </cell>
          <cell r="X1112">
            <v>12</v>
          </cell>
          <cell r="Y1112">
            <v>1</v>
          </cell>
          <cell r="Z1112" t="str">
            <v>Mid</v>
          </cell>
          <cell r="AA1112" t="str">
            <v>Low</v>
          </cell>
          <cell r="AB1112" t="str">
            <v>Early</v>
          </cell>
          <cell r="AC1112" t="str">
            <v>Low</v>
          </cell>
          <cell r="AD1112">
            <v>1569</v>
          </cell>
        </row>
        <row r="1113">
          <cell r="A1113">
            <v>53</v>
          </cell>
          <cell r="B1113" t="str">
            <v>Yes</v>
          </cell>
          <cell r="C1113" t="str">
            <v>Research &amp; Development</v>
          </cell>
          <cell r="D1113">
            <v>2</v>
          </cell>
          <cell r="E1113">
            <v>5</v>
          </cell>
          <cell r="F1113" t="str">
            <v>Technical Degree</v>
          </cell>
          <cell r="G1113">
            <v>3</v>
          </cell>
          <cell r="H1113" t="str">
            <v>Female</v>
          </cell>
          <cell r="I1113">
            <v>2</v>
          </cell>
          <cell r="J1113">
            <v>3</v>
          </cell>
          <cell r="K1113" t="str">
            <v>Manufacturing Director</v>
          </cell>
          <cell r="L1113">
            <v>4</v>
          </cell>
          <cell r="M1113" t="str">
            <v>Married</v>
          </cell>
          <cell r="N1113">
            <v>10169</v>
          </cell>
          <cell r="O1113">
            <v>0</v>
          </cell>
          <cell r="P1113" t="str">
            <v>No</v>
          </cell>
          <cell r="Q1113">
            <v>2</v>
          </cell>
          <cell r="R1113">
            <v>34</v>
          </cell>
          <cell r="S1113">
            <v>3</v>
          </cell>
          <cell r="T1113">
            <v>33</v>
          </cell>
          <cell r="U1113">
            <v>7</v>
          </cell>
          <cell r="V1113">
            <v>1</v>
          </cell>
          <cell r="W1113">
            <v>9</v>
          </cell>
          <cell r="X1113">
            <v>16</v>
          </cell>
          <cell r="Y1113">
            <v>1</v>
          </cell>
          <cell r="Z1113" t="str">
            <v>Senior</v>
          </cell>
          <cell r="AA1113" t="str">
            <v>High</v>
          </cell>
          <cell r="AB1113" t="str">
            <v>Long</v>
          </cell>
          <cell r="AC1113" t="str">
            <v>Medium</v>
          </cell>
          <cell r="AD1113">
            <v>1572</v>
          </cell>
        </row>
        <row r="1114">
          <cell r="A1114">
            <v>38</v>
          </cell>
          <cell r="B1114" t="str">
            <v>Yes</v>
          </cell>
          <cell r="C1114" t="str">
            <v>Research &amp; Development</v>
          </cell>
          <cell r="D1114">
            <v>2</v>
          </cell>
          <cell r="E1114">
            <v>3</v>
          </cell>
          <cell r="F1114" t="str">
            <v>Medical</v>
          </cell>
          <cell r="G1114">
            <v>3</v>
          </cell>
          <cell r="H1114" t="str">
            <v>Male</v>
          </cell>
          <cell r="I1114">
            <v>3</v>
          </cell>
          <cell r="J1114">
            <v>2</v>
          </cell>
          <cell r="K1114" t="str">
            <v>Manufacturing Director</v>
          </cell>
          <cell r="L1114">
            <v>2</v>
          </cell>
          <cell r="M1114" t="str">
            <v>Married</v>
          </cell>
          <cell r="N1114">
            <v>4855</v>
          </cell>
          <cell r="O1114">
            <v>4</v>
          </cell>
          <cell r="P1114" t="str">
            <v>No</v>
          </cell>
          <cell r="Q1114">
            <v>1</v>
          </cell>
          <cell r="R1114">
            <v>7</v>
          </cell>
          <cell r="S1114">
            <v>3</v>
          </cell>
          <cell r="T1114">
            <v>5</v>
          </cell>
          <cell r="U1114">
            <v>2</v>
          </cell>
          <cell r="V1114">
            <v>1</v>
          </cell>
          <cell r="W1114">
            <v>4</v>
          </cell>
          <cell r="X1114">
            <v>11</v>
          </cell>
          <cell r="Y1114">
            <v>1</v>
          </cell>
          <cell r="Z1114" t="str">
            <v>Mid</v>
          </cell>
          <cell r="AA1114" t="str">
            <v>Low</v>
          </cell>
          <cell r="AB1114" t="str">
            <v>Mid</v>
          </cell>
          <cell r="AC1114" t="str">
            <v>Low</v>
          </cell>
          <cell r="AD1114">
            <v>1573</v>
          </cell>
        </row>
        <row r="1115">
          <cell r="A1115">
            <v>32</v>
          </cell>
          <cell r="B1115" t="str">
            <v>No</v>
          </cell>
          <cell r="C1115" t="str">
            <v>Research &amp; Development</v>
          </cell>
          <cell r="D1115">
            <v>1</v>
          </cell>
          <cell r="E1115">
            <v>4</v>
          </cell>
          <cell r="F1115" t="str">
            <v>Technical Degree</v>
          </cell>
          <cell r="G1115">
            <v>4</v>
          </cell>
          <cell r="H1115" t="str">
            <v>Male</v>
          </cell>
          <cell r="I1115">
            <v>3</v>
          </cell>
          <cell r="J1115">
            <v>2</v>
          </cell>
          <cell r="K1115" t="str">
            <v>Research Scientist</v>
          </cell>
          <cell r="L1115">
            <v>1</v>
          </cell>
          <cell r="M1115" t="str">
            <v>Married</v>
          </cell>
          <cell r="N1115">
            <v>4087</v>
          </cell>
          <cell r="O1115">
            <v>4</v>
          </cell>
          <cell r="P1115" t="str">
            <v>No</v>
          </cell>
          <cell r="Q1115">
            <v>2</v>
          </cell>
          <cell r="R1115">
            <v>9</v>
          </cell>
          <cell r="S1115">
            <v>2</v>
          </cell>
          <cell r="T1115">
            <v>6</v>
          </cell>
          <cell r="U1115">
            <v>5</v>
          </cell>
          <cell r="V1115">
            <v>1</v>
          </cell>
          <cell r="W1115">
            <v>2</v>
          </cell>
          <cell r="X1115">
            <v>14</v>
          </cell>
          <cell r="Y1115">
            <v>0</v>
          </cell>
          <cell r="Z1115" t="str">
            <v>Mid</v>
          </cell>
          <cell r="AA1115" t="str">
            <v>Low</v>
          </cell>
          <cell r="AB1115" t="str">
            <v>Mid</v>
          </cell>
          <cell r="AC1115" t="str">
            <v>Medium</v>
          </cell>
          <cell r="AD1115">
            <v>1574</v>
          </cell>
        </row>
        <row r="1116">
          <cell r="A1116">
            <v>48</v>
          </cell>
          <cell r="B1116" t="str">
            <v>No</v>
          </cell>
          <cell r="C1116" t="str">
            <v>Research &amp; Development</v>
          </cell>
          <cell r="D1116">
            <v>15</v>
          </cell>
          <cell r="E1116">
            <v>4</v>
          </cell>
          <cell r="F1116" t="str">
            <v>Other</v>
          </cell>
          <cell r="G1116">
            <v>3</v>
          </cell>
          <cell r="H1116" t="str">
            <v>Female</v>
          </cell>
          <cell r="I1116">
            <v>3</v>
          </cell>
          <cell r="J1116">
            <v>1</v>
          </cell>
          <cell r="K1116" t="str">
            <v>Research Scientist</v>
          </cell>
          <cell r="L1116">
            <v>1</v>
          </cell>
          <cell r="M1116" t="str">
            <v>Married</v>
          </cell>
          <cell r="N1116">
            <v>2367</v>
          </cell>
          <cell r="O1116">
            <v>8</v>
          </cell>
          <cell r="P1116" t="str">
            <v>No</v>
          </cell>
          <cell r="Q1116">
            <v>4</v>
          </cell>
          <cell r="R1116">
            <v>10</v>
          </cell>
          <cell r="S1116">
            <v>2</v>
          </cell>
          <cell r="T1116">
            <v>8</v>
          </cell>
          <cell r="U1116">
            <v>2</v>
          </cell>
          <cell r="V1116">
            <v>7</v>
          </cell>
          <cell r="W1116">
            <v>6</v>
          </cell>
          <cell r="X1116">
            <v>12</v>
          </cell>
          <cell r="Y1116">
            <v>0</v>
          </cell>
          <cell r="Z1116" t="str">
            <v>Senior</v>
          </cell>
          <cell r="AA1116" t="str">
            <v>Low</v>
          </cell>
          <cell r="AB1116" t="str">
            <v>Long</v>
          </cell>
          <cell r="AC1116" t="str">
            <v>Low</v>
          </cell>
          <cell r="AD1116">
            <v>1576</v>
          </cell>
        </row>
        <row r="1117">
          <cell r="A1117">
            <v>34</v>
          </cell>
          <cell r="B1117" t="str">
            <v>No</v>
          </cell>
          <cell r="C1117" t="str">
            <v>Research &amp; Development</v>
          </cell>
          <cell r="D1117">
            <v>7</v>
          </cell>
          <cell r="E1117">
            <v>4</v>
          </cell>
          <cell r="F1117" t="str">
            <v>Medical</v>
          </cell>
          <cell r="G1117">
            <v>1</v>
          </cell>
          <cell r="H1117" t="str">
            <v>Male</v>
          </cell>
          <cell r="I1117">
            <v>3</v>
          </cell>
          <cell r="J1117">
            <v>1</v>
          </cell>
          <cell r="K1117" t="str">
            <v>Research Scientist</v>
          </cell>
          <cell r="L1117">
            <v>4</v>
          </cell>
          <cell r="M1117" t="str">
            <v>Single</v>
          </cell>
          <cell r="N1117">
            <v>2972</v>
          </cell>
          <cell r="O1117">
            <v>1</v>
          </cell>
          <cell r="P1117" t="str">
            <v>No</v>
          </cell>
          <cell r="Q1117">
            <v>3</v>
          </cell>
          <cell r="R1117">
            <v>1</v>
          </cell>
          <cell r="S1117">
            <v>1</v>
          </cell>
          <cell r="T1117">
            <v>1</v>
          </cell>
          <cell r="U1117">
            <v>0</v>
          </cell>
          <cell r="V1117">
            <v>0</v>
          </cell>
          <cell r="W1117">
            <v>0</v>
          </cell>
          <cell r="X1117">
            <v>13</v>
          </cell>
          <cell r="Y1117">
            <v>0</v>
          </cell>
          <cell r="Z1117" t="str">
            <v>Mid</v>
          </cell>
          <cell r="AA1117" t="str">
            <v>Low</v>
          </cell>
          <cell r="AB1117" t="str">
            <v>Early</v>
          </cell>
          <cell r="AC1117" t="str">
            <v>Medium</v>
          </cell>
          <cell r="AD1117">
            <v>1577</v>
          </cell>
        </row>
        <row r="1118">
          <cell r="A1118">
            <v>55</v>
          </cell>
          <cell r="B1118" t="str">
            <v>No</v>
          </cell>
          <cell r="C1118" t="str">
            <v>Sales</v>
          </cell>
          <cell r="D1118">
            <v>26</v>
          </cell>
          <cell r="E1118">
            <v>5</v>
          </cell>
          <cell r="F1118" t="str">
            <v>Marketing</v>
          </cell>
          <cell r="G1118">
            <v>3</v>
          </cell>
          <cell r="H1118" t="str">
            <v>Male</v>
          </cell>
          <cell r="I1118">
            <v>2</v>
          </cell>
          <cell r="J1118">
            <v>5</v>
          </cell>
          <cell r="K1118" t="str">
            <v>Manager</v>
          </cell>
          <cell r="L1118">
            <v>4</v>
          </cell>
          <cell r="M1118" t="str">
            <v>Married</v>
          </cell>
          <cell r="N1118">
            <v>19586</v>
          </cell>
          <cell r="O1118">
            <v>1</v>
          </cell>
          <cell r="P1118" t="str">
            <v>No</v>
          </cell>
          <cell r="Q1118">
            <v>3</v>
          </cell>
          <cell r="R1118">
            <v>36</v>
          </cell>
          <cell r="S1118">
            <v>3</v>
          </cell>
          <cell r="T1118">
            <v>36</v>
          </cell>
          <cell r="U1118">
            <v>6</v>
          </cell>
          <cell r="V1118">
            <v>2</v>
          </cell>
          <cell r="W1118">
            <v>13</v>
          </cell>
          <cell r="X1118">
            <v>21</v>
          </cell>
          <cell r="Y1118">
            <v>0</v>
          </cell>
          <cell r="Z1118" t="str">
            <v>Senior</v>
          </cell>
          <cell r="AA1118" t="str">
            <v>High</v>
          </cell>
          <cell r="AB1118" t="str">
            <v>Long</v>
          </cell>
          <cell r="AC1118" t="str">
            <v>High</v>
          </cell>
          <cell r="AD1118">
            <v>1578</v>
          </cell>
        </row>
        <row r="1119">
          <cell r="A1119">
            <v>34</v>
          </cell>
          <cell r="B1119" t="str">
            <v>No</v>
          </cell>
          <cell r="C1119" t="str">
            <v>Research &amp; Development</v>
          </cell>
          <cell r="D1119">
            <v>1</v>
          </cell>
          <cell r="E1119">
            <v>4</v>
          </cell>
          <cell r="F1119" t="str">
            <v>Life Sciences</v>
          </cell>
          <cell r="G1119">
            <v>2</v>
          </cell>
          <cell r="H1119" t="str">
            <v>Male</v>
          </cell>
          <cell r="I1119">
            <v>3</v>
          </cell>
          <cell r="J1119">
            <v>2</v>
          </cell>
          <cell r="K1119" t="str">
            <v>Research Scientist</v>
          </cell>
          <cell r="L1119">
            <v>4</v>
          </cell>
          <cell r="M1119" t="str">
            <v>Married</v>
          </cell>
          <cell r="N1119">
            <v>5484</v>
          </cell>
          <cell r="O1119">
            <v>9</v>
          </cell>
          <cell r="P1119" t="str">
            <v>No</v>
          </cell>
          <cell r="Q1119">
            <v>2</v>
          </cell>
          <cell r="R1119">
            <v>9</v>
          </cell>
          <cell r="S1119">
            <v>2</v>
          </cell>
          <cell r="T1119">
            <v>2</v>
          </cell>
          <cell r="U1119">
            <v>2</v>
          </cell>
          <cell r="V1119">
            <v>2</v>
          </cell>
          <cell r="W1119">
            <v>1</v>
          </cell>
          <cell r="X1119">
            <v>17</v>
          </cell>
          <cell r="Y1119">
            <v>0</v>
          </cell>
          <cell r="Z1119" t="str">
            <v>Mid</v>
          </cell>
          <cell r="AA1119" t="str">
            <v>Medium</v>
          </cell>
          <cell r="AB1119" t="str">
            <v>Early</v>
          </cell>
          <cell r="AC1119" t="str">
            <v>Medium</v>
          </cell>
          <cell r="AD1119">
            <v>1580</v>
          </cell>
        </row>
        <row r="1120">
          <cell r="A1120">
            <v>26</v>
          </cell>
          <cell r="B1120" t="str">
            <v>No</v>
          </cell>
          <cell r="C1120" t="str">
            <v>Research &amp; Development</v>
          </cell>
          <cell r="D1120">
            <v>3</v>
          </cell>
          <cell r="E1120">
            <v>3</v>
          </cell>
          <cell r="F1120" t="str">
            <v>Life Sciences</v>
          </cell>
          <cell r="G1120">
            <v>1</v>
          </cell>
          <cell r="H1120" t="str">
            <v>Female</v>
          </cell>
          <cell r="I1120">
            <v>3</v>
          </cell>
          <cell r="J1120">
            <v>1</v>
          </cell>
          <cell r="K1120" t="str">
            <v>Research Scientist</v>
          </cell>
          <cell r="L1120">
            <v>4</v>
          </cell>
          <cell r="M1120" t="str">
            <v>Married</v>
          </cell>
          <cell r="N1120">
            <v>2061</v>
          </cell>
          <cell r="O1120">
            <v>1</v>
          </cell>
          <cell r="P1120" t="str">
            <v>No</v>
          </cell>
          <cell r="Q1120">
            <v>1</v>
          </cell>
          <cell r="R1120">
            <v>1</v>
          </cell>
          <cell r="S1120">
            <v>3</v>
          </cell>
          <cell r="T1120">
            <v>1</v>
          </cell>
          <cell r="U1120">
            <v>0</v>
          </cell>
          <cell r="V1120">
            <v>0</v>
          </cell>
          <cell r="W1120">
            <v>0</v>
          </cell>
          <cell r="X1120">
            <v>21</v>
          </cell>
          <cell r="Y1120">
            <v>0</v>
          </cell>
          <cell r="Z1120" t="str">
            <v>Young</v>
          </cell>
          <cell r="AA1120" t="str">
            <v>Low</v>
          </cell>
          <cell r="AB1120" t="str">
            <v>Early</v>
          </cell>
          <cell r="AC1120" t="str">
            <v>High</v>
          </cell>
          <cell r="AD1120">
            <v>1581</v>
          </cell>
        </row>
        <row r="1121">
          <cell r="A1121">
            <v>38</v>
          </cell>
          <cell r="B1121" t="str">
            <v>No</v>
          </cell>
          <cell r="C1121" t="str">
            <v>Sales</v>
          </cell>
          <cell r="D1121">
            <v>14</v>
          </cell>
          <cell r="E1121">
            <v>3</v>
          </cell>
          <cell r="F1121" t="str">
            <v>Life Sciences</v>
          </cell>
          <cell r="G1121">
            <v>3</v>
          </cell>
          <cell r="H1121" t="str">
            <v>Male</v>
          </cell>
          <cell r="I1121">
            <v>3</v>
          </cell>
          <cell r="J1121">
            <v>2</v>
          </cell>
          <cell r="K1121" t="str">
            <v>Sales Executive</v>
          </cell>
          <cell r="L1121">
            <v>2</v>
          </cell>
          <cell r="M1121" t="str">
            <v>Married</v>
          </cell>
          <cell r="N1121">
            <v>9924</v>
          </cell>
          <cell r="O1121">
            <v>0</v>
          </cell>
          <cell r="P1121" t="str">
            <v>No</v>
          </cell>
          <cell r="Q1121">
            <v>4</v>
          </cell>
          <cell r="R1121">
            <v>10</v>
          </cell>
          <cell r="S1121">
            <v>3</v>
          </cell>
          <cell r="T1121">
            <v>9</v>
          </cell>
          <cell r="U1121">
            <v>8</v>
          </cell>
          <cell r="V1121">
            <v>7</v>
          </cell>
          <cell r="W1121">
            <v>7</v>
          </cell>
          <cell r="X1121">
            <v>11</v>
          </cell>
          <cell r="Y1121">
            <v>0</v>
          </cell>
          <cell r="Z1121" t="str">
            <v>Mid</v>
          </cell>
          <cell r="AA1121" t="str">
            <v>Medium</v>
          </cell>
          <cell r="AB1121" t="str">
            <v>Long</v>
          </cell>
          <cell r="AC1121" t="str">
            <v>Low</v>
          </cell>
          <cell r="AD1121">
            <v>1582</v>
          </cell>
        </row>
        <row r="1122">
          <cell r="A1122">
            <v>38</v>
          </cell>
          <cell r="B1122" t="str">
            <v>No</v>
          </cell>
          <cell r="C1122" t="str">
            <v>Sales</v>
          </cell>
          <cell r="D1122">
            <v>16</v>
          </cell>
          <cell r="E1122">
            <v>3</v>
          </cell>
          <cell r="F1122" t="str">
            <v>Life Sciences</v>
          </cell>
          <cell r="G1122">
            <v>2</v>
          </cell>
          <cell r="H1122" t="str">
            <v>Female</v>
          </cell>
          <cell r="I1122">
            <v>3</v>
          </cell>
          <cell r="J1122">
            <v>2</v>
          </cell>
          <cell r="K1122" t="str">
            <v>Sales Executive</v>
          </cell>
          <cell r="L1122">
            <v>2</v>
          </cell>
          <cell r="M1122" t="str">
            <v>Single</v>
          </cell>
          <cell r="N1122">
            <v>4198</v>
          </cell>
          <cell r="O1122">
            <v>2</v>
          </cell>
          <cell r="P1122" t="str">
            <v>No</v>
          </cell>
          <cell r="Q1122">
            <v>2</v>
          </cell>
          <cell r="R1122">
            <v>8</v>
          </cell>
          <cell r="S1122">
            <v>4</v>
          </cell>
          <cell r="T1122">
            <v>3</v>
          </cell>
          <cell r="U1122">
            <v>2</v>
          </cell>
          <cell r="V1122">
            <v>1</v>
          </cell>
          <cell r="W1122">
            <v>2</v>
          </cell>
          <cell r="X1122">
            <v>12</v>
          </cell>
          <cell r="Y1122">
            <v>0</v>
          </cell>
          <cell r="Z1122" t="str">
            <v>Mid</v>
          </cell>
          <cell r="AA1122" t="str">
            <v>Low</v>
          </cell>
          <cell r="AB1122" t="str">
            <v>Mid</v>
          </cell>
          <cell r="AC1122" t="str">
            <v>Low</v>
          </cell>
          <cell r="AD1122">
            <v>1583</v>
          </cell>
        </row>
        <row r="1123">
          <cell r="A1123">
            <v>36</v>
          </cell>
          <cell r="B1123" t="str">
            <v>No</v>
          </cell>
          <cell r="C1123" t="str">
            <v>Sales</v>
          </cell>
          <cell r="D1123">
            <v>1</v>
          </cell>
          <cell r="E1123">
            <v>4</v>
          </cell>
          <cell r="F1123" t="str">
            <v>Life Sciences</v>
          </cell>
          <cell r="G1123">
            <v>2</v>
          </cell>
          <cell r="H1123" t="str">
            <v>Female</v>
          </cell>
          <cell r="I1123">
            <v>3</v>
          </cell>
          <cell r="J1123">
            <v>2</v>
          </cell>
          <cell r="K1123" t="str">
            <v>Sales Executive</v>
          </cell>
          <cell r="L1123">
            <v>3</v>
          </cell>
          <cell r="M1123" t="str">
            <v>Single</v>
          </cell>
          <cell r="N1123">
            <v>6815</v>
          </cell>
          <cell r="O1123">
            <v>6</v>
          </cell>
          <cell r="P1123" t="str">
            <v>No</v>
          </cell>
          <cell r="Q1123">
            <v>1</v>
          </cell>
          <cell r="R1123">
            <v>15</v>
          </cell>
          <cell r="S1123">
            <v>3</v>
          </cell>
          <cell r="T1123">
            <v>1</v>
          </cell>
          <cell r="U1123">
            <v>0</v>
          </cell>
          <cell r="V1123">
            <v>0</v>
          </cell>
          <cell r="W1123">
            <v>0</v>
          </cell>
          <cell r="X1123">
            <v>13</v>
          </cell>
          <cell r="Y1123">
            <v>0</v>
          </cell>
          <cell r="Z1123" t="str">
            <v>Mid</v>
          </cell>
          <cell r="AA1123" t="str">
            <v>Medium</v>
          </cell>
          <cell r="AB1123" t="str">
            <v>Early</v>
          </cell>
          <cell r="AC1123" t="str">
            <v>Medium</v>
          </cell>
          <cell r="AD1123">
            <v>1585</v>
          </cell>
        </row>
        <row r="1124">
          <cell r="A1124">
            <v>29</v>
          </cell>
          <cell r="B1124" t="str">
            <v>No</v>
          </cell>
          <cell r="C1124" t="str">
            <v>Research &amp; Development</v>
          </cell>
          <cell r="D1124">
            <v>3</v>
          </cell>
          <cell r="E1124">
            <v>1</v>
          </cell>
          <cell r="F1124" t="str">
            <v>Medical</v>
          </cell>
          <cell r="G1124">
            <v>2</v>
          </cell>
          <cell r="H1124" t="str">
            <v>Male</v>
          </cell>
          <cell r="I1124">
            <v>3</v>
          </cell>
          <cell r="J1124">
            <v>1</v>
          </cell>
          <cell r="K1124" t="str">
            <v>Laboratory Technician</v>
          </cell>
          <cell r="L1124">
            <v>1</v>
          </cell>
          <cell r="M1124" t="str">
            <v>Single</v>
          </cell>
          <cell r="N1124">
            <v>4723</v>
          </cell>
          <cell r="O1124">
            <v>1</v>
          </cell>
          <cell r="P1124" t="str">
            <v>Yes</v>
          </cell>
          <cell r="Q1124">
            <v>4</v>
          </cell>
          <cell r="R1124">
            <v>10</v>
          </cell>
          <cell r="S1124">
            <v>3</v>
          </cell>
          <cell r="T1124">
            <v>10</v>
          </cell>
          <cell r="U1124">
            <v>9</v>
          </cell>
          <cell r="V1124">
            <v>1</v>
          </cell>
          <cell r="W1124">
            <v>5</v>
          </cell>
          <cell r="X1124">
            <v>18</v>
          </cell>
          <cell r="Y1124">
            <v>0</v>
          </cell>
          <cell r="Z1124" t="str">
            <v>Young</v>
          </cell>
          <cell r="AA1124" t="str">
            <v>Low</v>
          </cell>
          <cell r="AB1124" t="str">
            <v>Long</v>
          </cell>
          <cell r="AC1124" t="str">
            <v>High</v>
          </cell>
          <cell r="AD1124">
            <v>1586</v>
          </cell>
        </row>
        <row r="1125">
          <cell r="A1125">
            <v>35</v>
          </cell>
          <cell r="B1125" t="str">
            <v>No</v>
          </cell>
          <cell r="C1125" t="str">
            <v>Research &amp; Development</v>
          </cell>
          <cell r="D1125">
            <v>10</v>
          </cell>
          <cell r="E1125">
            <v>4</v>
          </cell>
          <cell r="F1125" t="str">
            <v>Medical</v>
          </cell>
          <cell r="G1125">
            <v>1</v>
          </cell>
          <cell r="H1125" t="str">
            <v>Female</v>
          </cell>
          <cell r="I1125">
            <v>3</v>
          </cell>
          <cell r="J1125">
            <v>2</v>
          </cell>
          <cell r="K1125" t="str">
            <v>Healthcare Representative</v>
          </cell>
          <cell r="L1125">
            <v>3</v>
          </cell>
          <cell r="M1125" t="str">
            <v>Single</v>
          </cell>
          <cell r="N1125">
            <v>6142</v>
          </cell>
          <cell r="O1125">
            <v>3</v>
          </cell>
          <cell r="P1125" t="str">
            <v>Yes</v>
          </cell>
          <cell r="Q1125">
            <v>3</v>
          </cell>
          <cell r="R1125">
            <v>10</v>
          </cell>
          <cell r="S1125">
            <v>3</v>
          </cell>
          <cell r="T1125">
            <v>5</v>
          </cell>
          <cell r="U1125">
            <v>2</v>
          </cell>
          <cell r="V1125">
            <v>0</v>
          </cell>
          <cell r="W1125">
            <v>4</v>
          </cell>
          <cell r="X1125">
            <v>16</v>
          </cell>
          <cell r="Y1125">
            <v>0</v>
          </cell>
          <cell r="Z1125" t="str">
            <v>Mid</v>
          </cell>
          <cell r="AA1125" t="str">
            <v>Medium</v>
          </cell>
          <cell r="AB1125" t="str">
            <v>Mid</v>
          </cell>
          <cell r="AC1125" t="str">
            <v>Medium</v>
          </cell>
          <cell r="AD1125">
            <v>1587</v>
          </cell>
        </row>
        <row r="1126">
          <cell r="A1126">
            <v>39</v>
          </cell>
          <cell r="B1126" t="str">
            <v>No</v>
          </cell>
          <cell r="C1126" t="str">
            <v>Sales</v>
          </cell>
          <cell r="D1126">
            <v>6</v>
          </cell>
          <cell r="E1126">
            <v>3</v>
          </cell>
          <cell r="F1126" t="str">
            <v>Medical</v>
          </cell>
          <cell r="G1126">
            <v>4</v>
          </cell>
          <cell r="H1126" t="str">
            <v>Male</v>
          </cell>
          <cell r="I1126">
            <v>4</v>
          </cell>
          <cell r="J1126">
            <v>3</v>
          </cell>
          <cell r="K1126" t="str">
            <v>Sales Executive</v>
          </cell>
          <cell r="L1126">
            <v>3</v>
          </cell>
          <cell r="M1126" t="str">
            <v>Married</v>
          </cell>
          <cell r="N1126">
            <v>8237</v>
          </cell>
          <cell r="O1126">
            <v>2</v>
          </cell>
          <cell r="P1126" t="str">
            <v>No</v>
          </cell>
          <cell r="Q1126">
            <v>1</v>
          </cell>
          <cell r="R1126">
            <v>11</v>
          </cell>
          <cell r="S1126">
            <v>3</v>
          </cell>
          <cell r="T1126">
            <v>7</v>
          </cell>
          <cell r="U1126">
            <v>6</v>
          </cell>
          <cell r="V1126">
            <v>7</v>
          </cell>
          <cell r="W1126">
            <v>6</v>
          </cell>
          <cell r="X1126">
            <v>11</v>
          </cell>
          <cell r="Y1126">
            <v>0</v>
          </cell>
          <cell r="Z1126" t="str">
            <v>Mid</v>
          </cell>
          <cell r="AA1126" t="str">
            <v>Medium</v>
          </cell>
          <cell r="AB1126" t="str">
            <v>Long</v>
          </cell>
          <cell r="AC1126" t="str">
            <v>Low</v>
          </cell>
          <cell r="AD1126">
            <v>1588</v>
          </cell>
        </row>
        <row r="1127">
          <cell r="A1127">
            <v>29</v>
          </cell>
          <cell r="B1127" t="str">
            <v>No</v>
          </cell>
          <cell r="C1127" t="str">
            <v>Research &amp; Development</v>
          </cell>
          <cell r="D1127">
            <v>2</v>
          </cell>
          <cell r="E1127">
            <v>1</v>
          </cell>
          <cell r="F1127" t="str">
            <v>Life Sciences</v>
          </cell>
          <cell r="G1127">
            <v>1</v>
          </cell>
          <cell r="H1127" t="str">
            <v>Male</v>
          </cell>
          <cell r="I1127">
            <v>3</v>
          </cell>
          <cell r="J1127">
            <v>2</v>
          </cell>
          <cell r="K1127" t="str">
            <v>Healthcare Representative</v>
          </cell>
          <cell r="L1127">
            <v>4</v>
          </cell>
          <cell r="M1127" t="str">
            <v>Divorced</v>
          </cell>
          <cell r="N1127">
            <v>8853</v>
          </cell>
          <cell r="O1127">
            <v>1</v>
          </cell>
          <cell r="P1127" t="str">
            <v>No</v>
          </cell>
          <cell r="Q1127">
            <v>4</v>
          </cell>
          <cell r="R1127">
            <v>6</v>
          </cell>
          <cell r="S1127">
            <v>4</v>
          </cell>
          <cell r="T1127">
            <v>6</v>
          </cell>
          <cell r="U1127">
            <v>4</v>
          </cell>
          <cell r="V1127">
            <v>1</v>
          </cell>
          <cell r="W1127">
            <v>3</v>
          </cell>
          <cell r="X1127">
            <v>19</v>
          </cell>
          <cell r="Y1127">
            <v>0</v>
          </cell>
          <cell r="Z1127" t="str">
            <v>Young</v>
          </cell>
          <cell r="AA1127" t="str">
            <v>Medium</v>
          </cell>
          <cell r="AB1127" t="str">
            <v>Mid</v>
          </cell>
          <cell r="AC1127" t="str">
            <v>High</v>
          </cell>
          <cell r="AD1127">
            <v>1590</v>
          </cell>
        </row>
        <row r="1128">
          <cell r="A1128">
            <v>50</v>
          </cell>
          <cell r="B1128" t="str">
            <v>No</v>
          </cell>
          <cell r="C1128" t="str">
            <v>Sales</v>
          </cell>
          <cell r="D1128">
            <v>9</v>
          </cell>
          <cell r="E1128">
            <v>3</v>
          </cell>
          <cell r="F1128" t="str">
            <v>Marketing</v>
          </cell>
          <cell r="G1128">
            <v>3</v>
          </cell>
          <cell r="H1128" t="str">
            <v>Male</v>
          </cell>
          <cell r="I1128">
            <v>3</v>
          </cell>
          <cell r="J1128">
            <v>5</v>
          </cell>
          <cell r="K1128" t="str">
            <v>Manager</v>
          </cell>
          <cell r="L1128">
            <v>3</v>
          </cell>
          <cell r="M1128" t="str">
            <v>Married</v>
          </cell>
          <cell r="N1128">
            <v>19331</v>
          </cell>
          <cell r="O1128">
            <v>4</v>
          </cell>
          <cell r="P1128" t="str">
            <v>Yes</v>
          </cell>
          <cell r="Q1128">
            <v>3</v>
          </cell>
          <cell r="R1128">
            <v>27</v>
          </cell>
          <cell r="S1128">
            <v>3</v>
          </cell>
          <cell r="T1128">
            <v>1</v>
          </cell>
          <cell r="U1128">
            <v>0</v>
          </cell>
          <cell r="V1128">
            <v>0</v>
          </cell>
          <cell r="W1128">
            <v>0</v>
          </cell>
          <cell r="X1128">
            <v>16</v>
          </cell>
          <cell r="Y1128">
            <v>0</v>
          </cell>
          <cell r="Z1128" t="str">
            <v>Senior</v>
          </cell>
          <cell r="AA1128" t="str">
            <v>High</v>
          </cell>
          <cell r="AB1128" t="str">
            <v>Early</v>
          </cell>
          <cell r="AC1128" t="str">
            <v>Medium</v>
          </cell>
          <cell r="AD1128">
            <v>1591</v>
          </cell>
        </row>
        <row r="1129">
          <cell r="A1129">
            <v>23</v>
          </cell>
          <cell r="B1129" t="str">
            <v>No</v>
          </cell>
          <cell r="C1129" t="str">
            <v>Research &amp; Development</v>
          </cell>
          <cell r="D1129">
            <v>10</v>
          </cell>
          <cell r="E1129">
            <v>3</v>
          </cell>
          <cell r="F1129" t="str">
            <v>Technical Degree</v>
          </cell>
          <cell r="G1129">
            <v>4</v>
          </cell>
          <cell r="H1129" t="str">
            <v>Male</v>
          </cell>
          <cell r="I1129">
            <v>4</v>
          </cell>
          <cell r="J1129">
            <v>1</v>
          </cell>
          <cell r="K1129" t="str">
            <v>Research Scientist</v>
          </cell>
          <cell r="L1129">
            <v>3</v>
          </cell>
          <cell r="M1129" t="str">
            <v>Married</v>
          </cell>
          <cell r="N1129">
            <v>2073</v>
          </cell>
          <cell r="O1129">
            <v>2</v>
          </cell>
          <cell r="P1129" t="str">
            <v>No</v>
          </cell>
          <cell r="Q1129">
            <v>4</v>
          </cell>
          <cell r="R1129">
            <v>4</v>
          </cell>
          <cell r="S1129">
            <v>3</v>
          </cell>
          <cell r="T1129">
            <v>2</v>
          </cell>
          <cell r="U1129">
            <v>2</v>
          </cell>
          <cell r="V1129">
            <v>2</v>
          </cell>
          <cell r="W1129">
            <v>2</v>
          </cell>
          <cell r="X1129">
            <v>16</v>
          </cell>
          <cell r="Y1129">
            <v>0</v>
          </cell>
          <cell r="Z1129" t="str">
            <v>Young</v>
          </cell>
          <cell r="AA1129" t="str">
            <v>Low</v>
          </cell>
          <cell r="AB1129" t="str">
            <v>Early</v>
          </cell>
          <cell r="AC1129" t="str">
            <v>Medium</v>
          </cell>
          <cell r="AD1129">
            <v>1592</v>
          </cell>
        </row>
        <row r="1130">
          <cell r="A1130">
            <v>36</v>
          </cell>
          <cell r="B1130" t="str">
            <v>No</v>
          </cell>
          <cell r="C1130" t="str">
            <v>Research &amp; Development</v>
          </cell>
          <cell r="D1130">
            <v>6</v>
          </cell>
          <cell r="E1130">
            <v>4</v>
          </cell>
          <cell r="F1130" t="str">
            <v>Life Sciences</v>
          </cell>
          <cell r="G1130">
            <v>1</v>
          </cell>
          <cell r="H1130" t="str">
            <v>Male</v>
          </cell>
          <cell r="I1130">
            <v>4</v>
          </cell>
          <cell r="J1130">
            <v>2</v>
          </cell>
          <cell r="K1130" t="str">
            <v>Laboratory Technician</v>
          </cell>
          <cell r="L1130">
            <v>1</v>
          </cell>
          <cell r="M1130" t="str">
            <v>Married</v>
          </cell>
          <cell r="N1130">
            <v>5562</v>
          </cell>
          <cell r="O1130">
            <v>3</v>
          </cell>
          <cell r="P1130" t="str">
            <v>Yes</v>
          </cell>
          <cell r="Q1130">
            <v>4</v>
          </cell>
          <cell r="R1130">
            <v>9</v>
          </cell>
          <cell r="S1130">
            <v>3</v>
          </cell>
          <cell r="T1130">
            <v>3</v>
          </cell>
          <cell r="U1130">
            <v>2</v>
          </cell>
          <cell r="V1130">
            <v>0</v>
          </cell>
          <cell r="W1130">
            <v>2</v>
          </cell>
          <cell r="X1130">
            <v>13</v>
          </cell>
          <cell r="Y1130">
            <v>0</v>
          </cell>
          <cell r="Z1130" t="str">
            <v>Mid</v>
          </cell>
          <cell r="AA1130" t="str">
            <v>Medium</v>
          </cell>
          <cell r="AB1130" t="str">
            <v>Mid</v>
          </cell>
          <cell r="AC1130" t="str">
            <v>Medium</v>
          </cell>
          <cell r="AD1130">
            <v>1594</v>
          </cell>
        </row>
        <row r="1131">
          <cell r="A1131">
            <v>42</v>
          </cell>
          <cell r="B1131" t="str">
            <v>No</v>
          </cell>
          <cell r="C1131" t="str">
            <v>Research &amp; Development</v>
          </cell>
          <cell r="D1131">
            <v>9</v>
          </cell>
          <cell r="E1131">
            <v>2</v>
          </cell>
          <cell r="F1131" t="str">
            <v>Other</v>
          </cell>
          <cell r="G1131">
            <v>4</v>
          </cell>
          <cell r="H1131" t="str">
            <v>Male</v>
          </cell>
          <cell r="I1131">
            <v>2</v>
          </cell>
          <cell r="J1131">
            <v>5</v>
          </cell>
          <cell r="K1131" t="str">
            <v>Manager</v>
          </cell>
          <cell r="L1131">
            <v>4</v>
          </cell>
          <cell r="M1131" t="str">
            <v>Single</v>
          </cell>
          <cell r="N1131">
            <v>19613</v>
          </cell>
          <cell r="O1131">
            <v>8</v>
          </cell>
          <cell r="P1131" t="str">
            <v>No</v>
          </cell>
          <cell r="Q1131">
            <v>4</v>
          </cell>
          <cell r="R1131">
            <v>24</v>
          </cell>
          <cell r="S1131">
            <v>3</v>
          </cell>
          <cell r="T1131">
            <v>1</v>
          </cell>
          <cell r="U1131">
            <v>0</v>
          </cell>
          <cell r="V1131">
            <v>0</v>
          </cell>
          <cell r="W1131">
            <v>1</v>
          </cell>
          <cell r="X1131">
            <v>22</v>
          </cell>
          <cell r="Y1131">
            <v>0</v>
          </cell>
          <cell r="Z1131" t="str">
            <v>Mid</v>
          </cell>
          <cell r="AA1131" t="str">
            <v>High</v>
          </cell>
          <cell r="AB1131" t="str">
            <v>Early</v>
          </cell>
          <cell r="AC1131" t="str">
            <v>High</v>
          </cell>
          <cell r="AD1131">
            <v>1595</v>
          </cell>
        </row>
        <row r="1132">
          <cell r="A1132">
            <v>35</v>
          </cell>
          <cell r="B1132" t="str">
            <v>No</v>
          </cell>
          <cell r="C1132" t="str">
            <v>Research &amp; Development</v>
          </cell>
          <cell r="D1132">
            <v>28</v>
          </cell>
          <cell r="E1132">
            <v>3</v>
          </cell>
          <cell r="F1132" t="str">
            <v>Life Sciences</v>
          </cell>
          <cell r="G1132">
            <v>2</v>
          </cell>
          <cell r="H1132" t="str">
            <v>Male</v>
          </cell>
          <cell r="I1132">
            <v>4</v>
          </cell>
          <cell r="J1132">
            <v>2</v>
          </cell>
          <cell r="K1132" t="str">
            <v>Laboratory Technician</v>
          </cell>
          <cell r="L1132">
            <v>3</v>
          </cell>
          <cell r="M1132" t="str">
            <v>Married</v>
          </cell>
          <cell r="N1132">
            <v>3407</v>
          </cell>
          <cell r="O1132">
            <v>1</v>
          </cell>
          <cell r="P1132" t="str">
            <v>No</v>
          </cell>
          <cell r="Q1132">
            <v>4</v>
          </cell>
          <cell r="R1132">
            <v>10</v>
          </cell>
          <cell r="S1132">
            <v>2</v>
          </cell>
          <cell r="T1132">
            <v>10</v>
          </cell>
          <cell r="U1132">
            <v>9</v>
          </cell>
          <cell r="V1132">
            <v>6</v>
          </cell>
          <cell r="W1132">
            <v>8</v>
          </cell>
          <cell r="X1132">
            <v>17</v>
          </cell>
          <cell r="Y1132">
            <v>0</v>
          </cell>
          <cell r="Z1132" t="str">
            <v>Mid</v>
          </cell>
          <cell r="AA1132" t="str">
            <v>Low</v>
          </cell>
          <cell r="AB1132" t="str">
            <v>Long</v>
          </cell>
          <cell r="AC1132" t="str">
            <v>Medium</v>
          </cell>
          <cell r="AD1132">
            <v>1596</v>
          </cell>
        </row>
        <row r="1133">
          <cell r="A1133">
            <v>34</v>
          </cell>
          <cell r="B1133" t="str">
            <v>No</v>
          </cell>
          <cell r="C1133" t="str">
            <v>Research &amp; Development</v>
          </cell>
          <cell r="D1133">
            <v>10</v>
          </cell>
          <cell r="E1133">
            <v>4</v>
          </cell>
          <cell r="F1133" t="str">
            <v>Technical Degree</v>
          </cell>
          <cell r="G1133">
            <v>4</v>
          </cell>
          <cell r="H1133" t="str">
            <v>Male</v>
          </cell>
          <cell r="I1133">
            <v>2</v>
          </cell>
          <cell r="J1133">
            <v>2</v>
          </cell>
          <cell r="K1133" t="str">
            <v>Healthcare Representative</v>
          </cell>
          <cell r="L1133">
            <v>3</v>
          </cell>
          <cell r="M1133" t="str">
            <v>Married</v>
          </cell>
          <cell r="N1133">
            <v>5063</v>
          </cell>
          <cell r="O1133">
            <v>1</v>
          </cell>
          <cell r="P1133" t="str">
            <v>No</v>
          </cell>
          <cell r="Q1133">
            <v>2</v>
          </cell>
          <cell r="R1133">
            <v>8</v>
          </cell>
          <cell r="S1133">
            <v>2</v>
          </cell>
          <cell r="T1133">
            <v>8</v>
          </cell>
          <cell r="U1133">
            <v>2</v>
          </cell>
          <cell r="V1133">
            <v>7</v>
          </cell>
          <cell r="W1133">
            <v>7</v>
          </cell>
          <cell r="X1133">
            <v>14</v>
          </cell>
          <cell r="Y1133">
            <v>0</v>
          </cell>
          <cell r="Z1133" t="str">
            <v>Mid</v>
          </cell>
          <cell r="AA1133" t="str">
            <v>Medium</v>
          </cell>
          <cell r="AB1133" t="str">
            <v>Long</v>
          </cell>
          <cell r="AC1133" t="str">
            <v>Medium</v>
          </cell>
          <cell r="AD1133">
            <v>1597</v>
          </cell>
        </row>
        <row r="1134">
          <cell r="A1134">
            <v>40</v>
          </cell>
          <cell r="B1134" t="str">
            <v>No</v>
          </cell>
          <cell r="C1134" t="str">
            <v>Sales</v>
          </cell>
          <cell r="D1134">
            <v>14</v>
          </cell>
          <cell r="E1134">
            <v>2</v>
          </cell>
          <cell r="F1134" t="str">
            <v>Life Sciences</v>
          </cell>
          <cell r="G1134">
            <v>4</v>
          </cell>
          <cell r="H1134" t="str">
            <v>Female</v>
          </cell>
          <cell r="I1134">
            <v>3</v>
          </cell>
          <cell r="J1134">
            <v>2</v>
          </cell>
          <cell r="K1134" t="str">
            <v>Sales Executive</v>
          </cell>
          <cell r="L1134">
            <v>1</v>
          </cell>
          <cell r="M1134" t="str">
            <v>Married</v>
          </cell>
          <cell r="N1134">
            <v>4639</v>
          </cell>
          <cell r="O1134">
            <v>1</v>
          </cell>
          <cell r="P1134" t="str">
            <v>No</v>
          </cell>
          <cell r="Q1134">
            <v>3</v>
          </cell>
          <cell r="R1134">
            <v>5</v>
          </cell>
          <cell r="S1134">
            <v>3</v>
          </cell>
          <cell r="T1134">
            <v>5</v>
          </cell>
          <cell r="U1134">
            <v>4</v>
          </cell>
          <cell r="V1134">
            <v>1</v>
          </cell>
          <cell r="W1134">
            <v>2</v>
          </cell>
          <cell r="X1134">
            <v>15</v>
          </cell>
          <cell r="Y1134">
            <v>0</v>
          </cell>
          <cell r="Z1134" t="str">
            <v>Mid</v>
          </cell>
          <cell r="AA1134" t="str">
            <v>Low</v>
          </cell>
          <cell r="AB1134" t="str">
            <v>Mid</v>
          </cell>
          <cell r="AC1134" t="str">
            <v>Medium</v>
          </cell>
          <cell r="AD1134">
            <v>1598</v>
          </cell>
        </row>
        <row r="1135">
          <cell r="A1135">
            <v>43</v>
          </cell>
          <cell r="B1135" t="str">
            <v>No</v>
          </cell>
          <cell r="C1135" t="str">
            <v>Research &amp; Development</v>
          </cell>
          <cell r="D1135">
            <v>27</v>
          </cell>
          <cell r="E1135">
            <v>3</v>
          </cell>
          <cell r="F1135" t="str">
            <v>Technical Degree</v>
          </cell>
          <cell r="G1135">
            <v>4</v>
          </cell>
          <cell r="H1135" t="str">
            <v>Male</v>
          </cell>
          <cell r="I1135">
            <v>4</v>
          </cell>
          <cell r="J1135">
            <v>1</v>
          </cell>
          <cell r="K1135" t="str">
            <v>Laboratory Technician</v>
          </cell>
          <cell r="L1135">
            <v>2</v>
          </cell>
          <cell r="M1135" t="str">
            <v>Divorced</v>
          </cell>
          <cell r="N1135">
            <v>4876</v>
          </cell>
          <cell r="O1135">
            <v>5</v>
          </cell>
          <cell r="P1135" t="str">
            <v>No</v>
          </cell>
          <cell r="Q1135">
            <v>3</v>
          </cell>
          <cell r="R1135">
            <v>8</v>
          </cell>
          <cell r="S1135">
            <v>3</v>
          </cell>
          <cell r="T1135">
            <v>6</v>
          </cell>
          <cell r="U1135">
            <v>4</v>
          </cell>
          <cell r="V1135">
            <v>0</v>
          </cell>
          <cell r="W1135">
            <v>2</v>
          </cell>
          <cell r="X1135">
            <v>12</v>
          </cell>
          <cell r="Y1135">
            <v>0</v>
          </cell>
          <cell r="Z1135" t="str">
            <v>Mid</v>
          </cell>
          <cell r="AA1135" t="str">
            <v>Low</v>
          </cell>
          <cell r="AB1135" t="str">
            <v>Mid</v>
          </cell>
          <cell r="AC1135" t="str">
            <v>Low</v>
          </cell>
          <cell r="AD1135">
            <v>1599</v>
          </cell>
        </row>
        <row r="1136">
          <cell r="A1136">
            <v>35</v>
          </cell>
          <cell r="B1136" t="str">
            <v>No</v>
          </cell>
          <cell r="C1136" t="str">
            <v>Research &amp; Development</v>
          </cell>
          <cell r="D1136">
            <v>7</v>
          </cell>
          <cell r="E1136">
            <v>2</v>
          </cell>
          <cell r="F1136" t="str">
            <v>Life Sciences</v>
          </cell>
          <cell r="G1136">
            <v>3</v>
          </cell>
          <cell r="H1136" t="str">
            <v>Male</v>
          </cell>
          <cell r="I1136">
            <v>2</v>
          </cell>
          <cell r="J1136">
            <v>1</v>
          </cell>
          <cell r="K1136" t="str">
            <v>Laboratory Technician</v>
          </cell>
          <cell r="L1136">
            <v>4</v>
          </cell>
          <cell r="M1136" t="str">
            <v>Married</v>
          </cell>
          <cell r="N1136">
            <v>2690</v>
          </cell>
          <cell r="O1136">
            <v>1</v>
          </cell>
          <cell r="P1136" t="str">
            <v>No</v>
          </cell>
          <cell r="Q1136">
            <v>4</v>
          </cell>
          <cell r="R1136">
            <v>1</v>
          </cell>
          <cell r="S1136">
            <v>2</v>
          </cell>
          <cell r="T1136">
            <v>1</v>
          </cell>
          <cell r="U1136">
            <v>0</v>
          </cell>
          <cell r="V1136">
            <v>0</v>
          </cell>
          <cell r="W1136">
            <v>1</v>
          </cell>
          <cell r="X1136">
            <v>18</v>
          </cell>
          <cell r="Y1136">
            <v>0</v>
          </cell>
          <cell r="Z1136" t="str">
            <v>Mid</v>
          </cell>
          <cell r="AA1136" t="str">
            <v>Low</v>
          </cell>
          <cell r="AB1136" t="str">
            <v>Early</v>
          </cell>
          <cell r="AC1136" t="str">
            <v>High</v>
          </cell>
          <cell r="AD1136">
            <v>1601</v>
          </cell>
        </row>
        <row r="1137">
          <cell r="A1137">
            <v>46</v>
          </cell>
          <cell r="B1137" t="str">
            <v>No</v>
          </cell>
          <cell r="C1137" t="str">
            <v>Sales</v>
          </cell>
          <cell r="D1137">
            <v>1</v>
          </cell>
          <cell r="E1137">
            <v>4</v>
          </cell>
          <cell r="F1137" t="str">
            <v>Life Sciences</v>
          </cell>
          <cell r="G1137">
            <v>4</v>
          </cell>
          <cell r="H1137" t="str">
            <v>Male</v>
          </cell>
          <cell r="I1137">
            <v>4</v>
          </cell>
          <cell r="J1137">
            <v>4</v>
          </cell>
          <cell r="K1137" t="str">
            <v>Manager</v>
          </cell>
          <cell r="L1137">
            <v>1</v>
          </cell>
          <cell r="M1137" t="str">
            <v>Single</v>
          </cell>
          <cell r="N1137">
            <v>17567</v>
          </cell>
          <cell r="O1137">
            <v>1</v>
          </cell>
          <cell r="P1137" t="str">
            <v>No</v>
          </cell>
          <cell r="Q1137">
            <v>2</v>
          </cell>
          <cell r="R1137">
            <v>27</v>
          </cell>
          <cell r="S1137">
            <v>1</v>
          </cell>
          <cell r="T1137">
            <v>26</v>
          </cell>
          <cell r="U1137">
            <v>0</v>
          </cell>
          <cell r="V1137">
            <v>0</v>
          </cell>
          <cell r="W1137">
            <v>12</v>
          </cell>
          <cell r="X1137">
            <v>15</v>
          </cell>
          <cell r="Y1137">
            <v>0</v>
          </cell>
          <cell r="Z1137" t="str">
            <v>Senior</v>
          </cell>
          <cell r="AA1137" t="str">
            <v>High</v>
          </cell>
          <cell r="AB1137" t="str">
            <v>Long</v>
          </cell>
          <cell r="AC1137" t="str">
            <v>Medium</v>
          </cell>
          <cell r="AD1137">
            <v>1602</v>
          </cell>
        </row>
        <row r="1138">
          <cell r="A1138">
            <v>28</v>
          </cell>
          <cell r="B1138" t="str">
            <v>Yes</v>
          </cell>
          <cell r="C1138" t="str">
            <v>Research &amp; Development</v>
          </cell>
          <cell r="D1138">
            <v>24</v>
          </cell>
          <cell r="E1138">
            <v>3</v>
          </cell>
          <cell r="F1138" t="str">
            <v>Medical</v>
          </cell>
          <cell r="G1138">
            <v>3</v>
          </cell>
          <cell r="H1138" t="str">
            <v>Male</v>
          </cell>
          <cell r="I1138">
            <v>3</v>
          </cell>
          <cell r="J1138">
            <v>1</v>
          </cell>
          <cell r="K1138" t="str">
            <v>Laboratory Technician</v>
          </cell>
          <cell r="L1138">
            <v>2</v>
          </cell>
          <cell r="M1138" t="str">
            <v>Married</v>
          </cell>
          <cell r="N1138">
            <v>2408</v>
          </cell>
          <cell r="O1138">
            <v>1</v>
          </cell>
          <cell r="P1138" t="str">
            <v>Yes</v>
          </cell>
          <cell r="Q1138">
            <v>3</v>
          </cell>
          <cell r="R1138">
            <v>1</v>
          </cell>
          <cell r="S1138">
            <v>3</v>
          </cell>
          <cell r="T1138">
            <v>1</v>
          </cell>
          <cell r="U1138">
            <v>1</v>
          </cell>
          <cell r="V1138">
            <v>0</v>
          </cell>
          <cell r="W1138">
            <v>0</v>
          </cell>
          <cell r="X1138">
            <v>17</v>
          </cell>
          <cell r="Y1138">
            <v>1</v>
          </cell>
          <cell r="Z1138" t="str">
            <v>Young</v>
          </cell>
          <cell r="AA1138" t="str">
            <v>Low</v>
          </cell>
          <cell r="AB1138" t="str">
            <v>Early</v>
          </cell>
          <cell r="AC1138" t="str">
            <v>Medium</v>
          </cell>
          <cell r="AD1138">
            <v>1604</v>
          </cell>
        </row>
        <row r="1139">
          <cell r="A1139">
            <v>22</v>
          </cell>
          <cell r="B1139" t="str">
            <v>No</v>
          </cell>
          <cell r="C1139" t="str">
            <v>Research &amp; Development</v>
          </cell>
          <cell r="D1139">
            <v>26</v>
          </cell>
          <cell r="E1139">
            <v>2</v>
          </cell>
          <cell r="F1139" t="str">
            <v>Other</v>
          </cell>
          <cell r="G1139">
            <v>2</v>
          </cell>
          <cell r="H1139" t="str">
            <v>Female</v>
          </cell>
          <cell r="I1139">
            <v>2</v>
          </cell>
          <cell r="J1139">
            <v>1</v>
          </cell>
          <cell r="K1139" t="str">
            <v>Research Scientist</v>
          </cell>
          <cell r="L1139">
            <v>3</v>
          </cell>
          <cell r="M1139" t="str">
            <v>Married</v>
          </cell>
          <cell r="N1139">
            <v>2814</v>
          </cell>
          <cell r="O1139">
            <v>1</v>
          </cell>
          <cell r="P1139" t="str">
            <v>Yes</v>
          </cell>
          <cell r="Q1139">
            <v>2</v>
          </cell>
          <cell r="R1139">
            <v>4</v>
          </cell>
          <cell r="S1139">
            <v>2</v>
          </cell>
          <cell r="T1139">
            <v>4</v>
          </cell>
          <cell r="U1139">
            <v>2</v>
          </cell>
          <cell r="V1139">
            <v>1</v>
          </cell>
          <cell r="W1139">
            <v>3</v>
          </cell>
          <cell r="X1139">
            <v>14</v>
          </cell>
          <cell r="Y1139">
            <v>0</v>
          </cell>
          <cell r="Z1139" t="str">
            <v>Young</v>
          </cell>
          <cell r="AA1139" t="str">
            <v>Low</v>
          </cell>
          <cell r="AB1139" t="str">
            <v>Mid</v>
          </cell>
          <cell r="AC1139" t="str">
            <v>Medium</v>
          </cell>
          <cell r="AD1139">
            <v>1605</v>
          </cell>
        </row>
        <row r="1140">
          <cell r="A1140">
            <v>50</v>
          </cell>
          <cell r="B1140" t="str">
            <v>No</v>
          </cell>
          <cell r="C1140" t="str">
            <v>Research &amp; Development</v>
          </cell>
          <cell r="D1140">
            <v>20</v>
          </cell>
          <cell r="E1140">
            <v>5</v>
          </cell>
          <cell r="F1140" t="str">
            <v>Medical</v>
          </cell>
          <cell r="G1140">
            <v>2</v>
          </cell>
          <cell r="H1140" t="str">
            <v>Male</v>
          </cell>
          <cell r="I1140">
            <v>3</v>
          </cell>
          <cell r="J1140">
            <v>4</v>
          </cell>
          <cell r="K1140" t="str">
            <v>Healthcare Representative</v>
          </cell>
          <cell r="L1140">
            <v>3</v>
          </cell>
          <cell r="M1140" t="str">
            <v>Married</v>
          </cell>
          <cell r="N1140">
            <v>11245</v>
          </cell>
          <cell r="O1140">
            <v>2</v>
          </cell>
          <cell r="P1140" t="str">
            <v>Yes</v>
          </cell>
          <cell r="Q1140">
            <v>3</v>
          </cell>
          <cell r="R1140">
            <v>32</v>
          </cell>
          <cell r="S1140">
            <v>3</v>
          </cell>
          <cell r="T1140">
            <v>30</v>
          </cell>
          <cell r="U1140">
            <v>8</v>
          </cell>
          <cell r="V1140">
            <v>12</v>
          </cell>
          <cell r="W1140">
            <v>13</v>
          </cell>
          <cell r="X1140">
            <v>15</v>
          </cell>
          <cell r="Y1140">
            <v>0</v>
          </cell>
          <cell r="Z1140" t="str">
            <v>Senior</v>
          </cell>
          <cell r="AA1140" t="str">
            <v>High</v>
          </cell>
          <cell r="AB1140" t="str">
            <v>Long</v>
          </cell>
          <cell r="AC1140" t="str">
            <v>Medium</v>
          </cell>
          <cell r="AD1140">
            <v>1606</v>
          </cell>
        </row>
        <row r="1141">
          <cell r="A1141">
            <v>32</v>
          </cell>
          <cell r="B1141" t="str">
            <v>No</v>
          </cell>
          <cell r="C1141" t="str">
            <v>Research &amp; Development</v>
          </cell>
          <cell r="D1141">
            <v>5</v>
          </cell>
          <cell r="E1141">
            <v>4</v>
          </cell>
          <cell r="F1141" t="str">
            <v>Other</v>
          </cell>
          <cell r="G1141">
            <v>2</v>
          </cell>
          <cell r="H1141" t="str">
            <v>Female</v>
          </cell>
          <cell r="I1141">
            <v>4</v>
          </cell>
          <cell r="J1141">
            <v>1</v>
          </cell>
          <cell r="K1141" t="str">
            <v>Research Scientist</v>
          </cell>
          <cell r="L1141">
            <v>4</v>
          </cell>
          <cell r="M1141" t="str">
            <v>Married</v>
          </cell>
          <cell r="N1141">
            <v>3312</v>
          </cell>
          <cell r="O1141">
            <v>3</v>
          </cell>
          <cell r="P1141" t="str">
            <v>No</v>
          </cell>
          <cell r="Q1141">
            <v>4</v>
          </cell>
          <cell r="R1141">
            <v>6</v>
          </cell>
          <cell r="S1141">
            <v>3</v>
          </cell>
          <cell r="T1141">
            <v>3</v>
          </cell>
          <cell r="U1141">
            <v>2</v>
          </cell>
          <cell r="V1141">
            <v>0</v>
          </cell>
          <cell r="W1141">
            <v>2</v>
          </cell>
          <cell r="X1141">
            <v>17</v>
          </cell>
          <cell r="Y1141">
            <v>0</v>
          </cell>
          <cell r="Z1141" t="str">
            <v>Mid</v>
          </cell>
          <cell r="AA1141" t="str">
            <v>Low</v>
          </cell>
          <cell r="AB1141" t="str">
            <v>Mid</v>
          </cell>
          <cell r="AC1141" t="str">
            <v>Medium</v>
          </cell>
          <cell r="AD1141">
            <v>1607</v>
          </cell>
        </row>
        <row r="1142">
          <cell r="A1142">
            <v>44</v>
          </cell>
          <cell r="B1142" t="str">
            <v>No</v>
          </cell>
          <cell r="C1142" t="str">
            <v>Research &amp; Development</v>
          </cell>
          <cell r="D1142">
            <v>7</v>
          </cell>
          <cell r="E1142">
            <v>3</v>
          </cell>
          <cell r="F1142" t="str">
            <v>Medical</v>
          </cell>
          <cell r="G1142">
            <v>2</v>
          </cell>
          <cell r="H1142" t="str">
            <v>Female</v>
          </cell>
          <cell r="I1142">
            <v>3</v>
          </cell>
          <cell r="J1142">
            <v>5</v>
          </cell>
          <cell r="K1142" t="str">
            <v>Research Director</v>
          </cell>
          <cell r="L1142">
            <v>4</v>
          </cell>
          <cell r="M1142" t="str">
            <v>Divorced</v>
          </cell>
          <cell r="N1142">
            <v>19049</v>
          </cell>
          <cell r="O1142">
            <v>0</v>
          </cell>
          <cell r="P1142" t="str">
            <v>Yes</v>
          </cell>
          <cell r="Q1142">
            <v>4</v>
          </cell>
          <cell r="R1142">
            <v>23</v>
          </cell>
          <cell r="S1142">
            <v>2</v>
          </cell>
          <cell r="T1142">
            <v>22</v>
          </cell>
          <cell r="U1142">
            <v>7</v>
          </cell>
          <cell r="V1142">
            <v>1</v>
          </cell>
          <cell r="W1142">
            <v>10</v>
          </cell>
          <cell r="X1142">
            <v>14</v>
          </cell>
          <cell r="Y1142">
            <v>0</v>
          </cell>
          <cell r="Z1142" t="str">
            <v>Mid</v>
          </cell>
          <cell r="AA1142" t="str">
            <v>High</v>
          </cell>
          <cell r="AB1142" t="str">
            <v>Long</v>
          </cell>
          <cell r="AC1142" t="str">
            <v>Medium</v>
          </cell>
          <cell r="AD1142">
            <v>1608</v>
          </cell>
        </row>
        <row r="1143">
          <cell r="A1143">
            <v>30</v>
          </cell>
          <cell r="B1143" t="str">
            <v>No</v>
          </cell>
          <cell r="C1143" t="str">
            <v>Research &amp; Development</v>
          </cell>
          <cell r="D1143">
            <v>7</v>
          </cell>
          <cell r="E1143">
            <v>3</v>
          </cell>
          <cell r="F1143" t="str">
            <v>Medical</v>
          </cell>
          <cell r="G1143">
            <v>2</v>
          </cell>
          <cell r="H1143" t="str">
            <v>Male</v>
          </cell>
          <cell r="I1143">
            <v>2</v>
          </cell>
          <cell r="J1143">
            <v>1</v>
          </cell>
          <cell r="K1143" t="str">
            <v>Research Scientist</v>
          </cell>
          <cell r="L1143">
            <v>2</v>
          </cell>
          <cell r="M1143" t="str">
            <v>Married</v>
          </cell>
          <cell r="N1143">
            <v>2141</v>
          </cell>
          <cell r="O1143">
            <v>1</v>
          </cell>
          <cell r="P1143" t="str">
            <v>No</v>
          </cell>
          <cell r="Q1143">
            <v>2</v>
          </cell>
          <cell r="R1143">
            <v>6</v>
          </cell>
          <cell r="S1143">
            <v>2</v>
          </cell>
          <cell r="T1143">
            <v>6</v>
          </cell>
          <cell r="U1143">
            <v>4</v>
          </cell>
          <cell r="V1143">
            <v>1</v>
          </cell>
          <cell r="W1143">
            <v>1</v>
          </cell>
          <cell r="X1143">
            <v>12</v>
          </cell>
          <cell r="Y1143">
            <v>0</v>
          </cell>
          <cell r="Z1143" t="str">
            <v>Mid</v>
          </cell>
          <cell r="AA1143" t="str">
            <v>Low</v>
          </cell>
          <cell r="AB1143" t="str">
            <v>Mid</v>
          </cell>
          <cell r="AC1143" t="str">
            <v>Low</v>
          </cell>
          <cell r="AD1143">
            <v>1609</v>
          </cell>
        </row>
        <row r="1144">
          <cell r="A1144">
            <v>45</v>
          </cell>
          <cell r="B1144" t="str">
            <v>No</v>
          </cell>
          <cell r="C1144" t="str">
            <v>Research &amp; Development</v>
          </cell>
          <cell r="D1144">
            <v>5</v>
          </cell>
          <cell r="E1144">
            <v>5</v>
          </cell>
          <cell r="F1144" t="str">
            <v>Medical</v>
          </cell>
          <cell r="G1144">
            <v>3</v>
          </cell>
          <cell r="H1144" t="str">
            <v>Female</v>
          </cell>
          <cell r="I1144">
            <v>1</v>
          </cell>
          <cell r="J1144">
            <v>2</v>
          </cell>
          <cell r="K1144" t="str">
            <v>Laboratory Technician</v>
          </cell>
          <cell r="L1144">
            <v>1</v>
          </cell>
          <cell r="M1144" t="str">
            <v>Single</v>
          </cell>
          <cell r="N1144">
            <v>5769</v>
          </cell>
          <cell r="O1144">
            <v>1</v>
          </cell>
          <cell r="P1144" t="str">
            <v>Yes</v>
          </cell>
          <cell r="Q1144">
            <v>1</v>
          </cell>
          <cell r="R1144">
            <v>10</v>
          </cell>
          <cell r="S1144">
            <v>3</v>
          </cell>
          <cell r="T1144">
            <v>10</v>
          </cell>
          <cell r="U1144">
            <v>7</v>
          </cell>
          <cell r="V1144">
            <v>1</v>
          </cell>
          <cell r="W1144">
            <v>4</v>
          </cell>
          <cell r="X1144">
            <v>14</v>
          </cell>
          <cell r="Y1144">
            <v>0</v>
          </cell>
          <cell r="Z1144" t="str">
            <v>Senior</v>
          </cell>
          <cell r="AA1144" t="str">
            <v>Medium</v>
          </cell>
          <cell r="AB1144" t="str">
            <v>Long</v>
          </cell>
          <cell r="AC1144" t="str">
            <v>Medium</v>
          </cell>
          <cell r="AD1144">
            <v>1611</v>
          </cell>
        </row>
        <row r="1145">
          <cell r="A1145">
            <v>45</v>
          </cell>
          <cell r="B1145" t="str">
            <v>No</v>
          </cell>
          <cell r="C1145" t="str">
            <v>Sales</v>
          </cell>
          <cell r="D1145">
            <v>26</v>
          </cell>
          <cell r="E1145">
            <v>3</v>
          </cell>
          <cell r="F1145" t="str">
            <v>Marketing</v>
          </cell>
          <cell r="G1145">
            <v>1</v>
          </cell>
          <cell r="H1145" t="str">
            <v>Male</v>
          </cell>
          <cell r="I1145">
            <v>2</v>
          </cell>
          <cell r="J1145">
            <v>2</v>
          </cell>
          <cell r="K1145" t="str">
            <v>Sales Executive</v>
          </cell>
          <cell r="L1145">
            <v>1</v>
          </cell>
          <cell r="M1145" t="str">
            <v>Married</v>
          </cell>
          <cell r="N1145">
            <v>4385</v>
          </cell>
          <cell r="O1145">
            <v>1</v>
          </cell>
          <cell r="P1145" t="str">
            <v>No</v>
          </cell>
          <cell r="Q1145">
            <v>1</v>
          </cell>
          <cell r="R1145">
            <v>10</v>
          </cell>
          <cell r="S1145">
            <v>3</v>
          </cell>
          <cell r="T1145">
            <v>10</v>
          </cell>
          <cell r="U1145">
            <v>7</v>
          </cell>
          <cell r="V1145">
            <v>4</v>
          </cell>
          <cell r="W1145">
            <v>5</v>
          </cell>
          <cell r="X1145">
            <v>15</v>
          </cell>
          <cell r="Y1145">
            <v>0</v>
          </cell>
          <cell r="Z1145" t="str">
            <v>Senior</v>
          </cell>
          <cell r="AA1145" t="str">
            <v>Low</v>
          </cell>
          <cell r="AB1145" t="str">
            <v>Long</v>
          </cell>
          <cell r="AC1145" t="str">
            <v>Medium</v>
          </cell>
          <cell r="AD1145">
            <v>1612</v>
          </cell>
        </row>
        <row r="1146">
          <cell r="A1146">
            <v>31</v>
          </cell>
          <cell r="B1146" t="str">
            <v>No</v>
          </cell>
          <cell r="C1146" t="str">
            <v>Sales</v>
          </cell>
          <cell r="D1146">
            <v>2</v>
          </cell>
          <cell r="E1146">
            <v>4</v>
          </cell>
          <cell r="F1146" t="str">
            <v>Other</v>
          </cell>
          <cell r="G1146">
            <v>4</v>
          </cell>
          <cell r="H1146" t="str">
            <v>Male</v>
          </cell>
          <cell r="I1146">
            <v>3</v>
          </cell>
          <cell r="J1146">
            <v>2</v>
          </cell>
          <cell r="K1146" t="str">
            <v>Sales Executive</v>
          </cell>
          <cell r="L1146">
            <v>1</v>
          </cell>
          <cell r="M1146" t="str">
            <v>Single</v>
          </cell>
          <cell r="N1146">
            <v>5332</v>
          </cell>
          <cell r="O1146">
            <v>7</v>
          </cell>
          <cell r="P1146" t="str">
            <v>No</v>
          </cell>
          <cell r="Q1146">
            <v>4</v>
          </cell>
          <cell r="R1146">
            <v>10</v>
          </cell>
          <cell r="S1146">
            <v>3</v>
          </cell>
          <cell r="T1146">
            <v>5</v>
          </cell>
          <cell r="U1146">
            <v>2</v>
          </cell>
          <cell r="V1146">
            <v>0</v>
          </cell>
          <cell r="W1146">
            <v>3</v>
          </cell>
          <cell r="X1146">
            <v>13</v>
          </cell>
          <cell r="Y1146">
            <v>0</v>
          </cell>
          <cell r="Z1146" t="str">
            <v>Mid</v>
          </cell>
          <cell r="AA1146" t="str">
            <v>Medium</v>
          </cell>
          <cell r="AB1146" t="str">
            <v>Mid</v>
          </cell>
          <cell r="AC1146" t="str">
            <v>Medium</v>
          </cell>
          <cell r="AD1146">
            <v>1613</v>
          </cell>
        </row>
        <row r="1147">
          <cell r="A1147">
            <v>36</v>
          </cell>
          <cell r="B1147" t="str">
            <v>No</v>
          </cell>
          <cell r="C1147" t="str">
            <v>Research &amp; Development</v>
          </cell>
          <cell r="D1147">
            <v>12</v>
          </cell>
          <cell r="E1147">
            <v>4</v>
          </cell>
          <cell r="F1147" t="str">
            <v>Life Sciences</v>
          </cell>
          <cell r="G1147">
            <v>3</v>
          </cell>
          <cell r="H1147" t="str">
            <v>Female</v>
          </cell>
          <cell r="I1147">
            <v>3</v>
          </cell>
          <cell r="J1147">
            <v>2</v>
          </cell>
          <cell r="K1147" t="str">
            <v>Manufacturing Director</v>
          </cell>
          <cell r="L1147">
            <v>3</v>
          </cell>
          <cell r="M1147" t="str">
            <v>Married</v>
          </cell>
          <cell r="N1147">
            <v>4663</v>
          </cell>
          <cell r="O1147">
            <v>9</v>
          </cell>
          <cell r="P1147" t="str">
            <v>Yes</v>
          </cell>
          <cell r="Q1147">
            <v>2</v>
          </cell>
          <cell r="R1147">
            <v>7</v>
          </cell>
          <cell r="S1147">
            <v>3</v>
          </cell>
          <cell r="T1147">
            <v>3</v>
          </cell>
          <cell r="U1147">
            <v>2</v>
          </cell>
          <cell r="V1147">
            <v>1</v>
          </cell>
          <cell r="W1147">
            <v>1</v>
          </cell>
          <cell r="X1147">
            <v>12</v>
          </cell>
          <cell r="Y1147">
            <v>0</v>
          </cell>
          <cell r="Z1147" t="str">
            <v>Mid</v>
          </cell>
          <cell r="AA1147" t="str">
            <v>Low</v>
          </cell>
          <cell r="AB1147" t="str">
            <v>Mid</v>
          </cell>
          <cell r="AC1147" t="str">
            <v>Low</v>
          </cell>
          <cell r="AD1147">
            <v>1614</v>
          </cell>
        </row>
        <row r="1148">
          <cell r="A1148">
            <v>34</v>
          </cell>
          <cell r="B1148" t="str">
            <v>No</v>
          </cell>
          <cell r="C1148" t="str">
            <v>Research &amp; Development</v>
          </cell>
          <cell r="D1148">
            <v>10</v>
          </cell>
          <cell r="E1148">
            <v>4</v>
          </cell>
          <cell r="F1148" t="str">
            <v>Life Sciences</v>
          </cell>
          <cell r="G1148">
            <v>3</v>
          </cell>
          <cell r="H1148" t="str">
            <v>Male</v>
          </cell>
          <cell r="I1148">
            <v>4</v>
          </cell>
          <cell r="J1148">
            <v>2</v>
          </cell>
          <cell r="K1148" t="str">
            <v>Manufacturing Director</v>
          </cell>
          <cell r="L1148">
            <v>4</v>
          </cell>
          <cell r="M1148" t="str">
            <v>Divorced</v>
          </cell>
          <cell r="N1148">
            <v>4724</v>
          </cell>
          <cell r="O1148">
            <v>1</v>
          </cell>
          <cell r="P1148" t="str">
            <v>No</v>
          </cell>
          <cell r="Q1148">
            <v>1</v>
          </cell>
          <cell r="R1148">
            <v>9</v>
          </cell>
          <cell r="S1148">
            <v>3</v>
          </cell>
          <cell r="T1148">
            <v>9</v>
          </cell>
          <cell r="U1148">
            <v>7</v>
          </cell>
          <cell r="V1148">
            <v>7</v>
          </cell>
          <cell r="W1148">
            <v>2</v>
          </cell>
          <cell r="X1148">
            <v>13</v>
          </cell>
          <cell r="Y1148">
            <v>0</v>
          </cell>
          <cell r="Z1148" t="str">
            <v>Mid</v>
          </cell>
          <cell r="AA1148" t="str">
            <v>Low</v>
          </cell>
          <cell r="AB1148" t="str">
            <v>Long</v>
          </cell>
          <cell r="AC1148" t="str">
            <v>Medium</v>
          </cell>
          <cell r="AD1148">
            <v>1615</v>
          </cell>
        </row>
        <row r="1149">
          <cell r="A1149">
            <v>49</v>
          </cell>
          <cell r="B1149" t="str">
            <v>No</v>
          </cell>
          <cell r="C1149" t="str">
            <v>Research &amp; Development</v>
          </cell>
          <cell r="D1149">
            <v>25</v>
          </cell>
          <cell r="E1149">
            <v>4</v>
          </cell>
          <cell r="F1149" t="str">
            <v>Life Sciences</v>
          </cell>
          <cell r="G1149">
            <v>3</v>
          </cell>
          <cell r="H1149" t="str">
            <v>Female</v>
          </cell>
          <cell r="I1149">
            <v>3</v>
          </cell>
          <cell r="J1149">
            <v>1</v>
          </cell>
          <cell r="K1149" t="str">
            <v>Laboratory Technician</v>
          </cell>
          <cell r="L1149">
            <v>1</v>
          </cell>
          <cell r="M1149" t="str">
            <v>Married</v>
          </cell>
          <cell r="N1149">
            <v>3211</v>
          </cell>
          <cell r="O1149">
            <v>1</v>
          </cell>
          <cell r="P1149" t="str">
            <v>No</v>
          </cell>
          <cell r="Q1149">
            <v>4</v>
          </cell>
          <cell r="R1149">
            <v>10</v>
          </cell>
          <cell r="S1149">
            <v>2</v>
          </cell>
          <cell r="T1149">
            <v>9</v>
          </cell>
          <cell r="U1149">
            <v>6</v>
          </cell>
          <cell r="V1149">
            <v>1</v>
          </cell>
          <cell r="W1149">
            <v>4</v>
          </cell>
          <cell r="X1149">
            <v>14</v>
          </cell>
          <cell r="Y1149">
            <v>0</v>
          </cell>
          <cell r="Z1149" t="str">
            <v>Senior</v>
          </cell>
          <cell r="AA1149" t="str">
            <v>Low</v>
          </cell>
          <cell r="AB1149" t="str">
            <v>Long</v>
          </cell>
          <cell r="AC1149" t="str">
            <v>Medium</v>
          </cell>
          <cell r="AD1149">
            <v>1617</v>
          </cell>
        </row>
        <row r="1150">
          <cell r="A1150">
            <v>39</v>
          </cell>
          <cell r="B1150" t="str">
            <v>No</v>
          </cell>
          <cell r="C1150" t="str">
            <v>Research &amp; Development</v>
          </cell>
          <cell r="D1150">
            <v>10</v>
          </cell>
          <cell r="E1150">
            <v>5</v>
          </cell>
          <cell r="F1150" t="str">
            <v>Medical</v>
          </cell>
          <cell r="G1150">
            <v>2</v>
          </cell>
          <cell r="H1150" t="str">
            <v>Male</v>
          </cell>
          <cell r="I1150">
            <v>3</v>
          </cell>
          <cell r="J1150">
            <v>2</v>
          </cell>
          <cell r="K1150" t="str">
            <v>Manufacturing Director</v>
          </cell>
          <cell r="L1150">
            <v>1</v>
          </cell>
          <cell r="M1150" t="str">
            <v>Married</v>
          </cell>
          <cell r="N1150">
            <v>5377</v>
          </cell>
          <cell r="O1150">
            <v>2</v>
          </cell>
          <cell r="P1150" t="str">
            <v>No</v>
          </cell>
          <cell r="Q1150">
            <v>4</v>
          </cell>
          <cell r="R1150">
            <v>10</v>
          </cell>
          <cell r="S1150">
            <v>3</v>
          </cell>
          <cell r="T1150">
            <v>7</v>
          </cell>
          <cell r="U1150">
            <v>7</v>
          </cell>
          <cell r="V1150">
            <v>7</v>
          </cell>
          <cell r="W1150">
            <v>7</v>
          </cell>
          <cell r="X1150">
            <v>13</v>
          </cell>
          <cell r="Y1150">
            <v>0</v>
          </cell>
          <cell r="Z1150" t="str">
            <v>Mid</v>
          </cell>
          <cell r="AA1150" t="str">
            <v>Medium</v>
          </cell>
          <cell r="AB1150" t="str">
            <v>Long</v>
          </cell>
          <cell r="AC1150" t="str">
            <v>Medium</v>
          </cell>
          <cell r="AD1150">
            <v>1618</v>
          </cell>
        </row>
        <row r="1151">
          <cell r="A1151">
            <v>27</v>
          </cell>
          <cell r="B1151" t="str">
            <v>No</v>
          </cell>
          <cell r="C1151" t="str">
            <v>Research &amp; Development</v>
          </cell>
          <cell r="D1151">
            <v>19</v>
          </cell>
          <cell r="E1151">
            <v>3</v>
          </cell>
          <cell r="F1151" t="str">
            <v>Other</v>
          </cell>
          <cell r="G1151">
            <v>4</v>
          </cell>
          <cell r="H1151" t="str">
            <v>Male</v>
          </cell>
          <cell r="I1151">
            <v>2</v>
          </cell>
          <cell r="J1151">
            <v>1</v>
          </cell>
          <cell r="K1151" t="str">
            <v>Laboratory Technician</v>
          </cell>
          <cell r="L1151">
            <v>1</v>
          </cell>
          <cell r="M1151" t="str">
            <v>Divorced</v>
          </cell>
          <cell r="N1151">
            <v>4066</v>
          </cell>
          <cell r="O1151">
            <v>1</v>
          </cell>
          <cell r="P1151" t="str">
            <v>No</v>
          </cell>
          <cell r="Q1151">
            <v>1</v>
          </cell>
          <cell r="R1151">
            <v>7</v>
          </cell>
          <cell r="S1151">
            <v>3</v>
          </cell>
          <cell r="T1151">
            <v>7</v>
          </cell>
          <cell r="U1151">
            <v>7</v>
          </cell>
          <cell r="V1151">
            <v>0</v>
          </cell>
          <cell r="W1151">
            <v>7</v>
          </cell>
          <cell r="X1151">
            <v>11</v>
          </cell>
          <cell r="Y1151">
            <v>0</v>
          </cell>
          <cell r="Z1151" t="str">
            <v>Young</v>
          </cell>
          <cell r="AA1151" t="str">
            <v>Low</v>
          </cell>
          <cell r="AB1151" t="str">
            <v>Long</v>
          </cell>
          <cell r="AC1151" t="str">
            <v>Low</v>
          </cell>
          <cell r="AD1151">
            <v>1619</v>
          </cell>
        </row>
        <row r="1152">
          <cell r="A1152">
            <v>35</v>
          </cell>
          <cell r="B1152" t="str">
            <v>No</v>
          </cell>
          <cell r="C1152" t="str">
            <v>Research &amp; Development</v>
          </cell>
          <cell r="D1152">
            <v>18</v>
          </cell>
          <cell r="E1152">
            <v>5</v>
          </cell>
          <cell r="F1152" t="str">
            <v>Life Sciences</v>
          </cell>
          <cell r="G1152">
            <v>2</v>
          </cell>
          <cell r="H1152" t="str">
            <v>Male</v>
          </cell>
          <cell r="I1152">
            <v>4</v>
          </cell>
          <cell r="J1152">
            <v>2</v>
          </cell>
          <cell r="K1152" t="str">
            <v>Research Scientist</v>
          </cell>
          <cell r="L1152">
            <v>1</v>
          </cell>
          <cell r="M1152" t="str">
            <v>Married</v>
          </cell>
          <cell r="N1152">
            <v>5208</v>
          </cell>
          <cell r="O1152">
            <v>1</v>
          </cell>
          <cell r="P1152" t="str">
            <v>No</v>
          </cell>
          <cell r="Q1152">
            <v>4</v>
          </cell>
          <cell r="R1152">
            <v>16</v>
          </cell>
          <cell r="S1152">
            <v>3</v>
          </cell>
          <cell r="T1152">
            <v>16</v>
          </cell>
          <cell r="U1152">
            <v>15</v>
          </cell>
          <cell r="V1152">
            <v>1</v>
          </cell>
          <cell r="W1152">
            <v>10</v>
          </cell>
          <cell r="X1152">
            <v>11</v>
          </cell>
          <cell r="Y1152">
            <v>0</v>
          </cell>
          <cell r="Z1152" t="str">
            <v>Mid</v>
          </cell>
          <cell r="AA1152" t="str">
            <v>Medium</v>
          </cell>
          <cell r="AB1152" t="str">
            <v>Long</v>
          </cell>
          <cell r="AC1152" t="str">
            <v>Low</v>
          </cell>
          <cell r="AD1152">
            <v>1621</v>
          </cell>
        </row>
        <row r="1153">
          <cell r="A1153">
            <v>28</v>
          </cell>
          <cell r="B1153" t="str">
            <v>No</v>
          </cell>
          <cell r="C1153" t="str">
            <v>Research &amp; Development</v>
          </cell>
          <cell r="D1153">
            <v>27</v>
          </cell>
          <cell r="E1153">
            <v>3</v>
          </cell>
          <cell r="F1153" t="str">
            <v>Medical</v>
          </cell>
          <cell r="G1153">
            <v>2</v>
          </cell>
          <cell r="H1153" t="str">
            <v>Female</v>
          </cell>
          <cell r="I1153">
            <v>1</v>
          </cell>
          <cell r="J1153">
            <v>2</v>
          </cell>
          <cell r="K1153" t="str">
            <v>Manufacturing Director</v>
          </cell>
          <cell r="L1153">
            <v>1</v>
          </cell>
          <cell r="M1153" t="str">
            <v>Divorced</v>
          </cell>
          <cell r="N1153">
            <v>4877</v>
          </cell>
          <cell r="O1153">
            <v>0</v>
          </cell>
          <cell r="P1153" t="str">
            <v>No</v>
          </cell>
          <cell r="Q1153">
            <v>2</v>
          </cell>
          <cell r="R1153">
            <v>6</v>
          </cell>
          <cell r="S1153">
            <v>2</v>
          </cell>
          <cell r="T1153">
            <v>5</v>
          </cell>
          <cell r="U1153">
            <v>3</v>
          </cell>
          <cell r="V1153">
            <v>0</v>
          </cell>
          <cell r="W1153">
            <v>0</v>
          </cell>
          <cell r="X1153">
            <v>21</v>
          </cell>
          <cell r="Y1153">
            <v>0</v>
          </cell>
          <cell r="Z1153" t="str">
            <v>Young</v>
          </cell>
          <cell r="AA1153" t="str">
            <v>Low</v>
          </cell>
          <cell r="AB1153" t="str">
            <v>Mid</v>
          </cell>
          <cell r="AC1153" t="str">
            <v>High</v>
          </cell>
          <cell r="AD1153">
            <v>1622</v>
          </cell>
        </row>
        <row r="1154">
          <cell r="A1154">
            <v>21</v>
          </cell>
          <cell r="B1154" t="str">
            <v>No</v>
          </cell>
          <cell r="C1154" t="str">
            <v>Research &amp; Development</v>
          </cell>
          <cell r="D1154">
            <v>5</v>
          </cell>
          <cell r="E1154">
            <v>1</v>
          </cell>
          <cell r="F1154" t="str">
            <v>Medical</v>
          </cell>
          <cell r="G1154">
            <v>3</v>
          </cell>
          <cell r="H1154" t="str">
            <v>Male</v>
          </cell>
          <cell r="I1154">
            <v>3</v>
          </cell>
          <cell r="J1154">
            <v>1</v>
          </cell>
          <cell r="K1154" t="str">
            <v>Research Scientist</v>
          </cell>
          <cell r="L1154">
            <v>4</v>
          </cell>
          <cell r="M1154" t="str">
            <v>Single</v>
          </cell>
          <cell r="N1154">
            <v>3117</v>
          </cell>
          <cell r="O1154">
            <v>1</v>
          </cell>
          <cell r="P1154" t="str">
            <v>No</v>
          </cell>
          <cell r="Q1154">
            <v>3</v>
          </cell>
          <cell r="R1154">
            <v>3</v>
          </cell>
          <cell r="S1154">
            <v>3</v>
          </cell>
          <cell r="T1154">
            <v>2</v>
          </cell>
          <cell r="U1154">
            <v>2</v>
          </cell>
          <cell r="V1154">
            <v>2</v>
          </cell>
          <cell r="W1154">
            <v>2</v>
          </cell>
          <cell r="X1154">
            <v>18</v>
          </cell>
          <cell r="Y1154">
            <v>0</v>
          </cell>
          <cell r="Z1154" t="str">
            <v>Young</v>
          </cell>
          <cell r="AA1154" t="str">
            <v>Low</v>
          </cell>
          <cell r="AB1154" t="str">
            <v>Early</v>
          </cell>
          <cell r="AC1154" t="str">
            <v>High</v>
          </cell>
          <cell r="AD1154">
            <v>1623</v>
          </cell>
        </row>
        <row r="1155">
          <cell r="A1155">
            <v>18</v>
          </cell>
          <cell r="B1155" t="str">
            <v>Yes</v>
          </cell>
          <cell r="C1155" t="str">
            <v>Sales</v>
          </cell>
          <cell r="D1155">
            <v>3</v>
          </cell>
          <cell r="E1155">
            <v>2</v>
          </cell>
          <cell r="F1155" t="str">
            <v>Medical</v>
          </cell>
          <cell r="G1155">
            <v>2</v>
          </cell>
          <cell r="H1155" t="str">
            <v>Female</v>
          </cell>
          <cell r="I1155">
            <v>3</v>
          </cell>
          <cell r="J1155">
            <v>1</v>
          </cell>
          <cell r="K1155" t="str">
            <v>Sales Representative</v>
          </cell>
          <cell r="L1155">
            <v>4</v>
          </cell>
          <cell r="M1155" t="str">
            <v>Single</v>
          </cell>
          <cell r="N1155">
            <v>1569</v>
          </cell>
          <cell r="O1155">
            <v>1</v>
          </cell>
          <cell r="P1155" t="str">
            <v>Yes</v>
          </cell>
          <cell r="Q1155">
            <v>3</v>
          </cell>
          <cell r="R1155">
            <v>0</v>
          </cell>
          <cell r="S1155">
            <v>4</v>
          </cell>
          <cell r="T1155">
            <v>0</v>
          </cell>
          <cell r="U1155">
            <v>0</v>
          </cell>
          <cell r="V1155">
            <v>0</v>
          </cell>
          <cell r="W1155">
            <v>0</v>
          </cell>
          <cell r="X1155">
            <v>12</v>
          </cell>
          <cell r="Y1155">
            <v>1</v>
          </cell>
          <cell r="Z1155" t="str">
            <v>Young</v>
          </cell>
          <cell r="AA1155" t="str">
            <v>Low</v>
          </cell>
          <cell r="AB1155" t="str">
            <v>Early</v>
          </cell>
          <cell r="AC1155" t="str">
            <v>Low</v>
          </cell>
          <cell r="AD1155">
            <v>1624</v>
          </cell>
        </row>
        <row r="1156">
          <cell r="A1156">
            <v>47</v>
          </cell>
          <cell r="B1156" t="str">
            <v>No</v>
          </cell>
          <cell r="C1156" t="str">
            <v>Human Resources</v>
          </cell>
          <cell r="D1156">
            <v>26</v>
          </cell>
          <cell r="E1156">
            <v>4</v>
          </cell>
          <cell r="F1156" t="str">
            <v>Life Sciences</v>
          </cell>
          <cell r="G1156">
            <v>4</v>
          </cell>
          <cell r="H1156" t="str">
            <v>Female</v>
          </cell>
          <cell r="I1156">
            <v>3</v>
          </cell>
          <cell r="J1156">
            <v>5</v>
          </cell>
          <cell r="K1156" t="str">
            <v>Manager</v>
          </cell>
          <cell r="L1156">
            <v>3</v>
          </cell>
          <cell r="M1156" t="str">
            <v>Married</v>
          </cell>
          <cell r="N1156">
            <v>19658</v>
          </cell>
          <cell r="O1156">
            <v>3</v>
          </cell>
          <cell r="P1156" t="str">
            <v>No</v>
          </cell>
          <cell r="Q1156">
            <v>3</v>
          </cell>
          <cell r="R1156">
            <v>27</v>
          </cell>
          <cell r="S1156">
            <v>3</v>
          </cell>
          <cell r="T1156">
            <v>5</v>
          </cell>
          <cell r="U1156">
            <v>2</v>
          </cell>
          <cell r="V1156">
            <v>1</v>
          </cell>
          <cell r="W1156">
            <v>0</v>
          </cell>
          <cell r="X1156">
            <v>11</v>
          </cell>
          <cell r="Y1156">
            <v>0</v>
          </cell>
          <cell r="Z1156" t="str">
            <v>Senior</v>
          </cell>
          <cell r="AA1156" t="str">
            <v>High</v>
          </cell>
          <cell r="AB1156" t="str">
            <v>Mid</v>
          </cell>
          <cell r="AC1156" t="str">
            <v>Low</v>
          </cell>
          <cell r="AD1156">
            <v>1625</v>
          </cell>
        </row>
        <row r="1157">
          <cell r="A1157">
            <v>39</v>
          </cell>
          <cell r="B1157" t="str">
            <v>No</v>
          </cell>
          <cell r="C1157" t="str">
            <v>Research &amp; Development</v>
          </cell>
          <cell r="D1157">
            <v>3</v>
          </cell>
          <cell r="E1157">
            <v>2</v>
          </cell>
          <cell r="F1157" t="str">
            <v>Medical</v>
          </cell>
          <cell r="G1157">
            <v>3</v>
          </cell>
          <cell r="H1157" t="str">
            <v>Male</v>
          </cell>
          <cell r="I1157">
            <v>2</v>
          </cell>
          <cell r="J1157">
            <v>2</v>
          </cell>
          <cell r="K1157" t="str">
            <v>Laboratory Technician</v>
          </cell>
          <cell r="L1157">
            <v>3</v>
          </cell>
          <cell r="M1157" t="str">
            <v>Divorced</v>
          </cell>
          <cell r="N1157">
            <v>3069</v>
          </cell>
          <cell r="O1157">
            <v>0</v>
          </cell>
          <cell r="P1157" t="str">
            <v>No</v>
          </cell>
          <cell r="Q1157">
            <v>4</v>
          </cell>
          <cell r="R1157">
            <v>11</v>
          </cell>
          <cell r="S1157">
            <v>3</v>
          </cell>
          <cell r="T1157">
            <v>10</v>
          </cell>
          <cell r="U1157">
            <v>8</v>
          </cell>
          <cell r="V1157">
            <v>0</v>
          </cell>
          <cell r="W1157">
            <v>7</v>
          </cell>
          <cell r="X1157">
            <v>15</v>
          </cell>
          <cell r="Y1157">
            <v>0</v>
          </cell>
          <cell r="Z1157" t="str">
            <v>Mid</v>
          </cell>
          <cell r="AA1157" t="str">
            <v>Low</v>
          </cell>
          <cell r="AB1157" t="str">
            <v>Long</v>
          </cell>
          <cell r="AC1157" t="str">
            <v>Medium</v>
          </cell>
          <cell r="AD1157">
            <v>1627</v>
          </cell>
        </row>
        <row r="1158">
          <cell r="A1158">
            <v>40</v>
          </cell>
          <cell r="B1158" t="str">
            <v>No</v>
          </cell>
          <cell r="C1158" t="str">
            <v>Research &amp; Development</v>
          </cell>
          <cell r="D1158">
            <v>15</v>
          </cell>
          <cell r="E1158">
            <v>3</v>
          </cell>
          <cell r="F1158" t="str">
            <v>Life Sciences</v>
          </cell>
          <cell r="G1158">
            <v>1</v>
          </cell>
          <cell r="H1158" t="str">
            <v>Female</v>
          </cell>
          <cell r="I1158">
            <v>2</v>
          </cell>
          <cell r="J1158">
            <v>3</v>
          </cell>
          <cell r="K1158" t="str">
            <v>Manufacturing Director</v>
          </cell>
          <cell r="L1158">
            <v>3</v>
          </cell>
          <cell r="M1158" t="str">
            <v>Married</v>
          </cell>
          <cell r="N1158">
            <v>10435</v>
          </cell>
          <cell r="O1158">
            <v>1</v>
          </cell>
          <cell r="P1158" t="str">
            <v>No</v>
          </cell>
          <cell r="Q1158">
            <v>4</v>
          </cell>
          <cell r="R1158">
            <v>18</v>
          </cell>
          <cell r="S1158">
            <v>3</v>
          </cell>
          <cell r="T1158">
            <v>18</v>
          </cell>
          <cell r="U1158">
            <v>15</v>
          </cell>
          <cell r="V1158">
            <v>14</v>
          </cell>
          <cell r="W1158">
            <v>12</v>
          </cell>
          <cell r="X1158">
            <v>13</v>
          </cell>
          <cell r="Y1158">
            <v>0</v>
          </cell>
          <cell r="Z1158" t="str">
            <v>Mid</v>
          </cell>
          <cell r="AA1158" t="str">
            <v>High</v>
          </cell>
          <cell r="AB1158" t="str">
            <v>Long</v>
          </cell>
          <cell r="AC1158" t="str">
            <v>Medium</v>
          </cell>
          <cell r="AD1158">
            <v>1628</v>
          </cell>
        </row>
        <row r="1159">
          <cell r="A1159">
            <v>35</v>
          </cell>
          <cell r="B1159" t="str">
            <v>No</v>
          </cell>
          <cell r="C1159" t="str">
            <v>Research &amp; Development</v>
          </cell>
          <cell r="D1159">
            <v>8</v>
          </cell>
          <cell r="E1159">
            <v>4</v>
          </cell>
          <cell r="F1159" t="str">
            <v>Life Sciences</v>
          </cell>
          <cell r="G1159">
            <v>3</v>
          </cell>
          <cell r="H1159" t="str">
            <v>Female</v>
          </cell>
          <cell r="I1159">
            <v>3</v>
          </cell>
          <cell r="J1159">
            <v>2</v>
          </cell>
          <cell r="K1159" t="str">
            <v>Healthcare Representative</v>
          </cell>
          <cell r="L1159">
            <v>3</v>
          </cell>
          <cell r="M1159" t="str">
            <v>Married</v>
          </cell>
          <cell r="N1159">
            <v>4148</v>
          </cell>
          <cell r="O1159">
            <v>1</v>
          </cell>
          <cell r="P1159" t="str">
            <v>No</v>
          </cell>
          <cell r="Q1159">
            <v>4</v>
          </cell>
          <cell r="R1159">
            <v>15</v>
          </cell>
          <cell r="S1159">
            <v>3</v>
          </cell>
          <cell r="T1159">
            <v>14</v>
          </cell>
          <cell r="U1159">
            <v>11</v>
          </cell>
          <cell r="V1159">
            <v>2</v>
          </cell>
          <cell r="W1159">
            <v>9</v>
          </cell>
          <cell r="X1159">
            <v>12</v>
          </cell>
          <cell r="Y1159">
            <v>0</v>
          </cell>
          <cell r="Z1159" t="str">
            <v>Mid</v>
          </cell>
          <cell r="AA1159" t="str">
            <v>Low</v>
          </cell>
          <cell r="AB1159" t="str">
            <v>Long</v>
          </cell>
          <cell r="AC1159" t="str">
            <v>Low</v>
          </cell>
          <cell r="AD1159">
            <v>1630</v>
          </cell>
        </row>
        <row r="1160">
          <cell r="A1160">
            <v>37</v>
          </cell>
          <cell r="B1160" t="str">
            <v>No</v>
          </cell>
          <cell r="C1160" t="str">
            <v>Research &amp; Development</v>
          </cell>
          <cell r="D1160">
            <v>19</v>
          </cell>
          <cell r="E1160">
            <v>3</v>
          </cell>
          <cell r="F1160" t="str">
            <v>Life Sciences</v>
          </cell>
          <cell r="G1160">
            <v>3</v>
          </cell>
          <cell r="H1160" t="str">
            <v>Male</v>
          </cell>
          <cell r="I1160">
            <v>3</v>
          </cell>
          <cell r="J1160">
            <v>2</v>
          </cell>
          <cell r="K1160" t="str">
            <v>Manufacturing Director</v>
          </cell>
          <cell r="L1160">
            <v>3</v>
          </cell>
          <cell r="M1160" t="str">
            <v>Married</v>
          </cell>
          <cell r="N1160">
            <v>5768</v>
          </cell>
          <cell r="O1160">
            <v>3</v>
          </cell>
          <cell r="P1160" t="str">
            <v>No</v>
          </cell>
          <cell r="Q1160">
            <v>1</v>
          </cell>
          <cell r="R1160">
            <v>9</v>
          </cell>
          <cell r="S1160">
            <v>2</v>
          </cell>
          <cell r="T1160">
            <v>4</v>
          </cell>
          <cell r="U1160">
            <v>3</v>
          </cell>
          <cell r="V1160">
            <v>0</v>
          </cell>
          <cell r="W1160">
            <v>2</v>
          </cell>
          <cell r="X1160">
            <v>17</v>
          </cell>
          <cell r="Y1160">
            <v>0</v>
          </cell>
          <cell r="Z1160" t="str">
            <v>Mid</v>
          </cell>
          <cell r="AA1160" t="str">
            <v>Medium</v>
          </cell>
          <cell r="AB1160" t="str">
            <v>Mid</v>
          </cell>
          <cell r="AC1160" t="str">
            <v>Medium</v>
          </cell>
          <cell r="AD1160">
            <v>1631</v>
          </cell>
        </row>
        <row r="1161">
          <cell r="A1161">
            <v>39</v>
          </cell>
          <cell r="B1161" t="str">
            <v>No</v>
          </cell>
          <cell r="C1161" t="str">
            <v>Research &amp; Development</v>
          </cell>
          <cell r="D1161">
            <v>4</v>
          </cell>
          <cell r="E1161">
            <v>3</v>
          </cell>
          <cell r="F1161" t="str">
            <v>Medical</v>
          </cell>
          <cell r="G1161">
            <v>1</v>
          </cell>
          <cell r="H1161" t="str">
            <v>Female</v>
          </cell>
          <cell r="I1161">
            <v>3</v>
          </cell>
          <cell r="J1161">
            <v>2</v>
          </cell>
          <cell r="K1161" t="str">
            <v>Manufacturing Director</v>
          </cell>
          <cell r="L1161">
            <v>3</v>
          </cell>
          <cell r="M1161" t="str">
            <v>Single</v>
          </cell>
          <cell r="N1161">
            <v>5042</v>
          </cell>
          <cell r="O1161">
            <v>0</v>
          </cell>
          <cell r="P1161" t="str">
            <v>No</v>
          </cell>
          <cell r="Q1161">
            <v>4</v>
          </cell>
          <cell r="R1161">
            <v>10</v>
          </cell>
          <cell r="S1161">
            <v>1</v>
          </cell>
          <cell r="T1161">
            <v>9</v>
          </cell>
          <cell r="U1161">
            <v>2</v>
          </cell>
          <cell r="V1161">
            <v>3</v>
          </cell>
          <cell r="W1161">
            <v>8</v>
          </cell>
          <cell r="X1161">
            <v>13</v>
          </cell>
          <cell r="Y1161">
            <v>0</v>
          </cell>
          <cell r="Z1161" t="str">
            <v>Mid</v>
          </cell>
          <cell r="AA1161" t="str">
            <v>Medium</v>
          </cell>
          <cell r="AB1161" t="str">
            <v>Long</v>
          </cell>
          <cell r="AC1161" t="str">
            <v>Medium</v>
          </cell>
          <cell r="AD1161">
            <v>1633</v>
          </cell>
        </row>
        <row r="1162">
          <cell r="A1162">
            <v>45</v>
          </cell>
          <cell r="B1162" t="str">
            <v>No</v>
          </cell>
          <cell r="C1162" t="str">
            <v>Research &amp; Development</v>
          </cell>
          <cell r="D1162">
            <v>2</v>
          </cell>
          <cell r="E1162">
            <v>2</v>
          </cell>
          <cell r="F1162" t="str">
            <v>Other</v>
          </cell>
          <cell r="G1162">
            <v>4</v>
          </cell>
          <cell r="H1162" t="str">
            <v>Female</v>
          </cell>
          <cell r="I1162">
            <v>2</v>
          </cell>
          <cell r="J1162">
            <v>2</v>
          </cell>
          <cell r="K1162" t="str">
            <v>Manufacturing Director</v>
          </cell>
          <cell r="L1162">
            <v>4</v>
          </cell>
          <cell r="M1162" t="str">
            <v>Divorced</v>
          </cell>
          <cell r="N1162">
            <v>5770</v>
          </cell>
          <cell r="O1162">
            <v>1</v>
          </cell>
          <cell r="P1162" t="str">
            <v>No</v>
          </cell>
          <cell r="Q1162">
            <v>1</v>
          </cell>
          <cell r="R1162">
            <v>10</v>
          </cell>
          <cell r="S1162">
            <v>3</v>
          </cell>
          <cell r="T1162">
            <v>10</v>
          </cell>
          <cell r="U1162">
            <v>7</v>
          </cell>
          <cell r="V1162">
            <v>3</v>
          </cell>
          <cell r="W1162">
            <v>9</v>
          </cell>
          <cell r="X1162">
            <v>19</v>
          </cell>
          <cell r="Y1162">
            <v>0</v>
          </cell>
          <cell r="Z1162" t="str">
            <v>Senior</v>
          </cell>
          <cell r="AA1162" t="str">
            <v>Medium</v>
          </cell>
          <cell r="AB1162" t="str">
            <v>Long</v>
          </cell>
          <cell r="AC1162" t="str">
            <v>High</v>
          </cell>
          <cell r="AD1162">
            <v>1635</v>
          </cell>
        </row>
        <row r="1163">
          <cell r="A1163">
            <v>38</v>
          </cell>
          <cell r="B1163" t="str">
            <v>No</v>
          </cell>
          <cell r="C1163" t="str">
            <v>Research &amp; Development</v>
          </cell>
          <cell r="D1163">
            <v>2</v>
          </cell>
          <cell r="E1163">
            <v>2</v>
          </cell>
          <cell r="F1163" t="str">
            <v>Medical</v>
          </cell>
          <cell r="G1163">
            <v>4</v>
          </cell>
          <cell r="H1163" t="str">
            <v>Female</v>
          </cell>
          <cell r="I1163">
            <v>2</v>
          </cell>
          <cell r="J1163">
            <v>3</v>
          </cell>
          <cell r="K1163" t="str">
            <v>Manufacturing Director</v>
          </cell>
          <cell r="L1163">
            <v>3</v>
          </cell>
          <cell r="M1163" t="str">
            <v>Married</v>
          </cell>
          <cell r="N1163">
            <v>7756</v>
          </cell>
          <cell r="O1163">
            <v>3</v>
          </cell>
          <cell r="P1163" t="str">
            <v>Yes</v>
          </cell>
          <cell r="Q1163">
            <v>4</v>
          </cell>
          <cell r="R1163">
            <v>10</v>
          </cell>
          <cell r="S1163">
            <v>4</v>
          </cell>
          <cell r="T1163">
            <v>5</v>
          </cell>
          <cell r="U1163">
            <v>4</v>
          </cell>
          <cell r="V1163">
            <v>0</v>
          </cell>
          <cell r="W1163">
            <v>2</v>
          </cell>
          <cell r="X1163">
            <v>19</v>
          </cell>
          <cell r="Y1163">
            <v>0</v>
          </cell>
          <cell r="Z1163" t="str">
            <v>Mid</v>
          </cell>
          <cell r="AA1163" t="str">
            <v>Medium</v>
          </cell>
          <cell r="AB1163" t="str">
            <v>Mid</v>
          </cell>
          <cell r="AC1163" t="str">
            <v>High</v>
          </cell>
          <cell r="AD1163">
            <v>1638</v>
          </cell>
        </row>
        <row r="1164">
          <cell r="A1164">
            <v>35</v>
          </cell>
          <cell r="B1164" t="str">
            <v>Yes</v>
          </cell>
          <cell r="C1164" t="str">
            <v>Sales</v>
          </cell>
          <cell r="D1164">
            <v>10</v>
          </cell>
          <cell r="E1164">
            <v>3</v>
          </cell>
          <cell r="F1164" t="str">
            <v>Medical</v>
          </cell>
          <cell r="G1164">
            <v>4</v>
          </cell>
          <cell r="H1164" t="str">
            <v>Male</v>
          </cell>
          <cell r="I1164">
            <v>2</v>
          </cell>
          <cell r="J1164">
            <v>3</v>
          </cell>
          <cell r="K1164" t="str">
            <v>Sales Executive</v>
          </cell>
          <cell r="L1164">
            <v>1</v>
          </cell>
          <cell r="M1164" t="str">
            <v>Married</v>
          </cell>
          <cell r="N1164">
            <v>10306</v>
          </cell>
          <cell r="O1164">
            <v>9</v>
          </cell>
          <cell r="P1164" t="str">
            <v>No</v>
          </cell>
          <cell r="Q1164">
            <v>3</v>
          </cell>
          <cell r="R1164">
            <v>15</v>
          </cell>
          <cell r="S1164">
            <v>3</v>
          </cell>
          <cell r="T1164">
            <v>13</v>
          </cell>
          <cell r="U1164">
            <v>12</v>
          </cell>
          <cell r="V1164">
            <v>6</v>
          </cell>
          <cell r="W1164">
            <v>0</v>
          </cell>
          <cell r="X1164">
            <v>17</v>
          </cell>
          <cell r="Y1164">
            <v>1</v>
          </cell>
          <cell r="Z1164" t="str">
            <v>Mid</v>
          </cell>
          <cell r="AA1164" t="str">
            <v>High</v>
          </cell>
          <cell r="AB1164" t="str">
            <v>Long</v>
          </cell>
          <cell r="AC1164" t="str">
            <v>Medium</v>
          </cell>
          <cell r="AD1164">
            <v>1639</v>
          </cell>
        </row>
        <row r="1165">
          <cell r="A1165">
            <v>37</v>
          </cell>
          <cell r="B1165" t="str">
            <v>No</v>
          </cell>
          <cell r="C1165" t="str">
            <v>Research &amp; Development</v>
          </cell>
          <cell r="D1165">
            <v>10</v>
          </cell>
          <cell r="E1165">
            <v>3</v>
          </cell>
          <cell r="F1165" t="str">
            <v>Medical</v>
          </cell>
          <cell r="G1165">
            <v>2</v>
          </cell>
          <cell r="H1165" t="str">
            <v>Female</v>
          </cell>
          <cell r="I1165">
            <v>3</v>
          </cell>
          <cell r="J1165">
            <v>1</v>
          </cell>
          <cell r="K1165" t="str">
            <v>Research Scientist</v>
          </cell>
          <cell r="L1165">
            <v>2</v>
          </cell>
          <cell r="M1165" t="str">
            <v>Married</v>
          </cell>
          <cell r="N1165">
            <v>3936</v>
          </cell>
          <cell r="O1165">
            <v>1</v>
          </cell>
          <cell r="P1165" t="str">
            <v>No</v>
          </cell>
          <cell r="Q1165">
            <v>1</v>
          </cell>
          <cell r="R1165">
            <v>8</v>
          </cell>
          <cell r="S1165">
            <v>1</v>
          </cell>
          <cell r="T1165">
            <v>8</v>
          </cell>
          <cell r="U1165">
            <v>4</v>
          </cell>
          <cell r="V1165">
            <v>7</v>
          </cell>
          <cell r="W1165">
            <v>7</v>
          </cell>
          <cell r="X1165">
            <v>11</v>
          </cell>
          <cell r="Y1165">
            <v>0</v>
          </cell>
          <cell r="Z1165" t="str">
            <v>Mid</v>
          </cell>
          <cell r="AA1165" t="str">
            <v>Low</v>
          </cell>
          <cell r="AB1165" t="str">
            <v>Long</v>
          </cell>
          <cell r="AC1165" t="str">
            <v>Low</v>
          </cell>
          <cell r="AD1165">
            <v>1640</v>
          </cell>
        </row>
        <row r="1166">
          <cell r="A1166">
            <v>40</v>
          </cell>
          <cell r="B1166" t="str">
            <v>No</v>
          </cell>
          <cell r="C1166" t="str">
            <v>Research &amp; Development</v>
          </cell>
          <cell r="D1166">
            <v>16</v>
          </cell>
          <cell r="E1166">
            <v>3</v>
          </cell>
          <cell r="F1166" t="str">
            <v>Life Sciences</v>
          </cell>
          <cell r="G1166">
            <v>3</v>
          </cell>
          <cell r="H1166" t="str">
            <v>Female</v>
          </cell>
          <cell r="I1166">
            <v>3</v>
          </cell>
          <cell r="J1166">
            <v>3</v>
          </cell>
          <cell r="K1166" t="str">
            <v>Manufacturing Director</v>
          </cell>
          <cell r="L1166">
            <v>4</v>
          </cell>
          <cell r="M1166" t="str">
            <v>Single</v>
          </cell>
          <cell r="N1166">
            <v>7945</v>
          </cell>
          <cell r="O1166">
            <v>6</v>
          </cell>
          <cell r="P1166" t="str">
            <v>Yes</v>
          </cell>
          <cell r="Q1166">
            <v>4</v>
          </cell>
          <cell r="R1166">
            <v>18</v>
          </cell>
          <cell r="S1166">
            <v>2</v>
          </cell>
          <cell r="T1166">
            <v>4</v>
          </cell>
          <cell r="U1166">
            <v>2</v>
          </cell>
          <cell r="V1166">
            <v>3</v>
          </cell>
          <cell r="W1166">
            <v>3</v>
          </cell>
          <cell r="X1166">
            <v>15</v>
          </cell>
          <cell r="Y1166">
            <v>0</v>
          </cell>
          <cell r="Z1166" t="str">
            <v>Mid</v>
          </cell>
          <cell r="AA1166" t="str">
            <v>Medium</v>
          </cell>
          <cell r="AB1166" t="str">
            <v>Mid</v>
          </cell>
          <cell r="AC1166" t="str">
            <v>Medium</v>
          </cell>
          <cell r="AD1166">
            <v>1641</v>
          </cell>
        </row>
        <row r="1167">
          <cell r="A1167">
            <v>44</v>
          </cell>
          <cell r="B1167" t="str">
            <v>No</v>
          </cell>
          <cell r="C1167" t="str">
            <v>Human Resources</v>
          </cell>
          <cell r="D1167">
            <v>1</v>
          </cell>
          <cell r="E1167">
            <v>5</v>
          </cell>
          <cell r="F1167" t="str">
            <v>Human Resources</v>
          </cell>
          <cell r="G1167">
            <v>1</v>
          </cell>
          <cell r="H1167" t="str">
            <v>Male</v>
          </cell>
          <cell r="I1167">
            <v>3</v>
          </cell>
          <cell r="J1167">
            <v>2</v>
          </cell>
          <cell r="K1167" t="str">
            <v>Human Resources</v>
          </cell>
          <cell r="L1167">
            <v>4</v>
          </cell>
          <cell r="M1167" t="str">
            <v>Married</v>
          </cell>
          <cell r="N1167">
            <v>5743</v>
          </cell>
          <cell r="O1167">
            <v>4</v>
          </cell>
          <cell r="P1167" t="str">
            <v>Yes</v>
          </cell>
          <cell r="Q1167">
            <v>3</v>
          </cell>
          <cell r="R1167">
            <v>14</v>
          </cell>
          <cell r="S1167">
            <v>3</v>
          </cell>
          <cell r="T1167">
            <v>10</v>
          </cell>
          <cell r="U1167">
            <v>7</v>
          </cell>
          <cell r="V1167">
            <v>0</v>
          </cell>
          <cell r="W1167">
            <v>2</v>
          </cell>
          <cell r="X1167">
            <v>11</v>
          </cell>
          <cell r="Y1167">
            <v>0</v>
          </cell>
          <cell r="Z1167" t="str">
            <v>Mid</v>
          </cell>
          <cell r="AA1167" t="str">
            <v>Medium</v>
          </cell>
          <cell r="AB1167" t="str">
            <v>Long</v>
          </cell>
          <cell r="AC1167" t="str">
            <v>Low</v>
          </cell>
          <cell r="AD1167">
            <v>1642</v>
          </cell>
        </row>
        <row r="1168">
          <cell r="A1168">
            <v>48</v>
          </cell>
          <cell r="B1168" t="str">
            <v>No</v>
          </cell>
          <cell r="C1168" t="str">
            <v>Research &amp; Development</v>
          </cell>
          <cell r="D1168">
            <v>4</v>
          </cell>
          <cell r="E1168">
            <v>5</v>
          </cell>
          <cell r="F1168" t="str">
            <v>Medical</v>
          </cell>
          <cell r="G1168">
            <v>3</v>
          </cell>
          <cell r="H1168" t="str">
            <v>Male</v>
          </cell>
          <cell r="I1168">
            <v>2</v>
          </cell>
          <cell r="J1168">
            <v>4</v>
          </cell>
          <cell r="K1168" t="str">
            <v>Manager</v>
          </cell>
          <cell r="L1168">
            <v>4</v>
          </cell>
          <cell r="M1168" t="str">
            <v>Married</v>
          </cell>
          <cell r="N1168">
            <v>15202</v>
          </cell>
          <cell r="O1168">
            <v>2</v>
          </cell>
          <cell r="P1168" t="str">
            <v>No</v>
          </cell>
          <cell r="Q1168">
            <v>2</v>
          </cell>
          <cell r="R1168">
            <v>23</v>
          </cell>
          <cell r="S1168">
            <v>3</v>
          </cell>
          <cell r="T1168">
            <v>2</v>
          </cell>
          <cell r="U1168">
            <v>2</v>
          </cell>
          <cell r="V1168">
            <v>2</v>
          </cell>
          <cell r="W1168">
            <v>2</v>
          </cell>
          <cell r="X1168">
            <v>25</v>
          </cell>
          <cell r="Y1168">
            <v>0</v>
          </cell>
          <cell r="Z1168" t="str">
            <v>Senior</v>
          </cell>
          <cell r="AA1168" t="str">
            <v>High</v>
          </cell>
          <cell r="AB1168" t="str">
            <v>Early</v>
          </cell>
          <cell r="AC1168" t="str">
            <v>High</v>
          </cell>
          <cell r="AD1168">
            <v>1644</v>
          </cell>
        </row>
        <row r="1169">
          <cell r="A1169">
            <v>35</v>
          </cell>
          <cell r="B1169" t="str">
            <v>Yes</v>
          </cell>
          <cell r="C1169" t="str">
            <v>Sales</v>
          </cell>
          <cell r="D1169">
            <v>15</v>
          </cell>
          <cell r="E1169">
            <v>2</v>
          </cell>
          <cell r="F1169" t="str">
            <v>Medical</v>
          </cell>
          <cell r="G1169">
            <v>1</v>
          </cell>
          <cell r="H1169" t="str">
            <v>Male</v>
          </cell>
          <cell r="I1169">
            <v>1</v>
          </cell>
          <cell r="J1169">
            <v>2</v>
          </cell>
          <cell r="K1169" t="str">
            <v>Sales Executive</v>
          </cell>
          <cell r="L1169">
            <v>4</v>
          </cell>
          <cell r="M1169" t="str">
            <v>Divorced</v>
          </cell>
          <cell r="N1169">
            <v>5440</v>
          </cell>
          <cell r="O1169">
            <v>6</v>
          </cell>
          <cell r="P1169" t="str">
            <v>Yes</v>
          </cell>
          <cell r="Q1169">
            <v>4</v>
          </cell>
          <cell r="R1169">
            <v>7</v>
          </cell>
          <cell r="S1169">
            <v>2</v>
          </cell>
          <cell r="T1169">
            <v>2</v>
          </cell>
          <cell r="U1169">
            <v>2</v>
          </cell>
          <cell r="V1169">
            <v>2</v>
          </cell>
          <cell r="W1169">
            <v>2</v>
          </cell>
          <cell r="X1169">
            <v>14</v>
          </cell>
          <cell r="Y1169">
            <v>1</v>
          </cell>
          <cell r="Z1169" t="str">
            <v>Mid</v>
          </cell>
          <cell r="AA1169" t="str">
            <v>Medium</v>
          </cell>
          <cell r="AB1169" t="str">
            <v>Early</v>
          </cell>
          <cell r="AC1169" t="str">
            <v>Medium</v>
          </cell>
          <cell r="AD1169">
            <v>1645</v>
          </cell>
        </row>
        <row r="1170">
          <cell r="A1170">
            <v>24</v>
          </cell>
          <cell r="B1170" t="str">
            <v>No</v>
          </cell>
          <cell r="C1170" t="str">
            <v>Research &amp; Development</v>
          </cell>
          <cell r="D1170">
            <v>2</v>
          </cell>
          <cell r="E1170">
            <v>1</v>
          </cell>
          <cell r="F1170" t="str">
            <v>Technical Degree</v>
          </cell>
          <cell r="G1170">
            <v>1</v>
          </cell>
          <cell r="H1170" t="str">
            <v>Female</v>
          </cell>
          <cell r="I1170">
            <v>3</v>
          </cell>
          <cell r="J1170">
            <v>1</v>
          </cell>
          <cell r="K1170" t="str">
            <v>Research Scientist</v>
          </cell>
          <cell r="L1170">
            <v>4</v>
          </cell>
          <cell r="M1170" t="str">
            <v>Single</v>
          </cell>
          <cell r="N1170">
            <v>3760</v>
          </cell>
          <cell r="O1170">
            <v>1</v>
          </cell>
          <cell r="P1170" t="str">
            <v>Yes</v>
          </cell>
          <cell r="Q1170">
            <v>3</v>
          </cell>
          <cell r="R1170">
            <v>6</v>
          </cell>
          <cell r="S1170">
            <v>3</v>
          </cell>
          <cell r="T1170">
            <v>6</v>
          </cell>
          <cell r="U1170">
            <v>3</v>
          </cell>
          <cell r="V1170">
            <v>1</v>
          </cell>
          <cell r="W1170">
            <v>3</v>
          </cell>
          <cell r="X1170">
            <v>13</v>
          </cell>
          <cell r="Y1170">
            <v>0</v>
          </cell>
          <cell r="Z1170" t="str">
            <v>Young</v>
          </cell>
          <cell r="AA1170" t="str">
            <v>Low</v>
          </cell>
          <cell r="AB1170" t="str">
            <v>Mid</v>
          </cell>
          <cell r="AC1170" t="str">
            <v>Medium</v>
          </cell>
          <cell r="AD1170">
            <v>1646</v>
          </cell>
        </row>
        <row r="1171">
          <cell r="A1171">
            <v>27</v>
          </cell>
          <cell r="B1171" t="str">
            <v>No</v>
          </cell>
          <cell r="C1171" t="str">
            <v>Research &amp; Development</v>
          </cell>
          <cell r="D1171">
            <v>8</v>
          </cell>
          <cell r="E1171">
            <v>3</v>
          </cell>
          <cell r="F1171" t="str">
            <v>Medical</v>
          </cell>
          <cell r="G1171">
            <v>2</v>
          </cell>
          <cell r="H1171" t="str">
            <v>Female</v>
          </cell>
          <cell r="I1171">
            <v>4</v>
          </cell>
          <cell r="J1171">
            <v>1</v>
          </cell>
          <cell r="K1171" t="str">
            <v>Research Scientist</v>
          </cell>
          <cell r="L1171">
            <v>3</v>
          </cell>
          <cell r="M1171" t="str">
            <v>Married</v>
          </cell>
          <cell r="N1171">
            <v>3517</v>
          </cell>
          <cell r="O1171">
            <v>7</v>
          </cell>
          <cell r="P1171" t="str">
            <v>No</v>
          </cell>
          <cell r="Q1171">
            <v>1</v>
          </cell>
          <cell r="R1171">
            <v>5</v>
          </cell>
          <cell r="S1171">
            <v>3</v>
          </cell>
          <cell r="T1171">
            <v>3</v>
          </cell>
          <cell r="U1171">
            <v>2</v>
          </cell>
          <cell r="V1171">
            <v>0</v>
          </cell>
          <cell r="W1171">
            <v>2</v>
          </cell>
          <cell r="X1171">
            <v>17</v>
          </cell>
          <cell r="Y1171">
            <v>0</v>
          </cell>
          <cell r="Z1171" t="str">
            <v>Young</v>
          </cell>
          <cell r="AA1171" t="str">
            <v>Low</v>
          </cell>
          <cell r="AB1171" t="str">
            <v>Mid</v>
          </cell>
          <cell r="AC1171" t="str">
            <v>Medium</v>
          </cell>
          <cell r="AD1171">
            <v>1647</v>
          </cell>
        </row>
        <row r="1172">
          <cell r="A1172">
            <v>27</v>
          </cell>
          <cell r="B1172" t="str">
            <v>No</v>
          </cell>
          <cell r="C1172" t="str">
            <v>Research &amp; Development</v>
          </cell>
          <cell r="D1172">
            <v>2</v>
          </cell>
          <cell r="E1172">
            <v>3</v>
          </cell>
          <cell r="F1172" t="str">
            <v>Medical</v>
          </cell>
          <cell r="G1172">
            <v>4</v>
          </cell>
          <cell r="H1172" t="str">
            <v>Male</v>
          </cell>
          <cell r="I1172">
            <v>3</v>
          </cell>
          <cell r="J1172">
            <v>1</v>
          </cell>
          <cell r="K1172" t="str">
            <v>Research Scientist</v>
          </cell>
          <cell r="L1172">
            <v>4</v>
          </cell>
          <cell r="M1172" t="str">
            <v>Single</v>
          </cell>
          <cell r="N1172">
            <v>2580</v>
          </cell>
          <cell r="O1172">
            <v>2</v>
          </cell>
          <cell r="P1172" t="str">
            <v>No</v>
          </cell>
          <cell r="Q1172">
            <v>3</v>
          </cell>
          <cell r="R1172">
            <v>6</v>
          </cell>
          <cell r="S1172">
            <v>2</v>
          </cell>
          <cell r="T1172">
            <v>4</v>
          </cell>
          <cell r="U1172">
            <v>2</v>
          </cell>
          <cell r="V1172">
            <v>1</v>
          </cell>
          <cell r="W1172">
            <v>2</v>
          </cell>
          <cell r="X1172">
            <v>13</v>
          </cell>
          <cell r="Y1172">
            <v>0</v>
          </cell>
          <cell r="Z1172" t="str">
            <v>Young</v>
          </cell>
          <cell r="AA1172" t="str">
            <v>Low</v>
          </cell>
          <cell r="AB1172" t="str">
            <v>Mid</v>
          </cell>
          <cell r="AC1172" t="str">
            <v>Medium</v>
          </cell>
          <cell r="AD1172">
            <v>1648</v>
          </cell>
        </row>
        <row r="1173">
          <cell r="A1173">
            <v>40</v>
          </cell>
          <cell r="B1173" t="str">
            <v>Yes</v>
          </cell>
          <cell r="C1173" t="str">
            <v>Research &amp; Development</v>
          </cell>
          <cell r="D1173">
            <v>7</v>
          </cell>
          <cell r="E1173">
            <v>3</v>
          </cell>
          <cell r="F1173" t="str">
            <v>Life Sciences</v>
          </cell>
          <cell r="G1173">
            <v>1</v>
          </cell>
          <cell r="H1173" t="str">
            <v>Male</v>
          </cell>
          <cell r="I1173">
            <v>3</v>
          </cell>
          <cell r="J1173">
            <v>1</v>
          </cell>
          <cell r="K1173" t="str">
            <v>Laboratory Technician</v>
          </cell>
          <cell r="L1173">
            <v>1</v>
          </cell>
          <cell r="M1173" t="str">
            <v>Single</v>
          </cell>
          <cell r="N1173">
            <v>2166</v>
          </cell>
          <cell r="O1173">
            <v>3</v>
          </cell>
          <cell r="P1173" t="str">
            <v>Yes</v>
          </cell>
          <cell r="Q1173">
            <v>2</v>
          </cell>
          <cell r="R1173">
            <v>10</v>
          </cell>
          <cell r="S1173">
            <v>1</v>
          </cell>
          <cell r="T1173">
            <v>4</v>
          </cell>
          <cell r="U1173">
            <v>2</v>
          </cell>
          <cell r="V1173">
            <v>0</v>
          </cell>
          <cell r="W1173">
            <v>3</v>
          </cell>
          <cell r="X1173">
            <v>14</v>
          </cell>
          <cell r="Y1173">
            <v>1</v>
          </cell>
          <cell r="Z1173" t="str">
            <v>Mid</v>
          </cell>
          <cell r="AA1173" t="str">
            <v>Low</v>
          </cell>
          <cell r="AB1173" t="str">
            <v>Mid</v>
          </cell>
          <cell r="AC1173" t="str">
            <v>Medium</v>
          </cell>
          <cell r="AD1173">
            <v>1649</v>
          </cell>
        </row>
        <row r="1174">
          <cell r="A1174">
            <v>29</v>
          </cell>
          <cell r="B1174" t="str">
            <v>No</v>
          </cell>
          <cell r="C1174" t="str">
            <v>Sales</v>
          </cell>
          <cell r="D1174">
            <v>10</v>
          </cell>
          <cell r="E1174">
            <v>3</v>
          </cell>
          <cell r="F1174" t="str">
            <v>Medical</v>
          </cell>
          <cell r="G1174">
            <v>3</v>
          </cell>
          <cell r="H1174" t="str">
            <v>Male</v>
          </cell>
          <cell r="I1174">
            <v>2</v>
          </cell>
          <cell r="J1174">
            <v>2</v>
          </cell>
          <cell r="K1174" t="str">
            <v>Sales Executive</v>
          </cell>
          <cell r="L1174">
            <v>3</v>
          </cell>
          <cell r="M1174" t="str">
            <v>Single</v>
          </cell>
          <cell r="N1174">
            <v>5869</v>
          </cell>
          <cell r="O1174">
            <v>9</v>
          </cell>
          <cell r="P1174" t="str">
            <v>No</v>
          </cell>
          <cell r="Q1174">
            <v>3</v>
          </cell>
          <cell r="R1174">
            <v>8</v>
          </cell>
          <cell r="S1174">
            <v>3</v>
          </cell>
          <cell r="T1174">
            <v>5</v>
          </cell>
          <cell r="U1174">
            <v>2</v>
          </cell>
          <cell r="V1174">
            <v>1</v>
          </cell>
          <cell r="W1174">
            <v>4</v>
          </cell>
          <cell r="X1174">
            <v>11</v>
          </cell>
          <cell r="Y1174">
            <v>0</v>
          </cell>
          <cell r="Z1174" t="str">
            <v>Young</v>
          </cell>
          <cell r="AA1174" t="str">
            <v>Medium</v>
          </cell>
          <cell r="AB1174" t="str">
            <v>Mid</v>
          </cell>
          <cell r="AC1174" t="str">
            <v>Low</v>
          </cell>
          <cell r="AD1174">
            <v>1650</v>
          </cell>
        </row>
        <row r="1175">
          <cell r="A1175">
            <v>36</v>
          </cell>
          <cell r="B1175" t="str">
            <v>No</v>
          </cell>
          <cell r="C1175" t="str">
            <v>Research &amp; Development</v>
          </cell>
          <cell r="D1175">
            <v>5</v>
          </cell>
          <cell r="E1175">
            <v>4</v>
          </cell>
          <cell r="F1175" t="str">
            <v>Life Sciences</v>
          </cell>
          <cell r="G1175">
            <v>2</v>
          </cell>
          <cell r="H1175" t="str">
            <v>Female</v>
          </cell>
          <cell r="I1175">
            <v>3</v>
          </cell>
          <cell r="J1175">
            <v>3</v>
          </cell>
          <cell r="K1175" t="str">
            <v>Healthcare Representative</v>
          </cell>
          <cell r="L1175">
            <v>1</v>
          </cell>
          <cell r="M1175" t="str">
            <v>Married</v>
          </cell>
          <cell r="N1175">
            <v>8008</v>
          </cell>
          <cell r="O1175">
            <v>4</v>
          </cell>
          <cell r="P1175" t="str">
            <v>No</v>
          </cell>
          <cell r="Q1175">
            <v>3</v>
          </cell>
          <cell r="R1175">
            <v>9</v>
          </cell>
          <cell r="S1175">
            <v>3</v>
          </cell>
          <cell r="T1175">
            <v>3</v>
          </cell>
          <cell r="U1175">
            <v>2</v>
          </cell>
          <cell r="V1175">
            <v>0</v>
          </cell>
          <cell r="W1175">
            <v>2</v>
          </cell>
          <cell r="X1175">
            <v>12</v>
          </cell>
          <cell r="Y1175">
            <v>0</v>
          </cell>
          <cell r="Z1175" t="str">
            <v>Mid</v>
          </cell>
          <cell r="AA1175" t="str">
            <v>Medium</v>
          </cell>
          <cell r="AB1175" t="str">
            <v>Mid</v>
          </cell>
          <cell r="AC1175" t="str">
            <v>Low</v>
          </cell>
          <cell r="AD1175">
            <v>1651</v>
          </cell>
        </row>
        <row r="1176">
          <cell r="A1176">
            <v>25</v>
          </cell>
          <cell r="B1176" t="str">
            <v>No</v>
          </cell>
          <cell r="C1176" t="str">
            <v>Research &amp; Development</v>
          </cell>
          <cell r="D1176">
            <v>2</v>
          </cell>
          <cell r="E1176">
            <v>1</v>
          </cell>
          <cell r="F1176" t="str">
            <v>Life Sciences</v>
          </cell>
          <cell r="G1176">
            <v>4</v>
          </cell>
          <cell r="H1176" t="str">
            <v>Male</v>
          </cell>
          <cell r="I1176">
            <v>4</v>
          </cell>
          <cell r="J1176">
            <v>2</v>
          </cell>
          <cell r="K1176" t="str">
            <v>Manufacturing Director</v>
          </cell>
          <cell r="L1176">
            <v>3</v>
          </cell>
          <cell r="M1176" t="str">
            <v>Divorced</v>
          </cell>
          <cell r="N1176">
            <v>5206</v>
          </cell>
          <cell r="O1176">
            <v>1</v>
          </cell>
          <cell r="P1176" t="str">
            <v>No</v>
          </cell>
          <cell r="Q1176">
            <v>3</v>
          </cell>
          <cell r="R1176">
            <v>7</v>
          </cell>
          <cell r="S1176">
            <v>3</v>
          </cell>
          <cell r="T1176">
            <v>7</v>
          </cell>
          <cell r="U1176">
            <v>7</v>
          </cell>
          <cell r="V1176">
            <v>0</v>
          </cell>
          <cell r="W1176">
            <v>7</v>
          </cell>
          <cell r="X1176">
            <v>17</v>
          </cell>
          <cell r="Y1176">
            <v>0</v>
          </cell>
          <cell r="Z1176" t="str">
            <v>Young</v>
          </cell>
          <cell r="AA1176" t="str">
            <v>Medium</v>
          </cell>
          <cell r="AB1176" t="str">
            <v>Long</v>
          </cell>
          <cell r="AC1176" t="str">
            <v>Medium</v>
          </cell>
          <cell r="AD1176">
            <v>1653</v>
          </cell>
        </row>
        <row r="1177">
          <cell r="A1177">
            <v>39</v>
          </cell>
          <cell r="B1177" t="str">
            <v>No</v>
          </cell>
          <cell r="C1177" t="str">
            <v>Research &amp; Development</v>
          </cell>
          <cell r="D1177">
            <v>12</v>
          </cell>
          <cell r="E1177">
            <v>3</v>
          </cell>
          <cell r="F1177" t="str">
            <v>Medical</v>
          </cell>
          <cell r="G1177">
            <v>4</v>
          </cell>
          <cell r="H1177" t="str">
            <v>Male</v>
          </cell>
          <cell r="I1177">
            <v>3</v>
          </cell>
          <cell r="J1177">
            <v>2</v>
          </cell>
          <cell r="K1177" t="str">
            <v>Manufacturing Director</v>
          </cell>
          <cell r="L1177">
            <v>2</v>
          </cell>
          <cell r="M1177" t="str">
            <v>Married</v>
          </cell>
          <cell r="N1177">
            <v>5295</v>
          </cell>
          <cell r="O1177">
            <v>4</v>
          </cell>
          <cell r="P1177" t="str">
            <v>No</v>
          </cell>
          <cell r="Q1177">
            <v>3</v>
          </cell>
          <cell r="R1177">
            <v>7</v>
          </cell>
          <cell r="S1177">
            <v>3</v>
          </cell>
          <cell r="T1177">
            <v>5</v>
          </cell>
          <cell r="U1177">
            <v>4</v>
          </cell>
          <cell r="V1177">
            <v>1</v>
          </cell>
          <cell r="W1177">
            <v>0</v>
          </cell>
          <cell r="X1177">
            <v>21</v>
          </cell>
          <cell r="Y1177">
            <v>0</v>
          </cell>
          <cell r="Z1177" t="str">
            <v>Mid</v>
          </cell>
          <cell r="AA1177" t="str">
            <v>Medium</v>
          </cell>
          <cell r="AB1177" t="str">
            <v>Mid</v>
          </cell>
          <cell r="AC1177" t="str">
            <v>High</v>
          </cell>
          <cell r="AD1177">
            <v>1654</v>
          </cell>
        </row>
        <row r="1178">
          <cell r="A1178">
            <v>49</v>
          </cell>
          <cell r="B1178" t="str">
            <v>No</v>
          </cell>
          <cell r="C1178" t="str">
            <v>Research &amp; Development</v>
          </cell>
          <cell r="D1178">
            <v>22</v>
          </cell>
          <cell r="E1178">
            <v>4</v>
          </cell>
          <cell r="F1178" t="str">
            <v>Other</v>
          </cell>
          <cell r="G1178">
            <v>1</v>
          </cell>
          <cell r="H1178" t="str">
            <v>Female</v>
          </cell>
          <cell r="I1178">
            <v>3</v>
          </cell>
          <cell r="J1178">
            <v>4</v>
          </cell>
          <cell r="K1178" t="str">
            <v>Research Director</v>
          </cell>
          <cell r="L1178">
            <v>2</v>
          </cell>
          <cell r="M1178" t="str">
            <v>Married</v>
          </cell>
          <cell r="N1178">
            <v>16413</v>
          </cell>
          <cell r="O1178">
            <v>3</v>
          </cell>
          <cell r="P1178" t="str">
            <v>No</v>
          </cell>
          <cell r="Q1178">
            <v>2</v>
          </cell>
          <cell r="R1178">
            <v>27</v>
          </cell>
          <cell r="S1178">
            <v>3</v>
          </cell>
          <cell r="T1178">
            <v>4</v>
          </cell>
          <cell r="U1178">
            <v>2</v>
          </cell>
          <cell r="V1178">
            <v>1</v>
          </cell>
          <cell r="W1178">
            <v>2</v>
          </cell>
          <cell r="X1178">
            <v>16</v>
          </cell>
          <cell r="Y1178">
            <v>0</v>
          </cell>
          <cell r="Z1178" t="str">
            <v>Senior</v>
          </cell>
          <cell r="AA1178" t="str">
            <v>High</v>
          </cell>
          <cell r="AB1178" t="str">
            <v>Mid</v>
          </cell>
          <cell r="AC1178" t="str">
            <v>Medium</v>
          </cell>
          <cell r="AD1178">
            <v>1655</v>
          </cell>
        </row>
        <row r="1179">
          <cell r="A1179">
            <v>50</v>
          </cell>
          <cell r="B1179" t="str">
            <v>No</v>
          </cell>
          <cell r="C1179" t="str">
            <v>Research &amp; Development</v>
          </cell>
          <cell r="D1179">
            <v>17</v>
          </cell>
          <cell r="E1179">
            <v>5</v>
          </cell>
          <cell r="F1179" t="str">
            <v>Life Sciences</v>
          </cell>
          <cell r="G1179">
            <v>4</v>
          </cell>
          <cell r="H1179" t="str">
            <v>Female</v>
          </cell>
          <cell r="I1179">
            <v>2</v>
          </cell>
          <cell r="J1179">
            <v>3</v>
          </cell>
          <cell r="K1179" t="str">
            <v>Research Director</v>
          </cell>
          <cell r="L1179">
            <v>1</v>
          </cell>
          <cell r="M1179" t="str">
            <v>Divorced</v>
          </cell>
          <cell r="N1179">
            <v>13269</v>
          </cell>
          <cell r="O1179">
            <v>5</v>
          </cell>
          <cell r="P1179" t="str">
            <v>No</v>
          </cell>
          <cell r="Q1179">
            <v>3</v>
          </cell>
          <cell r="R1179">
            <v>19</v>
          </cell>
          <cell r="S1179">
            <v>3</v>
          </cell>
          <cell r="T1179">
            <v>14</v>
          </cell>
          <cell r="U1179">
            <v>11</v>
          </cell>
          <cell r="V1179">
            <v>1</v>
          </cell>
          <cell r="W1179">
            <v>11</v>
          </cell>
          <cell r="X1179">
            <v>15</v>
          </cell>
          <cell r="Y1179">
            <v>0</v>
          </cell>
          <cell r="Z1179" t="str">
            <v>Senior</v>
          </cell>
          <cell r="AA1179" t="str">
            <v>High</v>
          </cell>
          <cell r="AB1179" t="str">
            <v>Long</v>
          </cell>
          <cell r="AC1179" t="str">
            <v>Medium</v>
          </cell>
          <cell r="AD1179">
            <v>1656</v>
          </cell>
        </row>
        <row r="1180">
          <cell r="A1180">
            <v>20</v>
          </cell>
          <cell r="B1180" t="str">
            <v>No</v>
          </cell>
          <cell r="C1180" t="str">
            <v>Sales</v>
          </cell>
          <cell r="D1180">
            <v>2</v>
          </cell>
          <cell r="E1180">
            <v>3</v>
          </cell>
          <cell r="F1180" t="str">
            <v>Medical</v>
          </cell>
          <cell r="G1180">
            <v>3</v>
          </cell>
          <cell r="H1180" t="str">
            <v>Female</v>
          </cell>
          <cell r="I1180">
            <v>3</v>
          </cell>
          <cell r="J1180">
            <v>1</v>
          </cell>
          <cell r="K1180" t="str">
            <v>Sales Representative</v>
          </cell>
          <cell r="L1180">
            <v>3</v>
          </cell>
          <cell r="M1180" t="str">
            <v>Single</v>
          </cell>
          <cell r="N1180">
            <v>2783</v>
          </cell>
          <cell r="O1180">
            <v>1</v>
          </cell>
          <cell r="P1180" t="str">
            <v>No</v>
          </cell>
          <cell r="Q1180">
            <v>1</v>
          </cell>
          <cell r="R1180">
            <v>2</v>
          </cell>
          <cell r="S1180">
            <v>3</v>
          </cell>
          <cell r="T1180">
            <v>2</v>
          </cell>
          <cell r="U1180">
            <v>2</v>
          </cell>
          <cell r="V1180">
            <v>2</v>
          </cell>
          <cell r="W1180">
            <v>2</v>
          </cell>
          <cell r="X1180">
            <v>19</v>
          </cell>
          <cell r="Y1180">
            <v>0</v>
          </cell>
          <cell r="Z1180" t="str">
            <v>Young</v>
          </cell>
          <cell r="AA1180" t="str">
            <v>Low</v>
          </cell>
          <cell r="AB1180" t="str">
            <v>Early</v>
          </cell>
          <cell r="AC1180" t="str">
            <v>High</v>
          </cell>
          <cell r="AD1180">
            <v>1657</v>
          </cell>
        </row>
        <row r="1181">
          <cell r="A1181">
            <v>34</v>
          </cell>
          <cell r="B1181" t="str">
            <v>No</v>
          </cell>
          <cell r="C1181" t="str">
            <v>Research &amp; Development</v>
          </cell>
          <cell r="D1181">
            <v>3</v>
          </cell>
          <cell r="E1181">
            <v>3</v>
          </cell>
          <cell r="F1181" t="str">
            <v>Life Sciences</v>
          </cell>
          <cell r="G1181">
            <v>4</v>
          </cell>
          <cell r="H1181" t="str">
            <v>Female</v>
          </cell>
          <cell r="I1181">
            <v>3</v>
          </cell>
          <cell r="J1181">
            <v>2</v>
          </cell>
          <cell r="K1181" t="str">
            <v>Research Scientist</v>
          </cell>
          <cell r="L1181">
            <v>2</v>
          </cell>
          <cell r="M1181" t="str">
            <v>Divorced</v>
          </cell>
          <cell r="N1181">
            <v>5433</v>
          </cell>
          <cell r="O1181">
            <v>1</v>
          </cell>
          <cell r="P1181" t="str">
            <v>No</v>
          </cell>
          <cell r="Q1181">
            <v>3</v>
          </cell>
          <cell r="R1181">
            <v>11</v>
          </cell>
          <cell r="S1181">
            <v>3</v>
          </cell>
          <cell r="T1181">
            <v>11</v>
          </cell>
          <cell r="U1181">
            <v>8</v>
          </cell>
          <cell r="V1181">
            <v>7</v>
          </cell>
          <cell r="W1181">
            <v>9</v>
          </cell>
          <cell r="X1181">
            <v>12</v>
          </cell>
          <cell r="Y1181">
            <v>0</v>
          </cell>
          <cell r="Z1181" t="str">
            <v>Mid</v>
          </cell>
          <cell r="AA1181" t="str">
            <v>Medium</v>
          </cell>
          <cell r="AB1181" t="str">
            <v>Long</v>
          </cell>
          <cell r="AC1181" t="str">
            <v>Low</v>
          </cell>
          <cell r="AD1181">
            <v>1658</v>
          </cell>
        </row>
        <row r="1182">
          <cell r="A1182">
            <v>36</v>
          </cell>
          <cell r="B1182" t="str">
            <v>No</v>
          </cell>
          <cell r="C1182" t="str">
            <v>Research &amp; Development</v>
          </cell>
          <cell r="D1182">
            <v>7</v>
          </cell>
          <cell r="E1182">
            <v>3</v>
          </cell>
          <cell r="F1182" t="str">
            <v>Life Sciences</v>
          </cell>
          <cell r="G1182">
            <v>1</v>
          </cell>
          <cell r="H1182" t="str">
            <v>Male</v>
          </cell>
          <cell r="I1182">
            <v>3</v>
          </cell>
          <cell r="J1182">
            <v>1</v>
          </cell>
          <cell r="K1182" t="str">
            <v>Laboratory Technician</v>
          </cell>
          <cell r="L1182">
            <v>2</v>
          </cell>
          <cell r="M1182" t="str">
            <v>Single</v>
          </cell>
          <cell r="N1182">
            <v>2013</v>
          </cell>
          <cell r="O1182">
            <v>2</v>
          </cell>
          <cell r="P1182" t="str">
            <v>No</v>
          </cell>
          <cell r="Q1182">
            <v>3</v>
          </cell>
          <cell r="R1182">
            <v>15</v>
          </cell>
          <cell r="S1182">
            <v>3</v>
          </cell>
          <cell r="T1182">
            <v>4</v>
          </cell>
          <cell r="U1182">
            <v>3</v>
          </cell>
          <cell r="V1182">
            <v>1</v>
          </cell>
          <cell r="W1182">
            <v>3</v>
          </cell>
          <cell r="X1182">
            <v>11</v>
          </cell>
          <cell r="Y1182">
            <v>0</v>
          </cell>
          <cell r="Z1182" t="str">
            <v>Mid</v>
          </cell>
          <cell r="AA1182" t="str">
            <v>Low</v>
          </cell>
          <cell r="AB1182" t="str">
            <v>Mid</v>
          </cell>
          <cell r="AC1182" t="str">
            <v>Low</v>
          </cell>
          <cell r="AD1182">
            <v>1659</v>
          </cell>
        </row>
        <row r="1183">
          <cell r="A1183">
            <v>49</v>
          </cell>
          <cell r="B1183" t="str">
            <v>No</v>
          </cell>
          <cell r="C1183" t="str">
            <v>Research &amp; Development</v>
          </cell>
          <cell r="D1183">
            <v>6</v>
          </cell>
          <cell r="E1183">
            <v>1</v>
          </cell>
          <cell r="F1183" t="str">
            <v>Life Sciences</v>
          </cell>
          <cell r="G1183">
            <v>3</v>
          </cell>
          <cell r="H1183" t="str">
            <v>Female</v>
          </cell>
          <cell r="I1183">
            <v>2</v>
          </cell>
          <cell r="J1183">
            <v>4</v>
          </cell>
          <cell r="K1183" t="str">
            <v>Healthcare Representative</v>
          </cell>
          <cell r="L1183">
            <v>3</v>
          </cell>
          <cell r="M1183" t="str">
            <v>Married</v>
          </cell>
          <cell r="N1183">
            <v>13966</v>
          </cell>
          <cell r="O1183">
            <v>2</v>
          </cell>
          <cell r="P1183" t="str">
            <v>Yes</v>
          </cell>
          <cell r="Q1183">
            <v>2</v>
          </cell>
          <cell r="R1183">
            <v>30</v>
          </cell>
          <cell r="S1183">
            <v>3</v>
          </cell>
          <cell r="T1183">
            <v>15</v>
          </cell>
          <cell r="U1183">
            <v>11</v>
          </cell>
          <cell r="V1183">
            <v>2</v>
          </cell>
          <cell r="W1183">
            <v>12</v>
          </cell>
          <cell r="X1183">
            <v>19</v>
          </cell>
          <cell r="Y1183">
            <v>0</v>
          </cell>
          <cell r="Z1183" t="str">
            <v>Senior</v>
          </cell>
          <cell r="AA1183" t="str">
            <v>High</v>
          </cell>
          <cell r="AB1183" t="str">
            <v>Long</v>
          </cell>
          <cell r="AC1183" t="str">
            <v>High</v>
          </cell>
          <cell r="AD1183">
            <v>1661</v>
          </cell>
        </row>
        <row r="1184">
          <cell r="A1184">
            <v>36</v>
          </cell>
          <cell r="B1184" t="str">
            <v>No</v>
          </cell>
          <cell r="C1184" t="str">
            <v>Research &amp; Development</v>
          </cell>
          <cell r="D1184">
            <v>1</v>
          </cell>
          <cell r="E1184">
            <v>4</v>
          </cell>
          <cell r="F1184" t="str">
            <v>Medical</v>
          </cell>
          <cell r="G1184">
            <v>4</v>
          </cell>
          <cell r="H1184" t="str">
            <v>Female</v>
          </cell>
          <cell r="I1184">
            <v>2</v>
          </cell>
          <cell r="J1184">
            <v>2</v>
          </cell>
          <cell r="K1184" t="str">
            <v>Manufacturing Director</v>
          </cell>
          <cell r="L1184">
            <v>3</v>
          </cell>
          <cell r="M1184" t="str">
            <v>Married</v>
          </cell>
          <cell r="N1184">
            <v>4374</v>
          </cell>
          <cell r="O1184">
            <v>0</v>
          </cell>
          <cell r="P1184" t="str">
            <v>No</v>
          </cell>
          <cell r="Q1184">
            <v>3</v>
          </cell>
          <cell r="R1184">
            <v>4</v>
          </cell>
          <cell r="S1184">
            <v>3</v>
          </cell>
          <cell r="T1184">
            <v>3</v>
          </cell>
          <cell r="U1184">
            <v>2</v>
          </cell>
          <cell r="V1184">
            <v>1</v>
          </cell>
          <cell r="W1184">
            <v>2</v>
          </cell>
          <cell r="X1184">
            <v>15</v>
          </cell>
          <cell r="Y1184">
            <v>0</v>
          </cell>
          <cell r="Z1184" t="str">
            <v>Mid</v>
          </cell>
          <cell r="AA1184" t="str">
            <v>Low</v>
          </cell>
          <cell r="AB1184" t="str">
            <v>Mid</v>
          </cell>
          <cell r="AC1184" t="str">
            <v>Medium</v>
          </cell>
          <cell r="AD1184">
            <v>1662</v>
          </cell>
        </row>
        <row r="1185">
          <cell r="A1185">
            <v>36</v>
          </cell>
          <cell r="B1185" t="str">
            <v>No</v>
          </cell>
          <cell r="C1185" t="str">
            <v>Research &amp; Development</v>
          </cell>
          <cell r="D1185">
            <v>3</v>
          </cell>
          <cell r="E1185">
            <v>2</v>
          </cell>
          <cell r="F1185" t="str">
            <v>Life Sciences</v>
          </cell>
          <cell r="G1185">
            <v>4</v>
          </cell>
          <cell r="H1185" t="str">
            <v>Male</v>
          </cell>
          <cell r="I1185">
            <v>4</v>
          </cell>
          <cell r="J1185">
            <v>2</v>
          </cell>
          <cell r="K1185" t="str">
            <v>Healthcare Representative</v>
          </cell>
          <cell r="L1185">
            <v>1</v>
          </cell>
          <cell r="M1185" t="str">
            <v>Divorced</v>
          </cell>
          <cell r="N1185">
            <v>6842</v>
          </cell>
          <cell r="O1185">
            <v>6</v>
          </cell>
          <cell r="P1185" t="str">
            <v>No</v>
          </cell>
          <cell r="Q1185">
            <v>1</v>
          </cell>
          <cell r="R1185">
            <v>13</v>
          </cell>
          <cell r="S1185">
            <v>3</v>
          </cell>
          <cell r="T1185">
            <v>5</v>
          </cell>
          <cell r="U1185">
            <v>4</v>
          </cell>
          <cell r="V1185">
            <v>0</v>
          </cell>
          <cell r="W1185">
            <v>4</v>
          </cell>
          <cell r="X1185">
            <v>20</v>
          </cell>
          <cell r="Y1185">
            <v>0</v>
          </cell>
          <cell r="Z1185" t="str">
            <v>Mid</v>
          </cell>
          <cell r="AA1185" t="str">
            <v>Medium</v>
          </cell>
          <cell r="AB1185" t="str">
            <v>Mid</v>
          </cell>
          <cell r="AC1185" t="str">
            <v>High</v>
          </cell>
          <cell r="AD1185">
            <v>1664</v>
          </cell>
        </row>
        <row r="1186">
          <cell r="A1186">
            <v>54</v>
          </cell>
          <cell r="B1186" t="str">
            <v>No</v>
          </cell>
          <cell r="C1186" t="str">
            <v>Research &amp; Development</v>
          </cell>
          <cell r="D1186">
            <v>22</v>
          </cell>
          <cell r="E1186">
            <v>5</v>
          </cell>
          <cell r="F1186" t="str">
            <v>Medical</v>
          </cell>
          <cell r="G1186">
            <v>2</v>
          </cell>
          <cell r="H1186" t="str">
            <v>Female</v>
          </cell>
          <cell r="I1186">
            <v>3</v>
          </cell>
          <cell r="J1186">
            <v>4</v>
          </cell>
          <cell r="K1186" t="str">
            <v>Manager</v>
          </cell>
          <cell r="L1186">
            <v>3</v>
          </cell>
          <cell r="M1186" t="str">
            <v>Married</v>
          </cell>
          <cell r="N1186">
            <v>17426</v>
          </cell>
          <cell r="O1186">
            <v>3</v>
          </cell>
          <cell r="P1186" t="str">
            <v>No</v>
          </cell>
          <cell r="Q1186">
            <v>3</v>
          </cell>
          <cell r="R1186">
            <v>36</v>
          </cell>
          <cell r="S1186">
            <v>3</v>
          </cell>
          <cell r="T1186">
            <v>10</v>
          </cell>
          <cell r="U1186">
            <v>8</v>
          </cell>
          <cell r="V1186">
            <v>4</v>
          </cell>
          <cell r="W1186">
            <v>7</v>
          </cell>
          <cell r="X1186">
            <v>25</v>
          </cell>
          <cell r="Y1186">
            <v>0</v>
          </cell>
          <cell r="Z1186" t="str">
            <v>Senior</v>
          </cell>
          <cell r="AA1186" t="str">
            <v>High</v>
          </cell>
          <cell r="AB1186" t="str">
            <v>Long</v>
          </cell>
          <cell r="AC1186" t="str">
            <v>High</v>
          </cell>
          <cell r="AD1186">
            <v>1665</v>
          </cell>
        </row>
        <row r="1187">
          <cell r="A1187">
            <v>43</v>
          </cell>
          <cell r="B1187" t="str">
            <v>No</v>
          </cell>
          <cell r="C1187" t="str">
            <v>Research &amp; Development</v>
          </cell>
          <cell r="D1187">
            <v>15</v>
          </cell>
          <cell r="E1187">
            <v>2</v>
          </cell>
          <cell r="F1187" t="str">
            <v>Life Sciences</v>
          </cell>
          <cell r="G1187">
            <v>3</v>
          </cell>
          <cell r="H1187" t="str">
            <v>Male</v>
          </cell>
          <cell r="I1187">
            <v>2</v>
          </cell>
          <cell r="J1187">
            <v>4</v>
          </cell>
          <cell r="K1187" t="str">
            <v>Research Director</v>
          </cell>
          <cell r="L1187">
            <v>3</v>
          </cell>
          <cell r="M1187" t="str">
            <v>Married</v>
          </cell>
          <cell r="N1187">
            <v>17603</v>
          </cell>
          <cell r="O1187">
            <v>1</v>
          </cell>
          <cell r="P1187" t="str">
            <v>No</v>
          </cell>
          <cell r="Q1187">
            <v>1</v>
          </cell>
          <cell r="R1187">
            <v>14</v>
          </cell>
          <cell r="S1187">
            <v>3</v>
          </cell>
          <cell r="T1187">
            <v>14</v>
          </cell>
          <cell r="U1187">
            <v>10</v>
          </cell>
          <cell r="V1187">
            <v>6</v>
          </cell>
          <cell r="W1187">
            <v>11</v>
          </cell>
          <cell r="X1187">
            <v>24</v>
          </cell>
          <cell r="Y1187">
            <v>0</v>
          </cell>
          <cell r="Z1187" t="str">
            <v>Mid</v>
          </cell>
          <cell r="AA1187" t="str">
            <v>High</v>
          </cell>
          <cell r="AB1187" t="str">
            <v>Long</v>
          </cell>
          <cell r="AC1187" t="str">
            <v>High</v>
          </cell>
          <cell r="AD1187">
            <v>1666</v>
          </cell>
        </row>
        <row r="1188">
          <cell r="A1188">
            <v>35</v>
          </cell>
          <cell r="B1188" t="str">
            <v>Yes</v>
          </cell>
          <cell r="C1188" t="str">
            <v>Sales</v>
          </cell>
          <cell r="D1188">
            <v>12</v>
          </cell>
          <cell r="E1188">
            <v>4</v>
          </cell>
          <cell r="F1188" t="str">
            <v>Other</v>
          </cell>
          <cell r="G1188">
            <v>4</v>
          </cell>
          <cell r="H1188" t="str">
            <v>Male</v>
          </cell>
          <cell r="I1188">
            <v>3</v>
          </cell>
          <cell r="J1188">
            <v>2</v>
          </cell>
          <cell r="K1188" t="str">
            <v>Sales Executive</v>
          </cell>
          <cell r="L1188">
            <v>4</v>
          </cell>
          <cell r="M1188" t="str">
            <v>Single</v>
          </cell>
          <cell r="N1188">
            <v>4581</v>
          </cell>
          <cell r="O1188">
            <v>3</v>
          </cell>
          <cell r="P1188" t="str">
            <v>Yes</v>
          </cell>
          <cell r="Q1188">
            <v>1</v>
          </cell>
          <cell r="R1188">
            <v>13</v>
          </cell>
          <cell r="S1188">
            <v>4</v>
          </cell>
          <cell r="T1188">
            <v>11</v>
          </cell>
          <cell r="U1188">
            <v>9</v>
          </cell>
          <cell r="V1188">
            <v>6</v>
          </cell>
          <cell r="W1188">
            <v>7</v>
          </cell>
          <cell r="X1188">
            <v>24</v>
          </cell>
          <cell r="Y1188">
            <v>1</v>
          </cell>
          <cell r="Z1188" t="str">
            <v>Mid</v>
          </cell>
          <cell r="AA1188" t="str">
            <v>Low</v>
          </cell>
          <cell r="AB1188" t="str">
            <v>Long</v>
          </cell>
          <cell r="AC1188" t="str">
            <v>High</v>
          </cell>
          <cell r="AD1188">
            <v>1667</v>
          </cell>
        </row>
        <row r="1189">
          <cell r="A1189">
            <v>38</v>
          </cell>
          <cell r="B1189" t="str">
            <v>No</v>
          </cell>
          <cell r="C1189" t="str">
            <v>Research &amp; Development</v>
          </cell>
          <cell r="D1189">
            <v>1</v>
          </cell>
          <cell r="E1189">
            <v>3</v>
          </cell>
          <cell r="F1189" t="str">
            <v>Life Sciences</v>
          </cell>
          <cell r="G1189">
            <v>4</v>
          </cell>
          <cell r="H1189" t="str">
            <v>Male</v>
          </cell>
          <cell r="I1189">
            <v>3</v>
          </cell>
          <cell r="J1189">
            <v>2</v>
          </cell>
          <cell r="K1189" t="str">
            <v>Research Scientist</v>
          </cell>
          <cell r="L1189">
            <v>4</v>
          </cell>
          <cell r="M1189" t="str">
            <v>Married</v>
          </cell>
          <cell r="N1189">
            <v>4735</v>
          </cell>
          <cell r="O1189">
            <v>7</v>
          </cell>
          <cell r="P1189" t="str">
            <v>No</v>
          </cell>
          <cell r="Q1189">
            <v>4</v>
          </cell>
          <cell r="R1189">
            <v>19</v>
          </cell>
          <cell r="S1189">
            <v>4</v>
          </cell>
          <cell r="T1189">
            <v>13</v>
          </cell>
          <cell r="U1189">
            <v>11</v>
          </cell>
          <cell r="V1189">
            <v>2</v>
          </cell>
          <cell r="W1189">
            <v>9</v>
          </cell>
          <cell r="X1189">
            <v>15</v>
          </cell>
          <cell r="Y1189">
            <v>0</v>
          </cell>
          <cell r="Z1189" t="str">
            <v>Mid</v>
          </cell>
          <cell r="AA1189" t="str">
            <v>Low</v>
          </cell>
          <cell r="AB1189" t="str">
            <v>Long</v>
          </cell>
          <cell r="AC1189" t="str">
            <v>Medium</v>
          </cell>
          <cell r="AD1189">
            <v>1668</v>
          </cell>
        </row>
        <row r="1190">
          <cell r="A1190">
            <v>29</v>
          </cell>
          <cell r="B1190" t="str">
            <v>No</v>
          </cell>
          <cell r="C1190" t="str">
            <v>Sales</v>
          </cell>
          <cell r="D1190">
            <v>5</v>
          </cell>
          <cell r="E1190">
            <v>3</v>
          </cell>
          <cell r="F1190" t="str">
            <v>Medical</v>
          </cell>
          <cell r="G1190">
            <v>1</v>
          </cell>
          <cell r="H1190" t="str">
            <v>Male</v>
          </cell>
          <cell r="I1190">
            <v>2</v>
          </cell>
          <cell r="J1190">
            <v>2</v>
          </cell>
          <cell r="K1190" t="str">
            <v>Sales Executive</v>
          </cell>
          <cell r="L1190">
            <v>2</v>
          </cell>
          <cell r="M1190" t="str">
            <v>Divorced</v>
          </cell>
          <cell r="N1190">
            <v>4187</v>
          </cell>
          <cell r="O1190">
            <v>1</v>
          </cell>
          <cell r="P1190" t="str">
            <v>Yes</v>
          </cell>
          <cell r="Q1190">
            <v>2</v>
          </cell>
          <cell r="R1190">
            <v>10</v>
          </cell>
          <cell r="S1190">
            <v>2</v>
          </cell>
          <cell r="T1190">
            <v>10</v>
          </cell>
          <cell r="U1190">
            <v>0</v>
          </cell>
          <cell r="V1190">
            <v>0</v>
          </cell>
          <cell r="W1190">
            <v>9</v>
          </cell>
          <cell r="X1190">
            <v>13</v>
          </cell>
          <cell r="Y1190">
            <v>0</v>
          </cell>
          <cell r="Z1190" t="str">
            <v>Young</v>
          </cell>
          <cell r="AA1190" t="str">
            <v>Low</v>
          </cell>
          <cell r="AB1190" t="str">
            <v>Long</v>
          </cell>
          <cell r="AC1190" t="str">
            <v>Medium</v>
          </cell>
          <cell r="AD1190">
            <v>1669</v>
          </cell>
        </row>
        <row r="1191">
          <cell r="A1191">
            <v>33</v>
          </cell>
          <cell r="B1191" t="str">
            <v>No</v>
          </cell>
          <cell r="C1191" t="str">
            <v>Sales</v>
          </cell>
          <cell r="D1191">
            <v>2</v>
          </cell>
          <cell r="E1191">
            <v>4</v>
          </cell>
          <cell r="F1191" t="str">
            <v>Medical</v>
          </cell>
          <cell r="G1191">
            <v>4</v>
          </cell>
          <cell r="H1191" t="str">
            <v>Male</v>
          </cell>
          <cell r="I1191">
            <v>3</v>
          </cell>
          <cell r="J1191">
            <v>2</v>
          </cell>
          <cell r="K1191" t="str">
            <v>Sales Executive</v>
          </cell>
          <cell r="L1191">
            <v>4</v>
          </cell>
          <cell r="M1191" t="str">
            <v>Divorced</v>
          </cell>
          <cell r="N1191">
            <v>5505</v>
          </cell>
          <cell r="O1191">
            <v>1</v>
          </cell>
          <cell r="P1191" t="str">
            <v>No</v>
          </cell>
          <cell r="Q1191">
            <v>3</v>
          </cell>
          <cell r="R1191">
            <v>6</v>
          </cell>
          <cell r="S1191">
            <v>3</v>
          </cell>
          <cell r="T1191">
            <v>6</v>
          </cell>
          <cell r="U1191">
            <v>2</v>
          </cell>
          <cell r="V1191">
            <v>0</v>
          </cell>
          <cell r="W1191">
            <v>4</v>
          </cell>
          <cell r="X1191">
            <v>14</v>
          </cell>
          <cell r="Y1191">
            <v>0</v>
          </cell>
          <cell r="Z1191" t="str">
            <v>Mid</v>
          </cell>
          <cell r="AA1191" t="str">
            <v>Medium</v>
          </cell>
          <cell r="AB1191" t="str">
            <v>Mid</v>
          </cell>
          <cell r="AC1191" t="str">
            <v>Medium</v>
          </cell>
          <cell r="AD1191">
            <v>1670</v>
          </cell>
        </row>
        <row r="1192">
          <cell r="A1192">
            <v>32</v>
          </cell>
          <cell r="B1192" t="str">
            <v>No</v>
          </cell>
          <cell r="C1192" t="str">
            <v>Research &amp; Development</v>
          </cell>
          <cell r="D1192">
            <v>2</v>
          </cell>
          <cell r="E1192">
            <v>3</v>
          </cell>
          <cell r="F1192" t="str">
            <v>Medical</v>
          </cell>
          <cell r="G1192">
            <v>4</v>
          </cell>
          <cell r="H1192" t="str">
            <v>Male</v>
          </cell>
          <cell r="I1192">
            <v>3</v>
          </cell>
          <cell r="J1192">
            <v>2</v>
          </cell>
          <cell r="K1192" t="str">
            <v>Research Scientist</v>
          </cell>
          <cell r="L1192">
            <v>2</v>
          </cell>
          <cell r="M1192" t="str">
            <v>Divorced</v>
          </cell>
          <cell r="N1192">
            <v>5470</v>
          </cell>
          <cell r="O1192">
            <v>0</v>
          </cell>
          <cell r="P1192" t="str">
            <v>No</v>
          </cell>
          <cell r="Q1192">
            <v>3</v>
          </cell>
          <cell r="R1192">
            <v>10</v>
          </cell>
          <cell r="S1192">
            <v>2</v>
          </cell>
          <cell r="T1192">
            <v>9</v>
          </cell>
          <cell r="U1192">
            <v>5</v>
          </cell>
          <cell r="V1192">
            <v>1</v>
          </cell>
          <cell r="W1192">
            <v>6</v>
          </cell>
          <cell r="X1192">
            <v>13</v>
          </cell>
          <cell r="Y1192">
            <v>0</v>
          </cell>
          <cell r="Z1192" t="str">
            <v>Mid</v>
          </cell>
          <cell r="AA1192" t="str">
            <v>Medium</v>
          </cell>
          <cell r="AB1192" t="str">
            <v>Long</v>
          </cell>
          <cell r="AC1192" t="str">
            <v>Medium</v>
          </cell>
          <cell r="AD1192">
            <v>1671</v>
          </cell>
        </row>
        <row r="1193">
          <cell r="A1193">
            <v>31</v>
          </cell>
          <cell r="B1193" t="str">
            <v>No</v>
          </cell>
          <cell r="C1193" t="str">
            <v>Sales</v>
          </cell>
          <cell r="D1193">
            <v>5</v>
          </cell>
          <cell r="E1193">
            <v>4</v>
          </cell>
          <cell r="F1193" t="str">
            <v>Life Sciences</v>
          </cell>
          <cell r="G1193">
            <v>1</v>
          </cell>
          <cell r="H1193" t="str">
            <v>Female</v>
          </cell>
          <cell r="I1193">
            <v>3</v>
          </cell>
          <cell r="J1193">
            <v>2</v>
          </cell>
          <cell r="K1193" t="str">
            <v>Sales Executive</v>
          </cell>
          <cell r="L1193">
            <v>4</v>
          </cell>
          <cell r="M1193" t="str">
            <v>Married</v>
          </cell>
          <cell r="N1193">
            <v>5476</v>
          </cell>
          <cell r="O1193">
            <v>1</v>
          </cell>
          <cell r="P1193" t="str">
            <v>No</v>
          </cell>
          <cell r="Q1193">
            <v>1</v>
          </cell>
          <cell r="R1193">
            <v>10</v>
          </cell>
          <cell r="S1193">
            <v>3</v>
          </cell>
          <cell r="T1193">
            <v>10</v>
          </cell>
          <cell r="U1193">
            <v>0</v>
          </cell>
          <cell r="V1193">
            <v>0</v>
          </cell>
          <cell r="W1193">
            <v>2</v>
          </cell>
          <cell r="X1193">
            <v>11</v>
          </cell>
          <cell r="Y1193">
            <v>0</v>
          </cell>
          <cell r="Z1193" t="str">
            <v>Mid</v>
          </cell>
          <cell r="AA1193" t="str">
            <v>Medium</v>
          </cell>
          <cell r="AB1193" t="str">
            <v>Long</v>
          </cell>
          <cell r="AC1193" t="str">
            <v>Low</v>
          </cell>
          <cell r="AD1193">
            <v>1673</v>
          </cell>
        </row>
        <row r="1194">
          <cell r="A1194">
            <v>49</v>
          </cell>
          <cell r="B1194" t="str">
            <v>No</v>
          </cell>
          <cell r="C1194" t="str">
            <v>Research &amp; Development</v>
          </cell>
          <cell r="D1194">
            <v>16</v>
          </cell>
          <cell r="E1194">
            <v>3</v>
          </cell>
          <cell r="F1194" t="str">
            <v>Medical</v>
          </cell>
          <cell r="G1194">
            <v>4</v>
          </cell>
          <cell r="H1194" t="str">
            <v>Female</v>
          </cell>
          <cell r="I1194">
            <v>3</v>
          </cell>
          <cell r="J1194">
            <v>1</v>
          </cell>
          <cell r="K1194" t="str">
            <v>Laboratory Technician</v>
          </cell>
          <cell r="L1194">
            <v>1</v>
          </cell>
          <cell r="M1194" t="str">
            <v>Divorced</v>
          </cell>
          <cell r="N1194">
            <v>2587</v>
          </cell>
          <cell r="O1194">
            <v>4</v>
          </cell>
          <cell r="P1194" t="str">
            <v>Yes</v>
          </cell>
          <cell r="Q1194">
            <v>2</v>
          </cell>
          <cell r="R1194">
            <v>17</v>
          </cell>
          <cell r="S1194">
            <v>2</v>
          </cell>
          <cell r="T1194">
            <v>2</v>
          </cell>
          <cell r="U1194">
            <v>2</v>
          </cell>
          <cell r="V1194">
            <v>2</v>
          </cell>
          <cell r="W1194">
            <v>2</v>
          </cell>
          <cell r="X1194">
            <v>16</v>
          </cell>
          <cell r="Y1194">
            <v>0</v>
          </cell>
          <cell r="Z1194" t="str">
            <v>Senior</v>
          </cell>
          <cell r="AA1194" t="str">
            <v>Low</v>
          </cell>
          <cell r="AB1194" t="str">
            <v>Early</v>
          </cell>
          <cell r="AC1194" t="str">
            <v>Medium</v>
          </cell>
          <cell r="AD1194">
            <v>1674</v>
          </cell>
        </row>
        <row r="1195">
          <cell r="A1195">
            <v>38</v>
          </cell>
          <cell r="B1195" t="str">
            <v>No</v>
          </cell>
          <cell r="C1195" t="str">
            <v>Research &amp; Development</v>
          </cell>
          <cell r="D1195">
            <v>2</v>
          </cell>
          <cell r="E1195">
            <v>3</v>
          </cell>
          <cell r="F1195" t="str">
            <v>Medical</v>
          </cell>
          <cell r="G1195">
            <v>4</v>
          </cell>
          <cell r="H1195" t="str">
            <v>Female</v>
          </cell>
          <cell r="I1195">
            <v>2</v>
          </cell>
          <cell r="J1195">
            <v>1</v>
          </cell>
          <cell r="K1195" t="str">
            <v>Laboratory Technician</v>
          </cell>
          <cell r="L1195">
            <v>2</v>
          </cell>
          <cell r="M1195" t="str">
            <v>Single</v>
          </cell>
          <cell r="N1195">
            <v>2440</v>
          </cell>
          <cell r="O1195">
            <v>1</v>
          </cell>
          <cell r="P1195" t="str">
            <v>No</v>
          </cell>
          <cell r="Q1195">
            <v>2</v>
          </cell>
          <cell r="R1195">
            <v>4</v>
          </cell>
          <cell r="S1195">
            <v>3</v>
          </cell>
          <cell r="T1195">
            <v>4</v>
          </cell>
          <cell r="U1195">
            <v>3</v>
          </cell>
          <cell r="V1195">
            <v>3</v>
          </cell>
          <cell r="W1195">
            <v>3</v>
          </cell>
          <cell r="X1195">
            <v>22</v>
          </cell>
          <cell r="Y1195">
            <v>0</v>
          </cell>
          <cell r="Z1195" t="str">
            <v>Mid</v>
          </cell>
          <cell r="AA1195" t="str">
            <v>Low</v>
          </cell>
          <cell r="AB1195" t="str">
            <v>Mid</v>
          </cell>
          <cell r="AC1195" t="str">
            <v>High</v>
          </cell>
          <cell r="AD1195">
            <v>1675</v>
          </cell>
        </row>
        <row r="1196">
          <cell r="A1196">
            <v>47</v>
          </cell>
          <cell r="B1196" t="str">
            <v>No</v>
          </cell>
          <cell r="C1196" t="str">
            <v>Sales</v>
          </cell>
          <cell r="D1196">
            <v>2</v>
          </cell>
          <cell r="E1196">
            <v>4</v>
          </cell>
          <cell r="F1196" t="str">
            <v>Life Sciences</v>
          </cell>
          <cell r="G1196">
            <v>2</v>
          </cell>
          <cell r="H1196" t="str">
            <v>Female</v>
          </cell>
          <cell r="I1196">
            <v>4</v>
          </cell>
          <cell r="J1196">
            <v>4</v>
          </cell>
          <cell r="K1196" t="str">
            <v>Manager</v>
          </cell>
          <cell r="L1196">
            <v>2</v>
          </cell>
          <cell r="M1196" t="str">
            <v>Divorced</v>
          </cell>
          <cell r="N1196">
            <v>15972</v>
          </cell>
          <cell r="O1196">
            <v>6</v>
          </cell>
          <cell r="P1196" t="str">
            <v>No</v>
          </cell>
          <cell r="Q1196">
            <v>3</v>
          </cell>
          <cell r="R1196">
            <v>29</v>
          </cell>
          <cell r="S1196">
            <v>3</v>
          </cell>
          <cell r="T1196">
            <v>3</v>
          </cell>
          <cell r="U1196">
            <v>2</v>
          </cell>
          <cell r="V1196">
            <v>1</v>
          </cell>
          <cell r="W1196">
            <v>2</v>
          </cell>
          <cell r="X1196">
            <v>14</v>
          </cell>
          <cell r="Y1196">
            <v>0</v>
          </cell>
          <cell r="Z1196" t="str">
            <v>Senior</v>
          </cell>
          <cell r="AA1196" t="str">
            <v>High</v>
          </cell>
          <cell r="AB1196" t="str">
            <v>Mid</v>
          </cell>
          <cell r="AC1196" t="str">
            <v>Medium</v>
          </cell>
          <cell r="AD1196">
            <v>1676</v>
          </cell>
        </row>
        <row r="1197">
          <cell r="A1197">
            <v>49</v>
          </cell>
          <cell r="B1197" t="str">
            <v>No</v>
          </cell>
          <cell r="C1197" t="str">
            <v>Research &amp; Development</v>
          </cell>
          <cell r="D1197">
            <v>1</v>
          </cell>
          <cell r="E1197">
            <v>3</v>
          </cell>
          <cell r="F1197" t="str">
            <v>Life Sciences</v>
          </cell>
          <cell r="G1197">
            <v>3</v>
          </cell>
          <cell r="H1197" t="str">
            <v>Male</v>
          </cell>
          <cell r="I1197">
            <v>3</v>
          </cell>
          <cell r="J1197">
            <v>4</v>
          </cell>
          <cell r="K1197" t="str">
            <v>Manager</v>
          </cell>
          <cell r="L1197">
            <v>3</v>
          </cell>
          <cell r="M1197" t="str">
            <v>Single</v>
          </cell>
          <cell r="N1197">
            <v>15379</v>
          </cell>
          <cell r="O1197">
            <v>4</v>
          </cell>
          <cell r="P1197" t="str">
            <v>No</v>
          </cell>
          <cell r="Q1197">
            <v>1</v>
          </cell>
          <cell r="R1197">
            <v>23</v>
          </cell>
          <cell r="S1197">
            <v>3</v>
          </cell>
          <cell r="T1197">
            <v>8</v>
          </cell>
          <cell r="U1197">
            <v>7</v>
          </cell>
          <cell r="V1197">
            <v>0</v>
          </cell>
          <cell r="W1197">
            <v>0</v>
          </cell>
          <cell r="X1197">
            <v>14</v>
          </cell>
          <cell r="Y1197">
            <v>0</v>
          </cell>
          <cell r="Z1197" t="str">
            <v>Senior</v>
          </cell>
          <cell r="AA1197" t="str">
            <v>High</v>
          </cell>
          <cell r="AB1197" t="str">
            <v>Long</v>
          </cell>
          <cell r="AC1197" t="str">
            <v>Medium</v>
          </cell>
          <cell r="AD1197">
            <v>1677</v>
          </cell>
        </row>
        <row r="1198">
          <cell r="A1198">
            <v>41</v>
          </cell>
          <cell r="B1198" t="str">
            <v>No</v>
          </cell>
          <cell r="C1198" t="str">
            <v>Sales</v>
          </cell>
          <cell r="D1198">
            <v>23</v>
          </cell>
          <cell r="E1198">
            <v>2</v>
          </cell>
          <cell r="F1198" t="str">
            <v>Life Sciences</v>
          </cell>
          <cell r="G1198">
            <v>4</v>
          </cell>
          <cell r="H1198" t="str">
            <v>Male</v>
          </cell>
          <cell r="I1198">
            <v>3</v>
          </cell>
          <cell r="J1198">
            <v>3</v>
          </cell>
          <cell r="K1198" t="str">
            <v>Sales Executive</v>
          </cell>
          <cell r="L1198">
            <v>3</v>
          </cell>
          <cell r="M1198" t="str">
            <v>Single</v>
          </cell>
          <cell r="N1198">
            <v>7082</v>
          </cell>
          <cell r="O1198">
            <v>3</v>
          </cell>
          <cell r="P1198" t="str">
            <v>Yes</v>
          </cell>
          <cell r="Q1198">
            <v>4</v>
          </cell>
          <cell r="R1198">
            <v>21</v>
          </cell>
          <cell r="S1198">
            <v>3</v>
          </cell>
          <cell r="T1198">
            <v>2</v>
          </cell>
          <cell r="U1198">
            <v>0</v>
          </cell>
          <cell r="V1198">
            <v>0</v>
          </cell>
          <cell r="W1198">
            <v>2</v>
          </cell>
          <cell r="X1198">
            <v>16</v>
          </cell>
          <cell r="Y1198">
            <v>0</v>
          </cell>
          <cell r="Z1198" t="str">
            <v>Mid</v>
          </cell>
          <cell r="AA1198" t="str">
            <v>Medium</v>
          </cell>
          <cell r="AB1198" t="str">
            <v>Early</v>
          </cell>
          <cell r="AC1198" t="str">
            <v>Medium</v>
          </cell>
          <cell r="AD1198">
            <v>1678</v>
          </cell>
        </row>
        <row r="1199">
          <cell r="A1199">
            <v>20</v>
          </cell>
          <cell r="B1199" t="str">
            <v>No</v>
          </cell>
          <cell r="C1199" t="str">
            <v>Sales</v>
          </cell>
          <cell r="D1199">
            <v>9</v>
          </cell>
          <cell r="E1199">
            <v>1</v>
          </cell>
          <cell r="F1199" t="str">
            <v>Life Sciences</v>
          </cell>
          <cell r="G1199">
            <v>4</v>
          </cell>
          <cell r="H1199" t="str">
            <v>Male</v>
          </cell>
          <cell r="I1199">
            <v>3</v>
          </cell>
          <cell r="J1199">
            <v>1</v>
          </cell>
          <cell r="K1199" t="str">
            <v>Sales Representative</v>
          </cell>
          <cell r="L1199">
            <v>1</v>
          </cell>
          <cell r="M1199" t="str">
            <v>Single</v>
          </cell>
          <cell r="N1199">
            <v>2728</v>
          </cell>
          <cell r="O1199">
            <v>1</v>
          </cell>
          <cell r="P1199" t="str">
            <v>No</v>
          </cell>
          <cell r="Q1199">
            <v>1</v>
          </cell>
          <cell r="R1199">
            <v>2</v>
          </cell>
          <cell r="S1199">
            <v>3</v>
          </cell>
          <cell r="T1199">
            <v>2</v>
          </cell>
          <cell r="U1199">
            <v>2</v>
          </cell>
          <cell r="V1199">
            <v>0</v>
          </cell>
          <cell r="W1199">
            <v>2</v>
          </cell>
          <cell r="X1199">
            <v>11</v>
          </cell>
          <cell r="Y1199">
            <v>0</v>
          </cell>
          <cell r="Z1199" t="str">
            <v>Young</v>
          </cell>
          <cell r="AA1199" t="str">
            <v>Low</v>
          </cell>
          <cell r="AB1199" t="str">
            <v>Early</v>
          </cell>
          <cell r="AC1199" t="str">
            <v>Low</v>
          </cell>
          <cell r="AD1199">
            <v>1680</v>
          </cell>
        </row>
        <row r="1200">
          <cell r="A1200">
            <v>33</v>
          </cell>
          <cell r="B1200" t="str">
            <v>No</v>
          </cell>
          <cell r="C1200" t="str">
            <v>Sales</v>
          </cell>
          <cell r="D1200">
            <v>16</v>
          </cell>
          <cell r="E1200">
            <v>3</v>
          </cell>
          <cell r="F1200" t="str">
            <v>Life Sciences</v>
          </cell>
          <cell r="G1200">
            <v>3</v>
          </cell>
          <cell r="H1200" t="str">
            <v>Female</v>
          </cell>
          <cell r="I1200">
            <v>3</v>
          </cell>
          <cell r="J1200">
            <v>2</v>
          </cell>
          <cell r="K1200" t="str">
            <v>Sales Executive</v>
          </cell>
          <cell r="L1200">
            <v>4</v>
          </cell>
          <cell r="M1200" t="str">
            <v>Divorced</v>
          </cell>
          <cell r="N1200">
            <v>5368</v>
          </cell>
          <cell r="O1200">
            <v>1</v>
          </cell>
          <cell r="P1200" t="str">
            <v>Yes</v>
          </cell>
          <cell r="Q1200">
            <v>3</v>
          </cell>
          <cell r="R1200">
            <v>7</v>
          </cell>
          <cell r="S1200">
            <v>3</v>
          </cell>
          <cell r="T1200">
            <v>6</v>
          </cell>
          <cell r="U1200">
            <v>5</v>
          </cell>
          <cell r="V1200">
            <v>1</v>
          </cell>
          <cell r="W1200">
            <v>2</v>
          </cell>
          <cell r="X1200">
            <v>25</v>
          </cell>
          <cell r="Y1200">
            <v>0</v>
          </cell>
          <cell r="Z1200" t="str">
            <v>Mid</v>
          </cell>
          <cell r="AA1200" t="str">
            <v>Medium</v>
          </cell>
          <cell r="AB1200" t="str">
            <v>Mid</v>
          </cell>
          <cell r="AC1200" t="str">
            <v>High</v>
          </cell>
          <cell r="AD1200">
            <v>1681</v>
          </cell>
        </row>
        <row r="1201">
          <cell r="A1201">
            <v>36</v>
          </cell>
          <cell r="B1201" t="str">
            <v>No</v>
          </cell>
          <cell r="C1201" t="str">
            <v>Research &amp; Development</v>
          </cell>
          <cell r="D1201">
            <v>26</v>
          </cell>
          <cell r="E1201">
            <v>4</v>
          </cell>
          <cell r="F1201" t="str">
            <v>Life Sciences</v>
          </cell>
          <cell r="G1201">
            <v>1</v>
          </cell>
          <cell r="H1201" t="str">
            <v>Male</v>
          </cell>
          <cell r="I1201">
            <v>3</v>
          </cell>
          <cell r="J1201">
            <v>2</v>
          </cell>
          <cell r="K1201" t="str">
            <v>Healthcare Representative</v>
          </cell>
          <cell r="L1201">
            <v>3</v>
          </cell>
          <cell r="M1201" t="str">
            <v>Married</v>
          </cell>
          <cell r="N1201">
            <v>5347</v>
          </cell>
          <cell r="O1201">
            <v>6</v>
          </cell>
          <cell r="P1201" t="str">
            <v>No</v>
          </cell>
          <cell r="Q1201">
            <v>2</v>
          </cell>
          <cell r="R1201">
            <v>10</v>
          </cell>
          <cell r="S1201">
            <v>2</v>
          </cell>
          <cell r="T1201">
            <v>3</v>
          </cell>
          <cell r="U1201">
            <v>2</v>
          </cell>
          <cell r="V1201">
            <v>0</v>
          </cell>
          <cell r="W1201">
            <v>2</v>
          </cell>
          <cell r="X1201">
            <v>14</v>
          </cell>
          <cell r="Y1201">
            <v>0</v>
          </cell>
          <cell r="Z1201" t="str">
            <v>Mid</v>
          </cell>
          <cell r="AA1201" t="str">
            <v>Medium</v>
          </cell>
          <cell r="AB1201" t="str">
            <v>Mid</v>
          </cell>
          <cell r="AC1201" t="str">
            <v>Medium</v>
          </cell>
          <cell r="AD1201">
            <v>1682</v>
          </cell>
        </row>
        <row r="1202">
          <cell r="A1202">
            <v>44</v>
          </cell>
          <cell r="B1202" t="str">
            <v>No</v>
          </cell>
          <cell r="C1202" t="str">
            <v>Human Resources</v>
          </cell>
          <cell r="D1202">
            <v>1</v>
          </cell>
          <cell r="E1202">
            <v>3</v>
          </cell>
          <cell r="F1202" t="str">
            <v>Life Sciences</v>
          </cell>
          <cell r="G1202">
            <v>3</v>
          </cell>
          <cell r="H1202" t="str">
            <v>Female</v>
          </cell>
          <cell r="I1202">
            <v>3</v>
          </cell>
          <cell r="J1202">
            <v>1</v>
          </cell>
          <cell r="K1202" t="str">
            <v>Human Resources</v>
          </cell>
          <cell r="L1202">
            <v>4</v>
          </cell>
          <cell r="M1202" t="str">
            <v>Divorced</v>
          </cell>
          <cell r="N1202">
            <v>3195</v>
          </cell>
          <cell r="O1202">
            <v>4</v>
          </cell>
          <cell r="P1202" t="str">
            <v>Yes</v>
          </cell>
          <cell r="Q1202">
            <v>1</v>
          </cell>
          <cell r="R1202">
            <v>8</v>
          </cell>
          <cell r="S1202">
            <v>3</v>
          </cell>
          <cell r="T1202">
            <v>2</v>
          </cell>
          <cell r="U1202">
            <v>2</v>
          </cell>
          <cell r="V1202">
            <v>2</v>
          </cell>
          <cell r="W1202">
            <v>2</v>
          </cell>
          <cell r="X1202">
            <v>18</v>
          </cell>
          <cell r="Y1202">
            <v>0</v>
          </cell>
          <cell r="Z1202" t="str">
            <v>Mid</v>
          </cell>
          <cell r="AA1202" t="str">
            <v>Low</v>
          </cell>
          <cell r="AB1202" t="str">
            <v>Early</v>
          </cell>
          <cell r="AC1202" t="str">
            <v>High</v>
          </cell>
          <cell r="AD1202">
            <v>1683</v>
          </cell>
        </row>
        <row r="1203">
          <cell r="A1203">
            <v>23</v>
          </cell>
          <cell r="B1203" t="str">
            <v>Yes</v>
          </cell>
          <cell r="C1203" t="str">
            <v>Research &amp; Development</v>
          </cell>
          <cell r="D1203">
            <v>8</v>
          </cell>
          <cell r="E1203">
            <v>1</v>
          </cell>
          <cell r="F1203" t="str">
            <v>Medical</v>
          </cell>
          <cell r="G1203">
            <v>4</v>
          </cell>
          <cell r="H1203" t="str">
            <v>Male</v>
          </cell>
          <cell r="I1203">
            <v>2</v>
          </cell>
          <cell r="J1203">
            <v>1</v>
          </cell>
          <cell r="K1203" t="str">
            <v>Laboratory Technician</v>
          </cell>
          <cell r="L1203">
            <v>3</v>
          </cell>
          <cell r="M1203" t="str">
            <v>Single</v>
          </cell>
          <cell r="N1203">
            <v>3989</v>
          </cell>
          <cell r="O1203">
            <v>1</v>
          </cell>
          <cell r="P1203" t="str">
            <v>Yes</v>
          </cell>
          <cell r="Q1203">
            <v>1</v>
          </cell>
          <cell r="R1203">
            <v>5</v>
          </cell>
          <cell r="S1203">
            <v>3</v>
          </cell>
          <cell r="T1203">
            <v>5</v>
          </cell>
          <cell r="U1203">
            <v>4</v>
          </cell>
          <cell r="V1203">
            <v>1</v>
          </cell>
          <cell r="W1203">
            <v>2</v>
          </cell>
          <cell r="X1203">
            <v>11</v>
          </cell>
          <cell r="Y1203">
            <v>1</v>
          </cell>
          <cell r="Z1203" t="str">
            <v>Young</v>
          </cell>
          <cell r="AA1203" t="str">
            <v>Low</v>
          </cell>
          <cell r="AB1203" t="str">
            <v>Mid</v>
          </cell>
          <cell r="AC1203" t="str">
            <v>Low</v>
          </cell>
          <cell r="AD1203">
            <v>1684</v>
          </cell>
        </row>
        <row r="1204">
          <cell r="A1204">
            <v>38</v>
          </cell>
          <cell r="B1204" t="str">
            <v>No</v>
          </cell>
          <cell r="C1204" t="str">
            <v>Research &amp; Development</v>
          </cell>
          <cell r="D1204">
            <v>4</v>
          </cell>
          <cell r="E1204">
            <v>2</v>
          </cell>
          <cell r="F1204" t="str">
            <v>Medical</v>
          </cell>
          <cell r="G1204">
            <v>4</v>
          </cell>
          <cell r="H1204" t="str">
            <v>Female</v>
          </cell>
          <cell r="I1204">
            <v>3</v>
          </cell>
          <cell r="J1204">
            <v>1</v>
          </cell>
          <cell r="K1204" t="str">
            <v>Laboratory Technician</v>
          </cell>
          <cell r="L1204">
            <v>3</v>
          </cell>
          <cell r="M1204" t="str">
            <v>Married</v>
          </cell>
          <cell r="N1204">
            <v>3306</v>
          </cell>
          <cell r="O1204">
            <v>7</v>
          </cell>
          <cell r="P1204" t="str">
            <v>No</v>
          </cell>
          <cell r="Q1204">
            <v>4</v>
          </cell>
          <cell r="R1204">
            <v>7</v>
          </cell>
          <cell r="S1204">
            <v>2</v>
          </cell>
          <cell r="T1204">
            <v>0</v>
          </cell>
          <cell r="U1204">
            <v>0</v>
          </cell>
          <cell r="V1204">
            <v>0</v>
          </cell>
          <cell r="W1204">
            <v>0</v>
          </cell>
          <cell r="X1204">
            <v>19</v>
          </cell>
          <cell r="Y1204">
            <v>0</v>
          </cell>
          <cell r="Z1204" t="str">
            <v>Mid</v>
          </cell>
          <cell r="AA1204" t="str">
            <v>Low</v>
          </cell>
          <cell r="AB1204" t="str">
            <v>Early</v>
          </cell>
          <cell r="AC1204" t="str">
            <v>High</v>
          </cell>
          <cell r="AD1204">
            <v>1687</v>
          </cell>
        </row>
        <row r="1205">
          <cell r="A1205">
            <v>53</v>
          </cell>
          <cell r="B1205" t="str">
            <v>No</v>
          </cell>
          <cell r="C1205" t="str">
            <v>Research &amp; Development</v>
          </cell>
          <cell r="D1205">
            <v>24</v>
          </cell>
          <cell r="E1205">
            <v>4</v>
          </cell>
          <cell r="F1205" t="str">
            <v>Medical</v>
          </cell>
          <cell r="G1205">
            <v>2</v>
          </cell>
          <cell r="H1205" t="str">
            <v>Male</v>
          </cell>
          <cell r="I1205">
            <v>4</v>
          </cell>
          <cell r="J1205">
            <v>3</v>
          </cell>
          <cell r="K1205" t="str">
            <v>Healthcare Representative</v>
          </cell>
          <cell r="L1205">
            <v>4</v>
          </cell>
          <cell r="M1205" t="str">
            <v>Married</v>
          </cell>
          <cell r="N1205">
            <v>7005</v>
          </cell>
          <cell r="O1205">
            <v>3</v>
          </cell>
          <cell r="P1205" t="str">
            <v>No</v>
          </cell>
          <cell r="Q1205">
            <v>3</v>
          </cell>
          <cell r="R1205">
            <v>11</v>
          </cell>
          <cell r="S1205">
            <v>3</v>
          </cell>
          <cell r="T1205">
            <v>4</v>
          </cell>
          <cell r="U1205">
            <v>3</v>
          </cell>
          <cell r="V1205">
            <v>1</v>
          </cell>
          <cell r="W1205">
            <v>2</v>
          </cell>
          <cell r="X1205">
            <v>15</v>
          </cell>
          <cell r="Y1205">
            <v>0</v>
          </cell>
          <cell r="Z1205" t="str">
            <v>Senior</v>
          </cell>
          <cell r="AA1205" t="str">
            <v>Medium</v>
          </cell>
          <cell r="AB1205" t="str">
            <v>Mid</v>
          </cell>
          <cell r="AC1205" t="str">
            <v>Medium</v>
          </cell>
          <cell r="AD1205">
            <v>1689</v>
          </cell>
        </row>
        <row r="1206">
          <cell r="A1206">
            <v>48</v>
          </cell>
          <cell r="B1206" t="str">
            <v>Yes</v>
          </cell>
          <cell r="C1206" t="str">
            <v>Sales</v>
          </cell>
          <cell r="D1206">
            <v>7</v>
          </cell>
          <cell r="E1206">
            <v>2</v>
          </cell>
          <cell r="F1206" t="str">
            <v>Medical</v>
          </cell>
          <cell r="G1206">
            <v>4</v>
          </cell>
          <cell r="H1206" t="str">
            <v>Female</v>
          </cell>
          <cell r="I1206">
            <v>3</v>
          </cell>
          <cell r="J1206">
            <v>1</v>
          </cell>
          <cell r="K1206" t="str">
            <v>Sales Representative</v>
          </cell>
          <cell r="L1206">
            <v>3</v>
          </cell>
          <cell r="M1206" t="str">
            <v>Married</v>
          </cell>
          <cell r="N1206">
            <v>2655</v>
          </cell>
          <cell r="O1206">
            <v>2</v>
          </cell>
          <cell r="P1206" t="str">
            <v>Yes</v>
          </cell>
          <cell r="Q1206">
            <v>3</v>
          </cell>
          <cell r="R1206">
            <v>19</v>
          </cell>
          <cell r="S1206">
            <v>3</v>
          </cell>
          <cell r="T1206">
            <v>9</v>
          </cell>
          <cell r="U1206">
            <v>7</v>
          </cell>
          <cell r="V1206">
            <v>7</v>
          </cell>
          <cell r="W1206">
            <v>7</v>
          </cell>
          <cell r="X1206">
            <v>11</v>
          </cell>
          <cell r="Y1206">
            <v>1</v>
          </cell>
          <cell r="Z1206" t="str">
            <v>Senior</v>
          </cell>
          <cell r="AA1206" t="str">
            <v>Low</v>
          </cell>
          <cell r="AB1206" t="str">
            <v>Long</v>
          </cell>
          <cell r="AC1206" t="str">
            <v>Low</v>
          </cell>
          <cell r="AD1206">
            <v>1691</v>
          </cell>
        </row>
        <row r="1207">
          <cell r="A1207">
            <v>32</v>
          </cell>
          <cell r="B1207" t="str">
            <v>Yes</v>
          </cell>
          <cell r="C1207" t="str">
            <v>Research &amp; Development</v>
          </cell>
          <cell r="D1207">
            <v>2</v>
          </cell>
          <cell r="E1207">
            <v>4</v>
          </cell>
          <cell r="F1207" t="str">
            <v>Life Sciences</v>
          </cell>
          <cell r="G1207">
            <v>4</v>
          </cell>
          <cell r="H1207" t="str">
            <v>Male</v>
          </cell>
          <cell r="I1207">
            <v>3</v>
          </cell>
          <cell r="J1207">
            <v>1</v>
          </cell>
          <cell r="K1207" t="str">
            <v>Laboratory Technician</v>
          </cell>
          <cell r="L1207">
            <v>2</v>
          </cell>
          <cell r="M1207" t="str">
            <v>Single</v>
          </cell>
          <cell r="N1207">
            <v>1393</v>
          </cell>
          <cell r="O1207">
            <v>1</v>
          </cell>
          <cell r="P1207" t="str">
            <v>No</v>
          </cell>
          <cell r="Q1207">
            <v>1</v>
          </cell>
          <cell r="R1207">
            <v>1</v>
          </cell>
          <cell r="S1207">
            <v>3</v>
          </cell>
          <cell r="T1207">
            <v>1</v>
          </cell>
          <cell r="U1207">
            <v>0</v>
          </cell>
          <cell r="V1207">
            <v>0</v>
          </cell>
          <cell r="W1207">
            <v>0</v>
          </cell>
          <cell r="X1207">
            <v>12</v>
          </cell>
          <cell r="Y1207">
            <v>1</v>
          </cell>
          <cell r="Z1207" t="str">
            <v>Mid</v>
          </cell>
          <cell r="AA1207" t="str">
            <v>Low</v>
          </cell>
          <cell r="AB1207" t="str">
            <v>Early</v>
          </cell>
          <cell r="AC1207" t="str">
            <v>Low</v>
          </cell>
          <cell r="AD1207">
            <v>1692</v>
          </cell>
        </row>
        <row r="1208">
          <cell r="A1208">
            <v>26</v>
          </cell>
          <cell r="B1208" t="str">
            <v>No</v>
          </cell>
          <cell r="C1208" t="str">
            <v>Research &amp; Development</v>
          </cell>
          <cell r="D1208">
            <v>7</v>
          </cell>
          <cell r="E1208">
            <v>3</v>
          </cell>
          <cell r="F1208" t="str">
            <v>Medical</v>
          </cell>
          <cell r="G1208">
            <v>4</v>
          </cell>
          <cell r="H1208" t="str">
            <v>Male</v>
          </cell>
          <cell r="I1208">
            <v>3</v>
          </cell>
          <cell r="J1208">
            <v>1</v>
          </cell>
          <cell r="K1208" t="str">
            <v>Laboratory Technician</v>
          </cell>
          <cell r="L1208">
            <v>4</v>
          </cell>
          <cell r="M1208" t="str">
            <v>Single</v>
          </cell>
          <cell r="N1208">
            <v>2570</v>
          </cell>
          <cell r="O1208">
            <v>1</v>
          </cell>
          <cell r="P1208" t="str">
            <v>No</v>
          </cell>
          <cell r="Q1208">
            <v>3</v>
          </cell>
          <cell r="R1208">
            <v>7</v>
          </cell>
          <cell r="S1208">
            <v>3</v>
          </cell>
          <cell r="T1208">
            <v>7</v>
          </cell>
          <cell r="U1208">
            <v>7</v>
          </cell>
          <cell r="V1208">
            <v>5</v>
          </cell>
          <cell r="W1208">
            <v>7</v>
          </cell>
          <cell r="X1208">
            <v>20</v>
          </cell>
          <cell r="Y1208">
            <v>0</v>
          </cell>
          <cell r="Z1208" t="str">
            <v>Young</v>
          </cell>
          <cell r="AA1208" t="str">
            <v>Low</v>
          </cell>
          <cell r="AB1208" t="str">
            <v>Long</v>
          </cell>
          <cell r="AC1208" t="str">
            <v>High</v>
          </cell>
          <cell r="AD1208">
            <v>1693</v>
          </cell>
        </row>
        <row r="1209">
          <cell r="A1209">
            <v>55</v>
          </cell>
          <cell r="B1209" t="str">
            <v>No</v>
          </cell>
          <cell r="C1209" t="str">
            <v>Research &amp; Development</v>
          </cell>
          <cell r="D1209">
            <v>22</v>
          </cell>
          <cell r="E1209">
            <v>3</v>
          </cell>
          <cell r="F1209" t="str">
            <v>Technical Degree</v>
          </cell>
          <cell r="G1209">
            <v>1</v>
          </cell>
          <cell r="H1209" t="str">
            <v>Male</v>
          </cell>
          <cell r="I1209">
            <v>2</v>
          </cell>
          <cell r="J1209">
            <v>1</v>
          </cell>
          <cell r="K1209" t="str">
            <v>Research Scientist</v>
          </cell>
          <cell r="L1209">
            <v>2</v>
          </cell>
          <cell r="M1209" t="str">
            <v>Divorced</v>
          </cell>
          <cell r="N1209">
            <v>3537</v>
          </cell>
          <cell r="O1209">
            <v>5</v>
          </cell>
          <cell r="P1209" t="str">
            <v>No</v>
          </cell>
          <cell r="Q1209">
            <v>4</v>
          </cell>
          <cell r="R1209">
            <v>8</v>
          </cell>
          <cell r="S1209">
            <v>3</v>
          </cell>
          <cell r="T1209">
            <v>4</v>
          </cell>
          <cell r="U1209">
            <v>2</v>
          </cell>
          <cell r="V1209">
            <v>1</v>
          </cell>
          <cell r="W1209">
            <v>2</v>
          </cell>
          <cell r="X1209">
            <v>12</v>
          </cell>
          <cell r="Y1209">
            <v>0</v>
          </cell>
          <cell r="Z1209" t="str">
            <v>Senior</v>
          </cell>
          <cell r="AA1209" t="str">
            <v>Low</v>
          </cell>
          <cell r="AB1209" t="str">
            <v>Mid</v>
          </cell>
          <cell r="AC1209" t="str">
            <v>Low</v>
          </cell>
          <cell r="AD1209">
            <v>1694</v>
          </cell>
        </row>
        <row r="1210">
          <cell r="A1210">
            <v>34</v>
          </cell>
          <cell r="B1210" t="str">
            <v>No</v>
          </cell>
          <cell r="C1210" t="str">
            <v>Research &amp; Development</v>
          </cell>
          <cell r="D1210">
            <v>5</v>
          </cell>
          <cell r="E1210">
            <v>2</v>
          </cell>
          <cell r="F1210" t="str">
            <v>Medical</v>
          </cell>
          <cell r="G1210">
            <v>2</v>
          </cell>
          <cell r="H1210" t="str">
            <v>Male</v>
          </cell>
          <cell r="I1210">
            <v>2</v>
          </cell>
          <cell r="J1210">
            <v>2</v>
          </cell>
          <cell r="K1210" t="str">
            <v>Laboratory Technician</v>
          </cell>
          <cell r="L1210">
            <v>4</v>
          </cell>
          <cell r="M1210" t="str">
            <v>Married</v>
          </cell>
          <cell r="N1210">
            <v>3986</v>
          </cell>
          <cell r="O1210">
            <v>1</v>
          </cell>
          <cell r="P1210" t="str">
            <v>No</v>
          </cell>
          <cell r="Q1210">
            <v>3</v>
          </cell>
          <cell r="R1210">
            <v>15</v>
          </cell>
          <cell r="S1210">
            <v>4</v>
          </cell>
          <cell r="T1210">
            <v>15</v>
          </cell>
          <cell r="U1210">
            <v>10</v>
          </cell>
          <cell r="V1210">
            <v>4</v>
          </cell>
          <cell r="W1210">
            <v>13</v>
          </cell>
          <cell r="X1210">
            <v>14</v>
          </cell>
          <cell r="Y1210">
            <v>0</v>
          </cell>
          <cell r="Z1210" t="str">
            <v>Mid</v>
          </cell>
          <cell r="AA1210" t="str">
            <v>Low</v>
          </cell>
          <cell r="AB1210" t="str">
            <v>Long</v>
          </cell>
          <cell r="AC1210" t="str">
            <v>Medium</v>
          </cell>
          <cell r="AD1210">
            <v>1696</v>
          </cell>
        </row>
        <row r="1211">
          <cell r="A1211">
            <v>60</v>
          </cell>
          <cell r="B1211" t="str">
            <v>No</v>
          </cell>
          <cell r="C1211" t="str">
            <v>Research &amp; Development</v>
          </cell>
          <cell r="D1211">
            <v>1</v>
          </cell>
          <cell r="E1211">
            <v>4</v>
          </cell>
          <cell r="F1211" t="str">
            <v>Medical</v>
          </cell>
          <cell r="G1211">
            <v>3</v>
          </cell>
          <cell r="H1211" t="str">
            <v>Male</v>
          </cell>
          <cell r="I1211">
            <v>1</v>
          </cell>
          <cell r="J1211">
            <v>3</v>
          </cell>
          <cell r="K1211" t="str">
            <v>Healthcare Representative</v>
          </cell>
          <cell r="L1211">
            <v>4</v>
          </cell>
          <cell r="M1211" t="str">
            <v>Divorced</v>
          </cell>
          <cell r="N1211">
            <v>10883</v>
          </cell>
          <cell r="O1211">
            <v>3</v>
          </cell>
          <cell r="P1211" t="str">
            <v>No</v>
          </cell>
          <cell r="Q1211">
            <v>3</v>
          </cell>
          <cell r="R1211">
            <v>19</v>
          </cell>
          <cell r="S1211">
            <v>4</v>
          </cell>
          <cell r="T1211">
            <v>1</v>
          </cell>
          <cell r="U1211">
            <v>0</v>
          </cell>
          <cell r="V1211">
            <v>0</v>
          </cell>
          <cell r="W1211">
            <v>0</v>
          </cell>
          <cell r="X1211">
            <v>20</v>
          </cell>
          <cell r="Y1211">
            <v>0</v>
          </cell>
          <cell r="Z1211" t="str">
            <v>Senior</v>
          </cell>
          <cell r="AA1211" t="str">
            <v>High</v>
          </cell>
          <cell r="AB1211" t="str">
            <v>Early</v>
          </cell>
          <cell r="AC1211" t="str">
            <v>High</v>
          </cell>
          <cell r="AD1211">
            <v>1697</v>
          </cell>
        </row>
        <row r="1212">
          <cell r="A1212">
            <v>33</v>
          </cell>
          <cell r="B1212" t="str">
            <v>No</v>
          </cell>
          <cell r="C1212" t="str">
            <v>Research &amp; Development</v>
          </cell>
          <cell r="D1212">
            <v>21</v>
          </cell>
          <cell r="E1212">
            <v>3</v>
          </cell>
          <cell r="F1212" t="str">
            <v>Medical</v>
          </cell>
          <cell r="G1212">
            <v>2</v>
          </cell>
          <cell r="H1212" t="str">
            <v>Male</v>
          </cell>
          <cell r="I1212">
            <v>4</v>
          </cell>
          <cell r="J1212">
            <v>1</v>
          </cell>
          <cell r="K1212" t="str">
            <v>Laboratory Technician</v>
          </cell>
          <cell r="L1212">
            <v>2</v>
          </cell>
          <cell r="M1212" t="str">
            <v>Married</v>
          </cell>
          <cell r="N1212">
            <v>2028</v>
          </cell>
          <cell r="O1212">
            <v>1</v>
          </cell>
          <cell r="P1212" t="str">
            <v>No</v>
          </cell>
          <cell r="Q1212">
            <v>4</v>
          </cell>
          <cell r="R1212">
            <v>14</v>
          </cell>
          <cell r="S1212">
            <v>3</v>
          </cell>
          <cell r="T1212">
            <v>14</v>
          </cell>
          <cell r="U1212">
            <v>11</v>
          </cell>
          <cell r="V1212">
            <v>2</v>
          </cell>
          <cell r="W1212">
            <v>13</v>
          </cell>
          <cell r="X1212">
            <v>18</v>
          </cell>
          <cell r="Y1212">
            <v>0</v>
          </cell>
          <cell r="Z1212" t="str">
            <v>Mid</v>
          </cell>
          <cell r="AA1212" t="str">
            <v>Low</v>
          </cell>
          <cell r="AB1212" t="str">
            <v>Long</v>
          </cell>
          <cell r="AC1212" t="str">
            <v>High</v>
          </cell>
          <cell r="AD1212">
            <v>1698</v>
          </cell>
        </row>
        <row r="1213">
          <cell r="A1213">
            <v>37</v>
          </cell>
          <cell r="B1213" t="str">
            <v>No</v>
          </cell>
          <cell r="C1213" t="str">
            <v>Sales</v>
          </cell>
          <cell r="D1213">
            <v>1</v>
          </cell>
          <cell r="E1213">
            <v>4</v>
          </cell>
          <cell r="F1213" t="str">
            <v>Medical</v>
          </cell>
          <cell r="G1213">
            <v>3</v>
          </cell>
          <cell r="H1213" t="str">
            <v>Male</v>
          </cell>
          <cell r="I1213">
            <v>1</v>
          </cell>
          <cell r="J1213">
            <v>2</v>
          </cell>
          <cell r="K1213" t="str">
            <v>Sales Executive</v>
          </cell>
          <cell r="L1213">
            <v>4</v>
          </cell>
          <cell r="M1213" t="str">
            <v>Divorced</v>
          </cell>
          <cell r="N1213">
            <v>9525</v>
          </cell>
          <cell r="O1213">
            <v>1</v>
          </cell>
          <cell r="P1213" t="str">
            <v>No</v>
          </cell>
          <cell r="Q1213">
            <v>3</v>
          </cell>
          <cell r="R1213">
            <v>6</v>
          </cell>
          <cell r="S1213">
            <v>2</v>
          </cell>
          <cell r="T1213">
            <v>6</v>
          </cell>
          <cell r="U1213">
            <v>3</v>
          </cell>
          <cell r="V1213">
            <v>1</v>
          </cell>
          <cell r="W1213">
            <v>3</v>
          </cell>
          <cell r="X1213">
            <v>14</v>
          </cell>
          <cell r="Y1213">
            <v>0</v>
          </cell>
          <cell r="Z1213" t="str">
            <v>Mid</v>
          </cell>
          <cell r="AA1213" t="str">
            <v>Medium</v>
          </cell>
          <cell r="AB1213" t="str">
            <v>Mid</v>
          </cell>
          <cell r="AC1213" t="str">
            <v>Medium</v>
          </cell>
          <cell r="AD1213">
            <v>1700</v>
          </cell>
        </row>
        <row r="1214">
          <cell r="A1214">
            <v>34</v>
          </cell>
          <cell r="B1214" t="str">
            <v>No</v>
          </cell>
          <cell r="C1214" t="str">
            <v>Research &amp; Development</v>
          </cell>
          <cell r="D1214">
            <v>19</v>
          </cell>
          <cell r="E1214">
            <v>3</v>
          </cell>
          <cell r="F1214" t="str">
            <v>Life Sciences</v>
          </cell>
          <cell r="G1214">
            <v>2</v>
          </cell>
          <cell r="H1214" t="str">
            <v>Female</v>
          </cell>
          <cell r="I1214">
            <v>2</v>
          </cell>
          <cell r="J1214">
            <v>1</v>
          </cell>
          <cell r="K1214" t="str">
            <v>Research Scientist</v>
          </cell>
          <cell r="L1214">
            <v>4</v>
          </cell>
          <cell r="M1214" t="str">
            <v>Married</v>
          </cell>
          <cell r="N1214">
            <v>2929</v>
          </cell>
          <cell r="O1214">
            <v>1</v>
          </cell>
          <cell r="P1214" t="str">
            <v>No</v>
          </cell>
          <cell r="Q1214">
            <v>2</v>
          </cell>
          <cell r="R1214">
            <v>10</v>
          </cell>
          <cell r="S1214">
            <v>3</v>
          </cell>
          <cell r="T1214">
            <v>10</v>
          </cell>
          <cell r="U1214">
            <v>9</v>
          </cell>
          <cell r="V1214">
            <v>8</v>
          </cell>
          <cell r="W1214">
            <v>7</v>
          </cell>
          <cell r="X1214">
            <v>12</v>
          </cell>
          <cell r="Y1214">
            <v>0</v>
          </cell>
          <cell r="Z1214" t="str">
            <v>Mid</v>
          </cell>
          <cell r="AA1214" t="str">
            <v>Low</v>
          </cell>
          <cell r="AB1214" t="str">
            <v>Long</v>
          </cell>
          <cell r="AC1214" t="str">
            <v>Low</v>
          </cell>
          <cell r="AD1214">
            <v>1701</v>
          </cell>
        </row>
        <row r="1215">
          <cell r="A1215">
            <v>23</v>
          </cell>
          <cell r="B1215" t="str">
            <v>Yes</v>
          </cell>
          <cell r="C1215" t="str">
            <v>Sales</v>
          </cell>
          <cell r="D1215">
            <v>7</v>
          </cell>
          <cell r="E1215">
            <v>3</v>
          </cell>
          <cell r="F1215" t="str">
            <v>Life Sciences</v>
          </cell>
          <cell r="G1215">
            <v>3</v>
          </cell>
          <cell r="H1215" t="str">
            <v>Male</v>
          </cell>
          <cell r="I1215">
            <v>3</v>
          </cell>
          <cell r="J1215">
            <v>1</v>
          </cell>
          <cell r="K1215" t="str">
            <v>Sales Representative</v>
          </cell>
          <cell r="L1215">
            <v>4</v>
          </cell>
          <cell r="M1215" t="str">
            <v>Divorced</v>
          </cell>
          <cell r="N1215">
            <v>2275</v>
          </cell>
          <cell r="O1215">
            <v>1</v>
          </cell>
          <cell r="P1215" t="str">
            <v>Yes</v>
          </cell>
          <cell r="Q1215">
            <v>2</v>
          </cell>
          <cell r="R1215">
            <v>3</v>
          </cell>
          <cell r="S1215">
            <v>3</v>
          </cell>
          <cell r="T1215">
            <v>3</v>
          </cell>
          <cell r="U1215">
            <v>2</v>
          </cell>
          <cell r="V1215">
            <v>0</v>
          </cell>
          <cell r="W1215">
            <v>2</v>
          </cell>
          <cell r="X1215">
            <v>21</v>
          </cell>
          <cell r="Y1215">
            <v>1</v>
          </cell>
          <cell r="Z1215" t="str">
            <v>Young</v>
          </cell>
          <cell r="AA1215" t="str">
            <v>Low</v>
          </cell>
          <cell r="AB1215" t="str">
            <v>Mid</v>
          </cell>
          <cell r="AC1215" t="str">
            <v>High</v>
          </cell>
          <cell r="AD1215">
            <v>1702</v>
          </cell>
        </row>
        <row r="1216">
          <cell r="A1216">
            <v>44</v>
          </cell>
          <cell r="B1216" t="str">
            <v>No</v>
          </cell>
          <cell r="C1216" t="str">
            <v>Research &amp; Development</v>
          </cell>
          <cell r="D1216">
            <v>2</v>
          </cell>
          <cell r="E1216">
            <v>3</v>
          </cell>
          <cell r="F1216" t="str">
            <v>Life Sciences</v>
          </cell>
          <cell r="G1216">
            <v>3</v>
          </cell>
          <cell r="H1216" t="str">
            <v>Female</v>
          </cell>
          <cell r="I1216">
            <v>4</v>
          </cell>
          <cell r="J1216">
            <v>3</v>
          </cell>
          <cell r="K1216" t="str">
            <v>Healthcare Representative</v>
          </cell>
          <cell r="L1216">
            <v>4</v>
          </cell>
          <cell r="M1216" t="str">
            <v>Married</v>
          </cell>
          <cell r="N1216">
            <v>7879</v>
          </cell>
          <cell r="O1216">
            <v>1</v>
          </cell>
          <cell r="P1216" t="str">
            <v>Yes</v>
          </cell>
          <cell r="Q1216">
            <v>2</v>
          </cell>
          <cell r="R1216">
            <v>9</v>
          </cell>
          <cell r="S1216">
            <v>3</v>
          </cell>
          <cell r="T1216">
            <v>8</v>
          </cell>
          <cell r="U1216">
            <v>7</v>
          </cell>
          <cell r="V1216">
            <v>6</v>
          </cell>
          <cell r="W1216">
            <v>7</v>
          </cell>
          <cell r="X1216">
            <v>19</v>
          </cell>
          <cell r="Y1216">
            <v>0</v>
          </cell>
          <cell r="Z1216" t="str">
            <v>Mid</v>
          </cell>
          <cell r="AA1216" t="str">
            <v>Medium</v>
          </cell>
          <cell r="AB1216" t="str">
            <v>Long</v>
          </cell>
          <cell r="AC1216" t="str">
            <v>High</v>
          </cell>
          <cell r="AD1216">
            <v>1703</v>
          </cell>
        </row>
        <row r="1217">
          <cell r="A1217">
            <v>35</v>
          </cell>
          <cell r="B1217" t="str">
            <v>No</v>
          </cell>
          <cell r="C1217" t="str">
            <v>Research &amp; Development</v>
          </cell>
          <cell r="D1217">
            <v>2</v>
          </cell>
          <cell r="E1217">
            <v>4</v>
          </cell>
          <cell r="F1217" t="str">
            <v>Medical</v>
          </cell>
          <cell r="G1217">
            <v>1</v>
          </cell>
          <cell r="H1217" t="str">
            <v>Male</v>
          </cell>
          <cell r="I1217">
            <v>2</v>
          </cell>
          <cell r="J1217">
            <v>1</v>
          </cell>
          <cell r="K1217" t="str">
            <v>Research Scientist</v>
          </cell>
          <cell r="L1217">
            <v>4</v>
          </cell>
          <cell r="M1217" t="str">
            <v>Single</v>
          </cell>
          <cell r="N1217">
            <v>4930</v>
          </cell>
          <cell r="O1217">
            <v>0</v>
          </cell>
          <cell r="P1217" t="str">
            <v>Yes</v>
          </cell>
          <cell r="Q1217">
            <v>3</v>
          </cell>
          <cell r="R1217">
            <v>6</v>
          </cell>
          <cell r="S1217">
            <v>4</v>
          </cell>
          <cell r="T1217">
            <v>5</v>
          </cell>
          <cell r="U1217">
            <v>4</v>
          </cell>
          <cell r="V1217">
            <v>1</v>
          </cell>
          <cell r="W1217">
            <v>4</v>
          </cell>
          <cell r="X1217">
            <v>14</v>
          </cell>
          <cell r="Y1217">
            <v>0</v>
          </cell>
          <cell r="Z1217" t="str">
            <v>Mid</v>
          </cell>
          <cell r="AA1217" t="str">
            <v>Low</v>
          </cell>
          <cell r="AB1217" t="str">
            <v>Mid</v>
          </cell>
          <cell r="AC1217" t="str">
            <v>Medium</v>
          </cell>
          <cell r="AD1217">
            <v>1704</v>
          </cell>
        </row>
        <row r="1218">
          <cell r="A1218">
            <v>43</v>
          </cell>
          <cell r="B1218" t="str">
            <v>No</v>
          </cell>
          <cell r="C1218" t="str">
            <v>Sales</v>
          </cell>
          <cell r="D1218">
            <v>2</v>
          </cell>
          <cell r="E1218">
            <v>3</v>
          </cell>
          <cell r="F1218" t="str">
            <v>Medical</v>
          </cell>
          <cell r="G1218">
            <v>4</v>
          </cell>
          <cell r="H1218" t="str">
            <v>Male</v>
          </cell>
          <cell r="I1218">
            <v>3</v>
          </cell>
          <cell r="J1218">
            <v>2</v>
          </cell>
          <cell r="K1218" t="str">
            <v>Sales Executive</v>
          </cell>
          <cell r="L1218">
            <v>4</v>
          </cell>
          <cell r="M1218" t="str">
            <v>Married</v>
          </cell>
          <cell r="N1218">
            <v>7847</v>
          </cell>
          <cell r="O1218">
            <v>1</v>
          </cell>
          <cell r="P1218" t="str">
            <v>Yes</v>
          </cell>
          <cell r="Q1218">
            <v>1</v>
          </cell>
          <cell r="R1218">
            <v>10</v>
          </cell>
          <cell r="S1218">
            <v>3</v>
          </cell>
          <cell r="T1218">
            <v>10</v>
          </cell>
          <cell r="U1218">
            <v>9</v>
          </cell>
          <cell r="V1218">
            <v>8</v>
          </cell>
          <cell r="W1218">
            <v>8</v>
          </cell>
          <cell r="X1218">
            <v>17</v>
          </cell>
          <cell r="Y1218">
            <v>0</v>
          </cell>
          <cell r="Z1218" t="str">
            <v>Mid</v>
          </cell>
          <cell r="AA1218" t="str">
            <v>Medium</v>
          </cell>
          <cell r="AB1218" t="str">
            <v>Long</v>
          </cell>
          <cell r="AC1218" t="str">
            <v>Medium</v>
          </cell>
          <cell r="AD1218">
            <v>1706</v>
          </cell>
        </row>
        <row r="1219">
          <cell r="A1219">
            <v>24</v>
          </cell>
          <cell r="B1219" t="str">
            <v>No</v>
          </cell>
          <cell r="C1219" t="str">
            <v>Research &amp; Development</v>
          </cell>
          <cell r="D1219">
            <v>9</v>
          </cell>
          <cell r="E1219">
            <v>3</v>
          </cell>
          <cell r="F1219" t="str">
            <v>Medical</v>
          </cell>
          <cell r="G1219">
            <v>3</v>
          </cell>
          <cell r="H1219" t="str">
            <v>Male</v>
          </cell>
          <cell r="I1219">
            <v>4</v>
          </cell>
          <cell r="J1219">
            <v>1</v>
          </cell>
          <cell r="K1219" t="str">
            <v>Research Scientist</v>
          </cell>
          <cell r="L1219">
            <v>3</v>
          </cell>
          <cell r="M1219" t="str">
            <v>Married</v>
          </cell>
          <cell r="N1219">
            <v>4401</v>
          </cell>
          <cell r="O1219">
            <v>1</v>
          </cell>
          <cell r="P1219" t="str">
            <v>No</v>
          </cell>
          <cell r="Q1219">
            <v>4</v>
          </cell>
          <cell r="R1219">
            <v>5</v>
          </cell>
          <cell r="S1219">
            <v>3</v>
          </cell>
          <cell r="T1219">
            <v>5</v>
          </cell>
          <cell r="U1219">
            <v>3</v>
          </cell>
          <cell r="V1219">
            <v>0</v>
          </cell>
          <cell r="W1219">
            <v>4</v>
          </cell>
          <cell r="X1219">
            <v>16</v>
          </cell>
          <cell r="Y1219">
            <v>0</v>
          </cell>
          <cell r="Z1219" t="str">
            <v>Young</v>
          </cell>
          <cell r="AA1219" t="str">
            <v>Low</v>
          </cell>
          <cell r="AB1219" t="str">
            <v>Mid</v>
          </cell>
          <cell r="AC1219" t="str">
            <v>Medium</v>
          </cell>
          <cell r="AD1219">
            <v>1707</v>
          </cell>
        </row>
        <row r="1220">
          <cell r="A1220">
            <v>41</v>
          </cell>
          <cell r="B1220" t="str">
            <v>No</v>
          </cell>
          <cell r="C1220" t="str">
            <v>Sales</v>
          </cell>
          <cell r="D1220">
            <v>6</v>
          </cell>
          <cell r="E1220">
            <v>3</v>
          </cell>
          <cell r="F1220" t="str">
            <v>Marketing</v>
          </cell>
          <cell r="G1220">
            <v>4</v>
          </cell>
          <cell r="H1220" t="str">
            <v>Male</v>
          </cell>
          <cell r="I1220">
            <v>3</v>
          </cell>
          <cell r="J1220">
            <v>3</v>
          </cell>
          <cell r="K1220" t="str">
            <v>Sales Executive</v>
          </cell>
          <cell r="L1220">
            <v>3</v>
          </cell>
          <cell r="M1220" t="str">
            <v>Single</v>
          </cell>
          <cell r="N1220">
            <v>9241</v>
          </cell>
          <cell r="O1220">
            <v>1</v>
          </cell>
          <cell r="P1220" t="str">
            <v>No</v>
          </cell>
          <cell r="Q1220">
            <v>2</v>
          </cell>
          <cell r="R1220">
            <v>10</v>
          </cell>
          <cell r="S1220">
            <v>3</v>
          </cell>
          <cell r="T1220">
            <v>10</v>
          </cell>
          <cell r="U1220">
            <v>8</v>
          </cell>
          <cell r="V1220">
            <v>8</v>
          </cell>
          <cell r="W1220">
            <v>7</v>
          </cell>
          <cell r="X1220">
            <v>12</v>
          </cell>
          <cell r="Y1220">
            <v>0</v>
          </cell>
          <cell r="Z1220" t="str">
            <v>Mid</v>
          </cell>
          <cell r="AA1220" t="str">
            <v>Medium</v>
          </cell>
          <cell r="AB1220" t="str">
            <v>Long</v>
          </cell>
          <cell r="AC1220" t="str">
            <v>Low</v>
          </cell>
          <cell r="AD1220">
            <v>1708</v>
          </cell>
        </row>
        <row r="1221">
          <cell r="A1221">
            <v>29</v>
          </cell>
          <cell r="B1221" t="str">
            <v>No</v>
          </cell>
          <cell r="C1221" t="str">
            <v>Research &amp; Development</v>
          </cell>
          <cell r="D1221">
            <v>9</v>
          </cell>
          <cell r="E1221">
            <v>4</v>
          </cell>
          <cell r="F1221" t="str">
            <v>Medical</v>
          </cell>
          <cell r="G1221">
            <v>4</v>
          </cell>
          <cell r="H1221" t="str">
            <v>Female</v>
          </cell>
          <cell r="I1221">
            <v>3</v>
          </cell>
          <cell r="J1221">
            <v>1</v>
          </cell>
          <cell r="K1221" t="str">
            <v>Laboratory Technician</v>
          </cell>
          <cell r="L1221">
            <v>3</v>
          </cell>
          <cell r="M1221" t="str">
            <v>Married</v>
          </cell>
          <cell r="N1221">
            <v>2974</v>
          </cell>
          <cell r="O1221">
            <v>9</v>
          </cell>
          <cell r="P1221" t="str">
            <v>No</v>
          </cell>
          <cell r="Q1221">
            <v>3</v>
          </cell>
          <cell r="R1221">
            <v>9</v>
          </cell>
          <cell r="S1221">
            <v>3</v>
          </cell>
          <cell r="T1221">
            <v>5</v>
          </cell>
          <cell r="U1221">
            <v>3</v>
          </cell>
          <cell r="V1221">
            <v>1</v>
          </cell>
          <cell r="W1221">
            <v>2</v>
          </cell>
          <cell r="X1221">
            <v>17</v>
          </cell>
          <cell r="Y1221">
            <v>0</v>
          </cell>
          <cell r="Z1221" t="str">
            <v>Young</v>
          </cell>
          <cell r="AA1221" t="str">
            <v>Low</v>
          </cell>
          <cell r="AB1221" t="str">
            <v>Mid</v>
          </cell>
          <cell r="AC1221" t="str">
            <v>Medium</v>
          </cell>
          <cell r="AD1221">
            <v>1709</v>
          </cell>
        </row>
        <row r="1222">
          <cell r="A1222">
            <v>36</v>
          </cell>
          <cell r="B1222" t="str">
            <v>No</v>
          </cell>
          <cell r="C1222" t="str">
            <v>Sales</v>
          </cell>
          <cell r="D1222">
            <v>2</v>
          </cell>
          <cell r="E1222">
            <v>4</v>
          </cell>
          <cell r="F1222" t="str">
            <v>Life Sciences</v>
          </cell>
          <cell r="G1222">
            <v>3</v>
          </cell>
          <cell r="H1222" t="str">
            <v>Female</v>
          </cell>
          <cell r="I1222">
            <v>3</v>
          </cell>
          <cell r="J1222">
            <v>2</v>
          </cell>
          <cell r="K1222" t="str">
            <v>Sales Representative</v>
          </cell>
          <cell r="L1222">
            <v>4</v>
          </cell>
          <cell r="M1222" t="str">
            <v>Single</v>
          </cell>
          <cell r="N1222">
            <v>4502</v>
          </cell>
          <cell r="O1222">
            <v>3</v>
          </cell>
          <cell r="P1222" t="str">
            <v>No</v>
          </cell>
          <cell r="Q1222">
            <v>3</v>
          </cell>
          <cell r="R1222">
            <v>17</v>
          </cell>
          <cell r="S1222">
            <v>2</v>
          </cell>
          <cell r="T1222">
            <v>13</v>
          </cell>
          <cell r="U1222">
            <v>7</v>
          </cell>
          <cell r="V1222">
            <v>6</v>
          </cell>
          <cell r="W1222">
            <v>7</v>
          </cell>
          <cell r="X1222">
            <v>15</v>
          </cell>
          <cell r="Y1222">
            <v>0</v>
          </cell>
          <cell r="Z1222" t="str">
            <v>Mid</v>
          </cell>
          <cell r="AA1222" t="str">
            <v>Low</v>
          </cell>
          <cell r="AB1222" t="str">
            <v>Long</v>
          </cell>
          <cell r="AC1222" t="str">
            <v>Medium</v>
          </cell>
          <cell r="AD1222">
            <v>1710</v>
          </cell>
        </row>
        <row r="1223">
          <cell r="A1223">
            <v>45</v>
          </cell>
          <cell r="B1223" t="str">
            <v>No</v>
          </cell>
          <cell r="C1223" t="str">
            <v>Research &amp; Development</v>
          </cell>
          <cell r="D1223">
            <v>1</v>
          </cell>
          <cell r="E1223">
            <v>1</v>
          </cell>
          <cell r="F1223" t="str">
            <v>Life Sciences</v>
          </cell>
          <cell r="G1223">
            <v>3</v>
          </cell>
          <cell r="H1223" t="str">
            <v>Male</v>
          </cell>
          <cell r="I1223">
            <v>2</v>
          </cell>
          <cell r="J1223">
            <v>3</v>
          </cell>
          <cell r="K1223" t="str">
            <v>Healthcare Representative</v>
          </cell>
          <cell r="L1223">
            <v>3</v>
          </cell>
          <cell r="M1223" t="str">
            <v>Married</v>
          </cell>
          <cell r="N1223">
            <v>10748</v>
          </cell>
          <cell r="O1223">
            <v>3</v>
          </cell>
          <cell r="P1223" t="str">
            <v>No</v>
          </cell>
          <cell r="Q1223">
            <v>4</v>
          </cell>
          <cell r="R1223">
            <v>25</v>
          </cell>
          <cell r="S1223">
            <v>2</v>
          </cell>
          <cell r="T1223">
            <v>23</v>
          </cell>
          <cell r="U1223">
            <v>15</v>
          </cell>
          <cell r="V1223">
            <v>14</v>
          </cell>
          <cell r="W1223">
            <v>4</v>
          </cell>
          <cell r="X1223">
            <v>23</v>
          </cell>
          <cell r="Y1223">
            <v>0</v>
          </cell>
          <cell r="Z1223" t="str">
            <v>Senior</v>
          </cell>
          <cell r="AA1223" t="str">
            <v>High</v>
          </cell>
          <cell r="AB1223" t="str">
            <v>Long</v>
          </cell>
          <cell r="AC1223" t="str">
            <v>High</v>
          </cell>
          <cell r="AD1223">
            <v>1712</v>
          </cell>
        </row>
        <row r="1224">
          <cell r="A1224">
            <v>24</v>
          </cell>
          <cell r="B1224" t="str">
            <v>Yes</v>
          </cell>
          <cell r="C1224" t="str">
            <v>Human Resources</v>
          </cell>
          <cell r="D1224">
            <v>22</v>
          </cell>
          <cell r="E1224">
            <v>1</v>
          </cell>
          <cell r="F1224" t="str">
            <v>Human Resources</v>
          </cell>
          <cell r="G1224">
            <v>4</v>
          </cell>
          <cell r="H1224" t="str">
            <v>Male</v>
          </cell>
          <cell r="I1224">
            <v>1</v>
          </cell>
          <cell r="J1224">
            <v>1</v>
          </cell>
          <cell r="K1224" t="str">
            <v>Human Resources</v>
          </cell>
          <cell r="L1224">
            <v>3</v>
          </cell>
          <cell r="M1224" t="str">
            <v>Married</v>
          </cell>
          <cell r="N1224">
            <v>1555</v>
          </cell>
          <cell r="O1224">
            <v>1</v>
          </cell>
          <cell r="P1224" t="str">
            <v>No</v>
          </cell>
          <cell r="Q1224">
            <v>3</v>
          </cell>
          <cell r="R1224">
            <v>1</v>
          </cell>
          <cell r="S1224">
            <v>3</v>
          </cell>
          <cell r="T1224">
            <v>1</v>
          </cell>
          <cell r="U1224">
            <v>0</v>
          </cell>
          <cell r="V1224">
            <v>0</v>
          </cell>
          <cell r="W1224">
            <v>0</v>
          </cell>
          <cell r="X1224">
            <v>11</v>
          </cell>
          <cell r="Y1224">
            <v>1</v>
          </cell>
          <cell r="Z1224" t="str">
            <v>Young</v>
          </cell>
          <cell r="AA1224" t="str">
            <v>Low</v>
          </cell>
          <cell r="AB1224" t="str">
            <v>Early</v>
          </cell>
          <cell r="AC1224" t="str">
            <v>Low</v>
          </cell>
          <cell r="AD1224">
            <v>1714</v>
          </cell>
        </row>
        <row r="1225">
          <cell r="A1225">
            <v>47</v>
          </cell>
          <cell r="B1225" t="str">
            <v>Yes</v>
          </cell>
          <cell r="C1225" t="str">
            <v>Sales</v>
          </cell>
          <cell r="D1225">
            <v>9</v>
          </cell>
          <cell r="E1225">
            <v>3</v>
          </cell>
          <cell r="F1225" t="str">
            <v>Life Sciences</v>
          </cell>
          <cell r="G1225">
            <v>3</v>
          </cell>
          <cell r="H1225" t="str">
            <v>Male</v>
          </cell>
          <cell r="I1225">
            <v>1</v>
          </cell>
          <cell r="J1225">
            <v>4</v>
          </cell>
          <cell r="K1225" t="str">
            <v>Sales Executive</v>
          </cell>
          <cell r="L1225">
            <v>3</v>
          </cell>
          <cell r="M1225" t="str">
            <v>Married</v>
          </cell>
          <cell r="N1225">
            <v>12936</v>
          </cell>
          <cell r="O1225">
            <v>7</v>
          </cell>
          <cell r="P1225" t="str">
            <v>No</v>
          </cell>
          <cell r="Q1225">
            <v>3</v>
          </cell>
          <cell r="R1225">
            <v>25</v>
          </cell>
          <cell r="S1225">
            <v>1</v>
          </cell>
          <cell r="T1225">
            <v>23</v>
          </cell>
          <cell r="U1225">
            <v>5</v>
          </cell>
          <cell r="V1225">
            <v>14</v>
          </cell>
          <cell r="W1225">
            <v>10</v>
          </cell>
          <cell r="X1225">
            <v>11</v>
          </cell>
          <cell r="Y1225">
            <v>1</v>
          </cell>
          <cell r="Z1225" t="str">
            <v>Senior</v>
          </cell>
          <cell r="AA1225" t="str">
            <v>High</v>
          </cell>
          <cell r="AB1225" t="str">
            <v>Long</v>
          </cell>
          <cell r="AC1225" t="str">
            <v>Low</v>
          </cell>
          <cell r="AD1225">
            <v>1716</v>
          </cell>
        </row>
        <row r="1226">
          <cell r="A1226">
            <v>26</v>
          </cell>
          <cell r="B1226" t="str">
            <v>No</v>
          </cell>
          <cell r="C1226" t="str">
            <v>Research &amp; Development</v>
          </cell>
          <cell r="D1226">
            <v>17</v>
          </cell>
          <cell r="E1226">
            <v>4</v>
          </cell>
          <cell r="F1226" t="str">
            <v>Medical</v>
          </cell>
          <cell r="G1226">
            <v>4</v>
          </cell>
          <cell r="H1226" t="str">
            <v>Male</v>
          </cell>
          <cell r="I1226">
            <v>1</v>
          </cell>
          <cell r="J1226">
            <v>1</v>
          </cell>
          <cell r="K1226" t="str">
            <v>Laboratory Technician</v>
          </cell>
          <cell r="L1226">
            <v>3</v>
          </cell>
          <cell r="M1226" t="str">
            <v>Married</v>
          </cell>
          <cell r="N1226">
            <v>2305</v>
          </cell>
          <cell r="O1226">
            <v>1</v>
          </cell>
          <cell r="P1226" t="str">
            <v>No</v>
          </cell>
          <cell r="Q1226">
            <v>3</v>
          </cell>
          <cell r="R1226">
            <v>3</v>
          </cell>
          <cell r="S1226">
            <v>4</v>
          </cell>
          <cell r="T1226">
            <v>3</v>
          </cell>
          <cell r="U1226">
            <v>2</v>
          </cell>
          <cell r="V1226">
            <v>0</v>
          </cell>
          <cell r="W1226">
            <v>2</v>
          </cell>
          <cell r="X1226">
            <v>15</v>
          </cell>
          <cell r="Y1226">
            <v>0</v>
          </cell>
          <cell r="Z1226" t="str">
            <v>Young</v>
          </cell>
          <cell r="AA1226" t="str">
            <v>Low</v>
          </cell>
          <cell r="AB1226" t="str">
            <v>Mid</v>
          </cell>
          <cell r="AC1226" t="str">
            <v>Medium</v>
          </cell>
          <cell r="AD1226">
            <v>1718</v>
          </cell>
        </row>
        <row r="1227">
          <cell r="A1227">
            <v>45</v>
          </cell>
          <cell r="B1227" t="str">
            <v>No</v>
          </cell>
          <cell r="C1227" t="str">
            <v>Research &amp; Development</v>
          </cell>
          <cell r="D1227">
            <v>28</v>
          </cell>
          <cell r="E1227">
            <v>2</v>
          </cell>
          <cell r="F1227" t="str">
            <v>Technical Degree</v>
          </cell>
          <cell r="G1227">
            <v>4</v>
          </cell>
          <cell r="H1227" t="str">
            <v>Female</v>
          </cell>
          <cell r="I1227">
            <v>2</v>
          </cell>
          <cell r="J1227">
            <v>4</v>
          </cell>
          <cell r="K1227" t="str">
            <v>Research Director</v>
          </cell>
          <cell r="L1227">
            <v>2</v>
          </cell>
          <cell r="M1227" t="str">
            <v>Single</v>
          </cell>
          <cell r="N1227">
            <v>16704</v>
          </cell>
          <cell r="O1227">
            <v>1</v>
          </cell>
          <cell r="P1227" t="str">
            <v>No</v>
          </cell>
          <cell r="Q1227">
            <v>3</v>
          </cell>
          <cell r="R1227">
            <v>21</v>
          </cell>
          <cell r="S1227">
            <v>3</v>
          </cell>
          <cell r="T1227">
            <v>21</v>
          </cell>
          <cell r="U1227">
            <v>6</v>
          </cell>
          <cell r="V1227">
            <v>8</v>
          </cell>
          <cell r="W1227">
            <v>6</v>
          </cell>
          <cell r="X1227">
            <v>11</v>
          </cell>
          <cell r="Y1227">
            <v>0</v>
          </cell>
          <cell r="Z1227" t="str">
            <v>Senior</v>
          </cell>
          <cell r="AA1227" t="str">
            <v>High</v>
          </cell>
          <cell r="AB1227" t="str">
            <v>Long</v>
          </cell>
          <cell r="AC1227" t="str">
            <v>Low</v>
          </cell>
          <cell r="AD1227">
            <v>1719</v>
          </cell>
        </row>
        <row r="1228">
          <cell r="A1228">
            <v>32</v>
          </cell>
          <cell r="B1228" t="str">
            <v>No</v>
          </cell>
          <cell r="C1228" t="str">
            <v>Research &amp; Development</v>
          </cell>
          <cell r="D1228">
            <v>10</v>
          </cell>
          <cell r="E1228">
            <v>3</v>
          </cell>
          <cell r="F1228" t="str">
            <v>Life Sciences</v>
          </cell>
          <cell r="G1228">
            <v>1</v>
          </cell>
          <cell r="H1228" t="str">
            <v>Male</v>
          </cell>
          <cell r="I1228">
            <v>3</v>
          </cell>
          <cell r="J1228">
            <v>1</v>
          </cell>
          <cell r="K1228" t="str">
            <v>Research Scientist</v>
          </cell>
          <cell r="L1228">
            <v>3</v>
          </cell>
          <cell r="M1228" t="str">
            <v>Married</v>
          </cell>
          <cell r="N1228">
            <v>3433</v>
          </cell>
          <cell r="O1228">
            <v>6</v>
          </cell>
          <cell r="P1228" t="str">
            <v>No</v>
          </cell>
          <cell r="Q1228">
            <v>1</v>
          </cell>
          <cell r="R1228">
            <v>10</v>
          </cell>
          <cell r="S1228">
            <v>2</v>
          </cell>
          <cell r="T1228">
            <v>5</v>
          </cell>
          <cell r="U1228">
            <v>2</v>
          </cell>
          <cell r="V1228">
            <v>1</v>
          </cell>
          <cell r="W1228">
            <v>3</v>
          </cell>
          <cell r="X1228">
            <v>13</v>
          </cell>
          <cell r="Y1228">
            <v>0</v>
          </cell>
          <cell r="Z1228" t="str">
            <v>Mid</v>
          </cell>
          <cell r="AA1228" t="str">
            <v>Low</v>
          </cell>
          <cell r="AB1228" t="str">
            <v>Mid</v>
          </cell>
          <cell r="AC1228" t="str">
            <v>Medium</v>
          </cell>
          <cell r="AD1228">
            <v>1720</v>
          </cell>
        </row>
        <row r="1229">
          <cell r="A1229">
            <v>31</v>
          </cell>
          <cell r="B1229" t="str">
            <v>No</v>
          </cell>
          <cell r="C1229" t="str">
            <v>Research &amp; Development</v>
          </cell>
          <cell r="D1229">
            <v>2</v>
          </cell>
          <cell r="E1229">
            <v>4</v>
          </cell>
          <cell r="F1229" t="str">
            <v>Life Sciences</v>
          </cell>
          <cell r="G1229">
            <v>2</v>
          </cell>
          <cell r="H1229" t="str">
            <v>Male</v>
          </cell>
          <cell r="I1229">
            <v>3</v>
          </cell>
          <cell r="J1229">
            <v>1</v>
          </cell>
          <cell r="K1229" t="str">
            <v>Laboratory Technician</v>
          </cell>
          <cell r="L1229">
            <v>3</v>
          </cell>
          <cell r="M1229" t="str">
            <v>Married</v>
          </cell>
          <cell r="N1229">
            <v>3477</v>
          </cell>
          <cell r="O1229">
            <v>1</v>
          </cell>
          <cell r="P1229" t="str">
            <v>No</v>
          </cell>
          <cell r="Q1229">
            <v>4</v>
          </cell>
          <cell r="R1229">
            <v>6</v>
          </cell>
          <cell r="S1229">
            <v>4</v>
          </cell>
          <cell r="T1229">
            <v>5</v>
          </cell>
          <cell r="U1229">
            <v>2</v>
          </cell>
          <cell r="V1229">
            <v>0</v>
          </cell>
          <cell r="W1229">
            <v>3</v>
          </cell>
          <cell r="X1229">
            <v>14</v>
          </cell>
          <cell r="Y1229">
            <v>0</v>
          </cell>
          <cell r="Z1229" t="str">
            <v>Mid</v>
          </cell>
          <cell r="AA1229" t="str">
            <v>Low</v>
          </cell>
          <cell r="AB1229" t="str">
            <v>Mid</v>
          </cell>
          <cell r="AC1229" t="str">
            <v>Medium</v>
          </cell>
          <cell r="AD1229">
            <v>1721</v>
          </cell>
        </row>
        <row r="1230">
          <cell r="A1230">
            <v>41</v>
          </cell>
          <cell r="B1230" t="str">
            <v>No</v>
          </cell>
          <cell r="C1230" t="str">
            <v>Human Resources</v>
          </cell>
          <cell r="D1230">
            <v>4</v>
          </cell>
          <cell r="E1230">
            <v>3</v>
          </cell>
          <cell r="F1230" t="str">
            <v>Human Resources</v>
          </cell>
          <cell r="G1230">
            <v>3</v>
          </cell>
          <cell r="H1230" t="str">
            <v>Male</v>
          </cell>
          <cell r="I1230">
            <v>1</v>
          </cell>
          <cell r="J1230">
            <v>2</v>
          </cell>
          <cell r="K1230" t="str">
            <v>Human Resources</v>
          </cell>
          <cell r="L1230">
            <v>2</v>
          </cell>
          <cell r="M1230" t="str">
            <v>Married</v>
          </cell>
          <cell r="N1230">
            <v>6430</v>
          </cell>
          <cell r="O1230">
            <v>6</v>
          </cell>
          <cell r="P1230" t="str">
            <v>No</v>
          </cell>
          <cell r="Q1230">
            <v>2</v>
          </cell>
          <cell r="R1230">
            <v>10</v>
          </cell>
          <cell r="S1230">
            <v>3</v>
          </cell>
          <cell r="T1230">
            <v>3</v>
          </cell>
          <cell r="U1230">
            <v>2</v>
          </cell>
          <cell r="V1230">
            <v>1</v>
          </cell>
          <cell r="W1230">
            <v>2</v>
          </cell>
          <cell r="X1230">
            <v>19</v>
          </cell>
          <cell r="Y1230">
            <v>0</v>
          </cell>
          <cell r="Z1230" t="str">
            <v>Mid</v>
          </cell>
          <cell r="AA1230" t="str">
            <v>Medium</v>
          </cell>
          <cell r="AB1230" t="str">
            <v>Mid</v>
          </cell>
          <cell r="AC1230" t="str">
            <v>High</v>
          </cell>
          <cell r="AD1230">
            <v>1722</v>
          </cell>
        </row>
        <row r="1231">
          <cell r="A1231">
            <v>40</v>
          </cell>
          <cell r="B1231" t="str">
            <v>No</v>
          </cell>
          <cell r="C1231" t="str">
            <v>Research &amp; Development</v>
          </cell>
          <cell r="D1231">
            <v>8</v>
          </cell>
          <cell r="E1231">
            <v>2</v>
          </cell>
          <cell r="F1231" t="str">
            <v>Life Sciences</v>
          </cell>
          <cell r="G1231">
            <v>2</v>
          </cell>
          <cell r="H1231" t="str">
            <v>Female</v>
          </cell>
          <cell r="I1231">
            <v>3</v>
          </cell>
          <cell r="J1231">
            <v>2</v>
          </cell>
          <cell r="K1231" t="str">
            <v>Manufacturing Director</v>
          </cell>
          <cell r="L1231">
            <v>1</v>
          </cell>
          <cell r="M1231" t="str">
            <v>Married</v>
          </cell>
          <cell r="N1231">
            <v>6516</v>
          </cell>
          <cell r="O1231">
            <v>2</v>
          </cell>
          <cell r="P1231" t="str">
            <v>Yes</v>
          </cell>
          <cell r="Q1231">
            <v>2</v>
          </cell>
          <cell r="R1231">
            <v>18</v>
          </cell>
          <cell r="S1231">
            <v>3</v>
          </cell>
          <cell r="T1231">
            <v>1</v>
          </cell>
          <cell r="U1231">
            <v>0</v>
          </cell>
          <cell r="V1231">
            <v>0</v>
          </cell>
          <cell r="W1231">
            <v>0</v>
          </cell>
          <cell r="X1231">
            <v>16</v>
          </cell>
          <cell r="Y1231">
            <v>0</v>
          </cell>
          <cell r="Z1231" t="str">
            <v>Mid</v>
          </cell>
          <cell r="AA1231" t="str">
            <v>Medium</v>
          </cell>
          <cell r="AB1231" t="str">
            <v>Early</v>
          </cell>
          <cell r="AC1231" t="str">
            <v>Medium</v>
          </cell>
          <cell r="AD1231">
            <v>1724</v>
          </cell>
        </row>
        <row r="1232">
          <cell r="A1232">
            <v>24</v>
          </cell>
          <cell r="B1232" t="str">
            <v>No</v>
          </cell>
          <cell r="C1232" t="str">
            <v>Research &amp; Development</v>
          </cell>
          <cell r="D1232">
            <v>29</v>
          </cell>
          <cell r="E1232">
            <v>1</v>
          </cell>
          <cell r="F1232" t="str">
            <v>Medical</v>
          </cell>
          <cell r="G1232">
            <v>2</v>
          </cell>
          <cell r="H1232" t="str">
            <v>Male</v>
          </cell>
          <cell r="I1232">
            <v>3</v>
          </cell>
          <cell r="J1232">
            <v>1</v>
          </cell>
          <cell r="K1232" t="str">
            <v>Laboratory Technician</v>
          </cell>
          <cell r="L1232">
            <v>1</v>
          </cell>
          <cell r="M1232" t="str">
            <v>Divorced</v>
          </cell>
          <cell r="N1232">
            <v>3907</v>
          </cell>
          <cell r="O1232">
            <v>1</v>
          </cell>
          <cell r="P1232" t="str">
            <v>No</v>
          </cell>
          <cell r="Q1232">
            <v>2</v>
          </cell>
          <cell r="R1232">
            <v>6</v>
          </cell>
          <cell r="S1232">
            <v>4</v>
          </cell>
          <cell r="T1232">
            <v>6</v>
          </cell>
          <cell r="U1232">
            <v>2</v>
          </cell>
          <cell r="V1232">
            <v>1</v>
          </cell>
          <cell r="W1232">
            <v>2</v>
          </cell>
          <cell r="X1232">
            <v>13</v>
          </cell>
          <cell r="Y1232">
            <v>0</v>
          </cell>
          <cell r="Z1232" t="str">
            <v>Young</v>
          </cell>
          <cell r="AA1232" t="str">
            <v>Low</v>
          </cell>
          <cell r="AB1232" t="str">
            <v>Mid</v>
          </cell>
          <cell r="AC1232" t="str">
            <v>Medium</v>
          </cell>
          <cell r="AD1232">
            <v>1725</v>
          </cell>
        </row>
        <row r="1233">
          <cell r="A1233">
            <v>46</v>
          </cell>
          <cell r="B1233" t="str">
            <v>No</v>
          </cell>
          <cell r="C1233" t="str">
            <v>Research &amp; Development</v>
          </cell>
          <cell r="D1233">
            <v>13</v>
          </cell>
          <cell r="E1233">
            <v>4</v>
          </cell>
          <cell r="F1233" t="str">
            <v>Life Sciences</v>
          </cell>
          <cell r="G1233">
            <v>3</v>
          </cell>
          <cell r="H1233" t="str">
            <v>Male</v>
          </cell>
          <cell r="I1233">
            <v>3</v>
          </cell>
          <cell r="J1233">
            <v>2</v>
          </cell>
          <cell r="K1233" t="str">
            <v>Healthcare Representative</v>
          </cell>
          <cell r="L1233">
            <v>2</v>
          </cell>
          <cell r="M1233" t="str">
            <v>Single</v>
          </cell>
          <cell r="N1233">
            <v>5562</v>
          </cell>
          <cell r="O1233">
            <v>6</v>
          </cell>
          <cell r="P1233" t="str">
            <v>No</v>
          </cell>
          <cell r="Q1233">
            <v>4</v>
          </cell>
          <cell r="R1233">
            <v>19</v>
          </cell>
          <cell r="S1233">
            <v>3</v>
          </cell>
          <cell r="T1233">
            <v>10</v>
          </cell>
          <cell r="U1233">
            <v>7</v>
          </cell>
          <cell r="V1233">
            <v>0</v>
          </cell>
          <cell r="W1233">
            <v>9</v>
          </cell>
          <cell r="X1233">
            <v>14</v>
          </cell>
          <cell r="Y1233">
            <v>0</v>
          </cell>
          <cell r="Z1233" t="str">
            <v>Senior</v>
          </cell>
          <cell r="AA1233" t="str">
            <v>Medium</v>
          </cell>
          <cell r="AB1233" t="str">
            <v>Long</v>
          </cell>
          <cell r="AC1233" t="str">
            <v>Medium</v>
          </cell>
          <cell r="AD1233">
            <v>1727</v>
          </cell>
        </row>
        <row r="1234">
          <cell r="A1234">
            <v>35</v>
          </cell>
          <cell r="B1234" t="str">
            <v>No</v>
          </cell>
          <cell r="C1234" t="str">
            <v>Research &amp; Development</v>
          </cell>
          <cell r="D1234">
            <v>27</v>
          </cell>
          <cell r="E1234">
            <v>4</v>
          </cell>
          <cell r="F1234" t="str">
            <v>Life Sciences</v>
          </cell>
          <cell r="G1234">
            <v>4</v>
          </cell>
          <cell r="H1234" t="str">
            <v>Male</v>
          </cell>
          <cell r="I1234">
            <v>3</v>
          </cell>
          <cell r="J1234">
            <v>2</v>
          </cell>
          <cell r="K1234" t="str">
            <v>Manufacturing Director</v>
          </cell>
          <cell r="L1234">
            <v>3</v>
          </cell>
          <cell r="M1234" t="str">
            <v>Married</v>
          </cell>
          <cell r="N1234">
            <v>6883</v>
          </cell>
          <cell r="O1234">
            <v>2</v>
          </cell>
          <cell r="P1234" t="str">
            <v>No</v>
          </cell>
          <cell r="Q1234">
            <v>2</v>
          </cell>
          <cell r="R1234">
            <v>17</v>
          </cell>
          <cell r="S1234">
            <v>3</v>
          </cell>
          <cell r="T1234">
            <v>7</v>
          </cell>
          <cell r="U1234">
            <v>7</v>
          </cell>
          <cell r="V1234">
            <v>0</v>
          </cell>
          <cell r="W1234">
            <v>7</v>
          </cell>
          <cell r="X1234">
            <v>16</v>
          </cell>
          <cell r="Y1234">
            <v>0</v>
          </cell>
          <cell r="Z1234" t="str">
            <v>Mid</v>
          </cell>
          <cell r="AA1234" t="str">
            <v>Medium</v>
          </cell>
          <cell r="AB1234" t="str">
            <v>Long</v>
          </cell>
          <cell r="AC1234" t="str">
            <v>Medium</v>
          </cell>
          <cell r="AD1234">
            <v>1728</v>
          </cell>
        </row>
        <row r="1235">
          <cell r="A1235">
            <v>30</v>
          </cell>
          <cell r="B1235" t="str">
            <v>No</v>
          </cell>
          <cell r="C1235" t="str">
            <v>Research &amp; Development</v>
          </cell>
          <cell r="D1235">
            <v>16</v>
          </cell>
          <cell r="E1235">
            <v>1</v>
          </cell>
          <cell r="F1235" t="str">
            <v>Life Sciences</v>
          </cell>
          <cell r="G1235">
            <v>2</v>
          </cell>
          <cell r="H1235" t="str">
            <v>Male</v>
          </cell>
          <cell r="I1235">
            <v>3</v>
          </cell>
          <cell r="J1235">
            <v>1</v>
          </cell>
          <cell r="K1235" t="str">
            <v>Research Scientist</v>
          </cell>
          <cell r="L1235">
            <v>4</v>
          </cell>
          <cell r="M1235" t="str">
            <v>Married</v>
          </cell>
          <cell r="N1235">
            <v>2862</v>
          </cell>
          <cell r="O1235">
            <v>1</v>
          </cell>
          <cell r="P1235" t="str">
            <v>No</v>
          </cell>
          <cell r="Q1235">
            <v>2</v>
          </cell>
          <cell r="R1235">
            <v>10</v>
          </cell>
          <cell r="S1235">
            <v>2</v>
          </cell>
          <cell r="T1235">
            <v>10</v>
          </cell>
          <cell r="U1235">
            <v>0</v>
          </cell>
          <cell r="V1235">
            <v>0</v>
          </cell>
          <cell r="W1235">
            <v>8</v>
          </cell>
          <cell r="X1235">
            <v>12</v>
          </cell>
          <cell r="Y1235">
            <v>0</v>
          </cell>
          <cell r="Z1235" t="str">
            <v>Mid</v>
          </cell>
          <cell r="AA1235" t="str">
            <v>Low</v>
          </cell>
          <cell r="AB1235" t="str">
            <v>Long</v>
          </cell>
          <cell r="AC1235" t="str">
            <v>Low</v>
          </cell>
          <cell r="AD1235">
            <v>1729</v>
          </cell>
        </row>
        <row r="1236">
          <cell r="A1236">
            <v>47</v>
          </cell>
          <cell r="B1236" t="str">
            <v>No</v>
          </cell>
          <cell r="C1236" t="str">
            <v>Sales</v>
          </cell>
          <cell r="D1236">
            <v>2</v>
          </cell>
          <cell r="E1236">
            <v>4</v>
          </cell>
          <cell r="F1236" t="str">
            <v>Marketing</v>
          </cell>
          <cell r="G1236">
            <v>3</v>
          </cell>
          <cell r="H1236" t="str">
            <v>Male</v>
          </cell>
          <cell r="I1236">
            <v>3</v>
          </cell>
          <cell r="J1236">
            <v>2</v>
          </cell>
          <cell r="K1236" t="str">
            <v>Sales Executive</v>
          </cell>
          <cell r="L1236">
            <v>2</v>
          </cell>
          <cell r="M1236" t="str">
            <v>Married</v>
          </cell>
          <cell r="N1236">
            <v>4978</v>
          </cell>
          <cell r="O1236">
            <v>7</v>
          </cell>
          <cell r="P1236" t="str">
            <v>No</v>
          </cell>
          <cell r="Q1236">
            <v>4</v>
          </cell>
          <cell r="R1236">
            <v>4</v>
          </cell>
          <cell r="S1236">
            <v>1</v>
          </cell>
          <cell r="T1236">
            <v>1</v>
          </cell>
          <cell r="U1236">
            <v>0</v>
          </cell>
          <cell r="V1236">
            <v>0</v>
          </cell>
          <cell r="W1236">
            <v>0</v>
          </cell>
          <cell r="X1236">
            <v>11</v>
          </cell>
          <cell r="Y1236">
            <v>0</v>
          </cell>
          <cell r="Z1236" t="str">
            <v>Senior</v>
          </cell>
          <cell r="AA1236" t="str">
            <v>Low</v>
          </cell>
          <cell r="AB1236" t="str">
            <v>Early</v>
          </cell>
          <cell r="AC1236" t="str">
            <v>Low</v>
          </cell>
          <cell r="AD1236">
            <v>1731</v>
          </cell>
        </row>
        <row r="1237">
          <cell r="A1237">
            <v>46</v>
          </cell>
          <cell r="B1237" t="str">
            <v>No</v>
          </cell>
          <cell r="C1237" t="str">
            <v>Sales</v>
          </cell>
          <cell r="D1237">
            <v>2</v>
          </cell>
          <cell r="E1237">
            <v>3</v>
          </cell>
          <cell r="F1237" t="str">
            <v>Life Sciences</v>
          </cell>
          <cell r="G1237">
            <v>3</v>
          </cell>
          <cell r="H1237" t="str">
            <v>Male</v>
          </cell>
          <cell r="I1237">
            <v>3</v>
          </cell>
          <cell r="J1237">
            <v>3</v>
          </cell>
          <cell r="K1237" t="str">
            <v>Sales Executive</v>
          </cell>
          <cell r="L1237">
            <v>4</v>
          </cell>
          <cell r="M1237" t="str">
            <v>Divorced</v>
          </cell>
          <cell r="N1237">
            <v>10368</v>
          </cell>
          <cell r="O1237">
            <v>4</v>
          </cell>
          <cell r="P1237" t="str">
            <v>Yes</v>
          </cell>
          <cell r="Q1237">
            <v>2</v>
          </cell>
          <cell r="R1237">
            <v>13</v>
          </cell>
          <cell r="S1237">
            <v>2</v>
          </cell>
          <cell r="T1237">
            <v>10</v>
          </cell>
          <cell r="U1237">
            <v>6</v>
          </cell>
          <cell r="V1237">
            <v>0</v>
          </cell>
          <cell r="W1237">
            <v>3</v>
          </cell>
          <cell r="X1237">
            <v>12</v>
          </cell>
          <cell r="Y1237">
            <v>0</v>
          </cell>
          <cell r="Z1237" t="str">
            <v>Senior</v>
          </cell>
          <cell r="AA1237" t="str">
            <v>High</v>
          </cell>
          <cell r="AB1237" t="str">
            <v>Long</v>
          </cell>
          <cell r="AC1237" t="str">
            <v>Low</v>
          </cell>
          <cell r="AD1237">
            <v>1732</v>
          </cell>
        </row>
        <row r="1238">
          <cell r="A1238">
            <v>36</v>
          </cell>
          <cell r="B1238" t="str">
            <v>Yes</v>
          </cell>
          <cell r="C1238" t="str">
            <v>Sales</v>
          </cell>
          <cell r="D1238">
            <v>13</v>
          </cell>
          <cell r="E1238">
            <v>5</v>
          </cell>
          <cell r="F1238" t="str">
            <v>Marketing</v>
          </cell>
          <cell r="G1238">
            <v>2</v>
          </cell>
          <cell r="H1238" t="str">
            <v>Male</v>
          </cell>
          <cell r="I1238">
            <v>2</v>
          </cell>
          <cell r="J1238">
            <v>2</v>
          </cell>
          <cell r="K1238" t="str">
            <v>Sales Executive</v>
          </cell>
          <cell r="L1238">
            <v>1</v>
          </cell>
          <cell r="M1238" t="str">
            <v>Divorced</v>
          </cell>
          <cell r="N1238">
            <v>6134</v>
          </cell>
          <cell r="O1238">
            <v>5</v>
          </cell>
          <cell r="P1238" t="str">
            <v>Yes</v>
          </cell>
          <cell r="Q1238">
            <v>2</v>
          </cell>
          <cell r="R1238">
            <v>16</v>
          </cell>
          <cell r="S1238">
            <v>3</v>
          </cell>
          <cell r="T1238">
            <v>2</v>
          </cell>
          <cell r="U1238">
            <v>2</v>
          </cell>
          <cell r="V1238">
            <v>2</v>
          </cell>
          <cell r="W1238">
            <v>2</v>
          </cell>
          <cell r="X1238">
            <v>13</v>
          </cell>
          <cell r="Y1238">
            <v>1</v>
          </cell>
          <cell r="Z1238" t="str">
            <v>Mid</v>
          </cell>
          <cell r="AA1238" t="str">
            <v>Medium</v>
          </cell>
          <cell r="AB1238" t="str">
            <v>Early</v>
          </cell>
          <cell r="AC1238" t="str">
            <v>Medium</v>
          </cell>
          <cell r="AD1238">
            <v>1733</v>
          </cell>
        </row>
        <row r="1239">
          <cell r="A1239">
            <v>32</v>
          </cell>
          <cell r="B1239" t="str">
            <v>Yes</v>
          </cell>
          <cell r="C1239" t="str">
            <v>Sales</v>
          </cell>
          <cell r="D1239">
            <v>1</v>
          </cell>
          <cell r="E1239">
            <v>2</v>
          </cell>
          <cell r="F1239" t="str">
            <v>Life Sciences</v>
          </cell>
          <cell r="G1239">
            <v>1</v>
          </cell>
          <cell r="H1239" t="str">
            <v>Male</v>
          </cell>
          <cell r="I1239">
            <v>1</v>
          </cell>
          <cell r="J1239">
            <v>2</v>
          </cell>
          <cell r="K1239" t="str">
            <v>Sales Executive</v>
          </cell>
          <cell r="L1239">
            <v>2</v>
          </cell>
          <cell r="M1239" t="str">
            <v>Single</v>
          </cell>
          <cell r="N1239">
            <v>6735</v>
          </cell>
          <cell r="O1239">
            <v>6</v>
          </cell>
          <cell r="P1239" t="str">
            <v>No</v>
          </cell>
          <cell r="Q1239">
            <v>2</v>
          </cell>
          <cell r="R1239">
            <v>10</v>
          </cell>
          <cell r="S1239">
            <v>3</v>
          </cell>
          <cell r="T1239">
            <v>0</v>
          </cell>
          <cell r="U1239">
            <v>0</v>
          </cell>
          <cell r="V1239">
            <v>0</v>
          </cell>
          <cell r="W1239">
            <v>0</v>
          </cell>
          <cell r="X1239">
            <v>15</v>
          </cell>
          <cell r="Y1239">
            <v>1</v>
          </cell>
          <cell r="Z1239" t="str">
            <v>Mid</v>
          </cell>
          <cell r="AA1239" t="str">
            <v>Medium</v>
          </cell>
          <cell r="AB1239" t="str">
            <v>Early</v>
          </cell>
          <cell r="AC1239" t="str">
            <v>Medium</v>
          </cell>
          <cell r="AD1239">
            <v>1734</v>
          </cell>
        </row>
        <row r="1240">
          <cell r="A1240">
            <v>23</v>
          </cell>
          <cell r="B1240" t="str">
            <v>No</v>
          </cell>
          <cell r="C1240" t="str">
            <v>Research &amp; Development</v>
          </cell>
          <cell r="D1240">
            <v>4</v>
          </cell>
          <cell r="E1240">
            <v>1</v>
          </cell>
          <cell r="F1240" t="str">
            <v>Medical</v>
          </cell>
          <cell r="G1240">
            <v>3</v>
          </cell>
          <cell r="H1240" t="str">
            <v>Female</v>
          </cell>
          <cell r="I1240">
            <v>3</v>
          </cell>
          <cell r="J1240">
            <v>1</v>
          </cell>
          <cell r="K1240" t="str">
            <v>Laboratory Technician</v>
          </cell>
          <cell r="L1240">
            <v>2</v>
          </cell>
          <cell r="M1240" t="str">
            <v>Single</v>
          </cell>
          <cell r="N1240">
            <v>3295</v>
          </cell>
          <cell r="O1240">
            <v>1</v>
          </cell>
          <cell r="P1240" t="str">
            <v>No</v>
          </cell>
          <cell r="Q1240">
            <v>3</v>
          </cell>
          <cell r="R1240">
            <v>3</v>
          </cell>
          <cell r="S1240">
            <v>1</v>
          </cell>
          <cell r="T1240">
            <v>3</v>
          </cell>
          <cell r="U1240">
            <v>2</v>
          </cell>
          <cell r="V1240">
            <v>1</v>
          </cell>
          <cell r="W1240">
            <v>2</v>
          </cell>
          <cell r="X1240">
            <v>13</v>
          </cell>
          <cell r="Y1240">
            <v>0</v>
          </cell>
          <cell r="Z1240" t="str">
            <v>Young</v>
          </cell>
          <cell r="AA1240" t="str">
            <v>Low</v>
          </cell>
          <cell r="AB1240" t="str">
            <v>Mid</v>
          </cell>
          <cell r="AC1240" t="str">
            <v>Medium</v>
          </cell>
          <cell r="AD1240">
            <v>1735</v>
          </cell>
        </row>
        <row r="1241">
          <cell r="A1241">
            <v>31</v>
          </cell>
          <cell r="B1241" t="str">
            <v>No</v>
          </cell>
          <cell r="C1241" t="str">
            <v>Research &amp; Development</v>
          </cell>
          <cell r="D1241">
            <v>24</v>
          </cell>
          <cell r="E1241">
            <v>1</v>
          </cell>
          <cell r="F1241" t="str">
            <v>Technical Degree</v>
          </cell>
          <cell r="G1241">
            <v>4</v>
          </cell>
          <cell r="H1241" t="str">
            <v>Female</v>
          </cell>
          <cell r="I1241">
            <v>3</v>
          </cell>
          <cell r="J1241">
            <v>2</v>
          </cell>
          <cell r="K1241" t="str">
            <v>Manufacturing Director</v>
          </cell>
          <cell r="L1241">
            <v>4</v>
          </cell>
          <cell r="M1241" t="str">
            <v>Single</v>
          </cell>
          <cell r="N1241">
            <v>5238</v>
          </cell>
          <cell r="O1241">
            <v>2</v>
          </cell>
          <cell r="P1241" t="str">
            <v>No</v>
          </cell>
          <cell r="Q1241">
            <v>4</v>
          </cell>
          <cell r="R1241">
            <v>9</v>
          </cell>
          <cell r="S1241">
            <v>2</v>
          </cell>
          <cell r="T1241">
            <v>5</v>
          </cell>
          <cell r="U1241">
            <v>4</v>
          </cell>
          <cell r="V1241">
            <v>1</v>
          </cell>
          <cell r="W1241">
            <v>4</v>
          </cell>
          <cell r="X1241">
            <v>20</v>
          </cell>
          <cell r="Y1241">
            <v>0</v>
          </cell>
          <cell r="Z1241" t="str">
            <v>Mid</v>
          </cell>
          <cell r="AA1241" t="str">
            <v>Medium</v>
          </cell>
          <cell r="AB1241" t="str">
            <v>Mid</v>
          </cell>
          <cell r="AC1241" t="str">
            <v>High</v>
          </cell>
          <cell r="AD1241">
            <v>1736</v>
          </cell>
        </row>
        <row r="1242">
          <cell r="A1242">
            <v>39</v>
          </cell>
          <cell r="B1242" t="str">
            <v>No</v>
          </cell>
          <cell r="C1242" t="str">
            <v>Research &amp; Development</v>
          </cell>
          <cell r="D1242">
            <v>1</v>
          </cell>
          <cell r="E1242">
            <v>3</v>
          </cell>
          <cell r="F1242" t="str">
            <v>Life Sciences</v>
          </cell>
          <cell r="G1242">
            <v>4</v>
          </cell>
          <cell r="H1242" t="str">
            <v>Male</v>
          </cell>
          <cell r="I1242">
            <v>3</v>
          </cell>
          <cell r="J1242">
            <v>2</v>
          </cell>
          <cell r="K1242" t="str">
            <v>Laboratory Technician</v>
          </cell>
          <cell r="L1242">
            <v>4</v>
          </cell>
          <cell r="M1242" t="str">
            <v>Married</v>
          </cell>
          <cell r="N1242">
            <v>6472</v>
          </cell>
          <cell r="O1242">
            <v>1</v>
          </cell>
          <cell r="P1242" t="str">
            <v>Yes</v>
          </cell>
          <cell r="Q1242">
            <v>4</v>
          </cell>
          <cell r="R1242">
            <v>9</v>
          </cell>
          <cell r="S1242">
            <v>3</v>
          </cell>
          <cell r="T1242">
            <v>9</v>
          </cell>
          <cell r="U1242">
            <v>8</v>
          </cell>
          <cell r="V1242">
            <v>5</v>
          </cell>
          <cell r="W1242">
            <v>8</v>
          </cell>
          <cell r="X1242">
            <v>15</v>
          </cell>
          <cell r="Y1242">
            <v>0</v>
          </cell>
          <cell r="Z1242" t="str">
            <v>Mid</v>
          </cell>
          <cell r="AA1242" t="str">
            <v>Medium</v>
          </cell>
          <cell r="AB1242" t="str">
            <v>Long</v>
          </cell>
          <cell r="AC1242" t="str">
            <v>Medium</v>
          </cell>
          <cell r="AD1242">
            <v>1737</v>
          </cell>
        </row>
        <row r="1243">
          <cell r="A1243">
            <v>32</v>
          </cell>
          <cell r="B1243" t="str">
            <v>No</v>
          </cell>
          <cell r="C1243" t="str">
            <v>Sales</v>
          </cell>
          <cell r="D1243">
            <v>19</v>
          </cell>
          <cell r="E1243">
            <v>3</v>
          </cell>
          <cell r="F1243" t="str">
            <v>Life Sciences</v>
          </cell>
          <cell r="G1243">
            <v>4</v>
          </cell>
          <cell r="H1243" t="str">
            <v>Male</v>
          </cell>
          <cell r="I1243">
            <v>1</v>
          </cell>
          <cell r="J1243">
            <v>3</v>
          </cell>
          <cell r="K1243" t="str">
            <v>Sales Executive</v>
          </cell>
          <cell r="L1243">
            <v>3</v>
          </cell>
          <cell r="M1243" t="str">
            <v>Married</v>
          </cell>
          <cell r="N1243">
            <v>9610</v>
          </cell>
          <cell r="O1243">
            <v>3</v>
          </cell>
          <cell r="P1243" t="str">
            <v>No</v>
          </cell>
          <cell r="Q1243">
            <v>3</v>
          </cell>
          <cell r="R1243">
            <v>10</v>
          </cell>
          <cell r="S1243">
            <v>1</v>
          </cell>
          <cell r="T1243">
            <v>4</v>
          </cell>
          <cell r="U1243">
            <v>3</v>
          </cell>
          <cell r="V1243">
            <v>0</v>
          </cell>
          <cell r="W1243">
            <v>2</v>
          </cell>
          <cell r="X1243">
            <v>13</v>
          </cell>
          <cell r="Y1243">
            <v>0</v>
          </cell>
          <cell r="Z1243" t="str">
            <v>Mid</v>
          </cell>
          <cell r="AA1243" t="str">
            <v>Medium</v>
          </cell>
          <cell r="AB1243" t="str">
            <v>Mid</v>
          </cell>
          <cell r="AC1243" t="str">
            <v>Medium</v>
          </cell>
          <cell r="AD1243">
            <v>1739</v>
          </cell>
        </row>
        <row r="1244">
          <cell r="A1244">
            <v>40</v>
          </cell>
          <cell r="B1244" t="str">
            <v>No</v>
          </cell>
          <cell r="C1244" t="str">
            <v>Sales</v>
          </cell>
          <cell r="D1244">
            <v>7</v>
          </cell>
          <cell r="E1244">
            <v>4</v>
          </cell>
          <cell r="F1244" t="str">
            <v>Medical</v>
          </cell>
          <cell r="G1244">
            <v>2</v>
          </cell>
          <cell r="H1244" t="str">
            <v>Male</v>
          </cell>
          <cell r="I1244">
            <v>3</v>
          </cell>
          <cell r="J1244">
            <v>5</v>
          </cell>
          <cell r="K1244" t="str">
            <v>Manager</v>
          </cell>
          <cell r="L1244">
            <v>2</v>
          </cell>
          <cell r="M1244" t="str">
            <v>Single</v>
          </cell>
          <cell r="N1244">
            <v>19833</v>
          </cell>
          <cell r="O1244">
            <v>1</v>
          </cell>
          <cell r="P1244" t="str">
            <v>No</v>
          </cell>
          <cell r="Q1244">
            <v>2</v>
          </cell>
          <cell r="R1244">
            <v>21</v>
          </cell>
          <cell r="S1244">
            <v>2</v>
          </cell>
          <cell r="T1244">
            <v>21</v>
          </cell>
          <cell r="U1244">
            <v>8</v>
          </cell>
          <cell r="V1244">
            <v>12</v>
          </cell>
          <cell r="W1244">
            <v>8</v>
          </cell>
          <cell r="X1244">
            <v>14</v>
          </cell>
          <cell r="Y1244">
            <v>0</v>
          </cell>
          <cell r="Z1244" t="str">
            <v>Mid</v>
          </cell>
          <cell r="AA1244" t="str">
            <v>High</v>
          </cell>
          <cell r="AB1244" t="str">
            <v>Long</v>
          </cell>
          <cell r="AC1244" t="str">
            <v>Medium</v>
          </cell>
          <cell r="AD1244">
            <v>1740</v>
          </cell>
        </row>
        <row r="1245">
          <cell r="A1245">
            <v>45</v>
          </cell>
          <cell r="B1245" t="str">
            <v>No</v>
          </cell>
          <cell r="C1245" t="str">
            <v>Human Resources</v>
          </cell>
          <cell r="D1245">
            <v>4</v>
          </cell>
          <cell r="E1245">
            <v>3</v>
          </cell>
          <cell r="F1245" t="str">
            <v>Life Sciences</v>
          </cell>
          <cell r="G1245">
            <v>3</v>
          </cell>
          <cell r="H1245" t="str">
            <v>Female</v>
          </cell>
          <cell r="I1245">
            <v>1</v>
          </cell>
          <cell r="J1245">
            <v>3</v>
          </cell>
          <cell r="K1245" t="str">
            <v>Human Resources</v>
          </cell>
          <cell r="L1245">
            <v>3</v>
          </cell>
          <cell r="M1245" t="str">
            <v>Married</v>
          </cell>
          <cell r="N1245">
            <v>9756</v>
          </cell>
          <cell r="O1245">
            <v>4</v>
          </cell>
          <cell r="P1245" t="str">
            <v>No</v>
          </cell>
          <cell r="Q1245">
            <v>3</v>
          </cell>
          <cell r="R1245">
            <v>9</v>
          </cell>
          <cell r="S1245">
            <v>4</v>
          </cell>
          <cell r="T1245">
            <v>5</v>
          </cell>
          <cell r="U1245">
            <v>0</v>
          </cell>
          <cell r="V1245">
            <v>0</v>
          </cell>
          <cell r="W1245">
            <v>3</v>
          </cell>
          <cell r="X1245">
            <v>21</v>
          </cell>
          <cell r="Y1245">
            <v>0</v>
          </cell>
          <cell r="Z1245" t="str">
            <v>Senior</v>
          </cell>
          <cell r="AA1245" t="str">
            <v>Medium</v>
          </cell>
          <cell r="AB1245" t="str">
            <v>Mid</v>
          </cell>
          <cell r="AC1245" t="str">
            <v>High</v>
          </cell>
          <cell r="AD1245">
            <v>1744</v>
          </cell>
        </row>
        <row r="1246">
          <cell r="A1246">
            <v>30</v>
          </cell>
          <cell r="B1246" t="str">
            <v>No</v>
          </cell>
          <cell r="C1246" t="str">
            <v>Research &amp; Development</v>
          </cell>
          <cell r="D1246">
            <v>2</v>
          </cell>
          <cell r="E1246">
            <v>4</v>
          </cell>
          <cell r="F1246" t="str">
            <v>Technical Degree</v>
          </cell>
          <cell r="G1246">
            <v>4</v>
          </cell>
          <cell r="H1246" t="str">
            <v>Female</v>
          </cell>
          <cell r="I1246">
            <v>2</v>
          </cell>
          <cell r="J1246">
            <v>1</v>
          </cell>
          <cell r="K1246" t="str">
            <v>Research Scientist</v>
          </cell>
          <cell r="L1246">
            <v>1</v>
          </cell>
          <cell r="M1246" t="str">
            <v>Single</v>
          </cell>
          <cell r="N1246">
            <v>4968</v>
          </cell>
          <cell r="O1246">
            <v>0</v>
          </cell>
          <cell r="P1246" t="str">
            <v>No</v>
          </cell>
          <cell r="Q1246">
            <v>4</v>
          </cell>
          <cell r="R1246">
            <v>10</v>
          </cell>
          <cell r="S1246">
            <v>3</v>
          </cell>
          <cell r="T1246">
            <v>9</v>
          </cell>
          <cell r="U1246">
            <v>7</v>
          </cell>
          <cell r="V1246">
            <v>0</v>
          </cell>
          <cell r="W1246">
            <v>7</v>
          </cell>
          <cell r="X1246">
            <v>16</v>
          </cell>
          <cell r="Y1246">
            <v>0</v>
          </cell>
          <cell r="Z1246" t="str">
            <v>Mid</v>
          </cell>
          <cell r="AA1246" t="str">
            <v>Low</v>
          </cell>
          <cell r="AB1246" t="str">
            <v>Long</v>
          </cell>
          <cell r="AC1246" t="str">
            <v>Medium</v>
          </cell>
          <cell r="AD1246">
            <v>1745</v>
          </cell>
        </row>
        <row r="1247">
          <cell r="A1247">
            <v>24</v>
          </cell>
          <cell r="B1247" t="str">
            <v>No</v>
          </cell>
          <cell r="C1247" t="str">
            <v>Human Resources</v>
          </cell>
          <cell r="D1247">
            <v>10</v>
          </cell>
          <cell r="E1247">
            <v>3</v>
          </cell>
          <cell r="F1247" t="str">
            <v>Medical</v>
          </cell>
          <cell r="G1247">
            <v>1</v>
          </cell>
          <cell r="H1247" t="str">
            <v>Male</v>
          </cell>
          <cell r="I1247">
            <v>3</v>
          </cell>
          <cell r="J1247">
            <v>1</v>
          </cell>
          <cell r="K1247" t="str">
            <v>Human Resources</v>
          </cell>
          <cell r="L1247">
            <v>4</v>
          </cell>
          <cell r="M1247" t="str">
            <v>Married</v>
          </cell>
          <cell r="N1247">
            <v>2145</v>
          </cell>
          <cell r="O1247">
            <v>0</v>
          </cell>
          <cell r="P1247" t="str">
            <v>No</v>
          </cell>
          <cell r="Q1247">
            <v>4</v>
          </cell>
          <cell r="R1247">
            <v>3</v>
          </cell>
          <cell r="S1247">
            <v>3</v>
          </cell>
          <cell r="T1247">
            <v>2</v>
          </cell>
          <cell r="U1247">
            <v>2</v>
          </cell>
          <cell r="V1247">
            <v>2</v>
          </cell>
          <cell r="W1247">
            <v>1</v>
          </cell>
          <cell r="X1247">
            <v>14</v>
          </cell>
          <cell r="Y1247">
            <v>0</v>
          </cell>
          <cell r="Z1247" t="str">
            <v>Young</v>
          </cell>
          <cell r="AA1247" t="str">
            <v>Low</v>
          </cell>
          <cell r="AB1247" t="str">
            <v>Early</v>
          </cell>
          <cell r="AC1247" t="str">
            <v>Medium</v>
          </cell>
          <cell r="AD1247">
            <v>1746</v>
          </cell>
        </row>
        <row r="1248">
          <cell r="A1248">
            <v>30</v>
          </cell>
          <cell r="B1248" t="str">
            <v>Yes</v>
          </cell>
          <cell r="C1248" t="str">
            <v>Human Resources</v>
          </cell>
          <cell r="D1248">
            <v>8</v>
          </cell>
          <cell r="E1248">
            <v>3</v>
          </cell>
          <cell r="F1248" t="str">
            <v>Human Resources</v>
          </cell>
          <cell r="G1248">
            <v>3</v>
          </cell>
          <cell r="H1248" t="str">
            <v>Female</v>
          </cell>
          <cell r="I1248">
            <v>2</v>
          </cell>
          <cell r="J1248">
            <v>1</v>
          </cell>
          <cell r="K1248" t="str">
            <v>Human Resources</v>
          </cell>
          <cell r="L1248">
            <v>4</v>
          </cell>
          <cell r="M1248" t="str">
            <v>Divorced</v>
          </cell>
          <cell r="N1248">
            <v>2180</v>
          </cell>
          <cell r="O1248">
            <v>6</v>
          </cell>
          <cell r="P1248" t="str">
            <v>No</v>
          </cell>
          <cell r="Q1248">
            <v>3</v>
          </cell>
          <cell r="R1248">
            <v>6</v>
          </cell>
          <cell r="S1248">
            <v>2</v>
          </cell>
          <cell r="T1248">
            <v>4</v>
          </cell>
          <cell r="U1248">
            <v>2</v>
          </cell>
          <cell r="V1248">
            <v>1</v>
          </cell>
          <cell r="W1248">
            <v>2</v>
          </cell>
          <cell r="X1248">
            <v>11</v>
          </cell>
          <cell r="Y1248">
            <v>1</v>
          </cell>
          <cell r="Z1248" t="str">
            <v>Mid</v>
          </cell>
          <cell r="AA1248" t="str">
            <v>Low</v>
          </cell>
          <cell r="AB1248" t="str">
            <v>Mid</v>
          </cell>
          <cell r="AC1248" t="str">
            <v>Low</v>
          </cell>
          <cell r="AD1248">
            <v>1747</v>
          </cell>
        </row>
        <row r="1249">
          <cell r="A1249">
            <v>31</v>
          </cell>
          <cell r="B1249" t="str">
            <v>No</v>
          </cell>
          <cell r="C1249" t="str">
            <v>Sales</v>
          </cell>
          <cell r="D1249">
            <v>5</v>
          </cell>
          <cell r="E1249">
            <v>3</v>
          </cell>
          <cell r="F1249" t="str">
            <v>Technical Degree</v>
          </cell>
          <cell r="G1249">
            <v>1</v>
          </cell>
          <cell r="H1249" t="str">
            <v>Male</v>
          </cell>
          <cell r="I1249">
            <v>3</v>
          </cell>
          <cell r="J1249">
            <v>2</v>
          </cell>
          <cell r="K1249" t="str">
            <v>Sales Executive</v>
          </cell>
          <cell r="L1249">
            <v>3</v>
          </cell>
          <cell r="M1249" t="str">
            <v>Married</v>
          </cell>
          <cell r="N1249">
            <v>8346</v>
          </cell>
          <cell r="O1249">
            <v>1</v>
          </cell>
          <cell r="P1249" t="str">
            <v>No</v>
          </cell>
          <cell r="Q1249">
            <v>3</v>
          </cell>
          <cell r="R1249">
            <v>6</v>
          </cell>
          <cell r="S1249">
            <v>3</v>
          </cell>
          <cell r="T1249">
            <v>5</v>
          </cell>
          <cell r="U1249">
            <v>2</v>
          </cell>
          <cell r="V1249">
            <v>0</v>
          </cell>
          <cell r="W1249">
            <v>2</v>
          </cell>
          <cell r="X1249">
            <v>19</v>
          </cell>
          <cell r="Y1249">
            <v>0</v>
          </cell>
          <cell r="Z1249" t="str">
            <v>Mid</v>
          </cell>
          <cell r="AA1249" t="str">
            <v>Medium</v>
          </cell>
          <cell r="AB1249" t="str">
            <v>Mid</v>
          </cell>
          <cell r="AC1249" t="str">
            <v>High</v>
          </cell>
          <cell r="AD1249">
            <v>1749</v>
          </cell>
        </row>
        <row r="1250">
          <cell r="A1250">
            <v>27</v>
          </cell>
          <cell r="B1250" t="str">
            <v>No</v>
          </cell>
          <cell r="C1250" t="str">
            <v>Research &amp; Development</v>
          </cell>
          <cell r="D1250">
            <v>8</v>
          </cell>
          <cell r="E1250">
            <v>3</v>
          </cell>
          <cell r="F1250" t="str">
            <v>Medical</v>
          </cell>
          <cell r="G1250">
            <v>3</v>
          </cell>
          <cell r="H1250" t="str">
            <v>Female</v>
          </cell>
          <cell r="I1250">
            <v>3</v>
          </cell>
          <cell r="J1250">
            <v>1</v>
          </cell>
          <cell r="K1250" t="str">
            <v>Research Scientist</v>
          </cell>
          <cell r="L1250">
            <v>4</v>
          </cell>
          <cell r="M1250" t="str">
            <v>Single</v>
          </cell>
          <cell r="N1250">
            <v>3445</v>
          </cell>
          <cell r="O1250">
            <v>1</v>
          </cell>
          <cell r="P1250" t="str">
            <v>No</v>
          </cell>
          <cell r="Q1250">
            <v>3</v>
          </cell>
          <cell r="R1250">
            <v>6</v>
          </cell>
          <cell r="S1250">
            <v>2</v>
          </cell>
          <cell r="T1250">
            <v>6</v>
          </cell>
          <cell r="U1250">
            <v>2</v>
          </cell>
          <cell r="V1250">
            <v>1</v>
          </cell>
          <cell r="W1250">
            <v>4</v>
          </cell>
          <cell r="X1250">
            <v>11</v>
          </cell>
          <cell r="Y1250">
            <v>0</v>
          </cell>
          <cell r="Z1250" t="str">
            <v>Young</v>
          </cell>
          <cell r="AA1250" t="str">
            <v>Low</v>
          </cell>
          <cell r="AB1250" t="str">
            <v>Mid</v>
          </cell>
          <cell r="AC1250" t="str">
            <v>Low</v>
          </cell>
          <cell r="AD1250">
            <v>1751</v>
          </cell>
        </row>
        <row r="1251">
          <cell r="A1251">
            <v>29</v>
          </cell>
          <cell r="B1251" t="str">
            <v>Yes</v>
          </cell>
          <cell r="C1251" t="str">
            <v>Sales</v>
          </cell>
          <cell r="D1251">
            <v>9</v>
          </cell>
          <cell r="E1251">
            <v>3</v>
          </cell>
          <cell r="F1251" t="str">
            <v>Marketing</v>
          </cell>
          <cell r="G1251">
            <v>2</v>
          </cell>
          <cell r="H1251" t="str">
            <v>Female</v>
          </cell>
          <cell r="I1251">
            <v>1</v>
          </cell>
          <cell r="J1251">
            <v>1</v>
          </cell>
          <cell r="K1251" t="str">
            <v>Sales Representative</v>
          </cell>
          <cell r="L1251">
            <v>2</v>
          </cell>
          <cell r="M1251" t="str">
            <v>Single</v>
          </cell>
          <cell r="N1251">
            <v>2760</v>
          </cell>
          <cell r="O1251">
            <v>1</v>
          </cell>
          <cell r="P1251" t="str">
            <v>No</v>
          </cell>
          <cell r="Q1251">
            <v>3</v>
          </cell>
          <cell r="R1251">
            <v>2</v>
          </cell>
          <cell r="S1251">
            <v>3</v>
          </cell>
          <cell r="T1251">
            <v>2</v>
          </cell>
          <cell r="U1251">
            <v>2</v>
          </cell>
          <cell r="V1251">
            <v>2</v>
          </cell>
          <cell r="W1251">
            <v>2</v>
          </cell>
          <cell r="X1251">
            <v>13</v>
          </cell>
          <cell r="Y1251">
            <v>1</v>
          </cell>
          <cell r="Z1251" t="str">
            <v>Young</v>
          </cell>
          <cell r="AA1251" t="str">
            <v>Low</v>
          </cell>
          <cell r="AB1251" t="str">
            <v>Early</v>
          </cell>
          <cell r="AC1251" t="str">
            <v>Medium</v>
          </cell>
          <cell r="AD1251">
            <v>1752</v>
          </cell>
        </row>
        <row r="1252">
          <cell r="A1252">
            <v>29</v>
          </cell>
          <cell r="B1252" t="str">
            <v>No</v>
          </cell>
          <cell r="C1252" t="str">
            <v>Research &amp; Development</v>
          </cell>
          <cell r="D1252">
            <v>1</v>
          </cell>
          <cell r="E1252">
            <v>3</v>
          </cell>
          <cell r="F1252" t="str">
            <v>Life Sciences</v>
          </cell>
          <cell r="G1252">
            <v>4</v>
          </cell>
          <cell r="H1252" t="str">
            <v>Male</v>
          </cell>
          <cell r="I1252">
            <v>4</v>
          </cell>
          <cell r="J1252">
            <v>2</v>
          </cell>
          <cell r="K1252" t="str">
            <v>Healthcare Representative</v>
          </cell>
          <cell r="L1252">
            <v>3</v>
          </cell>
          <cell r="M1252" t="str">
            <v>Single</v>
          </cell>
          <cell r="N1252">
            <v>6294</v>
          </cell>
          <cell r="O1252">
            <v>8</v>
          </cell>
          <cell r="P1252" t="str">
            <v>Yes</v>
          </cell>
          <cell r="Q1252">
            <v>4</v>
          </cell>
          <cell r="R1252">
            <v>10</v>
          </cell>
          <cell r="S1252">
            <v>4</v>
          </cell>
          <cell r="T1252">
            <v>3</v>
          </cell>
          <cell r="U1252">
            <v>2</v>
          </cell>
          <cell r="V1252">
            <v>0</v>
          </cell>
          <cell r="W1252">
            <v>2</v>
          </cell>
          <cell r="X1252">
            <v>12</v>
          </cell>
          <cell r="Y1252">
            <v>0</v>
          </cell>
          <cell r="Z1252" t="str">
            <v>Young</v>
          </cell>
          <cell r="AA1252" t="str">
            <v>Medium</v>
          </cell>
          <cell r="AB1252" t="str">
            <v>Mid</v>
          </cell>
          <cell r="AC1252" t="str">
            <v>Low</v>
          </cell>
          <cell r="AD1252">
            <v>1753</v>
          </cell>
        </row>
        <row r="1253">
          <cell r="A1253">
            <v>30</v>
          </cell>
          <cell r="B1253" t="str">
            <v>No</v>
          </cell>
          <cell r="C1253" t="str">
            <v>Sales</v>
          </cell>
          <cell r="D1253">
            <v>15</v>
          </cell>
          <cell r="E1253">
            <v>2</v>
          </cell>
          <cell r="F1253" t="str">
            <v>Marketing</v>
          </cell>
          <cell r="G1253">
            <v>3</v>
          </cell>
          <cell r="H1253" t="str">
            <v>Male</v>
          </cell>
          <cell r="I1253">
            <v>2</v>
          </cell>
          <cell r="J1253">
            <v>3</v>
          </cell>
          <cell r="K1253" t="str">
            <v>Sales Executive</v>
          </cell>
          <cell r="L1253">
            <v>1</v>
          </cell>
          <cell r="M1253" t="str">
            <v>Divorced</v>
          </cell>
          <cell r="N1253">
            <v>7140</v>
          </cell>
          <cell r="O1253">
            <v>2</v>
          </cell>
          <cell r="P1253" t="str">
            <v>No</v>
          </cell>
          <cell r="Q1253">
            <v>1</v>
          </cell>
          <cell r="R1253">
            <v>12</v>
          </cell>
          <cell r="S1253">
            <v>3</v>
          </cell>
          <cell r="T1253">
            <v>7</v>
          </cell>
          <cell r="U1253">
            <v>7</v>
          </cell>
          <cell r="V1253">
            <v>1</v>
          </cell>
          <cell r="W1253">
            <v>7</v>
          </cell>
          <cell r="X1253">
            <v>11</v>
          </cell>
          <cell r="Y1253">
            <v>0</v>
          </cell>
          <cell r="Z1253" t="str">
            <v>Mid</v>
          </cell>
          <cell r="AA1253" t="str">
            <v>Medium</v>
          </cell>
          <cell r="AB1253" t="str">
            <v>Long</v>
          </cell>
          <cell r="AC1253" t="str">
            <v>Low</v>
          </cell>
          <cell r="AD1253">
            <v>1754</v>
          </cell>
        </row>
        <row r="1254">
          <cell r="A1254">
            <v>34</v>
          </cell>
          <cell r="B1254" t="str">
            <v>No</v>
          </cell>
          <cell r="C1254" t="str">
            <v>Research &amp; Development</v>
          </cell>
          <cell r="D1254">
            <v>2</v>
          </cell>
          <cell r="E1254">
            <v>4</v>
          </cell>
          <cell r="F1254" t="str">
            <v>Medical</v>
          </cell>
          <cell r="G1254">
            <v>4</v>
          </cell>
          <cell r="H1254" t="str">
            <v>Male</v>
          </cell>
          <cell r="I1254">
            <v>4</v>
          </cell>
          <cell r="J1254">
            <v>1</v>
          </cell>
          <cell r="K1254" t="str">
            <v>Research Scientist</v>
          </cell>
          <cell r="L1254">
            <v>4</v>
          </cell>
          <cell r="M1254" t="str">
            <v>Married</v>
          </cell>
          <cell r="N1254">
            <v>2932</v>
          </cell>
          <cell r="O1254">
            <v>0</v>
          </cell>
          <cell r="P1254" t="str">
            <v>Yes</v>
          </cell>
          <cell r="Q1254">
            <v>1</v>
          </cell>
          <cell r="R1254">
            <v>6</v>
          </cell>
          <cell r="S1254">
            <v>3</v>
          </cell>
          <cell r="T1254">
            <v>5</v>
          </cell>
          <cell r="U1254">
            <v>0</v>
          </cell>
          <cell r="V1254">
            <v>1</v>
          </cell>
          <cell r="W1254">
            <v>2</v>
          </cell>
          <cell r="X1254">
            <v>14</v>
          </cell>
          <cell r="Y1254">
            <v>0</v>
          </cell>
          <cell r="Z1254" t="str">
            <v>Mid</v>
          </cell>
          <cell r="AA1254" t="str">
            <v>Low</v>
          </cell>
          <cell r="AB1254" t="str">
            <v>Mid</v>
          </cell>
          <cell r="AC1254" t="str">
            <v>Medium</v>
          </cell>
          <cell r="AD1254">
            <v>1755</v>
          </cell>
        </row>
        <row r="1255">
          <cell r="A1255">
            <v>33</v>
          </cell>
          <cell r="B1255" t="str">
            <v>No</v>
          </cell>
          <cell r="C1255" t="str">
            <v>Sales</v>
          </cell>
          <cell r="D1255">
            <v>2</v>
          </cell>
          <cell r="E1255">
            <v>3</v>
          </cell>
          <cell r="F1255" t="str">
            <v>Marketing</v>
          </cell>
          <cell r="G1255">
            <v>4</v>
          </cell>
          <cell r="H1255" t="str">
            <v>Female</v>
          </cell>
          <cell r="I1255">
            <v>3</v>
          </cell>
          <cell r="J1255">
            <v>2</v>
          </cell>
          <cell r="K1255" t="str">
            <v>Sales Executive</v>
          </cell>
          <cell r="L1255">
            <v>2</v>
          </cell>
          <cell r="M1255" t="str">
            <v>Single</v>
          </cell>
          <cell r="N1255">
            <v>5147</v>
          </cell>
          <cell r="O1255">
            <v>8</v>
          </cell>
          <cell r="P1255" t="str">
            <v>No</v>
          </cell>
          <cell r="Q1255">
            <v>4</v>
          </cell>
          <cell r="R1255">
            <v>13</v>
          </cell>
          <cell r="S1255">
            <v>2</v>
          </cell>
          <cell r="T1255">
            <v>11</v>
          </cell>
          <cell r="U1255">
            <v>7</v>
          </cell>
          <cell r="V1255">
            <v>1</v>
          </cell>
          <cell r="W1255">
            <v>7</v>
          </cell>
          <cell r="X1255">
            <v>15</v>
          </cell>
          <cell r="Y1255">
            <v>0</v>
          </cell>
          <cell r="Z1255" t="str">
            <v>Mid</v>
          </cell>
          <cell r="AA1255" t="str">
            <v>Medium</v>
          </cell>
          <cell r="AB1255" t="str">
            <v>Long</v>
          </cell>
          <cell r="AC1255" t="str">
            <v>Medium</v>
          </cell>
          <cell r="AD1255">
            <v>1756</v>
          </cell>
        </row>
        <row r="1256">
          <cell r="A1256">
            <v>49</v>
          </cell>
          <cell r="B1256" t="str">
            <v>No</v>
          </cell>
          <cell r="C1256" t="str">
            <v>Sales</v>
          </cell>
          <cell r="D1256">
            <v>11</v>
          </cell>
          <cell r="E1256">
            <v>4</v>
          </cell>
          <cell r="F1256" t="str">
            <v>Marketing</v>
          </cell>
          <cell r="G1256">
            <v>4</v>
          </cell>
          <cell r="H1256" t="str">
            <v>Female</v>
          </cell>
          <cell r="I1256">
            <v>3</v>
          </cell>
          <cell r="J1256">
            <v>2</v>
          </cell>
          <cell r="K1256" t="str">
            <v>Sales Executive</v>
          </cell>
          <cell r="L1256">
            <v>4</v>
          </cell>
          <cell r="M1256" t="str">
            <v>Single</v>
          </cell>
          <cell r="N1256">
            <v>4507</v>
          </cell>
          <cell r="O1256">
            <v>3</v>
          </cell>
          <cell r="P1256" t="str">
            <v>No</v>
          </cell>
          <cell r="Q1256">
            <v>3</v>
          </cell>
          <cell r="R1256">
            <v>8</v>
          </cell>
          <cell r="S1256">
            <v>4</v>
          </cell>
          <cell r="T1256">
            <v>5</v>
          </cell>
          <cell r="U1256">
            <v>1</v>
          </cell>
          <cell r="V1256">
            <v>0</v>
          </cell>
          <cell r="W1256">
            <v>4</v>
          </cell>
          <cell r="X1256">
            <v>12</v>
          </cell>
          <cell r="Y1256">
            <v>0</v>
          </cell>
          <cell r="Z1256" t="str">
            <v>Senior</v>
          </cell>
          <cell r="AA1256" t="str">
            <v>Low</v>
          </cell>
          <cell r="AB1256" t="str">
            <v>Mid</v>
          </cell>
          <cell r="AC1256" t="str">
            <v>Low</v>
          </cell>
          <cell r="AD1256">
            <v>1757</v>
          </cell>
        </row>
        <row r="1257">
          <cell r="A1257">
            <v>33</v>
          </cell>
          <cell r="B1257" t="str">
            <v>Yes</v>
          </cell>
          <cell r="C1257" t="str">
            <v>Sales</v>
          </cell>
          <cell r="D1257">
            <v>16</v>
          </cell>
          <cell r="E1257">
            <v>3</v>
          </cell>
          <cell r="F1257" t="str">
            <v>Life Sciences</v>
          </cell>
          <cell r="G1257">
            <v>1</v>
          </cell>
          <cell r="H1257" t="str">
            <v>Female</v>
          </cell>
          <cell r="I1257">
            <v>3</v>
          </cell>
          <cell r="J1257">
            <v>3</v>
          </cell>
          <cell r="K1257" t="str">
            <v>Sales Executive</v>
          </cell>
          <cell r="L1257">
            <v>1</v>
          </cell>
          <cell r="M1257" t="str">
            <v>Single</v>
          </cell>
          <cell r="N1257">
            <v>8564</v>
          </cell>
          <cell r="O1257">
            <v>2</v>
          </cell>
          <cell r="P1257" t="str">
            <v>Yes</v>
          </cell>
          <cell r="Q1257">
            <v>3</v>
          </cell>
          <cell r="R1257">
            <v>11</v>
          </cell>
          <cell r="S1257">
            <v>2</v>
          </cell>
          <cell r="T1257">
            <v>0</v>
          </cell>
          <cell r="U1257">
            <v>0</v>
          </cell>
          <cell r="V1257">
            <v>0</v>
          </cell>
          <cell r="W1257">
            <v>0</v>
          </cell>
          <cell r="X1257">
            <v>20</v>
          </cell>
          <cell r="Y1257">
            <v>1</v>
          </cell>
          <cell r="Z1257" t="str">
            <v>Mid</v>
          </cell>
          <cell r="AA1257" t="str">
            <v>Medium</v>
          </cell>
          <cell r="AB1257" t="str">
            <v>Early</v>
          </cell>
          <cell r="AC1257" t="str">
            <v>High</v>
          </cell>
          <cell r="AD1257">
            <v>1758</v>
          </cell>
        </row>
        <row r="1258">
          <cell r="A1258">
            <v>38</v>
          </cell>
          <cell r="B1258" t="str">
            <v>No</v>
          </cell>
          <cell r="C1258" t="str">
            <v>Research &amp; Development</v>
          </cell>
          <cell r="D1258">
            <v>2</v>
          </cell>
          <cell r="E1258">
            <v>2</v>
          </cell>
          <cell r="F1258" t="str">
            <v>Medical</v>
          </cell>
          <cell r="G1258">
            <v>3</v>
          </cell>
          <cell r="H1258" t="str">
            <v>Female</v>
          </cell>
          <cell r="I1258">
            <v>2</v>
          </cell>
          <cell r="J1258">
            <v>1</v>
          </cell>
          <cell r="K1258" t="str">
            <v>Laboratory Technician</v>
          </cell>
          <cell r="L1258">
            <v>2</v>
          </cell>
          <cell r="M1258" t="str">
            <v>Married</v>
          </cell>
          <cell r="N1258">
            <v>2468</v>
          </cell>
          <cell r="O1258">
            <v>4</v>
          </cell>
          <cell r="P1258" t="str">
            <v>No</v>
          </cell>
          <cell r="Q1258">
            <v>2</v>
          </cell>
          <cell r="R1258">
            <v>9</v>
          </cell>
          <cell r="S1258">
            <v>2</v>
          </cell>
          <cell r="T1258">
            <v>6</v>
          </cell>
          <cell r="U1258">
            <v>1</v>
          </cell>
          <cell r="V1258">
            <v>0</v>
          </cell>
          <cell r="W1258">
            <v>5</v>
          </cell>
          <cell r="X1258">
            <v>14</v>
          </cell>
          <cell r="Y1258">
            <v>0</v>
          </cell>
          <cell r="Z1258" t="str">
            <v>Mid</v>
          </cell>
          <cell r="AA1258" t="str">
            <v>Low</v>
          </cell>
          <cell r="AB1258" t="str">
            <v>Mid</v>
          </cell>
          <cell r="AC1258" t="str">
            <v>Medium</v>
          </cell>
          <cell r="AD1258">
            <v>1760</v>
          </cell>
        </row>
        <row r="1259">
          <cell r="A1259">
            <v>31</v>
          </cell>
          <cell r="B1259" t="str">
            <v>Yes</v>
          </cell>
          <cell r="C1259" t="str">
            <v>Sales</v>
          </cell>
          <cell r="D1259">
            <v>16</v>
          </cell>
          <cell r="E1259">
            <v>4</v>
          </cell>
          <cell r="F1259" t="str">
            <v>Marketing</v>
          </cell>
          <cell r="G1259">
            <v>1</v>
          </cell>
          <cell r="H1259" t="str">
            <v>Male</v>
          </cell>
          <cell r="I1259">
            <v>3</v>
          </cell>
          <cell r="J1259">
            <v>3</v>
          </cell>
          <cell r="K1259" t="str">
            <v>Sales Executive</v>
          </cell>
          <cell r="L1259">
            <v>3</v>
          </cell>
          <cell r="M1259" t="str">
            <v>Married</v>
          </cell>
          <cell r="N1259">
            <v>8161</v>
          </cell>
          <cell r="O1259">
            <v>2</v>
          </cell>
          <cell r="P1259" t="str">
            <v>No</v>
          </cell>
          <cell r="Q1259">
            <v>1</v>
          </cell>
          <cell r="R1259">
            <v>10</v>
          </cell>
          <cell r="S1259">
            <v>3</v>
          </cell>
          <cell r="T1259">
            <v>1</v>
          </cell>
          <cell r="U1259">
            <v>0</v>
          </cell>
          <cell r="V1259">
            <v>0</v>
          </cell>
          <cell r="W1259">
            <v>0</v>
          </cell>
          <cell r="X1259">
            <v>13</v>
          </cell>
          <cell r="Y1259">
            <v>1</v>
          </cell>
          <cell r="Z1259" t="str">
            <v>Mid</v>
          </cell>
          <cell r="AA1259" t="str">
            <v>Medium</v>
          </cell>
          <cell r="AB1259" t="str">
            <v>Early</v>
          </cell>
          <cell r="AC1259" t="str">
            <v>Medium</v>
          </cell>
          <cell r="AD1259">
            <v>1761</v>
          </cell>
        </row>
        <row r="1260">
          <cell r="A1260">
            <v>29</v>
          </cell>
          <cell r="B1260" t="str">
            <v>No</v>
          </cell>
          <cell r="C1260" t="str">
            <v>Research &amp; Development</v>
          </cell>
          <cell r="D1260">
            <v>4</v>
          </cell>
          <cell r="E1260">
            <v>3</v>
          </cell>
          <cell r="F1260" t="str">
            <v>Technical Degree</v>
          </cell>
          <cell r="G1260">
            <v>4</v>
          </cell>
          <cell r="H1260" t="str">
            <v>Female</v>
          </cell>
          <cell r="I1260">
            <v>2</v>
          </cell>
          <cell r="J1260">
            <v>1</v>
          </cell>
          <cell r="K1260" t="str">
            <v>Research Scientist</v>
          </cell>
          <cell r="L1260">
            <v>1</v>
          </cell>
          <cell r="M1260" t="str">
            <v>Divorced</v>
          </cell>
          <cell r="N1260">
            <v>2109</v>
          </cell>
          <cell r="O1260">
            <v>1</v>
          </cell>
          <cell r="P1260" t="str">
            <v>No</v>
          </cell>
          <cell r="Q1260">
            <v>3</v>
          </cell>
          <cell r="R1260">
            <v>1</v>
          </cell>
          <cell r="S1260">
            <v>3</v>
          </cell>
          <cell r="T1260">
            <v>1</v>
          </cell>
          <cell r="U1260">
            <v>0</v>
          </cell>
          <cell r="V1260">
            <v>0</v>
          </cell>
          <cell r="W1260">
            <v>0</v>
          </cell>
          <cell r="X1260">
            <v>13</v>
          </cell>
          <cell r="Y1260">
            <v>0</v>
          </cell>
          <cell r="Z1260" t="str">
            <v>Young</v>
          </cell>
          <cell r="AA1260" t="str">
            <v>Low</v>
          </cell>
          <cell r="AB1260" t="str">
            <v>Early</v>
          </cell>
          <cell r="AC1260" t="str">
            <v>Medium</v>
          </cell>
          <cell r="AD1260">
            <v>1762</v>
          </cell>
        </row>
        <row r="1261">
          <cell r="A1261">
            <v>30</v>
          </cell>
          <cell r="B1261" t="str">
            <v>No</v>
          </cell>
          <cell r="C1261" t="str">
            <v>Research &amp; Development</v>
          </cell>
          <cell r="D1261">
            <v>16</v>
          </cell>
          <cell r="E1261">
            <v>3</v>
          </cell>
          <cell r="F1261" t="str">
            <v>Life Sciences</v>
          </cell>
          <cell r="G1261">
            <v>3</v>
          </cell>
          <cell r="H1261" t="str">
            <v>Male</v>
          </cell>
          <cell r="I1261">
            <v>4</v>
          </cell>
          <cell r="J1261">
            <v>2</v>
          </cell>
          <cell r="K1261" t="str">
            <v>Healthcare Representative</v>
          </cell>
          <cell r="L1261">
            <v>3</v>
          </cell>
          <cell r="M1261" t="str">
            <v>Married</v>
          </cell>
          <cell r="N1261">
            <v>5294</v>
          </cell>
          <cell r="O1261">
            <v>3</v>
          </cell>
          <cell r="P1261" t="str">
            <v>No</v>
          </cell>
          <cell r="Q1261">
            <v>3</v>
          </cell>
          <cell r="R1261">
            <v>10</v>
          </cell>
          <cell r="S1261">
            <v>3</v>
          </cell>
          <cell r="T1261">
            <v>7</v>
          </cell>
          <cell r="U1261">
            <v>0</v>
          </cell>
          <cell r="V1261">
            <v>1</v>
          </cell>
          <cell r="W1261">
            <v>7</v>
          </cell>
          <cell r="X1261">
            <v>16</v>
          </cell>
          <cell r="Y1261">
            <v>0</v>
          </cell>
          <cell r="Z1261" t="str">
            <v>Mid</v>
          </cell>
          <cell r="AA1261" t="str">
            <v>Medium</v>
          </cell>
          <cell r="AB1261" t="str">
            <v>Long</v>
          </cell>
          <cell r="AC1261" t="str">
            <v>Medium</v>
          </cell>
          <cell r="AD1261">
            <v>1763</v>
          </cell>
        </row>
        <row r="1262">
          <cell r="A1262">
            <v>32</v>
          </cell>
          <cell r="B1262" t="str">
            <v>No</v>
          </cell>
          <cell r="C1262" t="str">
            <v>Research &amp; Development</v>
          </cell>
          <cell r="D1262">
            <v>5</v>
          </cell>
          <cell r="E1262">
            <v>4</v>
          </cell>
          <cell r="F1262" t="str">
            <v>Technical Degree</v>
          </cell>
          <cell r="G1262">
            <v>2</v>
          </cell>
          <cell r="H1262" t="str">
            <v>Male</v>
          </cell>
          <cell r="I1262">
            <v>3</v>
          </cell>
          <cell r="J1262">
            <v>1</v>
          </cell>
          <cell r="K1262" t="str">
            <v>Research Scientist</v>
          </cell>
          <cell r="L1262">
            <v>2</v>
          </cell>
          <cell r="M1262" t="str">
            <v>Single</v>
          </cell>
          <cell r="N1262">
            <v>2718</v>
          </cell>
          <cell r="O1262">
            <v>2</v>
          </cell>
          <cell r="P1262" t="str">
            <v>No</v>
          </cell>
          <cell r="Q1262">
            <v>2</v>
          </cell>
          <cell r="R1262">
            <v>12</v>
          </cell>
          <cell r="S1262">
            <v>3</v>
          </cell>
          <cell r="T1262">
            <v>7</v>
          </cell>
          <cell r="U1262">
            <v>7</v>
          </cell>
          <cell r="V1262">
            <v>0</v>
          </cell>
          <cell r="W1262">
            <v>7</v>
          </cell>
          <cell r="X1262">
            <v>14</v>
          </cell>
          <cell r="Y1262">
            <v>0</v>
          </cell>
          <cell r="Z1262" t="str">
            <v>Mid</v>
          </cell>
          <cell r="AA1262" t="str">
            <v>Low</v>
          </cell>
          <cell r="AB1262" t="str">
            <v>Long</v>
          </cell>
          <cell r="AC1262" t="str">
            <v>Medium</v>
          </cell>
          <cell r="AD1262">
            <v>1764</v>
          </cell>
        </row>
        <row r="1263">
          <cell r="A1263">
            <v>38</v>
          </cell>
          <cell r="B1263" t="str">
            <v>No</v>
          </cell>
          <cell r="C1263" t="str">
            <v>Research &amp; Development</v>
          </cell>
          <cell r="D1263">
            <v>18</v>
          </cell>
          <cell r="E1263">
            <v>3</v>
          </cell>
          <cell r="F1263" t="str">
            <v>Medical</v>
          </cell>
          <cell r="G1263">
            <v>2</v>
          </cell>
          <cell r="H1263" t="str">
            <v>Male</v>
          </cell>
          <cell r="I1263">
            <v>1</v>
          </cell>
          <cell r="J1263">
            <v>2</v>
          </cell>
          <cell r="K1263" t="str">
            <v>Healthcare Representative</v>
          </cell>
          <cell r="L1263">
            <v>4</v>
          </cell>
          <cell r="M1263" t="str">
            <v>Married</v>
          </cell>
          <cell r="N1263">
            <v>5811</v>
          </cell>
          <cell r="O1263">
            <v>3</v>
          </cell>
          <cell r="P1263" t="str">
            <v>Yes</v>
          </cell>
          <cell r="Q1263">
            <v>3</v>
          </cell>
          <cell r="R1263">
            <v>15</v>
          </cell>
          <cell r="S1263">
            <v>3</v>
          </cell>
          <cell r="T1263">
            <v>1</v>
          </cell>
          <cell r="U1263">
            <v>0</v>
          </cell>
          <cell r="V1263">
            <v>1</v>
          </cell>
          <cell r="W1263">
            <v>0</v>
          </cell>
          <cell r="X1263">
            <v>16</v>
          </cell>
          <cell r="Y1263">
            <v>0</v>
          </cell>
          <cell r="Z1263" t="str">
            <v>Mid</v>
          </cell>
          <cell r="AA1263" t="str">
            <v>Medium</v>
          </cell>
          <cell r="AB1263" t="str">
            <v>Early</v>
          </cell>
          <cell r="AC1263" t="str">
            <v>Medium</v>
          </cell>
          <cell r="AD1263">
            <v>1766</v>
          </cell>
        </row>
        <row r="1264">
          <cell r="A1264">
            <v>43</v>
          </cell>
          <cell r="B1264" t="str">
            <v>Yes</v>
          </cell>
          <cell r="C1264" t="str">
            <v>Research &amp; Development</v>
          </cell>
          <cell r="D1264">
            <v>17</v>
          </cell>
          <cell r="E1264">
            <v>3</v>
          </cell>
          <cell r="F1264" t="str">
            <v>Technical Degree</v>
          </cell>
          <cell r="G1264">
            <v>3</v>
          </cell>
          <cell r="H1264" t="str">
            <v>Male</v>
          </cell>
          <cell r="I1264">
            <v>2</v>
          </cell>
          <cell r="J1264">
            <v>1</v>
          </cell>
          <cell r="K1264" t="str">
            <v>Research Scientist</v>
          </cell>
          <cell r="L1264">
            <v>3</v>
          </cell>
          <cell r="M1264" t="str">
            <v>Married</v>
          </cell>
          <cell r="N1264">
            <v>2437</v>
          </cell>
          <cell r="O1264">
            <v>9</v>
          </cell>
          <cell r="P1264" t="str">
            <v>Yes</v>
          </cell>
          <cell r="Q1264">
            <v>4</v>
          </cell>
          <cell r="R1264">
            <v>6</v>
          </cell>
          <cell r="S1264">
            <v>3</v>
          </cell>
          <cell r="T1264">
            <v>1</v>
          </cell>
          <cell r="U1264">
            <v>0</v>
          </cell>
          <cell r="V1264">
            <v>0</v>
          </cell>
          <cell r="W1264">
            <v>0</v>
          </cell>
          <cell r="X1264">
            <v>16</v>
          </cell>
          <cell r="Y1264">
            <v>1</v>
          </cell>
          <cell r="Z1264" t="str">
            <v>Mid</v>
          </cell>
          <cell r="AA1264" t="str">
            <v>Low</v>
          </cell>
          <cell r="AB1264" t="str">
            <v>Early</v>
          </cell>
          <cell r="AC1264" t="str">
            <v>Medium</v>
          </cell>
          <cell r="AD1264">
            <v>1767</v>
          </cell>
        </row>
        <row r="1265">
          <cell r="A1265">
            <v>42</v>
          </cell>
          <cell r="B1265" t="str">
            <v>No</v>
          </cell>
          <cell r="C1265" t="str">
            <v>Research &amp; Development</v>
          </cell>
          <cell r="D1265">
            <v>12</v>
          </cell>
          <cell r="E1265">
            <v>3</v>
          </cell>
          <cell r="F1265" t="str">
            <v>Medical</v>
          </cell>
          <cell r="G1265">
            <v>2</v>
          </cell>
          <cell r="H1265" t="str">
            <v>Male</v>
          </cell>
          <cell r="I1265">
            <v>3</v>
          </cell>
          <cell r="J1265">
            <v>1</v>
          </cell>
          <cell r="K1265" t="str">
            <v>Laboratory Technician</v>
          </cell>
          <cell r="L1265">
            <v>2</v>
          </cell>
          <cell r="M1265" t="str">
            <v>Divorced</v>
          </cell>
          <cell r="N1265">
            <v>2766</v>
          </cell>
          <cell r="O1265">
            <v>8</v>
          </cell>
          <cell r="P1265" t="str">
            <v>No</v>
          </cell>
          <cell r="Q1265">
            <v>2</v>
          </cell>
          <cell r="R1265">
            <v>7</v>
          </cell>
          <cell r="S1265">
            <v>2</v>
          </cell>
          <cell r="T1265">
            <v>5</v>
          </cell>
          <cell r="U1265">
            <v>3</v>
          </cell>
          <cell r="V1265">
            <v>0</v>
          </cell>
          <cell r="W1265">
            <v>4</v>
          </cell>
          <cell r="X1265">
            <v>22</v>
          </cell>
          <cell r="Y1265">
            <v>0</v>
          </cell>
          <cell r="Z1265" t="str">
            <v>Mid</v>
          </cell>
          <cell r="AA1265" t="str">
            <v>Low</v>
          </cell>
          <cell r="AB1265" t="str">
            <v>Mid</v>
          </cell>
          <cell r="AC1265" t="str">
            <v>High</v>
          </cell>
          <cell r="AD1265">
            <v>1768</v>
          </cell>
        </row>
        <row r="1266">
          <cell r="A1266">
            <v>55</v>
          </cell>
          <cell r="B1266" t="str">
            <v>No</v>
          </cell>
          <cell r="C1266" t="str">
            <v>Research &amp; Development</v>
          </cell>
          <cell r="D1266">
            <v>2</v>
          </cell>
          <cell r="E1266">
            <v>3</v>
          </cell>
          <cell r="F1266" t="str">
            <v>Medical</v>
          </cell>
          <cell r="G1266">
            <v>3</v>
          </cell>
          <cell r="H1266" t="str">
            <v>Male</v>
          </cell>
          <cell r="I1266">
            <v>2</v>
          </cell>
          <cell r="J1266">
            <v>5</v>
          </cell>
          <cell r="K1266" t="str">
            <v>Research Director</v>
          </cell>
          <cell r="L1266">
            <v>1</v>
          </cell>
          <cell r="M1266" t="str">
            <v>Married</v>
          </cell>
          <cell r="N1266">
            <v>19038</v>
          </cell>
          <cell r="O1266">
            <v>8</v>
          </cell>
          <cell r="P1266" t="str">
            <v>No</v>
          </cell>
          <cell r="Q1266">
            <v>2</v>
          </cell>
          <cell r="R1266">
            <v>34</v>
          </cell>
          <cell r="S1266">
            <v>3</v>
          </cell>
          <cell r="T1266">
            <v>1</v>
          </cell>
          <cell r="U1266">
            <v>0</v>
          </cell>
          <cell r="V1266">
            <v>0</v>
          </cell>
          <cell r="W1266">
            <v>0</v>
          </cell>
          <cell r="X1266">
            <v>12</v>
          </cell>
          <cell r="Y1266">
            <v>0</v>
          </cell>
          <cell r="Z1266" t="str">
            <v>Senior</v>
          </cell>
          <cell r="AA1266" t="str">
            <v>High</v>
          </cell>
          <cell r="AB1266" t="str">
            <v>Early</v>
          </cell>
          <cell r="AC1266" t="str">
            <v>Low</v>
          </cell>
          <cell r="AD1266">
            <v>1770</v>
          </cell>
        </row>
        <row r="1267">
          <cell r="A1267">
            <v>33</v>
          </cell>
          <cell r="B1267" t="str">
            <v>No</v>
          </cell>
          <cell r="C1267" t="str">
            <v>Research &amp; Development</v>
          </cell>
          <cell r="D1267">
            <v>4</v>
          </cell>
          <cell r="E1267">
            <v>3</v>
          </cell>
          <cell r="F1267" t="str">
            <v>Technical Degree</v>
          </cell>
          <cell r="G1267">
            <v>4</v>
          </cell>
          <cell r="H1267" t="str">
            <v>Male</v>
          </cell>
          <cell r="I1267">
            <v>3</v>
          </cell>
          <cell r="J1267">
            <v>2</v>
          </cell>
          <cell r="K1267" t="str">
            <v>Research Scientist</v>
          </cell>
          <cell r="L1267">
            <v>2</v>
          </cell>
          <cell r="M1267" t="str">
            <v>Divorced</v>
          </cell>
          <cell r="N1267">
            <v>3055</v>
          </cell>
          <cell r="O1267">
            <v>5</v>
          </cell>
          <cell r="P1267" t="str">
            <v>No</v>
          </cell>
          <cell r="Q1267">
            <v>4</v>
          </cell>
          <cell r="R1267">
            <v>11</v>
          </cell>
          <cell r="S1267">
            <v>2</v>
          </cell>
          <cell r="T1267">
            <v>9</v>
          </cell>
          <cell r="U1267">
            <v>8</v>
          </cell>
          <cell r="V1267">
            <v>1</v>
          </cell>
          <cell r="W1267">
            <v>7</v>
          </cell>
          <cell r="X1267">
            <v>15</v>
          </cell>
          <cell r="Y1267">
            <v>0</v>
          </cell>
          <cell r="Z1267" t="str">
            <v>Mid</v>
          </cell>
          <cell r="AA1267" t="str">
            <v>Low</v>
          </cell>
          <cell r="AB1267" t="str">
            <v>Long</v>
          </cell>
          <cell r="AC1267" t="str">
            <v>Medium</v>
          </cell>
          <cell r="AD1267">
            <v>1771</v>
          </cell>
        </row>
        <row r="1268">
          <cell r="A1268">
            <v>41</v>
          </cell>
          <cell r="B1268" t="str">
            <v>No</v>
          </cell>
          <cell r="C1268" t="str">
            <v>Research &amp; Development</v>
          </cell>
          <cell r="D1268">
            <v>9</v>
          </cell>
          <cell r="E1268">
            <v>4</v>
          </cell>
          <cell r="F1268" t="str">
            <v>Life Sciences</v>
          </cell>
          <cell r="G1268">
            <v>3</v>
          </cell>
          <cell r="H1268" t="str">
            <v>Male</v>
          </cell>
          <cell r="I1268">
            <v>3</v>
          </cell>
          <cell r="J1268">
            <v>1</v>
          </cell>
          <cell r="K1268" t="str">
            <v>Laboratory Technician</v>
          </cell>
          <cell r="L1268">
            <v>1</v>
          </cell>
          <cell r="M1268" t="str">
            <v>Divorced</v>
          </cell>
          <cell r="N1268">
            <v>2289</v>
          </cell>
          <cell r="O1268">
            <v>1</v>
          </cell>
          <cell r="P1268" t="str">
            <v>No</v>
          </cell>
          <cell r="Q1268">
            <v>2</v>
          </cell>
          <cell r="R1268">
            <v>5</v>
          </cell>
          <cell r="S1268">
            <v>3</v>
          </cell>
          <cell r="T1268">
            <v>5</v>
          </cell>
          <cell r="U1268">
            <v>3</v>
          </cell>
          <cell r="V1268">
            <v>0</v>
          </cell>
          <cell r="W1268">
            <v>4</v>
          </cell>
          <cell r="X1268">
            <v>20</v>
          </cell>
          <cell r="Y1268">
            <v>0</v>
          </cell>
          <cell r="Z1268" t="str">
            <v>Mid</v>
          </cell>
          <cell r="AA1268" t="str">
            <v>Low</v>
          </cell>
          <cell r="AB1268" t="str">
            <v>Mid</v>
          </cell>
          <cell r="AC1268" t="str">
            <v>High</v>
          </cell>
          <cell r="AD1268">
            <v>1772</v>
          </cell>
        </row>
        <row r="1269">
          <cell r="A1269">
            <v>34</v>
          </cell>
          <cell r="B1269" t="str">
            <v>No</v>
          </cell>
          <cell r="C1269" t="str">
            <v>Sales</v>
          </cell>
          <cell r="D1269">
            <v>10</v>
          </cell>
          <cell r="E1269">
            <v>3</v>
          </cell>
          <cell r="F1269" t="str">
            <v>Life Sciences</v>
          </cell>
          <cell r="G1269">
            <v>4</v>
          </cell>
          <cell r="H1269" t="str">
            <v>Male</v>
          </cell>
          <cell r="I1269">
            <v>3</v>
          </cell>
          <cell r="J1269">
            <v>2</v>
          </cell>
          <cell r="K1269" t="str">
            <v>Sales Executive</v>
          </cell>
          <cell r="L1269">
            <v>3</v>
          </cell>
          <cell r="M1269" t="str">
            <v>Divorced</v>
          </cell>
          <cell r="N1269">
            <v>4001</v>
          </cell>
          <cell r="O1269">
            <v>1</v>
          </cell>
          <cell r="P1269" t="str">
            <v>Yes</v>
          </cell>
          <cell r="Q1269">
            <v>3</v>
          </cell>
          <cell r="R1269">
            <v>15</v>
          </cell>
          <cell r="S1269">
            <v>3</v>
          </cell>
          <cell r="T1269">
            <v>15</v>
          </cell>
          <cell r="U1269">
            <v>14</v>
          </cell>
          <cell r="V1269">
            <v>0</v>
          </cell>
          <cell r="W1269">
            <v>7</v>
          </cell>
          <cell r="X1269">
            <v>14</v>
          </cell>
          <cell r="Y1269">
            <v>0</v>
          </cell>
          <cell r="Z1269" t="str">
            <v>Mid</v>
          </cell>
          <cell r="AA1269" t="str">
            <v>Low</v>
          </cell>
          <cell r="AB1269" t="str">
            <v>Long</v>
          </cell>
          <cell r="AC1269" t="str">
            <v>Medium</v>
          </cell>
          <cell r="AD1269">
            <v>1774</v>
          </cell>
        </row>
        <row r="1270">
          <cell r="A1270">
            <v>53</v>
          </cell>
          <cell r="B1270" t="str">
            <v>No</v>
          </cell>
          <cell r="C1270" t="str">
            <v>Research &amp; Development</v>
          </cell>
          <cell r="D1270">
            <v>1</v>
          </cell>
          <cell r="E1270">
            <v>4</v>
          </cell>
          <cell r="F1270" t="str">
            <v>Medical</v>
          </cell>
          <cell r="G1270">
            <v>1</v>
          </cell>
          <cell r="H1270" t="str">
            <v>Female</v>
          </cell>
          <cell r="I1270">
            <v>2</v>
          </cell>
          <cell r="J1270">
            <v>4</v>
          </cell>
          <cell r="K1270" t="str">
            <v>Manufacturing Director</v>
          </cell>
          <cell r="L1270">
            <v>3</v>
          </cell>
          <cell r="M1270" t="str">
            <v>Married</v>
          </cell>
          <cell r="N1270">
            <v>12965</v>
          </cell>
          <cell r="O1270">
            <v>4</v>
          </cell>
          <cell r="P1270" t="str">
            <v>Yes</v>
          </cell>
          <cell r="Q1270">
            <v>4</v>
          </cell>
          <cell r="R1270">
            <v>27</v>
          </cell>
          <cell r="S1270">
            <v>2</v>
          </cell>
          <cell r="T1270">
            <v>3</v>
          </cell>
          <cell r="U1270">
            <v>2</v>
          </cell>
          <cell r="V1270">
            <v>0</v>
          </cell>
          <cell r="W1270">
            <v>2</v>
          </cell>
          <cell r="X1270">
            <v>20</v>
          </cell>
          <cell r="Y1270">
            <v>0</v>
          </cell>
          <cell r="Z1270" t="str">
            <v>Senior</v>
          </cell>
          <cell r="AA1270" t="str">
            <v>High</v>
          </cell>
          <cell r="AB1270" t="str">
            <v>Mid</v>
          </cell>
          <cell r="AC1270" t="str">
            <v>High</v>
          </cell>
          <cell r="AD1270">
            <v>1775</v>
          </cell>
        </row>
        <row r="1271">
          <cell r="A1271">
            <v>43</v>
          </cell>
          <cell r="B1271" t="str">
            <v>No</v>
          </cell>
          <cell r="C1271" t="str">
            <v>Human Resources</v>
          </cell>
          <cell r="D1271">
            <v>2</v>
          </cell>
          <cell r="E1271">
            <v>3</v>
          </cell>
          <cell r="F1271" t="str">
            <v>Life Sciences</v>
          </cell>
          <cell r="G1271">
            <v>2</v>
          </cell>
          <cell r="H1271" t="str">
            <v>Male</v>
          </cell>
          <cell r="I1271">
            <v>3</v>
          </cell>
          <cell r="J1271">
            <v>1</v>
          </cell>
          <cell r="K1271" t="str">
            <v>Human Resources</v>
          </cell>
          <cell r="L1271">
            <v>4</v>
          </cell>
          <cell r="M1271" t="str">
            <v>Single</v>
          </cell>
          <cell r="N1271">
            <v>3539</v>
          </cell>
          <cell r="O1271">
            <v>0</v>
          </cell>
          <cell r="P1271" t="str">
            <v>No</v>
          </cell>
          <cell r="Q1271">
            <v>2</v>
          </cell>
          <cell r="R1271">
            <v>10</v>
          </cell>
          <cell r="S1271">
            <v>3</v>
          </cell>
          <cell r="T1271">
            <v>9</v>
          </cell>
          <cell r="U1271">
            <v>7</v>
          </cell>
          <cell r="V1271">
            <v>1</v>
          </cell>
          <cell r="W1271">
            <v>8</v>
          </cell>
          <cell r="X1271">
            <v>13</v>
          </cell>
          <cell r="Y1271">
            <v>0</v>
          </cell>
          <cell r="Z1271" t="str">
            <v>Mid</v>
          </cell>
          <cell r="AA1271" t="str">
            <v>Low</v>
          </cell>
          <cell r="AB1271" t="str">
            <v>Long</v>
          </cell>
          <cell r="AC1271" t="str">
            <v>Medium</v>
          </cell>
          <cell r="AD1271">
            <v>1778</v>
          </cell>
        </row>
        <row r="1272">
          <cell r="A1272">
            <v>34</v>
          </cell>
          <cell r="B1272" t="str">
            <v>No</v>
          </cell>
          <cell r="C1272" t="str">
            <v>Sales</v>
          </cell>
          <cell r="D1272">
            <v>3</v>
          </cell>
          <cell r="E1272">
            <v>2</v>
          </cell>
          <cell r="F1272" t="str">
            <v>Life Sciences</v>
          </cell>
          <cell r="G1272">
            <v>4</v>
          </cell>
          <cell r="H1272" t="str">
            <v>Female</v>
          </cell>
          <cell r="I1272">
            <v>1</v>
          </cell>
          <cell r="J1272">
            <v>2</v>
          </cell>
          <cell r="K1272" t="str">
            <v>Sales Executive</v>
          </cell>
          <cell r="L1272">
            <v>4</v>
          </cell>
          <cell r="M1272" t="str">
            <v>Single</v>
          </cell>
          <cell r="N1272">
            <v>6029</v>
          </cell>
          <cell r="O1272">
            <v>5</v>
          </cell>
          <cell r="P1272" t="str">
            <v>No</v>
          </cell>
          <cell r="Q1272">
            <v>1</v>
          </cell>
          <cell r="R1272">
            <v>6</v>
          </cell>
          <cell r="S1272">
            <v>3</v>
          </cell>
          <cell r="T1272">
            <v>2</v>
          </cell>
          <cell r="U1272">
            <v>2</v>
          </cell>
          <cell r="V1272">
            <v>2</v>
          </cell>
          <cell r="W1272">
            <v>2</v>
          </cell>
          <cell r="X1272">
            <v>12</v>
          </cell>
          <cell r="Y1272">
            <v>0</v>
          </cell>
          <cell r="Z1272" t="str">
            <v>Mid</v>
          </cell>
          <cell r="AA1272" t="str">
            <v>Medium</v>
          </cell>
          <cell r="AB1272" t="str">
            <v>Early</v>
          </cell>
          <cell r="AC1272" t="str">
            <v>Low</v>
          </cell>
          <cell r="AD1272">
            <v>1779</v>
          </cell>
        </row>
        <row r="1273">
          <cell r="A1273">
            <v>21</v>
          </cell>
          <cell r="B1273" t="str">
            <v>Yes</v>
          </cell>
          <cell r="C1273" t="str">
            <v>Sales</v>
          </cell>
          <cell r="D1273">
            <v>7</v>
          </cell>
          <cell r="E1273">
            <v>1</v>
          </cell>
          <cell r="F1273" t="str">
            <v>Marketing</v>
          </cell>
          <cell r="G1273">
            <v>2</v>
          </cell>
          <cell r="H1273" t="str">
            <v>Male</v>
          </cell>
          <cell r="I1273">
            <v>3</v>
          </cell>
          <cell r="J1273">
            <v>1</v>
          </cell>
          <cell r="K1273" t="str">
            <v>Sales Representative</v>
          </cell>
          <cell r="L1273">
            <v>2</v>
          </cell>
          <cell r="M1273" t="str">
            <v>Single</v>
          </cell>
          <cell r="N1273">
            <v>2679</v>
          </cell>
          <cell r="O1273">
            <v>1</v>
          </cell>
          <cell r="P1273" t="str">
            <v>No</v>
          </cell>
          <cell r="Q1273">
            <v>2</v>
          </cell>
          <cell r="R1273">
            <v>1</v>
          </cell>
          <cell r="S1273">
            <v>3</v>
          </cell>
          <cell r="T1273">
            <v>1</v>
          </cell>
          <cell r="U1273">
            <v>0</v>
          </cell>
          <cell r="V1273">
            <v>1</v>
          </cell>
          <cell r="W1273">
            <v>0</v>
          </cell>
          <cell r="X1273">
            <v>13</v>
          </cell>
          <cell r="Y1273">
            <v>1</v>
          </cell>
          <cell r="Z1273" t="str">
            <v>Young</v>
          </cell>
          <cell r="AA1273" t="str">
            <v>Low</v>
          </cell>
          <cell r="AB1273" t="str">
            <v>Early</v>
          </cell>
          <cell r="AC1273" t="str">
            <v>Medium</v>
          </cell>
          <cell r="AD1273">
            <v>1780</v>
          </cell>
        </row>
        <row r="1274">
          <cell r="A1274">
            <v>38</v>
          </cell>
          <cell r="B1274" t="str">
            <v>No</v>
          </cell>
          <cell r="C1274" t="str">
            <v>Research &amp; Development</v>
          </cell>
          <cell r="D1274">
            <v>6</v>
          </cell>
          <cell r="E1274">
            <v>2</v>
          </cell>
          <cell r="F1274" t="str">
            <v>Other</v>
          </cell>
          <cell r="G1274">
            <v>4</v>
          </cell>
          <cell r="H1274" t="str">
            <v>Female</v>
          </cell>
          <cell r="I1274">
            <v>2</v>
          </cell>
          <cell r="J1274">
            <v>1</v>
          </cell>
          <cell r="K1274" t="str">
            <v>Laboratory Technician</v>
          </cell>
          <cell r="L1274">
            <v>3</v>
          </cell>
          <cell r="M1274" t="str">
            <v>Married</v>
          </cell>
          <cell r="N1274">
            <v>3702</v>
          </cell>
          <cell r="O1274">
            <v>1</v>
          </cell>
          <cell r="P1274" t="str">
            <v>No</v>
          </cell>
          <cell r="Q1274">
            <v>2</v>
          </cell>
          <cell r="R1274">
            <v>5</v>
          </cell>
          <cell r="S1274">
            <v>3</v>
          </cell>
          <cell r="T1274">
            <v>5</v>
          </cell>
          <cell r="U1274">
            <v>4</v>
          </cell>
          <cell r="V1274">
            <v>0</v>
          </cell>
          <cell r="W1274">
            <v>4</v>
          </cell>
          <cell r="X1274">
            <v>11</v>
          </cell>
          <cell r="Y1274">
            <v>0</v>
          </cell>
          <cell r="Z1274" t="str">
            <v>Mid</v>
          </cell>
          <cell r="AA1274" t="str">
            <v>Low</v>
          </cell>
          <cell r="AB1274" t="str">
            <v>Mid</v>
          </cell>
          <cell r="AC1274" t="str">
            <v>Low</v>
          </cell>
          <cell r="AD1274">
            <v>1782</v>
          </cell>
        </row>
        <row r="1275">
          <cell r="A1275">
            <v>22</v>
          </cell>
          <cell r="B1275" t="str">
            <v>Yes</v>
          </cell>
          <cell r="C1275" t="str">
            <v>Research &amp; Development</v>
          </cell>
          <cell r="D1275">
            <v>8</v>
          </cell>
          <cell r="E1275">
            <v>1</v>
          </cell>
          <cell r="F1275" t="str">
            <v>Medical</v>
          </cell>
          <cell r="G1275">
            <v>3</v>
          </cell>
          <cell r="H1275" t="str">
            <v>Female</v>
          </cell>
          <cell r="I1275">
            <v>3</v>
          </cell>
          <cell r="J1275">
            <v>1</v>
          </cell>
          <cell r="K1275" t="str">
            <v>Laboratory Technician</v>
          </cell>
          <cell r="L1275">
            <v>1</v>
          </cell>
          <cell r="M1275" t="str">
            <v>Married</v>
          </cell>
          <cell r="N1275">
            <v>2398</v>
          </cell>
          <cell r="O1275">
            <v>1</v>
          </cell>
          <cell r="P1275" t="str">
            <v>Yes</v>
          </cell>
          <cell r="Q1275">
            <v>3</v>
          </cell>
          <cell r="R1275">
            <v>1</v>
          </cell>
          <cell r="S1275">
            <v>3</v>
          </cell>
          <cell r="T1275">
            <v>1</v>
          </cell>
          <cell r="U1275">
            <v>0</v>
          </cell>
          <cell r="V1275">
            <v>0</v>
          </cell>
          <cell r="W1275">
            <v>0</v>
          </cell>
          <cell r="X1275">
            <v>17</v>
          </cell>
          <cell r="Y1275">
            <v>1</v>
          </cell>
          <cell r="Z1275" t="str">
            <v>Young</v>
          </cell>
          <cell r="AA1275" t="str">
            <v>Low</v>
          </cell>
          <cell r="AB1275" t="str">
            <v>Early</v>
          </cell>
          <cell r="AC1275" t="str">
            <v>Medium</v>
          </cell>
          <cell r="AD1275">
            <v>1783</v>
          </cell>
        </row>
        <row r="1276">
          <cell r="A1276">
            <v>31</v>
          </cell>
          <cell r="B1276" t="str">
            <v>No</v>
          </cell>
          <cell r="C1276" t="str">
            <v>Sales</v>
          </cell>
          <cell r="D1276">
            <v>29</v>
          </cell>
          <cell r="E1276">
            <v>4</v>
          </cell>
          <cell r="F1276" t="str">
            <v>Marketing</v>
          </cell>
          <cell r="G1276">
            <v>1</v>
          </cell>
          <cell r="H1276" t="str">
            <v>Female</v>
          </cell>
          <cell r="I1276">
            <v>2</v>
          </cell>
          <cell r="J1276">
            <v>2</v>
          </cell>
          <cell r="K1276" t="str">
            <v>Sales Executive</v>
          </cell>
          <cell r="L1276">
            <v>4</v>
          </cell>
          <cell r="M1276" t="str">
            <v>Married</v>
          </cell>
          <cell r="N1276">
            <v>5468</v>
          </cell>
          <cell r="O1276">
            <v>1</v>
          </cell>
          <cell r="P1276" t="str">
            <v>No</v>
          </cell>
          <cell r="Q1276">
            <v>1</v>
          </cell>
          <cell r="R1276">
            <v>13</v>
          </cell>
          <cell r="S1276">
            <v>3</v>
          </cell>
          <cell r="T1276">
            <v>12</v>
          </cell>
          <cell r="U1276">
            <v>7</v>
          </cell>
          <cell r="V1276">
            <v>5</v>
          </cell>
          <cell r="W1276">
            <v>7</v>
          </cell>
          <cell r="X1276">
            <v>14</v>
          </cell>
          <cell r="Y1276">
            <v>0</v>
          </cell>
          <cell r="Z1276" t="str">
            <v>Mid</v>
          </cell>
          <cell r="AA1276" t="str">
            <v>Medium</v>
          </cell>
          <cell r="AB1276" t="str">
            <v>Long</v>
          </cell>
          <cell r="AC1276" t="str">
            <v>Medium</v>
          </cell>
          <cell r="AD1276">
            <v>1784</v>
          </cell>
        </row>
        <row r="1277">
          <cell r="A1277">
            <v>51</v>
          </cell>
          <cell r="B1277" t="str">
            <v>No</v>
          </cell>
          <cell r="C1277" t="str">
            <v>Research &amp; Development</v>
          </cell>
          <cell r="D1277">
            <v>3</v>
          </cell>
          <cell r="E1277">
            <v>3</v>
          </cell>
          <cell r="F1277" t="str">
            <v>Technical Degree</v>
          </cell>
          <cell r="G1277">
            <v>1</v>
          </cell>
          <cell r="H1277" t="str">
            <v>Female</v>
          </cell>
          <cell r="I1277">
            <v>3</v>
          </cell>
          <cell r="J1277">
            <v>3</v>
          </cell>
          <cell r="K1277" t="str">
            <v>Manager</v>
          </cell>
          <cell r="L1277">
            <v>3</v>
          </cell>
          <cell r="M1277" t="str">
            <v>Married</v>
          </cell>
          <cell r="N1277">
            <v>13116</v>
          </cell>
          <cell r="O1277">
            <v>2</v>
          </cell>
          <cell r="P1277" t="str">
            <v>No</v>
          </cell>
          <cell r="Q1277">
            <v>4</v>
          </cell>
          <cell r="R1277">
            <v>15</v>
          </cell>
          <cell r="S1277">
            <v>3</v>
          </cell>
          <cell r="T1277">
            <v>2</v>
          </cell>
          <cell r="U1277">
            <v>2</v>
          </cell>
          <cell r="V1277">
            <v>2</v>
          </cell>
          <cell r="W1277">
            <v>2</v>
          </cell>
          <cell r="X1277">
            <v>11</v>
          </cell>
          <cell r="Y1277">
            <v>0</v>
          </cell>
          <cell r="Z1277" t="str">
            <v>Senior</v>
          </cell>
          <cell r="AA1277" t="str">
            <v>High</v>
          </cell>
          <cell r="AB1277" t="str">
            <v>Early</v>
          </cell>
          <cell r="AC1277" t="str">
            <v>Low</v>
          </cell>
          <cell r="AD1277">
            <v>1786</v>
          </cell>
        </row>
        <row r="1278">
          <cell r="A1278">
            <v>37</v>
          </cell>
          <cell r="B1278" t="str">
            <v>No</v>
          </cell>
          <cell r="C1278" t="str">
            <v>Sales</v>
          </cell>
          <cell r="D1278">
            <v>9</v>
          </cell>
          <cell r="E1278">
            <v>2</v>
          </cell>
          <cell r="F1278" t="str">
            <v>Marketing</v>
          </cell>
          <cell r="G1278">
            <v>2</v>
          </cell>
          <cell r="H1278" t="str">
            <v>Male</v>
          </cell>
          <cell r="I1278">
            <v>2</v>
          </cell>
          <cell r="J1278">
            <v>2</v>
          </cell>
          <cell r="K1278" t="str">
            <v>Sales Executive</v>
          </cell>
          <cell r="L1278">
            <v>2</v>
          </cell>
          <cell r="M1278" t="str">
            <v>Married</v>
          </cell>
          <cell r="N1278">
            <v>4189</v>
          </cell>
          <cell r="O1278">
            <v>1</v>
          </cell>
          <cell r="P1278" t="str">
            <v>No</v>
          </cell>
          <cell r="Q1278">
            <v>1</v>
          </cell>
          <cell r="R1278">
            <v>5</v>
          </cell>
          <cell r="S1278">
            <v>3</v>
          </cell>
          <cell r="T1278">
            <v>5</v>
          </cell>
          <cell r="U1278">
            <v>2</v>
          </cell>
          <cell r="V1278">
            <v>0</v>
          </cell>
          <cell r="W1278">
            <v>3</v>
          </cell>
          <cell r="X1278">
            <v>14</v>
          </cell>
          <cell r="Y1278">
            <v>0</v>
          </cell>
          <cell r="Z1278" t="str">
            <v>Mid</v>
          </cell>
          <cell r="AA1278" t="str">
            <v>Low</v>
          </cell>
          <cell r="AB1278" t="str">
            <v>Mid</v>
          </cell>
          <cell r="AC1278" t="str">
            <v>Medium</v>
          </cell>
          <cell r="AD1278">
            <v>1787</v>
          </cell>
        </row>
        <row r="1279">
          <cell r="A1279">
            <v>46</v>
          </cell>
          <cell r="B1279" t="str">
            <v>No</v>
          </cell>
          <cell r="C1279" t="str">
            <v>Research &amp; Development</v>
          </cell>
          <cell r="D1279">
            <v>2</v>
          </cell>
          <cell r="E1279">
            <v>4</v>
          </cell>
          <cell r="F1279" t="str">
            <v>Medical</v>
          </cell>
          <cell r="G1279">
            <v>3</v>
          </cell>
          <cell r="H1279" t="str">
            <v>Male</v>
          </cell>
          <cell r="I1279">
            <v>3</v>
          </cell>
          <cell r="J1279">
            <v>5</v>
          </cell>
          <cell r="K1279" t="str">
            <v>Research Director</v>
          </cell>
          <cell r="L1279">
            <v>4</v>
          </cell>
          <cell r="M1279" t="str">
            <v>Divorced</v>
          </cell>
          <cell r="N1279">
            <v>19328</v>
          </cell>
          <cell r="O1279">
            <v>7</v>
          </cell>
          <cell r="P1279" t="str">
            <v>Yes</v>
          </cell>
          <cell r="Q1279">
            <v>3</v>
          </cell>
          <cell r="R1279">
            <v>24</v>
          </cell>
          <cell r="S1279">
            <v>3</v>
          </cell>
          <cell r="T1279">
            <v>2</v>
          </cell>
          <cell r="U1279">
            <v>1</v>
          </cell>
          <cell r="V1279">
            <v>2</v>
          </cell>
          <cell r="W1279">
            <v>2</v>
          </cell>
          <cell r="X1279">
            <v>17</v>
          </cell>
          <cell r="Y1279">
            <v>0</v>
          </cell>
          <cell r="Z1279" t="str">
            <v>Senior</v>
          </cell>
          <cell r="AA1279" t="str">
            <v>High</v>
          </cell>
          <cell r="AB1279" t="str">
            <v>Early</v>
          </cell>
          <cell r="AC1279" t="str">
            <v>Medium</v>
          </cell>
          <cell r="AD1279">
            <v>1789</v>
          </cell>
        </row>
        <row r="1280">
          <cell r="A1280">
            <v>36</v>
          </cell>
          <cell r="B1280" t="str">
            <v>No</v>
          </cell>
          <cell r="C1280" t="str">
            <v>Research &amp; Development</v>
          </cell>
          <cell r="D1280">
            <v>10</v>
          </cell>
          <cell r="E1280">
            <v>3</v>
          </cell>
          <cell r="F1280" t="str">
            <v>Life Sciences</v>
          </cell>
          <cell r="G1280">
            <v>4</v>
          </cell>
          <cell r="H1280" t="str">
            <v>Male</v>
          </cell>
          <cell r="I1280">
            <v>3</v>
          </cell>
          <cell r="J1280">
            <v>3</v>
          </cell>
          <cell r="K1280" t="str">
            <v>Healthcare Representative</v>
          </cell>
          <cell r="L1280">
            <v>1</v>
          </cell>
          <cell r="M1280" t="str">
            <v>Married</v>
          </cell>
          <cell r="N1280">
            <v>8321</v>
          </cell>
          <cell r="O1280">
            <v>7</v>
          </cell>
          <cell r="P1280" t="str">
            <v>Yes</v>
          </cell>
          <cell r="Q1280">
            <v>4</v>
          </cell>
          <cell r="R1280">
            <v>15</v>
          </cell>
          <cell r="S1280">
            <v>3</v>
          </cell>
          <cell r="T1280">
            <v>12</v>
          </cell>
          <cell r="U1280">
            <v>8</v>
          </cell>
          <cell r="V1280">
            <v>5</v>
          </cell>
          <cell r="W1280">
            <v>7</v>
          </cell>
          <cell r="X1280">
            <v>13</v>
          </cell>
          <cell r="Y1280">
            <v>0</v>
          </cell>
          <cell r="Z1280" t="str">
            <v>Mid</v>
          </cell>
          <cell r="AA1280" t="str">
            <v>Medium</v>
          </cell>
          <cell r="AB1280" t="str">
            <v>Long</v>
          </cell>
          <cell r="AC1280" t="str">
            <v>Medium</v>
          </cell>
          <cell r="AD1280">
            <v>1790</v>
          </cell>
        </row>
        <row r="1281">
          <cell r="A1281">
            <v>44</v>
          </cell>
          <cell r="B1281" t="str">
            <v>Yes</v>
          </cell>
          <cell r="C1281" t="str">
            <v>Research &amp; Development</v>
          </cell>
          <cell r="D1281">
            <v>1</v>
          </cell>
          <cell r="E1281">
            <v>2</v>
          </cell>
          <cell r="F1281" t="str">
            <v>Medical</v>
          </cell>
          <cell r="G1281">
            <v>3</v>
          </cell>
          <cell r="H1281" t="str">
            <v>Male</v>
          </cell>
          <cell r="I1281">
            <v>3</v>
          </cell>
          <cell r="J1281">
            <v>1</v>
          </cell>
          <cell r="K1281" t="str">
            <v>Research Scientist</v>
          </cell>
          <cell r="L1281">
            <v>2</v>
          </cell>
          <cell r="M1281" t="str">
            <v>Divorced</v>
          </cell>
          <cell r="N1281">
            <v>2342</v>
          </cell>
          <cell r="O1281">
            <v>1</v>
          </cell>
          <cell r="P1281" t="str">
            <v>Yes</v>
          </cell>
          <cell r="Q1281">
            <v>3</v>
          </cell>
          <cell r="R1281">
            <v>6</v>
          </cell>
          <cell r="S1281">
            <v>2</v>
          </cell>
          <cell r="T1281">
            <v>5</v>
          </cell>
          <cell r="U1281">
            <v>3</v>
          </cell>
          <cell r="V1281">
            <v>2</v>
          </cell>
          <cell r="W1281">
            <v>3</v>
          </cell>
          <cell r="X1281">
            <v>12</v>
          </cell>
          <cell r="Y1281">
            <v>1</v>
          </cell>
          <cell r="Z1281" t="str">
            <v>Mid</v>
          </cell>
          <cell r="AA1281" t="str">
            <v>Low</v>
          </cell>
          <cell r="AB1281" t="str">
            <v>Mid</v>
          </cell>
          <cell r="AC1281" t="str">
            <v>Low</v>
          </cell>
          <cell r="AD1281">
            <v>1792</v>
          </cell>
        </row>
        <row r="1282">
          <cell r="A1282">
            <v>37</v>
          </cell>
          <cell r="B1282" t="str">
            <v>No</v>
          </cell>
          <cell r="C1282" t="str">
            <v>Human Resources</v>
          </cell>
          <cell r="D1282">
            <v>8</v>
          </cell>
          <cell r="E1282">
            <v>2</v>
          </cell>
          <cell r="F1282" t="str">
            <v>Other</v>
          </cell>
          <cell r="G1282">
            <v>3</v>
          </cell>
          <cell r="H1282" t="str">
            <v>Male</v>
          </cell>
          <cell r="I1282">
            <v>3</v>
          </cell>
          <cell r="J1282">
            <v>2</v>
          </cell>
          <cell r="K1282" t="str">
            <v>Human Resources</v>
          </cell>
          <cell r="L1282">
            <v>2</v>
          </cell>
          <cell r="M1282" t="str">
            <v>Divorced</v>
          </cell>
          <cell r="N1282">
            <v>4071</v>
          </cell>
          <cell r="O1282">
            <v>2</v>
          </cell>
          <cell r="P1282" t="str">
            <v>No</v>
          </cell>
          <cell r="Q1282">
            <v>3</v>
          </cell>
          <cell r="R1282">
            <v>19</v>
          </cell>
          <cell r="S1282">
            <v>2</v>
          </cell>
          <cell r="T1282">
            <v>10</v>
          </cell>
          <cell r="U1282">
            <v>0</v>
          </cell>
          <cell r="V1282">
            <v>4</v>
          </cell>
          <cell r="W1282">
            <v>7</v>
          </cell>
          <cell r="X1282">
            <v>13</v>
          </cell>
          <cell r="Y1282">
            <v>0</v>
          </cell>
          <cell r="Z1282" t="str">
            <v>Mid</v>
          </cell>
          <cell r="AA1282" t="str">
            <v>Low</v>
          </cell>
          <cell r="AB1282" t="str">
            <v>Long</v>
          </cell>
          <cell r="AC1282" t="str">
            <v>Medium</v>
          </cell>
          <cell r="AD1282">
            <v>1794</v>
          </cell>
        </row>
        <row r="1283">
          <cell r="A1283">
            <v>35</v>
          </cell>
          <cell r="B1283" t="str">
            <v>Yes</v>
          </cell>
          <cell r="C1283" t="str">
            <v>Sales</v>
          </cell>
          <cell r="D1283">
            <v>27</v>
          </cell>
          <cell r="E1283">
            <v>3</v>
          </cell>
          <cell r="F1283" t="str">
            <v>Life Sciences</v>
          </cell>
          <cell r="G1283">
            <v>3</v>
          </cell>
          <cell r="H1283" t="str">
            <v>Male</v>
          </cell>
          <cell r="I1283">
            <v>3</v>
          </cell>
          <cell r="J1283">
            <v>2</v>
          </cell>
          <cell r="K1283" t="str">
            <v>Sales Executive</v>
          </cell>
          <cell r="L1283">
            <v>4</v>
          </cell>
          <cell r="M1283" t="str">
            <v>Single</v>
          </cell>
          <cell r="N1283">
            <v>5813</v>
          </cell>
          <cell r="O1283">
            <v>1</v>
          </cell>
          <cell r="P1283" t="str">
            <v>Yes</v>
          </cell>
          <cell r="Q1283">
            <v>4</v>
          </cell>
          <cell r="R1283">
            <v>10</v>
          </cell>
          <cell r="S1283">
            <v>3</v>
          </cell>
          <cell r="T1283">
            <v>10</v>
          </cell>
          <cell r="U1283">
            <v>7</v>
          </cell>
          <cell r="V1283">
            <v>7</v>
          </cell>
          <cell r="W1283">
            <v>7</v>
          </cell>
          <cell r="X1283">
            <v>18</v>
          </cell>
          <cell r="Y1283">
            <v>1</v>
          </cell>
          <cell r="Z1283" t="str">
            <v>Mid</v>
          </cell>
          <cell r="AA1283" t="str">
            <v>Medium</v>
          </cell>
          <cell r="AB1283" t="str">
            <v>Long</v>
          </cell>
          <cell r="AC1283" t="str">
            <v>High</v>
          </cell>
          <cell r="AD1283">
            <v>1797</v>
          </cell>
        </row>
        <row r="1284">
          <cell r="A1284">
            <v>33</v>
          </cell>
          <cell r="B1284" t="str">
            <v>No</v>
          </cell>
          <cell r="C1284" t="str">
            <v>Research &amp; Development</v>
          </cell>
          <cell r="D1284">
            <v>8</v>
          </cell>
          <cell r="E1284">
            <v>4</v>
          </cell>
          <cell r="F1284" t="str">
            <v>Life Sciences</v>
          </cell>
          <cell r="G1284">
            <v>4</v>
          </cell>
          <cell r="H1284" t="str">
            <v>Male</v>
          </cell>
          <cell r="I1284">
            <v>4</v>
          </cell>
          <cell r="J1284">
            <v>1</v>
          </cell>
          <cell r="K1284" t="str">
            <v>Research Scientist</v>
          </cell>
          <cell r="L1284">
            <v>1</v>
          </cell>
          <cell r="M1284" t="str">
            <v>Married</v>
          </cell>
          <cell r="N1284">
            <v>3143</v>
          </cell>
          <cell r="O1284">
            <v>6</v>
          </cell>
          <cell r="P1284" t="str">
            <v>No</v>
          </cell>
          <cell r="Q1284">
            <v>2</v>
          </cell>
          <cell r="R1284">
            <v>14</v>
          </cell>
          <cell r="S1284">
            <v>3</v>
          </cell>
          <cell r="T1284">
            <v>10</v>
          </cell>
          <cell r="U1284">
            <v>8</v>
          </cell>
          <cell r="V1284">
            <v>7</v>
          </cell>
          <cell r="W1284">
            <v>6</v>
          </cell>
          <cell r="X1284">
            <v>19</v>
          </cell>
          <cell r="Y1284">
            <v>0</v>
          </cell>
          <cell r="Z1284" t="str">
            <v>Mid</v>
          </cell>
          <cell r="AA1284" t="str">
            <v>Low</v>
          </cell>
          <cell r="AB1284" t="str">
            <v>Long</v>
          </cell>
          <cell r="AC1284" t="str">
            <v>High</v>
          </cell>
          <cell r="AD1284">
            <v>1798</v>
          </cell>
        </row>
        <row r="1285">
          <cell r="A1285">
            <v>28</v>
          </cell>
          <cell r="B1285" t="str">
            <v>No</v>
          </cell>
          <cell r="C1285" t="str">
            <v>Research &amp; Development</v>
          </cell>
          <cell r="D1285">
            <v>1</v>
          </cell>
          <cell r="E1285">
            <v>3</v>
          </cell>
          <cell r="F1285" t="str">
            <v>Life Sciences</v>
          </cell>
          <cell r="G1285">
            <v>3</v>
          </cell>
          <cell r="H1285" t="str">
            <v>Male</v>
          </cell>
          <cell r="I1285">
            <v>3</v>
          </cell>
          <cell r="J1285">
            <v>1</v>
          </cell>
          <cell r="K1285" t="str">
            <v>Research Scientist</v>
          </cell>
          <cell r="L1285">
            <v>4</v>
          </cell>
          <cell r="M1285" t="str">
            <v>Married</v>
          </cell>
          <cell r="N1285">
            <v>2044</v>
          </cell>
          <cell r="O1285">
            <v>1</v>
          </cell>
          <cell r="P1285" t="str">
            <v>No</v>
          </cell>
          <cell r="Q1285">
            <v>3</v>
          </cell>
          <cell r="R1285">
            <v>5</v>
          </cell>
          <cell r="S1285">
            <v>4</v>
          </cell>
          <cell r="T1285">
            <v>5</v>
          </cell>
          <cell r="U1285">
            <v>3</v>
          </cell>
          <cell r="V1285">
            <v>0</v>
          </cell>
          <cell r="W1285">
            <v>3</v>
          </cell>
          <cell r="X1285">
            <v>11</v>
          </cell>
          <cell r="Y1285">
            <v>0</v>
          </cell>
          <cell r="Z1285" t="str">
            <v>Young</v>
          </cell>
          <cell r="AA1285" t="str">
            <v>Low</v>
          </cell>
          <cell r="AB1285" t="str">
            <v>Mid</v>
          </cell>
          <cell r="AC1285" t="str">
            <v>Low</v>
          </cell>
          <cell r="AD1285">
            <v>1799</v>
          </cell>
        </row>
        <row r="1286">
          <cell r="A1286">
            <v>39</v>
          </cell>
          <cell r="B1286" t="str">
            <v>No</v>
          </cell>
          <cell r="C1286" t="str">
            <v>Research &amp; Development</v>
          </cell>
          <cell r="D1286">
            <v>10</v>
          </cell>
          <cell r="E1286">
            <v>1</v>
          </cell>
          <cell r="F1286" t="str">
            <v>Medical</v>
          </cell>
          <cell r="G1286">
            <v>3</v>
          </cell>
          <cell r="H1286" t="str">
            <v>Male</v>
          </cell>
          <cell r="I1286">
            <v>3</v>
          </cell>
          <cell r="J1286">
            <v>3</v>
          </cell>
          <cell r="K1286" t="str">
            <v>Research Director</v>
          </cell>
          <cell r="L1286">
            <v>3</v>
          </cell>
          <cell r="M1286" t="str">
            <v>Single</v>
          </cell>
          <cell r="N1286">
            <v>13464</v>
          </cell>
          <cell r="O1286">
            <v>7</v>
          </cell>
          <cell r="P1286" t="str">
            <v>No</v>
          </cell>
          <cell r="Q1286">
            <v>3</v>
          </cell>
          <cell r="R1286">
            <v>9</v>
          </cell>
          <cell r="S1286">
            <v>3</v>
          </cell>
          <cell r="T1286">
            <v>4</v>
          </cell>
          <cell r="U1286">
            <v>3</v>
          </cell>
          <cell r="V1286">
            <v>2</v>
          </cell>
          <cell r="W1286">
            <v>2</v>
          </cell>
          <cell r="X1286">
            <v>21</v>
          </cell>
          <cell r="Y1286">
            <v>0</v>
          </cell>
          <cell r="Z1286" t="str">
            <v>Mid</v>
          </cell>
          <cell r="AA1286" t="str">
            <v>High</v>
          </cell>
          <cell r="AB1286" t="str">
            <v>Mid</v>
          </cell>
          <cell r="AC1286" t="str">
            <v>High</v>
          </cell>
          <cell r="AD1286">
            <v>1800</v>
          </cell>
        </row>
        <row r="1287">
          <cell r="A1287">
            <v>46</v>
          </cell>
          <cell r="B1287" t="str">
            <v>No</v>
          </cell>
          <cell r="C1287" t="str">
            <v>Sales</v>
          </cell>
          <cell r="D1287">
            <v>26</v>
          </cell>
          <cell r="E1287">
            <v>2</v>
          </cell>
          <cell r="F1287" t="str">
            <v>Life Sciences</v>
          </cell>
          <cell r="G1287">
            <v>2</v>
          </cell>
          <cell r="H1287" t="str">
            <v>Male</v>
          </cell>
          <cell r="I1287">
            <v>2</v>
          </cell>
          <cell r="J1287">
            <v>2</v>
          </cell>
          <cell r="K1287" t="str">
            <v>Sales Executive</v>
          </cell>
          <cell r="L1287">
            <v>2</v>
          </cell>
          <cell r="M1287" t="str">
            <v>Single</v>
          </cell>
          <cell r="N1287">
            <v>7991</v>
          </cell>
          <cell r="O1287">
            <v>8</v>
          </cell>
          <cell r="P1287" t="str">
            <v>No</v>
          </cell>
          <cell r="Q1287">
            <v>3</v>
          </cell>
          <cell r="R1287">
            <v>6</v>
          </cell>
          <cell r="S1287">
            <v>3</v>
          </cell>
          <cell r="T1287">
            <v>2</v>
          </cell>
          <cell r="U1287">
            <v>2</v>
          </cell>
          <cell r="V1287">
            <v>2</v>
          </cell>
          <cell r="W1287">
            <v>2</v>
          </cell>
          <cell r="X1287">
            <v>15</v>
          </cell>
          <cell r="Y1287">
            <v>0</v>
          </cell>
          <cell r="Z1287" t="str">
            <v>Senior</v>
          </cell>
          <cell r="AA1287" t="str">
            <v>Medium</v>
          </cell>
          <cell r="AB1287" t="str">
            <v>Early</v>
          </cell>
          <cell r="AC1287" t="str">
            <v>Medium</v>
          </cell>
          <cell r="AD1287">
            <v>1801</v>
          </cell>
        </row>
        <row r="1288">
          <cell r="A1288">
            <v>40</v>
          </cell>
          <cell r="B1288" t="str">
            <v>No</v>
          </cell>
          <cell r="C1288" t="str">
            <v>Research &amp; Development</v>
          </cell>
          <cell r="D1288">
            <v>2</v>
          </cell>
          <cell r="E1288">
            <v>2</v>
          </cell>
          <cell r="F1288" t="str">
            <v>Life Sciences</v>
          </cell>
          <cell r="G1288">
            <v>3</v>
          </cell>
          <cell r="H1288" t="str">
            <v>Female</v>
          </cell>
          <cell r="I1288">
            <v>3</v>
          </cell>
          <cell r="J1288">
            <v>1</v>
          </cell>
          <cell r="K1288" t="str">
            <v>Laboratory Technician</v>
          </cell>
          <cell r="L1288">
            <v>1</v>
          </cell>
          <cell r="M1288" t="str">
            <v>Married</v>
          </cell>
          <cell r="N1288">
            <v>3377</v>
          </cell>
          <cell r="O1288">
            <v>4</v>
          </cell>
          <cell r="P1288" t="str">
            <v>No</v>
          </cell>
          <cell r="Q1288">
            <v>4</v>
          </cell>
          <cell r="R1288">
            <v>7</v>
          </cell>
          <cell r="S1288">
            <v>2</v>
          </cell>
          <cell r="T1288">
            <v>4</v>
          </cell>
          <cell r="U1288">
            <v>3</v>
          </cell>
          <cell r="V1288">
            <v>0</v>
          </cell>
          <cell r="W1288">
            <v>2</v>
          </cell>
          <cell r="X1288">
            <v>17</v>
          </cell>
          <cell r="Y1288">
            <v>0</v>
          </cell>
          <cell r="Z1288" t="str">
            <v>Mid</v>
          </cell>
          <cell r="AA1288" t="str">
            <v>Low</v>
          </cell>
          <cell r="AB1288" t="str">
            <v>Mid</v>
          </cell>
          <cell r="AC1288" t="str">
            <v>Medium</v>
          </cell>
          <cell r="AD1288">
            <v>1802</v>
          </cell>
        </row>
        <row r="1289">
          <cell r="A1289">
            <v>42</v>
          </cell>
          <cell r="B1289" t="str">
            <v>No</v>
          </cell>
          <cell r="C1289" t="str">
            <v>Research &amp; Development</v>
          </cell>
          <cell r="D1289">
            <v>13</v>
          </cell>
          <cell r="E1289">
            <v>3</v>
          </cell>
          <cell r="F1289" t="str">
            <v>Medical</v>
          </cell>
          <cell r="G1289">
            <v>2</v>
          </cell>
          <cell r="H1289" t="str">
            <v>Male</v>
          </cell>
          <cell r="I1289">
            <v>4</v>
          </cell>
          <cell r="J1289">
            <v>2</v>
          </cell>
          <cell r="K1289" t="str">
            <v>Healthcare Representative</v>
          </cell>
          <cell r="L1289">
            <v>1</v>
          </cell>
          <cell r="M1289" t="str">
            <v>Married</v>
          </cell>
          <cell r="N1289">
            <v>5538</v>
          </cell>
          <cell r="O1289">
            <v>5</v>
          </cell>
          <cell r="P1289" t="str">
            <v>No</v>
          </cell>
          <cell r="Q1289">
            <v>3</v>
          </cell>
          <cell r="R1289">
            <v>10</v>
          </cell>
          <cell r="S1289">
            <v>2</v>
          </cell>
          <cell r="T1289">
            <v>0</v>
          </cell>
          <cell r="U1289">
            <v>0</v>
          </cell>
          <cell r="V1289">
            <v>0</v>
          </cell>
          <cell r="W1289">
            <v>0</v>
          </cell>
          <cell r="X1289">
            <v>18</v>
          </cell>
          <cell r="Y1289">
            <v>0</v>
          </cell>
          <cell r="Z1289" t="str">
            <v>Mid</v>
          </cell>
          <cell r="AA1289" t="str">
            <v>Medium</v>
          </cell>
          <cell r="AB1289" t="str">
            <v>Early</v>
          </cell>
          <cell r="AC1289" t="str">
            <v>High</v>
          </cell>
          <cell r="AD1289">
            <v>1803</v>
          </cell>
        </row>
        <row r="1290">
          <cell r="A1290">
            <v>35</v>
          </cell>
          <cell r="B1290" t="str">
            <v>No</v>
          </cell>
          <cell r="C1290" t="str">
            <v>Research &amp; Development</v>
          </cell>
          <cell r="D1290">
            <v>2</v>
          </cell>
          <cell r="E1290">
            <v>2</v>
          </cell>
          <cell r="F1290" t="str">
            <v>Medical</v>
          </cell>
          <cell r="G1290">
            <v>2</v>
          </cell>
          <cell r="H1290" t="str">
            <v>Male</v>
          </cell>
          <cell r="I1290">
            <v>3</v>
          </cell>
          <cell r="J1290">
            <v>2</v>
          </cell>
          <cell r="K1290" t="str">
            <v>Manufacturing Director</v>
          </cell>
          <cell r="L1290">
            <v>4</v>
          </cell>
          <cell r="M1290" t="str">
            <v>Divorced</v>
          </cell>
          <cell r="N1290">
            <v>5762</v>
          </cell>
          <cell r="O1290">
            <v>2</v>
          </cell>
          <cell r="P1290" t="str">
            <v>No</v>
          </cell>
          <cell r="Q1290">
            <v>3</v>
          </cell>
          <cell r="R1290">
            <v>15</v>
          </cell>
          <cell r="S1290">
            <v>3</v>
          </cell>
          <cell r="T1290">
            <v>7</v>
          </cell>
          <cell r="U1290">
            <v>7</v>
          </cell>
          <cell r="V1290">
            <v>1</v>
          </cell>
          <cell r="W1290">
            <v>7</v>
          </cell>
          <cell r="X1290">
            <v>14</v>
          </cell>
          <cell r="Y1290">
            <v>0</v>
          </cell>
          <cell r="Z1290" t="str">
            <v>Mid</v>
          </cell>
          <cell r="AA1290" t="str">
            <v>Medium</v>
          </cell>
          <cell r="AB1290" t="str">
            <v>Long</v>
          </cell>
          <cell r="AC1290" t="str">
            <v>Medium</v>
          </cell>
          <cell r="AD1290">
            <v>1804</v>
          </cell>
        </row>
        <row r="1291">
          <cell r="A1291">
            <v>38</v>
          </cell>
          <cell r="B1291" t="str">
            <v>No</v>
          </cell>
          <cell r="C1291" t="str">
            <v>Human Resources</v>
          </cell>
          <cell r="D1291">
            <v>2</v>
          </cell>
          <cell r="E1291">
            <v>3</v>
          </cell>
          <cell r="F1291" t="str">
            <v>Human Resources</v>
          </cell>
          <cell r="G1291">
            <v>1</v>
          </cell>
          <cell r="H1291" t="str">
            <v>Male</v>
          </cell>
          <cell r="I1291">
            <v>3</v>
          </cell>
          <cell r="J1291">
            <v>1</v>
          </cell>
          <cell r="K1291" t="str">
            <v>Human Resources</v>
          </cell>
          <cell r="L1291">
            <v>2</v>
          </cell>
          <cell r="M1291" t="str">
            <v>Divorced</v>
          </cell>
          <cell r="N1291">
            <v>2592</v>
          </cell>
          <cell r="O1291">
            <v>5</v>
          </cell>
          <cell r="P1291" t="str">
            <v>No</v>
          </cell>
          <cell r="Q1291">
            <v>4</v>
          </cell>
          <cell r="R1291">
            <v>13</v>
          </cell>
          <cell r="S1291">
            <v>3</v>
          </cell>
          <cell r="T1291">
            <v>11</v>
          </cell>
          <cell r="U1291">
            <v>10</v>
          </cell>
          <cell r="V1291">
            <v>3</v>
          </cell>
          <cell r="W1291">
            <v>8</v>
          </cell>
          <cell r="X1291">
            <v>13</v>
          </cell>
          <cell r="Y1291">
            <v>0</v>
          </cell>
          <cell r="Z1291" t="str">
            <v>Mid</v>
          </cell>
          <cell r="AA1291" t="str">
            <v>Low</v>
          </cell>
          <cell r="AB1291" t="str">
            <v>Long</v>
          </cell>
          <cell r="AC1291" t="str">
            <v>Medium</v>
          </cell>
          <cell r="AD1291">
            <v>1805</v>
          </cell>
        </row>
        <row r="1292">
          <cell r="A1292">
            <v>34</v>
          </cell>
          <cell r="B1292" t="str">
            <v>Yes</v>
          </cell>
          <cell r="C1292" t="str">
            <v>Research &amp; Development</v>
          </cell>
          <cell r="D1292">
            <v>9</v>
          </cell>
          <cell r="E1292">
            <v>4</v>
          </cell>
          <cell r="F1292" t="str">
            <v>Life Sciences</v>
          </cell>
          <cell r="G1292">
            <v>4</v>
          </cell>
          <cell r="H1292" t="str">
            <v>Male</v>
          </cell>
          <cell r="I1292">
            <v>3</v>
          </cell>
          <cell r="J1292">
            <v>2</v>
          </cell>
          <cell r="K1292" t="str">
            <v>Laboratory Technician</v>
          </cell>
          <cell r="L1292">
            <v>1</v>
          </cell>
          <cell r="M1292" t="str">
            <v>Married</v>
          </cell>
          <cell r="N1292">
            <v>5346</v>
          </cell>
          <cell r="O1292">
            <v>4</v>
          </cell>
          <cell r="P1292" t="str">
            <v>No</v>
          </cell>
          <cell r="Q1292">
            <v>3</v>
          </cell>
          <cell r="R1292">
            <v>11</v>
          </cell>
          <cell r="S1292">
            <v>2</v>
          </cell>
          <cell r="T1292">
            <v>7</v>
          </cell>
          <cell r="U1292">
            <v>1</v>
          </cell>
          <cell r="V1292">
            <v>0</v>
          </cell>
          <cell r="W1292">
            <v>7</v>
          </cell>
          <cell r="X1292">
            <v>17</v>
          </cell>
          <cell r="Y1292">
            <v>1</v>
          </cell>
          <cell r="Z1292" t="str">
            <v>Mid</v>
          </cell>
          <cell r="AA1292" t="str">
            <v>Medium</v>
          </cell>
          <cell r="AB1292" t="str">
            <v>Long</v>
          </cell>
          <cell r="AC1292" t="str">
            <v>Medium</v>
          </cell>
          <cell r="AD1292">
            <v>1807</v>
          </cell>
        </row>
        <row r="1293">
          <cell r="A1293">
            <v>37</v>
          </cell>
          <cell r="B1293" t="str">
            <v>Yes</v>
          </cell>
          <cell r="C1293" t="str">
            <v>Research &amp; Development</v>
          </cell>
          <cell r="D1293">
            <v>10</v>
          </cell>
          <cell r="E1293">
            <v>4</v>
          </cell>
          <cell r="F1293" t="str">
            <v>Medical</v>
          </cell>
          <cell r="G1293">
            <v>4</v>
          </cell>
          <cell r="H1293" t="str">
            <v>Male</v>
          </cell>
          <cell r="I1293">
            <v>3</v>
          </cell>
          <cell r="J1293">
            <v>2</v>
          </cell>
          <cell r="K1293" t="str">
            <v>Manufacturing Director</v>
          </cell>
          <cell r="L1293">
            <v>1</v>
          </cell>
          <cell r="M1293" t="str">
            <v>Single</v>
          </cell>
          <cell r="N1293">
            <v>4213</v>
          </cell>
          <cell r="O1293">
            <v>1</v>
          </cell>
          <cell r="P1293" t="str">
            <v>No</v>
          </cell>
          <cell r="Q1293">
            <v>2</v>
          </cell>
          <cell r="R1293">
            <v>10</v>
          </cell>
          <cell r="S1293">
            <v>1</v>
          </cell>
          <cell r="T1293">
            <v>10</v>
          </cell>
          <cell r="U1293">
            <v>3</v>
          </cell>
          <cell r="V1293">
            <v>0</v>
          </cell>
          <cell r="W1293">
            <v>8</v>
          </cell>
          <cell r="X1293">
            <v>15</v>
          </cell>
          <cell r="Y1293">
            <v>1</v>
          </cell>
          <cell r="Z1293" t="str">
            <v>Mid</v>
          </cell>
          <cell r="AA1293" t="str">
            <v>Low</v>
          </cell>
          <cell r="AB1293" t="str">
            <v>Long</v>
          </cell>
          <cell r="AC1293" t="str">
            <v>Medium</v>
          </cell>
          <cell r="AD1293">
            <v>1809</v>
          </cell>
        </row>
        <row r="1294">
          <cell r="A1294">
            <v>39</v>
          </cell>
          <cell r="B1294" t="str">
            <v>No</v>
          </cell>
          <cell r="C1294" t="str">
            <v>Sales</v>
          </cell>
          <cell r="D1294">
            <v>20</v>
          </cell>
          <cell r="E1294">
            <v>3</v>
          </cell>
          <cell r="F1294" t="str">
            <v>Life Sciences</v>
          </cell>
          <cell r="G1294">
            <v>3</v>
          </cell>
          <cell r="H1294" t="str">
            <v>Male</v>
          </cell>
          <cell r="I1294">
            <v>3</v>
          </cell>
          <cell r="J1294">
            <v>2</v>
          </cell>
          <cell r="K1294" t="str">
            <v>Sales Executive</v>
          </cell>
          <cell r="L1294">
            <v>4</v>
          </cell>
          <cell r="M1294" t="str">
            <v>Divorced</v>
          </cell>
          <cell r="N1294">
            <v>4127</v>
          </cell>
          <cell r="O1294">
            <v>2</v>
          </cell>
          <cell r="P1294" t="str">
            <v>No</v>
          </cell>
          <cell r="Q1294">
            <v>4</v>
          </cell>
          <cell r="R1294">
            <v>7</v>
          </cell>
          <cell r="S1294">
            <v>3</v>
          </cell>
          <cell r="T1294">
            <v>2</v>
          </cell>
          <cell r="U1294">
            <v>1</v>
          </cell>
          <cell r="V1294">
            <v>2</v>
          </cell>
          <cell r="W1294">
            <v>2</v>
          </cell>
          <cell r="X1294">
            <v>18</v>
          </cell>
          <cell r="Y1294">
            <v>0</v>
          </cell>
          <cell r="Z1294" t="str">
            <v>Mid</v>
          </cell>
          <cell r="AA1294" t="str">
            <v>Low</v>
          </cell>
          <cell r="AB1294" t="str">
            <v>Early</v>
          </cell>
          <cell r="AC1294" t="str">
            <v>High</v>
          </cell>
          <cell r="AD1294">
            <v>1812</v>
          </cell>
        </row>
        <row r="1295">
          <cell r="A1295">
            <v>43</v>
          </cell>
          <cell r="B1295" t="str">
            <v>No</v>
          </cell>
          <cell r="C1295" t="str">
            <v>Research &amp; Development</v>
          </cell>
          <cell r="D1295">
            <v>9</v>
          </cell>
          <cell r="E1295">
            <v>3</v>
          </cell>
          <cell r="F1295" t="str">
            <v>Life Sciences</v>
          </cell>
          <cell r="G1295">
            <v>1</v>
          </cell>
          <cell r="H1295" t="str">
            <v>Male</v>
          </cell>
          <cell r="I1295">
            <v>3</v>
          </cell>
          <cell r="J1295">
            <v>1</v>
          </cell>
          <cell r="K1295" t="str">
            <v>Research Scientist</v>
          </cell>
          <cell r="L1295">
            <v>3</v>
          </cell>
          <cell r="M1295" t="str">
            <v>Single</v>
          </cell>
          <cell r="N1295">
            <v>2438</v>
          </cell>
          <cell r="O1295">
            <v>4</v>
          </cell>
          <cell r="P1295" t="str">
            <v>No</v>
          </cell>
          <cell r="Q1295">
            <v>3</v>
          </cell>
          <cell r="R1295">
            <v>7</v>
          </cell>
          <cell r="S1295">
            <v>2</v>
          </cell>
          <cell r="T1295">
            <v>3</v>
          </cell>
          <cell r="U1295">
            <v>2</v>
          </cell>
          <cell r="V1295">
            <v>1</v>
          </cell>
          <cell r="W1295">
            <v>2</v>
          </cell>
          <cell r="X1295">
            <v>13</v>
          </cell>
          <cell r="Y1295">
            <v>0</v>
          </cell>
          <cell r="Z1295" t="str">
            <v>Mid</v>
          </cell>
          <cell r="AA1295" t="str">
            <v>Low</v>
          </cell>
          <cell r="AB1295" t="str">
            <v>Mid</v>
          </cell>
          <cell r="AC1295" t="str">
            <v>Medium</v>
          </cell>
          <cell r="AD1295">
            <v>1813</v>
          </cell>
        </row>
        <row r="1296">
          <cell r="A1296">
            <v>41</v>
          </cell>
          <cell r="B1296" t="str">
            <v>No</v>
          </cell>
          <cell r="C1296" t="str">
            <v>Research &amp; Development</v>
          </cell>
          <cell r="D1296">
            <v>5</v>
          </cell>
          <cell r="E1296">
            <v>3</v>
          </cell>
          <cell r="F1296" t="str">
            <v>Life Sciences</v>
          </cell>
          <cell r="G1296">
            <v>2</v>
          </cell>
          <cell r="H1296" t="str">
            <v>Male</v>
          </cell>
          <cell r="I1296">
            <v>4</v>
          </cell>
          <cell r="J1296">
            <v>2</v>
          </cell>
          <cell r="K1296" t="str">
            <v>Healthcare Representative</v>
          </cell>
          <cell r="L1296">
            <v>2</v>
          </cell>
          <cell r="M1296" t="str">
            <v>Single</v>
          </cell>
          <cell r="N1296">
            <v>6870</v>
          </cell>
          <cell r="O1296">
            <v>3</v>
          </cell>
          <cell r="P1296" t="str">
            <v>No</v>
          </cell>
          <cell r="Q1296">
            <v>1</v>
          </cell>
          <cell r="R1296">
            <v>11</v>
          </cell>
          <cell r="S1296">
            <v>1</v>
          </cell>
          <cell r="T1296">
            <v>3</v>
          </cell>
          <cell r="U1296">
            <v>2</v>
          </cell>
          <cell r="V1296">
            <v>1</v>
          </cell>
          <cell r="W1296">
            <v>2</v>
          </cell>
          <cell r="X1296">
            <v>12</v>
          </cell>
          <cell r="Y1296">
            <v>0</v>
          </cell>
          <cell r="Z1296" t="str">
            <v>Mid</v>
          </cell>
          <cell r="AA1296" t="str">
            <v>Medium</v>
          </cell>
          <cell r="AB1296" t="str">
            <v>Mid</v>
          </cell>
          <cell r="AC1296" t="str">
            <v>Low</v>
          </cell>
          <cell r="AD1296">
            <v>1814</v>
          </cell>
        </row>
        <row r="1297">
          <cell r="A1297">
            <v>41</v>
          </cell>
          <cell r="B1297" t="str">
            <v>No</v>
          </cell>
          <cell r="C1297" t="str">
            <v>Sales</v>
          </cell>
          <cell r="D1297">
            <v>4</v>
          </cell>
          <cell r="E1297">
            <v>1</v>
          </cell>
          <cell r="F1297" t="str">
            <v>Marketing</v>
          </cell>
          <cell r="G1297">
            <v>3</v>
          </cell>
          <cell r="H1297" t="str">
            <v>Female</v>
          </cell>
          <cell r="I1297">
            <v>3</v>
          </cell>
          <cell r="J1297">
            <v>3</v>
          </cell>
          <cell r="K1297" t="str">
            <v>Sales Executive</v>
          </cell>
          <cell r="L1297">
            <v>3</v>
          </cell>
          <cell r="M1297" t="str">
            <v>Divorced</v>
          </cell>
          <cell r="N1297">
            <v>10447</v>
          </cell>
          <cell r="O1297">
            <v>0</v>
          </cell>
          <cell r="P1297" t="str">
            <v>Yes</v>
          </cell>
          <cell r="Q1297">
            <v>4</v>
          </cell>
          <cell r="R1297">
            <v>23</v>
          </cell>
          <cell r="S1297">
            <v>4</v>
          </cell>
          <cell r="T1297">
            <v>22</v>
          </cell>
          <cell r="U1297">
            <v>14</v>
          </cell>
          <cell r="V1297">
            <v>13</v>
          </cell>
          <cell r="W1297">
            <v>5</v>
          </cell>
          <cell r="X1297">
            <v>13</v>
          </cell>
          <cell r="Y1297">
            <v>0</v>
          </cell>
          <cell r="Z1297" t="str">
            <v>Mid</v>
          </cell>
          <cell r="AA1297" t="str">
            <v>High</v>
          </cell>
          <cell r="AB1297" t="str">
            <v>Long</v>
          </cell>
          <cell r="AC1297" t="str">
            <v>Medium</v>
          </cell>
          <cell r="AD1297">
            <v>1815</v>
          </cell>
        </row>
        <row r="1298">
          <cell r="A1298">
            <v>30</v>
          </cell>
          <cell r="B1298" t="str">
            <v>No</v>
          </cell>
          <cell r="C1298" t="str">
            <v>Research &amp; Development</v>
          </cell>
          <cell r="D1298">
            <v>10</v>
          </cell>
          <cell r="E1298">
            <v>3</v>
          </cell>
          <cell r="F1298" t="str">
            <v>Medical</v>
          </cell>
          <cell r="G1298">
            <v>1</v>
          </cell>
          <cell r="H1298" t="str">
            <v>Female</v>
          </cell>
          <cell r="I1298">
            <v>3</v>
          </cell>
          <cell r="J1298">
            <v>3</v>
          </cell>
          <cell r="K1298" t="str">
            <v>Manufacturing Director</v>
          </cell>
          <cell r="L1298">
            <v>3</v>
          </cell>
          <cell r="M1298" t="str">
            <v>Single</v>
          </cell>
          <cell r="N1298">
            <v>9667</v>
          </cell>
          <cell r="O1298">
            <v>9</v>
          </cell>
          <cell r="P1298" t="str">
            <v>No</v>
          </cell>
          <cell r="Q1298">
            <v>2</v>
          </cell>
          <cell r="R1298">
            <v>9</v>
          </cell>
          <cell r="S1298">
            <v>3</v>
          </cell>
          <cell r="T1298">
            <v>7</v>
          </cell>
          <cell r="U1298">
            <v>7</v>
          </cell>
          <cell r="V1298">
            <v>0</v>
          </cell>
          <cell r="W1298">
            <v>2</v>
          </cell>
          <cell r="X1298">
            <v>14</v>
          </cell>
          <cell r="Y1298">
            <v>0</v>
          </cell>
          <cell r="Z1298" t="str">
            <v>Mid</v>
          </cell>
          <cell r="AA1298" t="str">
            <v>Medium</v>
          </cell>
          <cell r="AB1298" t="str">
            <v>Long</v>
          </cell>
          <cell r="AC1298" t="str">
            <v>Medium</v>
          </cell>
          <cell r="AD1298">
            <v>1816</v>
          </cell>
        </row>
        <row r="1299">
          <cell r="A1299">
            <v>26</v>
          </cell>
          <cell r="B1299" t="str">
            <v>Yes</v>
          </cell>
          <cell r="C1299" t="str">
            <v>Human Resources</v>
          </cell>
          <cell r="D1299">
            <v>20</v>
          </cell>
          <cell r="E1299">
            <v>2</v>
          </cell>
          <cell r="F1299" t="str">
            <v>Medical</v>
          </cell>
          <cell r="G1299">
            <v>4</v>
          </cell>
          <cell r="H1299" t="str">
            <v>Female</v>
          </cell>
          <cell r="I1299">
            <v>3</v>
          </cell>
          <cell r="J1299">
            <v>1</v>
          </cell>
          <cell r="K1299" t="str">
            <v>Human Resources</v>
          </cell>
          <cell r="L1299">
            <v>2</v>
          </cell>
          <cell r="M1299" t="str">
            <v>Married</v>
          </cell>
          <cell r="N1299">
            <v>2148</v>
          </cell>
          <cell r="O1299">
            <v>0</v>
          </cell>
          <cell r="P1299" t="str">
            <v>Yes</v>
          </cell>
          <cell r="Q1299">
            <v>3</v>
          </cell>
          <cell r="R1299">
            <v>6</v>
          </cell>
          <cell r="S1299">
            <v>3</v>
          </cell>
          <cell r="T1299">
            <v>5</v>
          </cell>
          <cell r="U1299">
            <v>1</v>
          </cell>
          <cell r="V1299">
            <v>1</v>
          </cell>
          <cell r="W1299">
            <v>4</v>
          </cell>
          <cell r="X1299">
            <v>11</v>
          </cell>
          <cell r="Y1299">
            <v>1</v>
          </cell>
          <cell r="Z1299" t="str">
            <v>Young</v>
          </cell>
          <cell r="AA1299" t="str">
            <v>Low</v>
          </cell>
          <cell r="AB1299" t="str">
            <v>Mid</v>
          </cell>
          <cell r="AC1299" t="str">
            <v>Low</v>
          </cell>
          <cell r="AD1299">
            <v>1818</v>
          </cell>
        </row>
        <row r="1300">
          <cell r="A1300">
            <v>46</v>
          </cell>
          <cell r="B1300" t="str">
            <v>Yes</v>
          </cell>
          <cell r="C1300" t="str">
            <v>Research &amp; Development</v>
          </cell>
          <cell r="D1300">
            <v>21</v>
          </cell>
          <cell r="E1300">
            <v>2</v>
          </cell>
          <cell r="F1300" t="str">
            <v>Medical</v>
          </cell>
          <cell r="G1300">
            <v>4</v>
          </cell>
          <cell r="H1300" t="str">
            <v>Female</v>
          </cell>
          <cell r="I1300">
            <v>3</v>
          </cell>
          <cell r="J1300">
            <v>2</v>
          </cell>
          <cell r="K1300" t="str">
            <v>Healthcare Representative</v>
          </cell>
          <cell r="L1300">
            <v>2</v>
          </cell>
          <cell r="M1300" t="str">
            <v>Married</v>
          </cell>
          <cell r="N1300">
            <v>8926</v>
          </cell>
          <cell r="O1300">
            <v>4</v>
          </cell>
          <cell r="P1300" t="str">
            <v>No</v>
          </cell>
          <cell r="Q1300">
            <v>4</v>
          </cell>
          <cell r="R1300">
            <v>13</v>
          </cell>
          <cell r="S1300">
            <v>4</v>
          </cell>
          <cell r="T1300">
            <v>9</v>
          </cell>
          <cell r="U1300">
            <v>7</v>
          </cell>
          <cell r="V1300">
            <v>3</v>
          </cell>
          <cell r="W1300">
            <v>7</v>
          </cell>
          <cell r="X1300">
            <v>22</v>
          </cell>
          <cell r="Y1300">
            <v>1</v>
          </cell>
          <cell r="Z1300" t="str">
            <v>Senior</v>
          </cell>
          <cell r="AA1300" t="str">
            <v>Medium</v>
          </cell>
          <cell r="AB1300" t="str">
            <v>Long</v>
          </cell>
          <cell r="AC1300" t="str">
            <v>High</v>
          </cell>
          <cell r="AD1300">
            <v>1821</v>
          </cell>
        </row>
        <row r="1301">
          <cell r="A1301">
            <v>40</v>
          </cell>
          <cell r="B1301" t="str">
            <v>No</v>
          </cell>
          <cell r="C1301" t="str">
            <v>Research &amp; Development</v>
          </cell>
          <cell r="D1301">
            <v>1</v>
          </cell>
          <cell r="E1301">
            <v>3</v>
          </cell>
          <cell r="F1301" t="str">
            <v>Life Sciences</v>
          </cell>
          <cell r="G1301">
            <v>3</v>
          </cell>
          <cell r="H1301" t="str">
            <v>Female</v>
          </cell>
          <cell r="I1301">
            <v>3</v>
          </cell>
          <cell r="J1301">
            <v>2</v>
          </cell>
          <cell r="K1301" t="str">
            <v>Healthcare Representative</v>
          </cell>
          <cell r="L1301">
            <v>4</v>
          </cell>
          <cell r="M1301" t="str">
            <v>Divorced</v>
          </cell>
          <cell r="N1301">
            <v>6513</v>
          </cell>
          <cell r="O1301">
            <v>4</v>
          </cell>
          <cell r="P1301" t="str">
            <v>No</v>
          </cell>
          <cell r="Q1301">
            <v>4</v>
          </cell>
          <cell r="R1301">
            <v>12</v>
          </cell>
          <cell r="S1301">
            <v>3</v>
          </cell>
          <cell r="T1301">
            <v>5</v>
          </cell>
          <cell r="U1301">
            <v>3</v>
          </cell>
          <cell r="V1301">
            <v>0</v>
          </cell>
          <cell r="W1301">
            <v>3</v>
          </cell>
          <cell r="X1301">
            <v>17</v>
          </cell>
          <cell r="Y1301">
            <v>0</v>
          </cell>
          <cell r="Z1301" t="str">
            <v>Mid</v>
          </cell>
          <cell r="AA1301" t="str">
            <v>Medium</v>
          </cell>
          <cell r="AB1301" t="str">
            <v>Mid</v>
          </cell>
          <cell r="AC1301" t="str">
            <v>Medium</v>
          </cell>
          <cell r="AD1301">
            <v>1822</v>
          </cell>
        </row>
        <row r="1302">
          <cell r="A1302">
            <v>34</v>
          </cell>
          <cell r="B1302" t="str">
            <v>No</v>
          </cell>
          <cell r="C1302" t="str">
            <v>Sales</v>
          </cell>
          <cell r="D1302">
            <v>8</v>
          </cell>
          <cell r="E1302">
            <v>2</v>
          </cell>
          <cell r="F1302" t="str">
            <v>Technical Degree</v>
          </cell>
          <cell r="G1302">
            <v>2</v>
          </cell>
          <cell r="H1302" t="str">
            <v>Male</v>
          </cell>
          <cell r="I1302">
            <v>4</v>
          </cell>
          <cell r="J1302">
            <v>2</v>
          </cell>
          <cell r="K1302" t="str">
            <v>Sales Executive</v>
          </cell>
          <cell r="L1302">
            <v>3</v>
          </cell>
          <cell r="M1302" t="str">
            <v>Married</v>
          </cell>
          <cell r="N1302">
            <v>6799</v>
          </cell>
          <cell r="O1302">
            <v>1</v>
          </cell>
          <cell r="P1302" t="str">
            <v>No</v>
          </cell>
          <cell r="Q1302">
            <v>3</v>
          </cell>
          <cell r="R1302">
            <v>10</v>
          </cell>
          <cell r="S1302">
            <v>3</v>
          </cell>
          <cell r="T1302">
            <v>10</v>
          </cell>
          <cell r="U1302">
            <v>8</v>
          </cell>
          <cell r="V1302">
            <v>4</v>
          </cell>
          <cell r="W1302">
            <v>8</v>
          </cell>
          <cell r="X1302">
            <v>21</v>
          </cell>
          <cell r="Y1302">
            <v>0</v>
          </cell>
          <cell r="Z1302" t="str">
            <v>Mid</v>
          </cell>
          <cell r="AA1302" t="str">
            <v>Medium</v>
          </cell>
          <cell r="AB1302" t="str">
            <v>Long</v>
          </cell>
          <cell r="AC1302" t="str">
            <v>High</v>
          </cell>
          <cell r="AD1302">
            <v>1823</v>
          </cell>
        </row>
        <row r="1303">
          <cell r="A1303">
            <v>58</v>
          </cell>
          <cell r="B1303" t="str">
            <v>No</v>
          </cell>
          <cell r="C1303" t="str">
            <v>Sales</v>
          </cell>
          <cell r="D1303">
            <v>2</v>
          </cell>
          <cell r="E1303">
            <v>3</v>
          </cell>
          <cell r="F1303" t="str">
            <v>Medical</v>
          </cell>
          <cell r="G1303">
            <v>2</v>
          </cell>
          <cell r="H1303" t="str">
            <v>Male</v>
          </cell>
          <cell r="I1303">
            <v>3</v>
          </cell>
          <cell r="J1303">
            <v>4</v>
          </cell>
          <cell r="K1303" t="str">
            <v>Manager</v>
          </cell>
          <cell r="L1303">
            <v>2</v>
          </cell>
          <cell r="M1303" t="str">
            <v>Divorced</v>
          </cell>
          <cell r="N1303">
            <v>16291</v>
          </cell>
          <cell r="O1303">
            <v>4</v>
          </cell>
          <cell r="P1303" t="str">
            <v>No</v>
          </cell>
          <cell r="Q1303">
            <v>4</v>
          </cell>
          <cell r="R1303">
            <v>37</v>
          </cell>
          <cell r="S1303">
            <v>2</v>
          </cell>
          <cell r="T1303">
            <v>16</v>
          </cell>
          <cell r="U1303">
            <v>9</v>
          </cell>
          <cell r="V1303">
            <v>14</v>
          </cell>
          <cell r="W1303">
            <v>14</v>
          </cell>
          <cell r="X1303">
            <v>22</v>
          </cell>
          <cell r="Y1303">
            <v>0</v>
          </cell>
          <cell r="Z1303" t="str">
            <v>Senior</v>
          </cell>
          <cell r="AA1303" t="str">
            <v>High</v>
          </cell>
          <cell r="AB1303" t="str">
            <v>Long</v>
          </cell>
          <cell r="AC1303" t="str">
            <v>High</v>
          </cell>
          <cell r="AD1303">
            <v>1824</v>
          </cell>
        </row>
        <row r="1304">
          <cell r="A1304">
            <v>35</v>
          </cell>
          <cell r="B1304" t="str">
            <v>No</v>
          </cell>
          <cell r="C1304" t="str">
            <v>Research &amp; Development</v>
          </cell>
          <cell r="D1304">
            <v>23</v>
          </cell>
          <cell r="E1304">
            <v>4</v>
          </cell>
          <cell r="F1304" t="str">
            <v>Medical</v>
          </cell>
          <cell r="G1304">
            <v>2</v>
          </cell>
          <cell r="H1304" t="str">
            <v>Male</v>
          </cell>
          <cell r="I1304">
            <v>1</v>
          </cell>
          <cell r="J1304">
            <v>1</v>
          </cell>
          <cell r="K1304" t="str">
            <v>Laboratory Technician</v>
          </cell>
          <cell r="L1304">
            <v>3</v>
          </cell>
          <cell r="M1304" t="str">
            <v>Married</v>
          </cell>
          <cell r="N1304">
            <v>2705</v>
          </cell>
          <cell r="O1304">
            <v>0</v>
          </cell>
          <cell r="P1304" t="str">
            <v>No</v>
          </cell>
          <cell r="Q1304">
            <v>2</v>
          </cell>
          <cell r="R1304">
            <v>6</v>
          </cell>
          <cell r="S1304">
            <v>4</v>
          </cell>
          <cell r="T1304">
            <v>5</v>
          </cell>
          <cell r="U1304">
            <v>4</v>
          </cell>
          <cell r="V1304">
            <v>0</v>
          </cell>
          <cell r="W1304">
            <v>3</v>
          </cell>
          <cell r="X1304">
            <v>16</v>
          </cell>
          <cell r="Y1304">
            <v>0</v>
          </cell>
          <cell r="Z1304" t="str">
            <v>Mid</v>
          </cell>
          <cell r="AA1304" t="str">
            <v>Low</v>
          </cell>
          <cell r="AB1304" t="str">
            <v>Mid</v>
          </cell>
          <cell r="AC1304" t="str">
            <v>Medium</v>
          </cell>
          <cell r="AD1304">
            <v>1826</v>
          </cell>
        </row>
        <row r="1305">
          <cell r="A1305">
            <v>47</v>
          </cell>
          <cell r="B1305" t="str">
            <v>No</v>
          </cell>
          <cell r="C1305" t="str">
            <v>Research &amp; Development</v>
          </cell>
          <cell r="D1305">
            <v>4</v>
          </cell>
          <cell r="E1305">
            <v>3</v>
          </cell>
          <cell r="F1305" t="str">
            <v>Life Sciences</v>
          </cell>
          <cell r="G1305">
            <v>3</v>
          </cell>
          <cell r="H1305" t="str">
            <v>Female</v>
          </cell>
          <cell r="I1305">
            <v>2</v>
          </cell>
          <cell r="J1305">
            <v>3</v>
          </cell>
          <cell r="K1305" t="str">
            <v>Manufacturing Director</v>
          </cell>
          <cell r="L1305">
            <v>2</v>
          </cell>
          <cell r="M1305" t="str">
            <v>Divorced</v>
          </cell>
          <cell r="N1305">
            <v>10333</v>
          </cell>
          <cell r="O1305">
            <v>8</v>
          </cell>
          <cell r="P1305" t="str">
            <v>Yes</v>
          </cell>
          <cell r="Q1305">
            <v>3</v>
          </cell>
          <cell r="R1305">
            <v>28</v>
          </cell>
          <cell r="S1305">
            <v>3</v>
          </cell>
          <cell r="T1305">
            <v>22</v>
          </cell>
          <cell r="U1305">
            <v>11</v>
          </cell>
          <cell r="V1305">
            <v>14</v>
          </cell>
          <cell r="W1305">
            <v>10</v>
          </cell>
          <cell r="X1305">
            <v>12</v>
          </cell>
          <cell r="Y1305">
            <v>0</v>
          </cell>
          <cell r="Z1305" t="str">
            <v>Senior</v>
          </cell>
          <cell r="AA1305" t="str">
            <v>High</v>
          </cell>
          <cell r="AB1305" t="str">
            <v>Long</v>
          </cell>
          <cell r="AC1305" t="str">
            <v>Low</v>
          </cell>
          <cell r="AD1305">
            <v>1827</v>
          </cell>
        </row>
        <row r="1306">
          <cell r="A1306">
            <v>40</v>
          </cell>
          <cell r="B1306" t="str">
            <v>No</v>
          </cell>
          <cell r="C1306" t="str">
            <v>Research &amp; Development</v>
          </cell>
          <cell r="D1306">
            <v>12</v>
          </cell>
          <cell r="E1306">
            <v>3</v>
          </cell>
          <cell r="F1306" t="str">
            <v>Life Sciences</v>
          </cell>
          <cell r="G1306">
            <v>2</v>
          </cell>
          <cell r="H1306" t="str">
            <v>Female</v>
          </cell>
          <cell r="I1306">
            <v>3</v>
          </cell>
          <cell r="J1306">
            <v>2</v>
          </cell>
          <cell r="K1306" t="str">
            <v>Healthcare Representative</v>
          </cell>
          <cell r="L1306">
            <v>1</v>
          </cell>
          <cell r="M1306" t="str">
            <v>Divorced</v>
          </cell>
          <cell r="N1306">
            <v>4448</v>
          </cell>
          <cell r="O1306">
            <v>2</v>
          </cell>
          <cell r="P1306" t="str">
            <v>No</v>
          </cell>
          <cell r="Q1306">
            <v>2</v>
          </cell>
          <cell r="R1306">
            <v>15</v>
          </cell>
          <cell r="S1306">
            <v>3</v>
          </cell>
          <cell r="T1306">
            <v>7</v>
          </cell>
          <cell r="U1306">
            <v>4</v>
          </cell>
          <cell r="V1306">
            <v>7</v>
          </cell>
          <cell r="W1306">
            <v>7</v>
          </cell>
          <cell r="X1306">
            <v>12</v>
          </cell>
          <cell r="Y1306">
            <v>0</v>
          </cell>
          <cell r="Z1306" t="str">
            <v>Mid</v>
          </cell>
          <cell r="AA1306" t="str">
            <v>Low</v>
          </cell>
          <cell r="AB1306" t="str">
            <v>Long</v>
          </cell>
          <cell r="AC1306" t="str">
            <v>Low</v>
          </cell>
          <cell r="AD1306">
            <v>1829</v>
          </cell>
        </row>
        <row r="1307">
          <cell r="A1307">
            <v>54</v>
          </cell>
          <cell r="B1307" t="str">
            <v>No</v>
          </cell>
          <cell r="C1307" t="str">
            <v>Research &amp; Development</v>
          </cell>
          <cell r="D1307">
            <v>7</v>
          </cell>
          <cell r="E1307">
            <v>4</v>
          </cell>
          <cell r="F1307" t="str">
            <v>Medical</v>
          </cell>
          <cell r="G1307">
            <v>4</v>
          </cell>
          <cell r="H1307" t="str">
            <v>Female</v>
          </cell>
          <cell r="I1307">
            <v>3</v>
          </cell>
          <cell r="J1307">
            <v>2</v>
          </cell>
          <cell r="K1307" t="str">
            <v>Research Scientist</v>
          </cell>
          <cell r="L1307">
            <v>4</v>
          </cell>
          <cell r="M1307" t="str">
            <v>Married</v>
          </cell>
          <cell r="N1307">
            <v>6854</v>
          </cell>
          <cell r="O1307">
            <v>4</v>
          </cell>
          <cell r="P1307" t="str">
            <v>No</v>
          </cell>
          <cell r="Q1307">
            <v>2</v>
          </cell>
          <cell r="R1307">
            <v>14</v>
          </cell>
          <cell r="S1307">
            <v>2</v>
          </cell>
          <cell r="T1307">
            <v>7</v>
          </cell>
          <cell r="U1307">
            <v>1</v>
          </cell>
          <cell r="V1307">
            <v>1</v>
          </cell>
          <cell r="W1307">
            <v>7</v>
          </cell>
          <cell r="X1307">
            <v>15</v>
          </cell>
          <cell r="Y1307">
            <v>0</v>
          </cell>
          <cell r="Z1307" t="str">
            <v>Senior</v>
          </cell>
          <cell r="AA1307" t="str">
            <v>Medium</v>
          </cell>
          <cell r="AB1307" t="str">
            <v>Long</v>
          </cell>
          <cell r="AC1307" t="str">
            <v>Medium</v>
          </cell>
          <cell r="AD1307">
            <v>1830</v>
          </cell>
        </row>
        <row r="1308">
          <cell r="A1308">
            <v>31</v>
          </cell>
          <cell r="B1308" t="str">
            <v>No</v>
          </cell>
          <cell r="C1308" t="str">
            <v>Sales</v>
          </cell>
          <cell r="D1308">
            <v>7</v>
          </cell>
          <cell r="E1308">
            <v>4</v>
          </cell>
          <cell r="F1308" t="str">
            <v>Marketing</v>
          </cell>
          <cell r="G1308">
            <v>1</v>
          </cell>
          <cell r="H1308" t="str">
            <v>Female</v>
          </cell>
          <cell r="I1308">
            <v>3</v>
          </cell>
          <cell r="J1308">
            <v>3</v>
          </cell>
          <cell r="K1308" t="str">
            <v>Sales Executive</v>
          </cell>
          <cell r="L1308">
            <v>1</v>
          </cell>
          <cell r="M1308" t="str">
            <v>Married</v>
          </cell>
          <cell r="N1308">
            <v>9637</v>
          </cell>
          <cell r="O1308">
            <v>2</v>
          </cell>
          <cell r="P1308" t="str">
            <v>No</v>
          </cell>
          <cell r="Q1308">
            <v>4</v>
          </cell>
          <cell r="R1308">
            <v>9</v>
          </cell>
          <cell r="S1308">
            <v>3</v>
          </cell>
          <cell r="T1308">
            <v>3</v>
          </cell>
          <cell r="U1308">
            <v>2</v>
          </cell>
          <cell r="V1308">
            <v>2</v>
          </cell>
          <cell r="W1308">
            <v>2</v>
          </cell>
          <cell r="X1308">
            <v>14</v>
          </cell>
          <cell r="Y1308">
            <v>0</v>
          </cell>
          <cell r="Z1308" t="str">
            <v>Mid</v>
          </cell>
          <cell r="AA1308" t="str">
            <v>Medium</v>
          </cell>
          <cell r="AB1308" t="str">
            <v>Mid</v>
          </cell>
          <cell r="AC1308" t="str">
            <v>Medium</v>
          </cell>
          <cell r="AD1308">
            <v>1833</v>
          </cell>
        </row>
        <row r="1309">
          <cell r="A1309">
            <v>28</v>
          </cell>
          <cell r="B1309" t="str">
            <v>No</v>
          </cell>
          <cell r="C1309" t="str">
            <v>Research &amp; Development</v>
          </cell>
          <cell r="D1309">
            <v>1</v>
          </cell>
          <cell r="E1309">
            <v>3</v>
          </cell>
          <cell r="F1309" t="str">
            <v>Medical</v>
          </cell>
          <cell r="G1309">
            <v>3</v>
          </cell>
          <cell r="H1309" t="str">
            <v>Female</v>
          </cell>
          <cell r="I1309">
            <v>3</v>
          </cell>
          <cell r="J1309">
            <v>1</v>
          </cell>
          <cell r="K1309" t="str">
            <v>Research Scientist</v>
          </cell>
          <cell r="L1309">
            <v>1</v>
          </cell>
          <cell r="M1309" t="str">
            <v>Married</v>
          </cell>
          <cell r="N1309">
            <v>3591</v>
          </cell>
          <cell r="O1309">
            <v>1</v>
          </cell>
          <cell r="P1309" t="str">
            <v>No</v>
          </cell>
          <cell r="Q1309">
            <v>3</v>
          </cell>
          <cell r="R1309">
            <v>3</v>
          </cell>
          <cell r="S1309">
            <v>3</v>
          </cell>
          <cell r="T1309">
            <v>3</v>
          </cell>
          <cell r="U1309">
            <v>2</v>
          </cell>
          <cell r="V1309">
            <v>1</v>
          </cell>
          <cell r="W1309">
            <v>2</v>
          </cell>
          <cell r="X1309">
            <v>25</v>
          </cell>
          <cell r="Y1309">
            <v>0</v>
          </cell>
          <cell r="Z1309" t="str">
            <v>Young</v>
          </cell>
          <cell r="AA1309" t="str">
            <v>Low</v>
          </cell>
          <cell r="AB1309" t="str">
            <v>Mid</v>
          </cell>
          <cell r="AC1309" t="str">
            <v>High</v>
          </cell>
          <cell r="AD1309">
            <v>1834</v>
          </cell>
        </row>
        <row r="1310">
          <cell r="A1310">
            <v>38</v>
          </cell>
          <cell r="B1310" t="str">
            <v>No</v>
          </cell>
          <cell r="C1310" t="str">
            <v>Sales</v>
          </cell>
          <cell r="D1310">
            <v>2</v>
          </cell>
          <cell r="E1310">
            <v>4</v>
          </cell>
          <cell r="F1310" t="str">
            <v>Marketing</v>
          </cell>
          <cell r="G1310">
            <v>2</v>
          </cell>
          <cell r="H1310" t="str">
            <v>Female</v>
          </cell>
          <cell r="I1310">
            <v>1</v>
          </cell>
          <cell r="J1310">
            <v>2</v>
          </cell>
          <cell r="K1310" t="str">
            <v>Sales Representative</v>
          </cell>
          <cell r="L1310">
            <v>4</v>
          </cell>
          <cell r="M1310" t="str">
            <v>Married</v>
          </cell>
          <cell r="N1310">
            <v>5405</v>
          </cell>
          <cell r="O1310">
            <v>2</v>
          </cell>
          <cell r="P1310" t="str">
            <v>Yes</v>
          </cell>
          <cell r="Q1310">
            <v>1</v>
          </cell>
          <cell r="R1310">
            <v>20</v>
          </cell>
          <cell r="S1310">
            <v>2</v>
          </cell>
          <cell r="T1310">
            <v>4</v>
          </cell>
          <cell r="U1310">
            <v>2</v>
          </cell>
          <cell r="V1310">
            <v>0</v>
          </cell>
          <cell r="W1310">
            <v>3</v>
          </cell>
          <cell r="X1310">
            <v>20</v>
          </cell>
          <cell r="Y1310">
            <v>0</v>
          </cell>
          <cell r="Z1310" t="str">
            <v>Mid</v>
          </cell>
          <cell r="AA1310" t="str">
            <v>Medium</v>
          </cell>
          <cell r="AB1310" t="str">
            <v>Mid</v>
          </cell>
          <cell r="AC1310" t="str">
            <v>High</v>
          </cell>
          <cell r="AD1310">
            <v>1835</v>
          </cell>
        </row>
        <row r="1311">
          <cell r="A1311">
            <v>26</v>
          </cell>
          <cell r="B1311" t="str">
            <v>No</v>
          </cell>
          <cell r="C1311" t="str">
            <v>Sales</v>
          </cell>
          <cell r="D1311">
            <v>10</v>
          </cell>
          <cell r="E1311">
            <v>3</v>
          </cell>
          <cell r="F1311" t="str">
            <v>Medical</v>
          </cell>
          <cell r="G1311">
            <v>3</v>
          </cell>
          <cell r="H1311" t="str">
            <v>Male</v>
          </cell>
          <cell r="I1311">
            <v>3</v>
          </cell>
          <cell r="J1311">
            <v>2</v>
          </cell>
          <cell r="K1311" t="str">
            <v>Sales Executive</v>
          </cell>
          <cell r="L1311">
            <v>4</v>
          </cell>
          <cell r="M1311" t="str">
            <v>Single</v>
          </cell>
          <cell r="N1311">
            <v>4684</v>
          </cell>
          <cell r="O1311">
            <v>1</v>
          </cell>
          <cell r="P1311" t="str">
            <v>No</v>
          </cell>
          <cell r="Q1311">
            <v>1</v>
          </cell>
          <cell r="R1311">
            <v>5</v>
          </cell>
          <cell r="S1311">
            <v>3</v>
          </cell>
          <cell r="T1311">
            <v>5</v>
          </cell>
          <cell r="U1311">
            <v>3</v>
          </cell>
          <cell r="V1311">
            <v>1</v>
          </cell>
          <cell r="W1311">
            <v>2</v>
          </cell>
          <cell r="X1311">
            <v>13</v>
          </cell>
          <cell r="Y1311">
            <v>0</v>
          </cell>
          <cell r="Z1311" t="str">
            <v>Young</v>
          </cell>
          <cell r="AA1311" t="str">
            <v>Low</v>
          </cell>
          <cell r="AB1311" t="str">
            <v>Mid</v>
          </cell>
          <cell r="AC1311" t="str">
            <v>Medium</v>
          </cell>
          <cell r="AD1311">
            <v>1836</v>
          </cell>
        </row>
        <row r="1312">
          <cell r="A1312">
            <v>58</v>
          </cell>
          <cell r="B1312" t="str">
            <v>No</v>
          </cell>
          <cell r="C1312" t="str">
            <v>Research &amp; Development</v>
          </cell>
          <cell r="D1312">
            <v>15</v>
          </cell>
          <cell r="E1312">
            <v>4</v>
          </cell>
          <cell r="F1312" t="str">
            <v>Life Sciences</v>
          </cell>
          <cell r="G1312">
            <v>1</v>
          </cell>
          <cell r="H1312" t="str">
            <v>Male</v>
          </cell>
          <cell r="I1312">
            <v>3</v>
          </cell>
          <cell r="J1312">
            <v>4</v>
          </cell>
          <cell r="K1312" t="str">
            <v>Research Director</v>
          </cell>
          <cell r="L1312">
            <v>3</v>
          </cell>
          <cell r="M1312" t="str">
            <v>Married</v>
          </cell>
          <cell r="N1312">
            <v>15787</v>
          </cell>
          <cell r="O1312">
            <v>2</v>
          </cell>
          <cell r="P1312" t="str">
            <v>Yes</v>
          </cell>
          <cell r="Q1312">
            <v>2</v>
          </cell>
          <cell r="R1312">
            <v>23</v>
          </cell>
          <cell r="S1312">
            <v>3</v>
          </cell>
          <cell r="T1312">
            <v>2</v>
          </cell>
          <cell r="U1312">
            <v>2</v>
          </cell>
          <cell r="V1312">
            <v>2</v>
          </cell>
          <cell r="W1312">
            <v>2</v>
          </cell>
          <cell r="X1312">
            <v>14</v>
          </cell>
          <cell r="Y1312">
            <v>0</v>
          </cell>
          <cell r="Z1312" t="str">
            <v>Senior</v>
          </cell>
          <cell r="AA1312" t="str">
            <v>High</v>
          </cell>
          <cell r="AB1312" t="str">
            <v>Early</v>
          </cell>
          <cell r="AC1312" t="str">
            <v>Medium</v>
          </cell>
          <cell r="AD1312">
            <v>1837</v>
          </cell>
        </row>
        <row r="1313">
          <cell r="A1313">
            <v>18</v>
          </cell>
          <cell r="B1313" t="str">
            <v>No</v>
          </cell>
          <cell r="C1313" t="str">
            <v>Research &amp; Development</v>
          </cell>
          <cell r="D1313">
            <v>14</v>
          </cell>
          <cell r="E1313">
            <v>3</v>
          </cell>
          <cell r="F1313" t="str">
            <v>Medical</v>
          </cell>
          <cell r="G1313">
            <v>2</v>
          </cell>
          <cell r="H1313" t="str">
            <v>Female</v>
          </cell>
          <cell r="I1313">
            <v>3</v>
          </cell>
          <cell r="J1313">
            <v>1</v>
          </cell>
          <cell r="K1313" t="str">
            <v>Research Scientist</v>
          </cell>
          <cell r="L1313">
            <v>3</v>
          </cell>
          <cell r="M1313" t="str">
            <v>Single</v>
          </cell>
          <cell r="N1313">
            <v>1514</v>
          </cell>
          <cell r="O1313">
            <v>1</v>
          </cell>
          <cell r="P1313" t="str">
            <v>No</v>
          </cell>
          <cell r="Q1313">
            <v>3</v>
          </cell>
          <cell r="R1313">
            <v>0</v>
          </cell>
          <cell r="S1313">
            <v>1</v>
          </cell>
          <cell r="T1313">
            <v>0</v>
          </cell>
          <cell r="U1313">
            <v>0</v>
          </cell>
          <cell r="V1313">
            <v>0</v>
          </cell>
          <cell r="W1313">
            <v>0</v>
          </cell>
          <cell r="X1313">
            <v>16</v>
          </cell>
          <cell r="Y1313">
            <v>0</v>
          </cell>
          <cell r="Z1313" t="str">
            <v>Young</v>
          </cell>
          <cell r="AA1313" t="str">
            <v>Low</v>
          </cell>
          <cell r="AB1313" t="str">
            <v>Early</v>
          </cell>
          <cell r="AC1313" t="str">
            <v>Medium</v>
          </cell>
          <cell r="AD1313">
            <v>1839</v>
          </cell>
        </row>
        <row r="1314">
          <cell r="A1314">
            <v>31</v>
          </cell>
          <cell r="B1314" t="str">
            <v>Yes</v>
          </cell>
          <cell r="C1314" t="str">
            <v>Human Resources</v>
          </cell>
          <cell r="D1314">
            <v>18</v>
          </cell>
          <cell r="E1314">
            <v>5</v>
          </cell>
          <cell r="F1314" t="str">
            <v>Human Resources</v>
          </cell>
          <cell r="G1314">
            <v>4</v>
          </cell>
          <cell r="H1314" t="str">
            <v>Male</v>
          </cell>
          <cell r="I1314">
            <v>4</v>
          </cell>
          <cell r="J1314">
            <v>1</v>
          </cell>
          <cell r="K1314" t="str">
            <v>Human Resources</v>
          </cell>
          <cell r="L1314">
            <v>1</v>
          </cell>
          <cell r="M1314" t="str">
            <v>Married</v>
          </cell>
          <cell r="N1314">
            <v>2956</v>
          </cell>
          <cell r="O1314">
            <v>0</v>
          </cell>
          <cell r="P1314" t="str">
            <v>No</v>
          </cell>
          <cell r="Q1314">
            <v>3</v>
          </cell>
          <cell r="R1314">
            <v>2</v>
          </cell>
          <cell r="S1314">
            <v>3</v>
          </cell>
          <cell r="T1314">
            <v>1</v>
          </cell>
          <cell r="U1314">
            <v>0</v>
          </cell>
          <cell r="V1314">
            <v>0</v>
          </cell>
          <cell r="W1314">
            <v>0</v>
          </cell>
          <cell r="X1314">
            <v>17</v>
          </cell>
          <cell r="Y1314">
            <v>1</v>
          </cell>
          <cell r="Z1314" t="str">
            <v>Mid</v>
          </cell>
          <cell r="AA1314" t="str">
            <v>Low</v>
          </cell>
          <cell r="AB1314" t="str">
            <v>Early</v>
          </cell>
          <cell r="AC1314" t="str">
            <v>Medium</v>
          </cell>
          <cell r="AD1314">
            <v>1842</v>
          </cell>
        </row>
        <row r="1315">
          <cell r="A1315">
            <v>29</v>
          </cell>
          <cell r="B1315" t="str">
            <v>Yes</v>
          </cell>
          <cell r="C1315" t="str">
            <v>Human Resources</v>
          </cell>
          <cell r="D1315">
            <v>13</v>
          </cell>
          <cell r="E1315">
            <v>3</v>
          </cell>
          <cell r="F1315" t="str">
            <v>Human Resources</v>
          </cell>
          <cell r="G1315">
            <v>1</v>
          </cell>
          <cell r="H1315" t="str">
            <v>Male</v>
          </cell>
          <cell r="I1315">
            <v>2</v>
          </cell>
          <cell r="J1315">
            <v>1</v>
          </cell>
          <cell r="K1315" t="str">
            <v>Human Resources</v>
          </cell>
          <cell r="L1315">
            <v>1</v>
          </cell>
          <cell r="M1315" t="str">
            <v>Divorced</v>
          </cell>
          <cell r="N1315">
            <v>2335</v>
          </cell>
          <cell r="O1315">
            <v>4</v>
          </cell>
          <cell r="P1315" t="str">
            <v>Yes</v>
          </cell>
          <cell r="Q1315">
            <v>4</v>
          </cell>
          <cell r="R1315">
            <v>4</v>
          </cell>
          <cell r="S1315">
            <v>3</v>
          </cell>
          <cell r="T1315">
            <v>2</v>
          </cell>
          <cell r="U1315">
            <v>2</v>
          </cell>
          <cell r="V1315">
            <v>2</v>
          </cell>
          <cell r="W1315">
            <v>0</v>
          </cell>
          <cell r="X1315">
            <v>15</v>
          </cell>
          <cell r="Y1315">
            <v>1</v>
          </cell>
          <cell r="Z1315" t="str">
            <v>Young</v>
          </cell>
          <cell r="AA1315" t="str">
            <v>Low</v>
          </cell>
          <cell r="AB1315" t="str">
            <v>Early</v>
          </cell>
          <cell r="AC1315" t="str">
            <v>Medium</v>
          </cell>
          <cell r="AD1315">
            <v>1844</v>
          </cell>
        </row>
        <row r="1316">
          <cell r="A1316">
            <v>45</v>
          </cell>
          <cell r="B1316" t="str">
            <v>No</v>
          </cell>
          <cell r="C1316" t="str">
            <v>Sales</v>
          </cell>
          <cell r="D1316">
            <v>2</v>
          </cell>
          <cell r="E1316">
            <v>4</v>
          </cell>
          <cell r="F1316" t="str">
            <v>Life Sciences</v>
          </cell>
          <cell r="G1316">
            <v>3</v>
          </cell>
          <cell r="H1316" t="str">
            <v>Female</v>
          </cell>
          <cell r="I1316">
            <v>3</v>
          </cell>
          <cell r="J1316">
            <v>2</v>
          </cell>
          <cell r="K1316" t="str">
            <v>Sales Executive</v>
          </cell>
          <cell r="L1316">
            <v>3</v>
          </cell>
          <cell r="M1316" t="str">
            <v>Married</v>
          </cell>
          <cell r="N1316">
            <v>5154</v>
          </cell>
          <cell r="O1316">
            <v>4</v>
          </cell>
          <cell r="P1316" t="str">
            <v>No</v>
          </cell>
          <cell r="Q1316">
            <v>2</v>
          </cell>
          <cell r="R1316">
            <v>10</v>
          </cell>
          <cell r="S1316">
            <v>4</v>
          </cell>
          <cell r="T1316">
            <v>8</v>
          </cell>
          <cell r="U1316">
            <v>7</v>
          </cell>
          <cell r="V1316">
            <v>5</v>
          </cell>
          <cell r="W1316">
            <v>7</v>
          </cell>
          <cell r="X1316">
            <v>22</v>
          </cell>
          <cell r="Y1316">
            <v>0</v>
          </cell>
          <cell r="Z1316" t="str">
            <v>Senior</v>
          </cell>
          <cell r="AA1316" t="str">
            <v>Medium</v>
          </cell>
          <cell r="AB1316" t="str">
            <v>Long</v>
          </cell>
          <cell r="AC1316" t="str">
            <v>High</v>
          </cell>
          <cell r="AD1316">
            <v>1845</v>
          </cell>
        </row>
        <row r="1317">
          <cell r="A1317">
            <v>36</v>
          </cell>
          <cell r="B1317" t="str">
            <v>No</v>
          </cell>
          <cell r="C1317" t="str">
            <v>Research &amp; Development</v>
          </cell>
          <cell r="D1317">
            <v>2</v>
          </cell>
          <cell r="E1317">
            <v>4</v>
          </cell>
          <cell r="F1317" t="str">
            <v>Other</v>
          </cell>
          <cell r="G1317">
            <v>4</v>
          </cell>
          <cell r="H1317" t="str">
            <v>Female</v>
          </cell>
          <cell r="I1317">
            <v>3</v>
          </cell>
          <cell r="J1317">
            <v>2</v>
          </cell>
          <cell r="K1317" t="str">
            <v>Research Scientist</v>
          </cell>
          <cell r="L1317">
            <v>2</v>
          </cell>
          <cell r="M1317" t="str">
            <v>Married</v>
          </cell>
          <cell r="N1317">
            <v>6962</v>
          </cell>
          <cell r="O1317">
            <v>4</v>
          </cell>
          <cell r="P1317" t="str">
            <v>Yes</v>
          </cell>
          <cell r="Q1317">
            <v>4</v>
          </cell>
          <cell r="R1317">
            <v>15</v>
          </cell>
          <cell r="S1317">
            <v>3</v>
          </cell>
          <cell r="T1317">
            <v>1</v>
          </cell>
          <cell r="U1317">
            <v>0</v>
          </cell>
          <cell r="V1317">
            <v>0</v>
          </cell>
          <cell r="W1317">
            <v>0</v>
          </cell>
          <cell r="X1317">
            <v>22</v>
          </cell>
          <cell r="Y1317">
            <v>0</v>
          </cell>
          <cell r="Z1317" t="str">
            <v>Mid</v>
          </cell>
          <cell r="AA1317" t="str">
            <v>Medium</v>
          </cell>
          <cell r="AB1317" t="str">
            <v>Early</v>
          </cell>
          <cell r="AC1317" t="str">
            <v>High</v>
          </cell>
          <cell r="AD1317">
            <v>1847</v>
          </cell>
        </row>
        <row r="1318">
          <cell r="A1318">
            <v>43</v>
          </cell>
          <cell r="B1318" t="str">
            <v>No</v>
          </cell>
          <cell r="C1318" t="str">
            <v>Sales</v>
          </cell>
          <cell r="D1318">
            <v>2</v>
          </cell>
          <cell r="E1318">
            <v>4</v>
          </cell>
          <cell r="F1318" t="str">
            <v>Life Sciences</v>
          </cell>
          <cell r="G1318">
            <v>1</v>
          </cell>
          <cell r="H1318" t="str">
            <v>Male</v>
          </cell>
          <cell r="I1318">
            <v>3</v>
          </cell>
          <cell r="J1318">
            <v>2</v>
          </cell>
          <cell r="K1318" t="str">
            <v>Sales Executive</v>
          </cell>
          <cell r="L1318">
            <v>4</v>
          </cell>
          <cell r="M1318" t="str">
            <v>Married</v>
          </cell>
          <cell r="N1318">
            <v>5675</v>
          </cell>
          <cell r="O1318">
            <v>1</v>
          </cell>
          <cell r="P1318" t="str">
            <v>No</v>
          </cell>
          <cell r="Q1318">
            <v>3</v>
          </cell>
          <cell r="R1318">
            <v>7</v>
          </cell>
          <cell r="S1318">
            <v>3</v>
          </cell>
          <cell r="T1318">
            <v>7</v>
          </cell>
          <cell r="U1318">
            <v>7</v>
          </cell>
          <cell r="V1318">
            <v>7</v>
          </cell>
          <cell r="W1318">
            <v>7</v>
          </cell>
          <cell r="X1318">
            <v>20</v>
          </cell>
          <cell r="Y1318">
            <v>0</v>
          </cell>
          <cell r="Z1318" t="str">
            <v>Mid</v>
          </cell>
          <cell r="AA1318" t="str">
            <v>Medium</v>
          </cell>
          <cell r="AB1318" t="str">
            <v>Long</v>
          </cell>
          <cell r="AC1318" t="str">
            <v>High</v>
          </cell>
          <cell r="AD1318">
            <v>1849</v>
          </cell>
        </row>
        <row r="1319">
          <cell r="A1319">
            <v>27</v>
          </cell>
          <cell r="B1319" t="str">
            <v>No</v>
          </cell>
          <cell r="C1319" t="str">
            <v>Research &amp; Development</v>
          </cell>
          <cell r="D1319">
            <v>5</v>
          </cell>
          <cell r="E1319">
            <v>2</v>
          </cell>
          <cell r="F1319" t="str">
            <v>Life Sciences</v>
          </cell>
          <cell r="G1319">
            <v>4</v>
          </cell>
          <cell r="H1319" t="str">
            <v>Female</v>
          </cell>
          <cell r="I1319">
            <v>3</v>
          </cell>
          <cell r="J1319">
            <v>1</v>
          </cell>
          <cell r="K1319" t="str">
            <v>Laboratory Technician</v>
          </cell>
          <cell r="L1319">
            <v>4</v>
          </cell>
          <cell r="M1319" t="str">
            <v>Single</v>
          </cell>
          <cell r="N1319">
            <v>2379</v>
          </cell>
          <cell r="O1319">
            <v>0</v>
          </cell>
          <cell r="P1319" t="str">
            <v>Yes</v>
          </cell>
          <cell r="Q1319">
            <v>3</v>
          </cell>
          <cell r="R1319">
            <v>6</v>
          </cell>
          <cell r="S1319">
            <v>2</v>
          </cell>
          <cell r="T1319">
            <v>5</v>
          </cell>
          <cell r="U1319">
            <v>4</v>
          </cell>
          <cell r="V1319">
            <v>0</v>
          </cell>
          <cell r="W1319">
            <v>2</v>
          </cell>
          <cell r="X1319">
            <v>14</v>
          </cell>
          <cell r="Y1319">
            <v>0</v>
          </cell>
          <cell r="Z1319" t="str">
            <v>Young</v>
          </cell>
          <cell r="AA1319" t="str">
            <v>Low</v>
          </cell>
          <cell r="AB1319" t="str">
            <v>Mid</v>
          </cell>
          <cell r="AC1319" t="str">
            <v>Medium</v>
          </cell>
          <cell r="AD1319">
            <v>1850</v>
          </cell>
        </row>
        <row r="1320">
          <cell r="A1320">
            <v>29</v>
          </cell>
          <cell r="B1320" t="str">
            <v>No</v>
          </cell>
          <cell r="C1320" t="str">
            <v>Research &amp; Development</v>
          </cell>
          <cell r="D1320">
            <v>20</v>
          </cell>
          <cell r="E1320">
            <v>1</v>
          </cell>
          <cell r="F1320" t="str">
            <v>Medical</v>
          </cell>
          <cell r="G1320">
            <v>4</v>
          </cell>
          <cell r="H1320" t="str">
            <v>Male</v>
          </cell>
          <cell r="I1320">
            <v>3</v>
          </cell>
          <cell r="J1320">
            <v>1</v>
          </cell>
          <cell r="K1320" t="str">
            <v>Laboratory Technician</v>
          </cell>
          <cell r="L1320">
            <v>4</v>
          </cell>
          <cell r="M1320" t="str">
            <v>Married</v>
          </cell>
          <cell r="N1320">
            <v>3812</v>
          </cell>
          <cell r="O1320">
            <v>1</v>
          </cell>
          <cell r="P1320" t="str">
            <v>No</v>
          </cell>
          <cell r="Q1320">
            <v>2</v>
          </cell>
          <cell r="R1320">
            <v>11</v>
          </cell>
          <cell r="S1320">
            <v>4</v>
          </cell>
          <cell r="T1320">
            <v>11</v>
          </cell>
          <cell r="U1320">
            <v>8</v>
          </cell>
          <cell r="V1320">
            <v>3</v>
          </cell>
          <cell r="W1320">
            <v>10</v>
          </cell>
          <cell r="X1320">
            <v>13</v>
          </cell>
          <cell r="Y1320">
            <v>0</v>
          </cell>
          <cell r="Z1320" t="str">
            <v>Young</v>
          </cell>
          <cell r="AA1320" t="str">
            <v>Low</v>
          </cell>
          <cell r="AB1320" t="str">
            <v>Long</v>
          </cell>
          <cell r="AC1320" t="str">
            <v>Medium</v>
          </cell>
          <cell r="AD1320">
            <v>1852</v>
          </cell>
        </row>
        <row r="1321">
          <cell r="A1321">
            <v>32</v>
          </cell>
          <cell r="B1321" t="str">
            <v>No</v>
          </cell>
          <cell r="C1321" t="str">
            <v>Sales</v>
          </cell>
          <cell r="D1321">
            <v>10</v>
          </cell>
          <cell r="E1321">
            <v>4</v>
          </cell>
          <cell r="F1321" t="str">
            <v>Marketing</v>
          </cell>
          <cell r="G1321">
            <v>4</v>
          </cell>
          <cell r="H1321" t="str">
            <v>Male</v>
          </cell>
          <cell r="I1321">
            <v>3</v>
          </cell>
          <cell r="J1321">
            <v>2</v>
          </cell>
          <cell r="K1321" t="str">
            <v>Sales Executive</v>
          </cell>
          <cell r="L1321">
            <v>4</v>
          </cell>
          <cell r="M1321" t="str">
            <v>Single</v>
          </cell>
          <cell r="N1321">
            <v>4648</v>
          </cell>
          <cell r="O1321">
            <v>8</v>
          </cell>
          <cell r="P1321" t="str">
            <v>No</v>
          </cell>
          <cell r="Q1321">
            <v>3</v>
          </cell>
          <cell r="R1321">
            <v>4</v>
          </cell>
          <cell r="S1321">
            <v>4</v>
          </cell>
          <cell r="T1321">
            <v>0</v>
          </cell>
          <cell r="U1321">
            <v>0</v>
          </cell>
          <cell r="V1321">
            <v>0</v>
          </cell>
          <cell r="W1321">
            <v>0</v>
          </cell>
          <cell r="X1321">
            <v>13</v>
          </cell>
          <cell r="Y1321">
            <v>0</v>
          </cell>
          <cell r="Z1321" t="str">
            <v>Mid</v>
          </cell>
          <cell r="AA1321" t="str">
            <v>Low</v>
          </cell>
          <cell r="AB1321" t="str">
            <v>Early</v>
          </cell>
          <cell r="AC1321" t="str">
            <v>Medium</v>
          </cell>
          <cell r="AD1321">
            <v>1853</v>
          </cell>
        </row>
        <row r="1322">
          <cell r="A1322">
            <v>42</v>
          </cell>
          <cell r="B1322" t="str">
            <v>No</v>
          </cell>
          <cell r="C1322" t="str">
            <v>Research &amp; Development</v>
          </cell>
          <cell r="D1322">
            <v>10</v>
          </cell>
          <cell r="E1322">
            <v>4</v>
          </cell>
          <cell r="F1322" t="str">
            <v>Technical Degree</v>
          </cell>
          <cell r="G1322">
            <v>3</v>
          </cell>
          <cell r="H1322" t="str">
            <v>Male</v>
          </cell>
          <cell r="I1322">
            <v>3</v>
          </cell>
          <cell r="J1322">
            <v>1</v>
          </cell>
          <cell r="K1322" t="str">
            <v>Research Scientist</v>
          </cell>
          <cell r="L1322">
            <v>3</v>
          </cell>
          <cell r="M1322" t="str">
            <v>Married</v>
          </cell>
          <cell r="N1322">
            <v>2936</v>
          </cell>
          <cell r="O1322">
            <v>3</v>
          </cell>
          <cell r="P1322" t="str">
            <v>No</v>
          </cell>
          <cell r="Q1322">
            <v>2</v>
          </cell>
          <cell r="R1322">
            <v>10</v>
          </cell>
          <cell r="S1322">
            <v>2</v>
          </cell>
          <cell r="T1322">
            <v>6</v>
          </cell>
          <cell r="U1322">
            <v>3</v>
          </cell>
          <cell r="V1322">
            <v>3</v>
          </cell>
          <cell r="W1322">
            <v>3</v>
          </cell>
          <cell r="X1322">
            <v>22</v>
          </cell>
          <cell r="Y1322">
            <v>0</v>
          </cell>
          <cell r="Z1322" t="str">
            <v>Mid</v>
          </cell>
          <cell r="AA1322" t="str">
            <v>Low</v>
          </cell>
          <cell r="AB1322" t="str">
            <v>Mid</v>
          </cell>
          <cell r="AC1322" t="str">
            <v>High</v>
          </cell>
          <cell r="AD1322">
            <v>1854</v>
          </cell>
        </row>
        <row r="1323">
          <cell r="A1323">
            <v>47</v>
          </cell>
          <cell r="B1323" t="str">
            <v>No</v>
          </cell>
          <cell r="C1323" t="str">
            <v>Research &amp; Development</v>
          </cell>
          <cell r="D1323">
            <v>9</v>
          </cell>
          <cell r="E1323">
            <v>4</v>
          </cell>
          <cell r="F1323" t="str">
            <v>Life Sciences</v>
          </cell>
          <cell r="G1323">
            <v>2</v>
          </cell>
          <cell r="H1323" t="str">
            <v>Female</v>
          </cell>
          <cell r="I1323">
            <v>3</v>
          </cell>
          <cell r="J1323">
            <v>1</v>
          </cell>
          <cell r="K1323" t="str">
            <v>Laboratory Technician</v>
          </cell>
          <cell r="L1323">
            <v>3</v>
          </cell>
          <cell r="M1323" t="str">
            <v>Single</v>
          </cell>
          <cell r="N1323">
            <v>2105</v>
          </cell>
          <cell r="O1323">
            <v>4</v>
          </cell>
          <cell r="P1323" t="str">
            <v>No</v>
          </cell>
          <cell r="Q1323">
            <v>3</v>
          </cell>
          <cell r="R1323">
            <v>7</v>
          </cell>
          <cell r="S1323">
            <v>3</v>
          </cell>
          <cell r="T1323">
            <v>2</v>
          </cell>
          <cell r="U1323">
            <v>2</v>
          </cell>
          <cell r="V1323">
            <v>2</v>
          </cell>
          <cell r="W1323">
            <v>0</v>
          </cell>
          <cell r="X1323">
            <v>12</v>
          </cell>
          <cell r="Y1323">
            <v>0</v>
          </cell>
          <cell r="Z1323" t="str">
            <v>Senior</v>
          </cell>
          <cell r="AA1323" t="str">
            <v>Low</v>
          </cell>
          <cell r="AB1323" t="str">
            <v>Early</v>
          </cell>
          <cell r="AC1323" t="str">
            <v>Low</v>
          </cell>
          <cell r="AD1323">
            <v>1856</v>
          </cell>
        </row>
        <row r="1324">
          <cell r="A1324">
            <v>46</v>
          </cell>
          <cell r="B1324" t="str">
            <v>No</v>
          </cell>
          <cell r="C1324" t="str">
            <v>Research &amp; Development</v>
          </cell>
          <cell r="D1324">
            <v>2</v>
          </cell>
          <cell r="E1324">
            <v>2</v>
          </cell>
          <cell r="F1324" t="str">
            <v>Life Sciences</v>
          </cell>
          <cell r="G1324">
            <v>4</v>
          </cell>
          <cell r="H1324" t="str">
            <v>Male</v>
          </cell>
          <cell r="I1324">
            <v>3</v>
          </cell>
          <cell r="J1324">
            <v>3</v>
          </cell>
          <cell r="K1324" t="str">
            <v>Manufacturing Director</v>
          </cell>
          <cell r="L1324">
            <v>4</v>
          </cell>
          <cell r="M1324" t="str">
            <v>Divorced</v>
          </cell>
          <cell r="N1324">
            <v>8578</v>
          </cell>
          <cell r="O1324">
            <v>3</v>
          </cell>
          <cell r="P1324" t="str">
            <v>No</v>
          </cell>
          <cell r="Q1324">
            <v>3</v>
          </cell>
          <cell r="R1324">
            <v>12</v>
          </cell>
          <cell r="S1324">
            <v>2</v>
          </cell>
          <cell r="T1324">
            <v>9</v>
          </cell>
          <cell r="U1324">
            <v>8</v>
          </cell>
          <cell r="V1324">
            <v>4</v>
          </cell>
          <cell r="W1324">
            <v>7</v>
          </cell>
          <cell r="X1324">
            <v>14</v>
          </cell>
          <cell r="Y1324">
            <v>0</v>
          </cell>
          <cell r="Z1324" t="str">
            <v>Senior</v>
          </cell>
          <cell r="AA1324" t="str">
            <v>Medium</v>
          </cell>
          <cell r="AB1324" t="str">
            <v>Long</v>
          </cell>
          <cell r="AC1324" t="str">
            <v>Medium</v>
          </cell>
          <cell r="AD1324">
            <v>1857</v>
          </cell>
        </row>
        <row r="1325">
          <cell r="A1325">
            <v>28</v>
          </cell>
          <cell r="B1325" t="str">
            <v>No</v>
          </cell>
          <cell r="C1325" t="str">
            <v>Human Resources</v>
          </cell>
          <cell r="D1325">
            <v>1</v>
          </cell>
          <cell r="E1325">
            <v>2</v>
          </cell>
          <cell r="F1325" t="str">
            <v>Life Sciences</v>
          </cell>
          <cell r="G1325">
            <v>3</v>
          </cell>
          <cell r="H1325" t="str">
            <v>Male</v>
          </cell>
          <cell r="I1325">
            <v>3</v>
          </cell>
          <cell r="J1325">
            <v>1</v>
          </cell>
          <cell r="K1325" t="str">
            <v>Human Resources</v>
          </cell>
          <cell r="L1325">
            <v>4</v>
          </cell>
          <cell r="M1325" t="str">
            <v>Divorced</v>
          </cell>
          <cell r="N1325">
            <v>2706</v>
          </cell>
          <cell r="O1325">
            <v>1</v>
          </cell>
          <cell r="P1325" t="str">
            <v>No</v>
          </cell>
          <cell r="Q1325">
            <v>2</v>
          </cell>
          <cell r="R1325">
            <v>3</v>
          </cell>
          <cell r="S1325">
            <v>3</v>
          </cell>
          <cell r="T1325">
            <v>3</v>
          </cell>
          <cell r="U1325">
            <v>2</v>
          </cell>
          <cell r="V1325">
            <v>2</v>
          </cell>
          <cell r="W1325">
            <v>2</v>
          </cell>
          <cell r="X1325">
            <v>15</v>
          </cell>
          <cell r="Y1325">
            <v>0</v>
          </cell>
          <cell r="Z1325" t="str">
            <v>Young</v>
          </cell>
          <cell r="AA1325" t="str">
            <v>Low</v>
          </cell>
          <cell r="AB1325" t="str">
            <v>Mid</v>
          </cell>
          <cell r="AC1325" t="str">
            <v>Medium</v>
          </cell>
          <cell r="AD1325">
            <v>1858</v>
          </cell>
        </row>
        <row r="1326">
          <cell r="A1326">
            <v>29</v>
          </cell>
          <cell r="B1326" t="str">
            <v>No</v>
          </cell>
          <cell r="C1326" t="str">
            <v>Research &amp; Development</v>
          </cell>
          <cell r="D1326">
            <v>29</v>
          </cell>
          <cell r="E1326">
            <v>1</v>
          </cell>
          <cell r="F1326" t="str">
            <v>Life Sciences</v>
          </cell>
          <cell r="G1326">
            <v>4</v>
          </cell>
          <cell r="H1326" t="str">
            <v>Male</v>
          </cell>
          <cell r="I1326">
            <v>1</v>
          </cell>
          <cell r="J1326">
            <v>2</v>
          </cell>
          <cell r="K1326" t="str">
            <v>Healthcare Representative</v>
          </cell>
          <cell r="L1326">
            <v>3</v>
          </cell>
          <cell r="M1326" t="str">
            <v>Divorced</v>
          </cell>
          <cell r="N1326">
            <v>6384</v>
          </cell>
          <cell r="O1326">
            <v>8</v>
          </cell>
          <cell r="P1326" t="str">
            <v>No</v>
          </cell>
          <cell r="Q1326">
            <v>4</v>
          </cell>
          <cell r="R1326">
            <v>11</v>
          </cell>
          <cell r="S1326">
            <v>3</v>
          </cell>
          <cell r="T1326">
            <v>7</v>
          </cell>
          <cell r="U1326">
            <v>0</v>
          </cell>
          <cell r="V1326">
            <v>1</v>
          </cell>
          <cell r="W1326">
            <v>6</v>
          </cell>
          <cell r="X1326">
            <v>17</v>
          </cell>
          <cell r="Y1326">
            <v>0</v>
          </cell>
          <cell r="Z1326" t="str">
            <v>Young</v>
          </cell>
          <cell r="AA1326" t="str">
            <v>Medium</v>
          </cell>
          <cell r="AB1326" t="str">
            <v>Long</v>
          </cell>
          <cell r="AC1326" t="str">
            <v>Medium</v>
          </cell>
          <cell r="AD1326">
            <v>1859</v>
          </cell>
        </row>
        <row r="1327">
          <cell r="A1327">
            <v>42</v>
          </cell>
          <cell r="B1327" t="str">
            <v>No</v>
          </cell>
          <cell r="C1327" t="str">
            <v>Research &amp; Development</v>
          </cell>
          <cell r="D1327">
            <v>8</v>
          </cell>
          <cell r="E1327">
            <v>3</v>
          </cell>
          <cell r="F1327" t="str">
            <v>Life Sciences</v>
          </cell>
          <cell r="G1327">
            <v>4</v>
          </cell>
          <cell r="H1327" t="str">
            <v>Male</v>
          </cell>
          <cell r="I1327">
            <v>3</v>
          </cell>
          <cell r="J1327">
            <v>1</v>
          </cell>
          <cell r="K1327" t="str">
            <v>Laboratory Technician</v>
          </cell>
          <cell r="L1327">
            <v>3</v>
          </cell>
          <cell r="M1327" t="str">
            <v>Single</v>
          </cell>
          <cell r="N1327">
            <v>3968</v>
          </cell>
          <cell r="O1327">
            <v>4</v>
          </cell>
          <cell r="P1327" t="str">
            <v>No</v>
          </cell>
          <cell r="Q1327">
            <v>4</v>
          </cell>
          <cell r="R1327">
            <v>8</v>
          </cell>
          <cell r="S1327">
            <v>3</v>
          </cell>
          <cell r="T1327">
            <v>0</v>
          </cell>
          <cell r="U1327">
            <v>0</v>
          </cell>
          <cell r="V1327">
            <v>0</v>
          </cell>
          <cell r="W1327">
            <v>0</v>
          </cell>
          <cell r="X1327">
            <v>13</v>
          </cell>
          <cell r="Y1327">
            <v>0</v>
          </cell>
          <cell r="Z1327" t="str">
            <v>Mid</v>
          </cell>
          <cell r="AA1327" t="str">
            <v>Low</v>
          </cell>
          <cell r="AB1327" t="str">
            <v>Early</v>
          </cell>
          <cell r="AC1327" t="str">
            <v>Medium</v>
          </cell>
          <cell r="AD1327">
            <v>1860</v>
          </cell>
        </row>
        <row r="1328">
          <cell r="A1328">
            <v>32</v>
          </cell>
          <cell r="B1328" t="str">
            <v>Yes</v>
          </cell>
          <cell r="C1328" t="str">
            <v>Sales</v>
          </cell>
          <cell r="D1328">
            <v>2</v>
          </cell>
          <cell r="E1328">
            <v>4</v>
          </cell>
          <cell r="F1328" t="str">
            <v>Marketing</v>
          </cell>
          <cell r="G1328">
            <v>3</v>
          </cell>
          <cell r="H1328" t="str">
            <v>Male</v>
          </cell>
          <cell r="I1328">
            <v>2</v>
          </cell>
          <cell r="J1328">
            <v>2</v>
          </cell>
          <cell r="K1328" t="str">
            <v>Sales Executive</v>
          </cell>
          <cell r="L1328">
            <v>2</v>
          </cell>
          <cell r="M1328" t="str">
            <v>Single</v>
          </cell>
          <cell r="N1328">
            <v>9907</v>
          </cell>
          <cell r="O1328">
            <v>7</v>
          </cell>
          <cell r="P1328" t="str">
            <v>Yes</v>
          </cell>
          <cell r="Q1328">
            <v>3</v>
          </cell>
          <cell r="R1328">
            <v>7</v>
          </cell>
          <cell r="S1328">
            <v>2</v>
          </cell>
          <cell r="T1328">
            <v>2</v>
          </cell>
          <cell r="U1328">
            <v>2</v>
          </cell>
          <cell r="V1328">
            <v>2</v>
          </cell>
          <cell r="W1328">
            <v>2</v>
          </cell>
          <cell r="X1328">
            <v>12</v>
          </cell>
          <cell r="Y1328">
            <v>1</v>
          </cell>
          <cell r="Z1328" t="str">
            <v>Mid</v>
          </cell>
          <cell r="AA1328" t="str">
            <v>Medium</v>
          </cell>
          <cell r="AB1328" t="str">
            <v>Early</v>
          </cell>
          <cell r="AC1328" t="str">
            <v>Low</v>
          </cell>
          <cell r="AD1328">
            <v>1862</v>
          </cell>
        </row>
        <row r="1329">
          <cell r="A1329">
            <v>46</v>
          </cell>
          <cell r="B1329" t="str">
            <v>No</v>
          </cell>
          <cell r="C1329" t="str">
            <v>Sales</v>
          </cell>
          <cell r="D1329">
            <v>3</v>
          </cell>
          <cell r="E1329">
            <v>3</v>
          </cell>
          <cell r="F1329" t="str">
            <v>Technical Degree</v>
          </cell>
          <cell r="G1329">
            <v>1</v>
          </cell>
          <cell r="H1329" t="str">
            <v>Female</v>
          </cell>
          <cell r="I1329">
            <v>4</v>
          </cell>
          <cell r="J1329">
            <v>4</v>
          </cell>
          <cell r="K1329" t="str">
            <v>Sales Executive</v>
          </cell>
          <cell r="L1329">
            <v>1</v>
          </cell>
          <cell r="M1329" t="str">
            <v>Divorced</v>
          </cell>
          <cell r="N1329">
            <v>13225</v>
          </cell>
          <cell r="O1329">
            <v>2</v>
          </cell>
          <cell r="P1329" t="str">
            <v>No</v>
          </cell>
          <cell r="Q1329">
            <v>4</v>
          </cell>
          <cell r="R1329">
            <v>25</v>
          </cell>
          <cell r="S1329">
            <v>3</v>
          </cell>
          <cell r="T1329">
            <v>19</v>
          </cell>
          <cell r="U1329">
            <v>17</v>
          </cell>
          <cell r="V1329">
            <v>2</v>
          </cell>
          <cell r="W1329">
            <v>8</v>
          </cell>
          <cell r="X1329">
            <v>12</v>
          </cell>
          <cell r="Y1329">
            <v>0</v>
          </cell>
          <cell r="Z1329" t="str">
            <v>Senior</v>
          </cell>
          <cell r="AA1329" t="str">
            <v>High</v>
          </cell>
          <cell r="AB1329" t="str">
            <v>Long</v>
          </cell>
          <cell r="AC1329" t="str">
            <v>Low</v>
          </cell>
          <cell r="AD1329">
            <v>1863</v>
          </cell>
        </row>
        <row r="1330">
          <cell r="A1330">
            <v>27</v>
          </cell>
          <cell r="B1330" t="str">
            <v>No</v>
          </cell>
          <cell r="C1330" t="str">
            <v>Sales</v>
          </cell>
          <cell r="D1330">
            <v>23</v>
          </cell>
          <cell r="E1330">
            <v>1</v>
          </cell>
          <cell r="F1330" t="str">
            <v>Medical</v>
          </cell>
          <cell r="G1330">
            <v>2</v>
          </cell>
          <cell r="H1330" t="str">
            <v>Female</v>
          </cell>
          <cell r="I1330">
            <v>2</v>
          </cell>
          <cell r="J1330">
            <v>2</v>
          </cell>
          <cell r="K1330" t="str">
            <v>Sales Representative</v>
          </cell>
          <cell r="L1330">
            <v>3</v>
          </cell>
          <cell r="M1330" t="str">
            <v>Married</v>
          </cell>
          <cell r="N1330">
            <v>3540</v>
          </cell>
          <cell r="O1330">
            <v>1</v>
          </cell>
          <cell r="P1330" t="str">
            <v>No</v>
          </cell>
          <cell r="Q1330">
            <v>4</v>
          </cell>
          <cell r="R1330">
            <v>9</v>
          </cell>
          <cell r="S1330">
            <v>3</v>
          </cell>
          <cell r="T1330">
            <v>9</v>
          </cell>
          <cell r="U1330">
            <v>8</v>
          </cell>
          <cell r="V1330">
            <v>5</v>
          </cell>
          <cell r="W1330">
            <v>8</v>
          </cell>
          <cell r="X1330">
            <v>21</v>
          </cell>
          <cell r="Y1330">
            <v>0</v>
          </cell>
          <cell r="Z1330" t="str">
            <v>Young</v>
          </cell>
          <cell r="AA1330" t="str">
            <v>Low</v>
          </cell>
          <cell r="AB1330" t="str">
            <v>Long</v>
          </cell>
          <cell r="AC1330" t="str">
            <v>High</v>
          </cell>
          <cell r="AD1330">
            <v>1864</v>
          </cell>
        </row>
        <row r="1331">
          <cell r="A1331">
            <v>29</v>
          </cell>
          <cell r="B1331" t="str">
            <v>No</v>
          </cell>
          <cell r="C1331" t="str">
            <v>Human Resources</v>
          </cell>
          <cell r="D1331">
            <v>6</v>
          </cell>
          <cell r="E1331">
            <v>1</v>
          </cell>
          <cell r="F1331" t="str">
            <v>Medical</v>
          </cell>
          <cell r="G1331">
            <v>4</v>
          </cell>
          <cell r="H1331" t="str">
            <v>Male</v>
          </cell>
          <cell r="I1331">
            <v>2</v>
          </cell>
          <cell r="J1331">
            <v>1</v>
          </cell>
          <cell r="K1331" t="str">
            <v>Human Resources</v>
          </cell>
          <cell r="L1331">
            <v>2</v>
          </cell>
          <cell r="M1331" t="str">
            <v>Married</v>
          </cell>
          <cell r="N1331">
            <v>2804</v>
          </cell>
          <cell r="O1331">
            <v>1</v>
          </cell>
          <cell r="P1331" t="str">
            <v>No</v>
          </cell>
          <cell r="Q1331">
            <v>4</v>
          </cell>
          <cell r="R1331">
            <v>1</v>
          </cell>
          <cell r="S1331">
            <v>3</v>
          </cell>
          <cell r="T1331">
            <v>1</v>
          </cell>
          <cell r="U1331">
            <v>0</v>
          </cell>
          <cell r="V1331">
            <v>0</v>
          </cell>
          <cell r="W1331">
            <v>0</v>
          </cell>
          <cell r="X1331">
            <v>11</v>
          </cell>
          <cell r="Y1331">
            <v>0</v>
          </cell>
          <cell r="Z1331" t="str">
            <v>Young</v>
          </cell>
          <cell r="AA1331" t="str">
            <v>Low</v>
          </cell>
          <cell r="AB1331" t="str">
            <v>Early</v>
          </cell>
          <cell r="AC1331" t="str">
            <v>Low</v>
          </cell>
          <cell r="AD1331">
            <v>1865</v>
          </cell>
        </row>
        <row r="1332">
          <cell r="A1332">
            <v>43</v>
          </cell>
          <cell r="B1332" t="str">
            <v>No</v>
          </cell>
          <cell r="C1332" t="str">
            <v>Research &amp; Development</v>
          </cell>
          <cell r="D1332">
            <v>6</v>
          </cell>
          <cell r="E1332">
            <v>3</v>
          </cell>
          <cell r="F1332" t="str">
            <v>Medical</v>
          </cell>
          <cell r="G1332">
            <v>1</v>
          </cell>
          <cell r="H1332" t="str">
            <v>Female</v>
          </cell>
          <cell r="I1332">
            <v>2</v>
          </cell>
          <cell r="J1332">
            <v>5</v>
          </cell>
          <cell r="K1332" t="str">
            <v>Manager</v>
          </cell>
          <cell r="L1332">
            <v>3</v>
          </cell>
          <cell r="M1332" t="str">
            <v>Married</v>
          </cell>
          <cell r="N1332">
            <v>19392</v>
          </cell>
          <cell r="O1332">
            <v>7</v>
          </cell>
          <cell r="P1332" t="str">
            <v>No</v>
          </cell>
          <cell r="Q1332">
            <v>4</v>
          </cell>
          <cell r="R1332">
            <v>21</v>
          </cell>
          <cell r="S1332">
            <v>3</v>
          </cell>
          <cell r="T1332">
            <v>16</v>
          </cell>
          <cell r="U1332">
            <v>12</v>
          </cell>
          <cell r="V1332">
            <v>6</v>
          </cell>
          <cell r="W1332">
            <v>14</v>
          </cell>
          <cell r="X1332">
            <v>13</v>
          </cell>
          <cell r="Y1332">
            <v>0</v>
          </cell>
          <cell r="Z1332" t="str">
            <v>Mid</v>
          </cell>
          <cell r="AA1332" t="str">
            <v>High</v>
          </cell>
          <cell r="AB1332" t="str">
            <v>Long</v>
          </cell>
          <cell r="AC1332" t="str">
            <v>Medium</v>
          </cell>
          <cell r="AD1332">
            <v>1866</v>
          </cell>
        </row>
        <row r="1333">
          <cell r="A1333">
            <v>48</v>
          </cell>
          <cell r="B1333" t="str">
            <v>No</v>
          </cell>
          <cell r="C1333" t="str">
            <v>Research &amp; Development</v>
          </cell>
          <cell r="D1333">
            <v>10</v>
          </cell>
          <cell r="E1333">
            <v>3</v>
          </cell>
          <cell r="F1333" t="str">
            <v>Life Sciences</v>
          </cell>
          <cell r="G1333">
            <v>4</v>
          </cell>
          <cell r="H1333" t="str">
            <v>Male</v>
          </cell>
          <cell r="I1333">
            <v>2</v>
          </cell>
          <cell r="J1333">
            <v>5</v>
          </cell>
          <cell r="K1333" t="str">
            <v>Research Director</v>
          </cell>
          <cell r="L1333">
            <v>2</v>
          </cell>
          <cell r="M1333" t="str">
            <v>Married</v>
          </cell>
          <cell r="N1333">
            <v>19665</v>
          </cell>
          <cell r="O1333">
            <v>4</v>
          </cell>
          <cell r="P1333" t="str">
            <v>No</v>
          </cell>
          <cell r="Q1333">
            <v>4</v>
          </cell>
          <cell r="R1333">
            <v>29</v>
          </cell>
          <cell r="S1333">
            <v>3</v>
          </cell>
          <cell r="T1333">
            <v>22</v>
          </cell>
          <cell r="U1333">
            <v>10</v>
          </cell>
          <cell r="V1333">
            <v>12</v>
          </cell>
          <cell r="W1333">
            <v>9</v>
          </cell>
          <cell r="X1333">
            <v>12</v>
          </cell>
          <cell r="Y1333">
            <v>0</v>
          </cell>
          <cell r="Z1333" t="str">
            <v>Senior</v>
          </cell>
          <cell r="AA1333" t="str">
            <v>High</v>
          </cell>
          <cell r="AB1333" t="str">
            <v>Long</v>
          </cell>
          <cell r="AC1333" t="str">
            <v>Low</v>
          </cell>
          <cell r="AD1333">
            <v>1867</v>
          </cell>
        </row>
        <row r="1334">
          <cell r="A1334">
            <v>29</v>
          </cell>
          <cell r="B1334" t="str">
            <v>Yes</v>
          </cell>
          <cell r="C1334" t="str">
            <v>Research &amp; Development</v>
          </cell>
          <cell r="D1334">
            <v>24</v>
          </cell>
          <cell r="E1334">
            <v>2</v>
          </cell>
          <cell r="F1334" t="str">
            <v>Life Sciences</v>
          </cell>
          <cell r="G1334">
            <v>4</v>
          </cell>
          <cell r="H1334" t="str">
            <v>Male</v>
          </cell>
          <cell r="I1334">
            <v>2</v>
          </cell>
          <cell r="J1334">
            <v>1</v>
          </cell>
          <cell r="K1334" t="str">
            <v>Research Scientist</v>
          </cell>
          <cell r="L1334">
            <v>4</v>
          </cell>
          <cell r="M1334" t="str">
            <v>Single</v>
          </cell>
          <cell r="N1334">
            <v>2439</v>
          </cell>
          <cell r="O1334">
            <v>1</v>
          </cell>
          <cell r="P1334" t="str">
            <v>Yes</v>
          </cell>
          <cell r="Q1334">
            <v>2</v>
          </cell>
          <cell r="R1334">
            <v>1</v>
          </cell>
          <cell r="S1334">
            <v>2</v>
          </cell>
          <cell r="T1334">
            <v>1</v>
          </cell>
          <cell r="U1334">
            <v>0</v>
          </cell>
          <cell r="V1334">
            <v>1</v>
          </cell>
          <cell r="W1334">
            <v>0</v>
          </cell>
          <cell r="X1334">
            <v>24</v>
          </cell>
          <cell r="Y1334">
            <v>1</v>
          </cell>
          <cell r="Z1334" t="str">
            <v>Young</v>
          </cell>
          <cell r="AA1334" t="str">
            <v>Low</v>
          </cell>
          <cell r="AB1334" t="str">
            <v>Early</v>
          </cell>
          <cell r="AC1334" t="str">
            <v>High</v>
          </cell>
          <cell r="AD1334">
            <v>1868</v>
          </cell>
        </row>
        <row r="1335">
          <cell r="A1335">
            <v>46</v>
          </cell>
          <cell r="B1335" t="str">
            <v>Yes</v>
          </cell>
          <cell r="C1335" t="str">
            <v>Sales</v>
          </cell>
          <cell r="D1335">
            <v>10</v>
          </cell>
          <cell r="E1335">
            <v>3</v>
          </cell>
          <cell r="F1335" t="str">
            <v>Life Sciences</v>
          </cell>
          <cell r="G1335">
            <v>3</v>
          </cell>
          <cell r="H1335" t="str">
            <v>Female</v>
          </cell>
          <cell r="I1335">
            <v>3</v>
          </cell>
          <cell r="J1335">
            <v>3</v>
          </cell>
          <cell r="K1335" t="str">
            <v>Sales Executive</v>
          </cell>
          <cell r="L1335">
            <v>2</v>
          </cell>
          <cell r="M1335" t="str">
            <v>Married</v>
          </cell>
          <cell r="N1335">
            <v>7314</v>
          </cell>
          <cell r="O1335">
            <v>5</v>
          </cell>
          <cell r="P1335" t="str">
            <v>No</v>
          </cell>
          <cell r="Q1335">
            <v>3</v>
          </cell>
          <cell r="R1335">
            <v>14</v>
          </cell>
          <cell r="S1335">
            <v>3</v>
          </cell>
          <cell r="T1335">
            <v>8</v>
          </cell>
          <cell r="U1335">
            <v>7</v>
          </cell>
          <cell r="V1335">
            <v>0</v>
          </cell>
          <cell r="W1335">
            <v>7</v>
          </cell>
          <cell r="X1335">
            <v>21</v>
          </cell>
          <cell r="Y1335">
            <v>1</v>
          </cell>
          <cell r="Z1335" t="str">
            <v>Senior</v>
          </cell>
          <cell r="AA1335" t="str">
            <v>Medium</v>
          </cell>
          <cell r="AB1335" t="str">
            <v>Long</v>
          </cell>
          <cell r="AC1335" t="str">
            <v>High</v>
          </cell>
          <cell r="AD1335">
            <v>1869</v>
          </cell>
        </row>
        <row r="1336">
          <cell r="A1336">
            <v>27</v>
          </cell>
          <cell r="B1336" t="str">
            <v>No</v>
          </cell>
          <cell r="C1336" t="str">
            <v>Research &amp; Development</v>
          </cell>
          <cell r="D1336">
            <v>15</v>
          </cell>
          <cell r="E1336">
            <v>3</v>
          </cell>
          <cell r="F1336" t="str">
            <v>Life Sciences</v>
          </cell>
          <cell r="G1336">
            <v>4</v>
          </cell>
          <cell r="H1336" t="str">
            <v>Female</v>
          </cell>
          <cell r="I1336">
            <v>2</v>
          </cell>
          <cell r="J1336">
            <v>1</v>
          </cell>
          <cell r="K1336" t="str">
            <v>Research Scientist</v>
          </cell>
          <cell r="L1336">
            <v>1</v>
          </cell>
          <cell r="M1336" t="str">
            <v>Married</v>
          </cell>
          <cell r="N1336">
            <v>4774</v>
          </cell>
          <cell r="O1336">
            <v>0</v>
          </cell>
          <cell r="P1336" t="str">
            <v>No</v>
          </cell>
          <cell r="Q1336">
            <v>4</v>
          </cell>
          <cell r="R1336">
            <v>8</v>
          </cell>
          <cell r="S1336">
            <v>2</v>
          </cell>
          <cell r="T1336">
            <v>7</v>
          </cell>
          <cell r="U1336">
            <v>6</v>
          </cell>
          <cell r="V1336">
            <v>7</v>
          </cell>
          <cell r="W1336">
            <v>3</v>
          </cell>
          <cell r="X1336">
            <v>19</v>
          </cell>
          <cell r="Y1336">
            <v>0</v>
          </cell>
          <cell r="Z1336" t="str">
            <v>Young</v>
          </cell>
          <cell r="AA1336" t="str">
            <v>Low</v>
          </cell>
          <cell r="AB1336" t="str">
            <v>Long</v>
          </cell>
          <cell r="AC1336" t="str">
            <v>High</v>
          </cell>
          <cell r="AD1336">
            <v>1870</v>
          </cell>
        </row>
        <row r="1337">
          <cell r="A1337">
            <v>39</v>
          </cell>
          <cell r="B1337" t="str">
            <v>No</v>
          </cell>
          <cell r="C1337" t="str">
            <v>Research &amp; Development</v>
          </cell>
          <cell r="D1337">
            <v>19</v>
          </cell>
          <cell r="E1337">
            <v>4</v>
          </cell>
          <cell r="F1337" t="str">
            <v>Other</v>
          </cell>
          <cell r="G1337">
            <v>4</v>
          </cell>
          <cell r="H1337" t="str">
            <v>Male</v>
          </cell>
          <cell r="I1337">
            <v>3</v>
          </cell>
          <cell r="J1337">
            <v>2</v>
          </cell>
          <cell r="K1337" t="str">
            <v>Research Scientist</v>
          </cell>
          <cell r="L1337">
            <v>4</v>
          </cell>
          <cell r="M1337" t="str">
            <v>Divorced</v>
          </cell>
          <cell r="N1337">
            <v>3902</v>
          </cell>
          <cell r="O1337">
            <v>8</v>
          </cell>
          <cell r="P1337" t="str">
            <v>No</v>
          </cell>
          <cell r="Q1337">
            <v>2</v>
          </cell>
          <cell r="R1337">
            <v>7</v>
          </cell>
          <cell r="S1337">
            <v>3</v>
          </cell>
          <cell r="T1337">
            <v>2</v>
          </cell>
          <cell r="U1337">
            <v>2</v>
          </cell>
          <cell r="V1337">
            <v>2</v>
          </cell>
          <cell r="W1337">
            <v>2</v>
          </cell>
          <cell r="X1337">
            <v>14</v>
          </cell>
          <cell r="Y1337">
            <v>0</v>
          </cell>
          <cell r="Z1337" t="str">
            <v>Mid</v>
          </cell>
          <cell r="AA1337" t="str">
            <v>Low</v>
          </cell>
          <cell r="AB1337" t="str">
            <v>Early</v>
          </cell>
          <cell r="AC1337" t="str">
            <v>Medium</v>
          </cell>
          <cell r="AD1337">
            <v>1871</v>
          </cell>
        </row>
        <row r="1338">
          <cell r="A1338">
            <v>55</v>
          </cell>
          <cell r="B1338" t="str">
            <v>No</v>
          </cell>
          <cell r="C1338" t="str">
            <v>Research &amp; Development</v>
          </cell>
          <cell r="D1338">
            <v>2</v>
          </cell>
          <cell r="E1338">
            <v>4</v>
          </cell>
          <cell r="F1338" t="str">
            <v>Technical Degree</v>
          </cell>
          <cell r="G1338">
            <v>2</v>
          </cell>
          <cell r="H1338" t="str">
            <v>Male</v>
          </cell>
          <cell r="I1338">
            <v>2</v>
          </cell>
          <cell r="J1338">
            <v>1</v>
          </cell>
          <cell r="K1338" t="str">
            <v>Research Scientist</v>
          </cell>
          <cell r="L1338">
            <v>4</v>
          </cell>
          <cell r="M1338" t="str">
            <v>Married</v>
          </cell>
          <cell r="N1338">
            <v>2662</v>
          </cell>
          <cell r="O1338">
            <v>8</v>
          </cell>
          <cell r="P1338" t="str">
            <v>No</v>
          </cell>
          <cell r="Q1338">
            <v>2</v>
          </cell>
          <cell r="R1338">
            <v>19</v>
          </cell>
          <cell r="S1338">
            <v>4</v>
          </cell>
          <cell r="T1338">
            <v>5</v>
          </cell>
          <cell r="U1338">
            <v>2</v>
          </cell>
          <cell r="V1338">
            <v>0</v>
          </cell>
          <cell r="W1338">
            <v>4</v>
          </cell>
          <cell r="X1338">
            <v>20</v>
          </cell>
          <cell r="Y1338">
            <v>0</v>
          </cell>
          <cell r="Z1338" t="str">
            <v>Senior</v>
          </cell>
          <cell r="AA1338" t="str">
            <v>Low</v>
          </cell>
          <cell r="AB1338" t="str">
            <v>Mid</v>
          </cell>
          <cell r="AC1338" t="str">
            <v>High</v>
          </cell>
          <cell r="AD1338">
            <v>1873</v>
          </cell>
        </row>
        <row r="1339">
          <cell r="A1339">
            <v>28</v>
          </cell>
          <cell r="B1339" t="str">
            <v>No</v>
          </cell>
          <cell r="C1339" t="str">
            <v>Sales</v>
          </cell>
          <cell r="D1339">
            <v>3</v>
          </cell>
          <cell r="E1339">
            <v>3</v>
          </cell>
          <cell r="F1339" t="str">
            <v>Medical</v>
          </cell>
          <cell r="G1339">
            <v>2</v>
          </cell>
          <cell r="H1339" t="str">
            <v>Female</v>
          </cell>
          <cell r="I1339">
            <v>3</v>
          </cell>
          <cell r="J1339">
            <v>1</v>
          </cell>
          <cell r="K1339" t="str">
            <v>Sales Representative</v>
          </cell>
          <cell r="L1339">
            <v>2</v>
          </cell>
          <cell r="M1339" t="str">
            <v>Married</v>
          </cell>
          <cell r="N1339">
            <v>2856</v>
          </cell>
          <cell r="O1339">
            <v>1</v>
          </cell>
          <cell r="P1339" t="str">
            <v>No</v>
          </cell>
          <cell r="Q1339">
            <v>4</v>
          </cell>
          <cell r="R1339">
            <v>1</v>
          </cell>
          <cell r="S1339">
            <v>3</v>
          </cell>
          <cell r="T1339">
            <v>1</v>
          </cell>
          <cell r="U1339">
            <v>0</v>
          </cell>
          <cell r="V1339">
            <v>0</v>
          </cell>
          <cell r="W1339">
            <v>0</v>
          </cell>
          <cell r="X1339">
            <v>19</v>
          </cell>
          <cell r="Y1339">
            <v>0</v>
          </cell>
          <cell r="Z1339" t="str">
            <v>Young</v>
          </cell>
          <cell r="AA1339" t="str">
            <v>Low</v>
          </cell>
          <cell r="AB1339" t="str">
            <v>Early</v>
          </cell>
          <cell r="AC1339" t="str">
            <v>High</v>
          </cell>
          <cell r="AD1339">
            <v>1875</v>
          </cell>
        </row>
        <row r="1340">
          <cell r="A1340">
            <v>30</v>
          </cell>
          <cell r="B1340" t="str">
            <v>Yes</v>
          </cell>
          <cell r="C1340" t="str">
            <v>Sales</v>
          </cell>
          <cell r="D1340">
            <v>9</v>
          </cell>
          <cell r="E1340">
            <v>3</v>
          </cell>
          <cell r="F1340" t="str">
            <v>Medical</v>
          </cell>
          <cell r="G1340">
            <v>2</v>
          </cell>
          <cell r="H1340" t="str">
            <v>Male</v>
          </cell>
          <cell r="I1340">
            <v>3</v>
          </cell>
          <cell r="J1340">
            <v>1</v>
          </cell>
          <cell r="K1340" t="str">
            <v>Sales Representative</v>
          </cell>
          <cell r="L1340">
            <v>4</v>
          </cell>
          <cell r="M1340" t="str">
            <v>Single</v>
          </cell>
          <cell r="N1340">
            <v>1081</v>
          </cell>
          <cell r="O1340">
            <v>1</v>
          </cell>
          <cell r="P1340" t="str">
            <v>No</v>
          </cell>
          <cell r="Q1340">
            <v>3</v>
          </cell>
          <cell r="R1340">
            <v>1</v>
          </cell>
          <cell r="S1340">
            <v>2</v>
          </cell>
          <cell r="T1340">
            <v>1</v>
          </cell>
          <cell r="U1340">
            <v>0</v>
          </cell>
          <cell r="V1340">
            <v>0</v>
          </cell>
          <cell r="W1340">
            <v>0</v>
          </cell>
          <cell r="X1340">
            <v>13</v>
          </cell>
          <cell r="Y1340">
            <v>1</v>
          </cell>
          <cell r="Z1340" t="str">
            <v>Mid</v>
          </cell>
          <cell r="AA1340" t="str">
            <v>Low</v>
          </cell>
          <cell r="AB1340" t="str">
            <v>Early</v>
          </cell>
          <cell r="AC1340" t="str">
            <v>Medium</v>
          </cell>
          <cell r="AD1340">
            <v>1876</v>
          </cell>
        </row>
        <row r="1341">
          <cell r="A1341">
            <v>22</v>
          </cell>
          <cell r="B1341" t="str">
            <v>Yes</v>
          </cell>
          <cell r="C1341" t="str">
            <v>Research &amp; Development</v>
          </cell>
          <cell r="D1341">
            <v>7</v>
          </cell>
          <cell r="E1341">
            <v>1</v>
          </cell>
          <cell r="F1341" t="str">
            <v>Life Sciences</v>
          </cell>
          <cell r="G1341">
            <v>4</v>
          </cell>
          <cell r="H1341" t="str">
            <v>Male</v>
          </cell>
          <cell r="I1341">
            <v>3</v>
          </cell>
          <cell r="J1341">
            <v>1</v>
          </cell>
          <cell r="K1341" t="str">
            <v>Research Scientist</v>
          </cell>
          <cell r="L1341">
            <v>2</v>
          </cell>
          <cell r="M1341" t="str">
            <v>Single</v>
          </cell>
          <cell r="N1341">
            <v>2472</v>
          </cell>
          <cell r="O1341">
            <v>1</v>
          </cell>
          <cell r="P1341" t="str">
            <v>Yes</v>
          </cell>
          <cell r="Q1341">
            <v>1</v>
          </cell>
          <cell r="R1341">
            <v>1</v>
          </cell>
          <cell r="S1341">
            <v>3</v>
          </cell>
          <cell r="T1341">
            <v>1</v>
          </cell>
          <cell r="U1341">
            <v>0</v>
          </cell>
          <cell r="V1341">
            <v>0</v>
          </cell>
          <cell r="W1341">
            <v>0</v>
          </cell>
          <cell r="X1341">
            <v>23</v>
          </cell>
          <cell r="Y1341">
            <v>1</v>
          </cell>
          <cell r="Z1341" t="str">
            <v>Young</v>
          </cell>
          <cell r="AA1341" t="str">
            <v>Low</v>
          </cell>
          <cell r="AB1341" t="str">
            <v>Early</v>
          </cell>
          <cell r="AC1341" t="str">
            <v>High</v>
          </cell>
          <cell r="AD1341">
            <v>1878</v>
          </cell>
        </row>
        <row r="1342">
          <cell r="A1342">
            <v>36</v>
          </cell>
          <cell r="B1342" t="str">
            <v>No</v>
          </cell>
          <cell r="C1342" t="str">
            <v>Sales</v>
          </cell>
          <cell r="D1342">
            <v>10</v>
          </cell>
          <cell r="E1342">
            <v>4</v>
          </cell>
          <cell r="F1342" t="str">
            <v>Technical Degree</v>
          </cell>
          <cell r="G1342">
            <v>2</v>
          </cell>
          <cell r="H1342" t="str">
            <v>Female</v>
          </cell>
          <cell r="I1342">
            <v>2</v>
          </cell>
          <cell r="J1342">
            <v>2</v>
          </cell>
          <cell r="K1342" t="str">
            <v>Sales Executive</v>
          </cell>
          <cell r="L1342">
            <v>3</v>
          </cell>
          <cell r="M1342" t="str">
            <v>Married</v>
          </cell>
          <cell r="N1342">
            <v>5673</v>
          </cell>
          <cell r="O1342">
            <v>1</v>
          </cell>
          <cell r="P1342" t="str">
            <v>Yes</v>
          </cell>
          <cell r="Q1342">
            <v>1</v>
          </cell>
          <cell r="R1342">
            <v>10</v>
          </cell>
          <cell r="S1342">
            <v>3</v>
          </cell>
          <cell r="T1342">
            <v>10</v>
          </cell>
          <cell r="U1342">
            <v>9</v>
          </cell>
          <cell r="V1342">
            <v>1</v>
          </cell>
          <cell r="W1342">
            <v>7</v>
          </cell>
          <cell r="X1342">
            <v>13</v>
          </cell>
          <cell r="Y1342">
            <v>0</v>
          </cell>
          <cell r="Z1342" t="str">
            <v>Mid</v>
          </cell>
          <cell r="AA1342" t="str">
            <v>Medium</v>
          </cell>
          <cell r="AB1342" t="str">
            <v>Long</v>
          </cell>
          <cell r="AC1342" t="str">
            <v>Medium</v>
          </cell>
          <cell r="AD1342">
            <v>1880</v>
          </cell>
        </row>
        <row r="1343">
          <cell r="A1343">
            <v>31</v>
          </cell>
          <cell r="B1343" t="str">
            <v>No</v>
          </cell>
          <cell r="C1343" t="str">
            <v>Research &amp; Development</v>
          </cell>
          <cell r="D1343">
            <v>20</v>
          </cell>
          <cell r="E1343">
            <v>3</v>
          </cell>
          <cell r="F1343" t="str">
            <v>Life Sciences</v>
          </cell>
          <cell r="G1343">
            <v>2</v>
          </cell>
          <cell r="H1343" t="str">
            <v>Male</v>
          </cell>
          <cell r="I1343">
            <v>3</v>
          </cell>
          <cell r="J1343">
            <v>2</v>
          </cell>
          <cell r="K1343" t="str">
            <v>Laboratory Technician</v>
          </cell>
          <cell r="L1343">
            <v>3</v>
          </cell>
          <cell r="M1343" t="str">
            <v>Divorced</v>
          </cell>
          <cell r="N1343">
            <v>4197</v>
          </cell>
          <cell r="O1343">
            <v>1</v>
          </cell>
          <cell r="P1343" t="str">
            <v>No</v>
          </cell>
          <cell r="Q1343">
            <v>1</v>
          </cell>
          <cell r="R1343">
            <v>10</v>
          </cell>
          <cell r="S1343">
            <v>3</v>
          </cell>
          <cell r="T1343">
            <v>10</v>
          </cell>
          <cell r="U1343">
            <v>8</v>
          </cell>
          <cell r="V1343">
            <v>0</v>
          </cell>
          <cell r="W1343">
            <v>2</v>
          </cell>
          <cell r="X1343">
            <v>11</v>
          </cell>
          <cell r="Y1343">
            <v>0</v>
          </cell>
          <cell r="Z1343" t="str">
            <v>Mid</v>
          </cell>
          <cell r="AA1343" t="str">
            <v>Low</v>
          </cell>
          <cell r="AB1343" t="str">
            <v>Long</v>
          </cell>
          <cell r="AC1343" t="str">
            <v>Low</v>
          </cell>
          <cell r="AD1343">
            <v>1881</v>
          </cell>
        </row>
        <row r="1344">
          <cell r="A1344">
            <v>34</v>
          </cell>
          <cell r="B1344" t="str">
            <v>No</v>
          </cell>
          <cell r="C1344" t="str">
            <v>Sales</v>
          </cell>
          <cell r="D1344">
            <v>4</v>
          </cell>
          <cell r="E1344">
            <v>3</v>
          </cell>
          <cell r="F1344" t="str">
            <v>Life Sciences</v>
          </cell>
          <cell r="G1344">
            <v>3</v>
          </cell>
          <cell r="H1344" t="str">
            <v>Male</v>
          </cell>
          <cell r="I1344">
            <v>3</v>
          </cell>
          <cell r="J1344">
            <v>3</v>
          </cell>
          <cell r="K1344" t="str">
            <v>Sales Executive</v>
          </cell>
          <cell r="L1344">
            <v>4</v>
          </cell>
          <cell r="M1344" t="str">
            <v>Married</v>
          </cell>
          <cell r="N1344">
            <v>9713</v>
          </cell>
          <cell r="O1344">
            <v>2</v>
          </cell>
          <cell r="P1344" t="str">
            <v>Yes</v>
          </cell>
          <cell r="Q1344">
            <v>4</v>
          </cell>
          <cell r="R1344">
            <v>9</v>
          </cell>
          <cell r="S1344">
            <v>3</v>
          </cell>
          <cell r="T1344">
            <v>5</v>
          </cell>
          <cell r="U1344">
            <v>3</v>
          </cell>
          <cell r="V1344">
            <v>1</v>
          </cell>
          <cell r="W1344">
            <v>0</v>
          </cell>
          <cell r="X1344">
            <v>13</v>
          </cell>
          <cell r="Y1344">
            <v>0</v>
          </cell>
          <cell r="Z1344" t="str">
            <v>Mid</v>
          </cell>
          <cell r="AA1344" t="str">
            <v>Medium</v>
          </cell>
          <cell r="AB1344" t="str">
            <v>Mid</v>
          </cell>
          <cell r="AC1344" t="str">
            <v>Medium</v>
          </cell>
          <cell r="AD1344">
            <v>1882</v>
          </cell>
        </row>
        <row r="1345">
          <cell r="A1345">
            <v>29</v>
          </cell>
          <cell r="B1345" t="str">
            <v>No</v>
          </cell>
          <cell r="C1345" t="str">
            <v>Research &amp; Development</v>
          </cell>
          <cell r="D1345">
            <v>7</v>
          </cell>
          <cell r="E1345">
            <v>3</v>
          </cell>
          <cell r="F1345" t="str">
            <v>Life Sciences</v>
          </cell>
          <cell r="G1345">
            <v>4</v>
          </cell>
          <cell r="H1345" t="str">
            <v>Male</v>
          </cell>
          <cell r="I1345">
            <v>3</v>
          </cell>
          <cell r="J1345">
            <v>1</v>
          </cell>
          <cell r="K1345" t="str">
            <v>Laboratory Technician</v>
          </cell>
          <cell r="L1345">
            <v>1</v>
          </cell>
          <cell r="M1345" t="str">
            <v>Single</v>
          </cell>
          <cell r="N1345">
            <v>2062</v>
          </cell>
          <cell r="O1345">
            <v>3</v>
          </cell>
          <cell r="P1345" t="str">
            <v>No</v>
          </cell>
          <cell r="Q1345">
            <v>2</v>
          </cell>
          <cell r="R1345">
            <v>11</v>
          </cell>
          <cell r="S1345">
            <v>3</v>
          </cell>
          <cell r="T1345">
            <v>3</v>
          </cell>
          <cell r="U1345">
            <v>2</v>
          </cell>
          <cell r="V1345">
            <v>1</v>
          </cell>
          <cell r="W1345">
            <v>2</v>
          </cell>
          <cell r="X1345">
            <v>14</v>
          </cell>
          <cell r="Y1345">
            <v>0</v>
          </cell>
          <cell r="Z1345" t="str">
            <v>Young</v>
          </cell>
          <cell r="AA1345" t="str">
            <v>Low</v>
          </cell>
          <cell r="AB1345" t="str">
            <v>Mid</v>
          </cell>
          <cell r="AC1345" t="str">
            <v>Medium</v>
          </cell>
          <cell r="AD1345">
            <v>1883</v>
          </cell>
        </row>
        <row r="1346">
          <cell r="A1346">
            <v>37</v>
          </cell>
          <cell r="B1346" t="str">
            <v>No</v>
          </cell>
          <cell r="C1346" t="str">
            <v>Research &amp; Development</v>
          </cell>
          <cell r="D1346">
            <v>7</v>
          </cell>
          <cell r="E1346">
            <v>4</v>
          </cell>
          <cell r="F1346" t="str">
            <v>Medical</v>
          </cell>
          <cell r="G1346">
            <v>4</v>
          </cell>
          <cell r="H1346" t="str">
            <v>Male</v>
          </cell>
          <cell r="I1346">
            <v>3</v>
          </cell>
          <cell r="J1346">
            <v>2</v>
          </cell>
          <cell r="K1346" t="str">
            <v>Research Scientist</v>
          </cell>
          <cell r="L1346">
            <v>1</v>
          </cell>
          <cell r="M1346" t="str">
            <v>Married</v>
          </cell>
          <cell r="N1346">
            <v>4284</v>
          </cell>
          <cell r="O1346">
            <v>5</v>
          </cell>
          <cell r="P1346" t="str">
            <v>Yes</v>
          </cell>
          <cell r="Q1346">
            <v>3</v>
          </cell>
          <cell r="R1346">
            <v>16</v>
          </cell>
          <cell r="S1346">
            <v>3</v>
          </cell>
          <cell r="T1346">
            <v>5</v>
          </cell>
          <cell r="U1346">
            <v>3</v>
          </cell>
          <cell r="V1346">
            <v>0</v>
          </cell>
          <cell r="W1346">
            <v>4</v>
          </cell>
          <cell r="X1346">
            <v>22</v>
          </cell>
          <cell r="Y1346">
            <v>0</v>
          </cell>
          <cell r="Z1346" t="str">
            <v>Mid</v>
          </cell>
          <cell r="AA1346" t="str">
            <v>Low</v>
          </cell>
          <cell r="AB1346" t="str">
            <v>Mid</v>
          </cell>
          <cell r="AC1346" t="str">
            <v>High</v>
          </cell>
          <cell r="AD1346">
            <v>1885</v>
          </cell>
        </row>
        <row r="1347">
          <cell r="A1347">
            <v>35</v>
          </cell>
          <cell r="B1347" t="str">
            <v>No</v>
          </cell>
          <cell r="C1347" t="str">
            <v>Research &amp; Development</v>
          </cell>
          <cell r="D1347">
            <v>16</v>
          </cell>
          <cell r="E1347">
            <v>2</v>
          </cell>
          <cell r="F1347" t="str">
            <v>Other</v>
          </cell>
          <cell r="G1347">
            <v>4</v>
          </cell>
          <cell r="H1347" t="str">
            <v>Female</v>
          </cell>
          <cell r="I1347">
            <v>2</v>
          </cell>
          <cell r="J1347">
            <v>2</v>
          </cell>
          <cell r="K1347" t="str">
            <v>Manufacturing Director</v>
          </cell>
          <cell r="L1347">
            <v>2</v>
          </cell>
          <cell r="M1347" t="str">
            <v>Married</v>
          </cell>
          <cell r="N1347">
            <v>4788</v>
          </cell>
          <cell r="O1347">
            <v>0</v>
          </cell>
          <cell r="P1347" t="str">
            <v>Yes</v>
          </cell>
          <cell r="Q1347">
            <v>4</v>
          </cell>
          <cell r="R1347">
            <v>4</v>
          </cell>
          <cell r="S1347">
            <v>3</v>
          </cell>
          <cell r="T1347">
            <v>3</v>
          </cell>
          <cell r="U1347">
            <v>2</v>
          </cell>
          <cell r="V1347">
            <v>0</v>
          </cell>
          <cell r="W1347">
            <v>2</v>
          </cell>
          <cell r="X1347">
            <v>11</v>
          </cell>
          <cell r="Y1347">
            <v>0</v>
          </cell>
          <cell r="Z1347" t="str">
            <v>Mid</v>
          </cell>
          <cell r="AA1347" t="str">
            <v>Low</v>
          </cell>
          <cell r="AB1347" t="str">
            <v>Mid</v>
          </cell>
          <cell r="AC1347" t="str">
            <v>Low</v>
          </cell>
          <cell r="AD1347">
            <v>1886</v>
          </cell>
        </row>
        <row r="1348">
          <cell r="A1348">
            <v>45</v>
          </cell>
          <cell r="B1348" t="str">
            <v>No</v>
          </cell>
          <cell r="C1348" t="str">
            <v>Research &amp; Development</v>
          </cell>
          <cell r="D1348">
            <v>25</v>
          </cell>
          <cell r="E1348">
            <v>2</v>
          </cell>
          <cell r="F1348" t="str">
            <v>Life Sciences</v>
          </cell>
          <cell r="G1348">
            <v>2</v>
          </cell>
          <cell r="H1348" t="str">
            <v>Female</v>
          </cell>
          <cell r="I1348">
            <v>2</v>
          </cell>
          <cell r="J1348">
            <v>2</v>
          </cell>
          <cell r="K1348" t="str">
            <v>Manufacturing Director</v>
          </cell>
          <cell r="L1348">
            <v>4</v>
          </cell>
          <cell r="M1348" t="str">
            <v>Married</v>
          </cell>
          <cell r="N1348">
            <v>5906</v>
          </cell>
          <cell r="O1348">
            <v>0</v>
          </cell>
          <cell r="P1348" t="str">
            <v>No</v>
          </cell>
          <cell r="Q1348">
            <v>4</v>
          </cell>
          <cell r="R1348">
            <v>10</v>
          </cell>
          <cell r="S1348">
            <v>2</v>
          </cell>
          <cell r="T1348">
            <v>9</v>
          </cell>
          <cell r="U1348">
            <v>8</v>
          </cell>
          <cell r="V1348">
            <v>3</v>
          </cell>
          <cell r="W1348">
            <v>8</v>
          </cell>
          <cell r="X1348">
            <v>13</v>
          </cell>
          <cell r="Y1348">
            <v>0</v>
          </cell>
          <cell r="Z1348" t="str">
            <v>Senior</v>
          </cell>
          <cell r="AA1348" t="str">
            <v>Medium</v>
          </cell>
          <cell r="AB1348" t="str">
            <v>Long</v>
          </cell>
          <cell r="AC1348" t="str">
            <v>Medium</v>
          </cell>
          <cell r="AD1348">
            <v>1888</v>
          </cell>
        </row>
        <row r="1349">
          <cell r="A1349">
            <v>36</v>
          </cell>
          <cell r="B1349" t="str">
            <v>No</v>
          </cell>
          <cell r="C1349" t="str">
            <v>Human Resources</v>
          </cell>
          <cell r="D1349">
            <v>2</v>
          </cell>
          <cell r="E1349">
            <v>1</v>
          </cell>
          <cell r="F1349" t="str">
            <v>Human Resources</v>
          </cell>
          <cell r="G1349">
            <v>2</v>
          </cell>
          <cell r="H1349" t="str">
            <v>Male</v>
          </cell>
          <cell r="I1349">
            <v>2</v>
          </cell>
          <cell r="J1349">
            <v>2</v>
          </cell>
          <cell r="K1349" t="str">
            <v>Human Resources</v>
          </cell>
          <cell r="L1349">
            <v>4</v>
          </cell>
          <cell r="M1349" t="str">
            <v>Single</v>
          </cell>
          <cell r="N1349">
            <v>3886</v>
          </cell>
          <cell r="O1349">
            <v>1</v>
          </cell>
          <cell r="P1349" t="str">
            <v>No</v>
          </cell>
          <cell r="Q1349">
            <v>4</v>
          </cell>
          <cell r="R1349">
            <v>10</v>
          </cell>
          <cell r="S1349">
            <v>2</v>
          </cell>
          <cell r="T1349">
            <v>10</v>
          </cell>
          <cell r="U1349">
            <v>1</v>
          </cell>
          <cell r="V1349">
            <v>0</v>
          </cell>
          <cell r="W1349">
            <v>8</v>
          </cell>
          <cell r="X1349">
            <v>21</v>
          </cell>
          <cell r="Y1349">
            <v>0</v>
          </cell>
          <cell r="Z1349" t="str">
            <v>Mid</v>
          </cell>
          <cell r="AA1349" t="str">
            <v>Low</v>
          </cell>
          <cell r="AB1349" t="str">
            <v>Long</v>
          </cell>
          <cell r="AC1349" t="str">
            <v>High</v>
          </cell>
          <cell r="AD1349">
            <v>1890</v>
          </cell>
        </row>
        <row r="1350">
          <cell r="A1350">
            <v>40</v>
          </cell>
          <cell r="B1350" t="str">
            <v>No</v>
          </cell>
          <cell r="C1350" t="str">
            <v>Research &amp; Development</v>
          </cell>
          <cell r="D1350">
            <v>1</v>
          </cell>
          <cell r="E1350">
            <v>4</v>
          </cell>
          <cell r="F1350" t="str">
            <v>Life Sciences</v>
          </cell>
          <cell r="G1350">
            <v>1</v>
          </cell>
          <cell r="H1350" t="str">
            <v>Male</v>
          </cell>
          <cell r="I1350">
            <v>3</v>
          </cell>
          <cell r="J1350">
            <v>4</v>
          </cell>
          <cell r="K1350" t="str">
            <v>Manager</v>
          </cell>
          <cell r="L1350">
            <v>1</v>
          </cell>
          <cell r="M1350" t="str">
            <v>Divorced</v>
          </cell>
          <cell r="N1350">
            <v>16823</v>
          </cell>
          <cell r="O1350">
            <v>2</v>
          </cell>
          <cell r="P1350" t="str">
            <v>No</v>
          </cell>
          <cell r="Q1350">
            <v>1</v>
          </cell>
          <cell r="R1350">
            <v>22</v>
          </cell>
          <cell r="S1350">
            <v>3</v>
          </cell>
          <cell r="T1350">
            <v>19</v>
          </cell>
          <cell r="U1350">
            <v>7</v>
          </cell>
          <cell r="V1350">
            <v>11</v>
          </cell>
          <cell r="W1350">
            <v>16</v>
          </cell>
          <cell r="X1350">
            <v>11</v>
          </cell>
          <cell r="Y1350">
            <v>0</v>
          </cell>
          <cell r="Z1350" t="str">
            <v>Mid</v>
          </cell>
          <cell r="AA1350" t="str">
            <v>High</v>
          </cell>
          <cell r="AB1350" t="str">
            <v>Long</v>
          </cell>
          <cell r="AC1350" t="str">
            <v>Low</v>
          </cell>
          <cell r="AD1350">
            <v>1892</v>
          </cell>
        </row>
        <row r="1351">
          <cell r="A1351">
            <v>26</v>
          </cell>
          <cell r="B1351" t="str">
            <v>No</v>
          </cell>
          <cell r="C1351" t="str">
            <v>Research &amp; Development</v>
          </cell>
          <cell r="D1351">
            <v>1</v>
          </cell>
          <cell r="E1351">
            <v>2</v>
          </cell>
          <cell r="F1351" t="str">
            <v>Life Sciences</v>
          </cell>
          <cell r="G1351">
            <v>2</v>
          </cell>
          <cell r="H1351" t="str">
            <v>Female</v>
          </cell>
          <cell r="I1351">
            <v>2</v>
          </cell>
          <cell r="J1351">
            <v>1</v>
          </cell>
          <cell r="K1351" t="str">
            <v>Research Scientist</v>
          </cell>
          <cell r="L1351">
            <v>3</v>
          </cell>
          <cell r="M1351" t="str">
            <v>Married</v>
          </cell>
          <cell r="N1351">
            <v>2933</v>
          </cell>
          <cell r="O1351">
            <v>1</v>
          </cell>
          <cell r="P1351" t="str">
            <v>Yes</v>
          </cell>
          <cell r="Q1351">
            <v>3</v>
          </cell>
          <cell r="R1351">
            <v>1</v>
          </cell>
          <cell r="S1351">
            <v>2</v>
          </cell>
          <cell r="T1351">
            <v>1</v>
          </cell>
          <cell r="U1351">
            <v>0</v>
          </cell>
          <cell r="V1351">
            <v>1</v>
          </cell>
          <cell r="W1351">
            <v>0</v>
          </cell>
          <cell r="X1351">
            <v>13</v>
          </cell>
          <cell r="Y1351">
            <v>0</v>
          </cell>
          <cell r="Z1351" t="str">
            <v>Young</v>
          </cell>
          <cell r="AA1351" t="str">
            <v>Low</v>
          </cell>
          <cell r="AB1351" t="str">
            <v>Early</v>
          </cell>
          <cell r="AC1351" t="str">
            <v>Medium</v>
          </cell>
          <cell r="AD1351">
            <v>1893</v>
          </cell>
        </row>
        <row r="1352">
          <cell r="A1352">
            <v>27</v>
          </cell>
          <cell r="B1352" t="str">
            <v>No</v>
          </cell>
          <cell r="C1352" t="str">
            <v>Sales</v>
          </cell>
          <cell r="D1352">
            <v>2</v>
          </cell>
          <cell r="E1352">
            <v>2</v>
          </cell>
          <cell r="F1352" t="str">
            <v>Medical</v>
          </cell>
          <cell r="G1352">
            <v>1</v>
          </cell>
          <cell r="H1352" t="str">
            <v>Female</v>
          </cell>
          <cell r="I1352">
            <v>4</v>
          </cell>
          <cell r="J1352">
            <v>2</v>
          </cell>
          <cell r="K1352" t="str">
            <v>Sales Executive</v>
          </cell>
          <cell r="L1352">
            <v>3</v>
          </cell>
          <cell r="M1352" t="str">
            <v>Single</v>
          </cell>
          <cell r="N1352">
            <v>6500</v>
          </cell>
          <cell r="O1352">
            <v>0</v>
          </cell>
          <cell r="P1352" t="str">
            <v>No</v>
          </cell>
          <cell r="Q1352">
            <v>2</v>
          </cell>
          <cell r="R1352">
            <v>9</v>
          </cell>
          <cell r="S1352">
            <v>2</v>
          </cell>
          <cell r="T1352">
            <v>8</v>
          </cell>
          <cell r="U1352">
            <v>7</v>
          </cell>
          <cell r="V1352">
            <v>0</v>
          </cell>
          <cell r="W1352">
            <v>7</v>
          </cell>
          <cell r="X1352">
            <v>14</v>
          </cell>
          <cell r="Y1352">
            <v>0</v>
          </cell>
          <cell r="Z1352" t="str">
            <v>Young</v>
          </cell>
          <cell r="AA1352" t="str">
            <v>Medium</v>
          </cell>
          <cell r="AB1352" t="str">
            <v>Long</v>
          </cell>
          <cell r="AC1352" t="str">
            <v>Medium</v>
          </cell>
          <cell r="AD1352">
            <v>1898</v>
          </cell>
        </row>
        <row r="1353">
          <cell r="A1353">
            <v>48</v>
          </cell>
          <cell r="B1353" t="str">
            <v>No</v>
          </cell>
          <cell r="C1353" t="str">
            <v>Research &amp; Development</v>
          </cell>
          <cell r="D1353">
            <v>22</v>
          </cell>
          <cell r="E1353">
            <v>3</v>
          </cell>
          <cell r="F1353" t="str">
            <v>Medical</v>
          </cell>
          <cell r="G1353">
            <v>4</v>
          </cell>
          <cell r="H1353" t="str">
            <v>Female</v>
          </cell>
          <cell r="I1353">
            <v>3</v>
          </cell>
          <cell r="J1353">
            <v>4</v>
          </cell>
          <cell r="K1353" t="str">
            <v>Manager</v>
          </cell>
          <cell r="L1353">
            <v>4</v>
          </cell>
          <cell r="M1353" t="str">
            <v>Divorced</v>
          </cell>
          <cell r="N1353">
            <v>17174</v>
          </cell>
          <cell r="O1353">
            <v>3</v>
          </cell>
          <cell r="P1353" t="str">
            <v>No</v>
          </cell>
          <cell r="Q1353">
            <v>2</v>
          </cell>
          <cell r="R1353">
            <v>24</v>
          </cell>
          <cell r="S1353">
            <v>3</v>
          </cell>
          <cell r="T1353">
            <v>22</v>
          </cell>
          <cell r="U1353">
            <v>17</v>
          </cell>
          <cell r="V1353">
            <v>4</v>
          </cell>
          <cell r="W1353">
            <v>7</v>
          </cell>
          <cell r="X1353">
            <v>11</v>
          </cell>
          <cell r="Y1353">
            <v>0</v>
          </cell>
          <cell r="Z1353" t="str">
            <v>Senior</v>
          </cell>
          <cell r="AA1353" t="str">
            <v>High</v>
          </cell>
          <cell r="AB1353" t="str">
            <v>Long</v>
          </cell>
          <cell r="AC1353" t="str">
            <v>Low</v>
          </cell>
          <cell r="AD1353">
            <v>1900</v>
          </cell>
        </row>
        <row r="1354">
          <cell r="A1354">
            <v>44</v>
          </cell>
          <cell r="B1354" t="str">
            <v>No</v>
          </cell>
          <cell r="C1354" t="str">
            <v>Research &amp; Development</v>
          </cell>
          <cell r="D1354">
            <v>1</v>
          </cell>
          <cell r="E1354">
            <v>4</v>
          </cell>
          <cell r="F1354" t="str">
            <v>Life Sciences</v>
          </cell>
          <cell r="G1354">
            <v>2</v>
          </cell>
          <cell r="H1354" t="str">
            <v>Male</v>
          </cell>
          <cell r="I1354">
            <v>4</v>
          </cell>
          <cell r="J1354">
            <v>2</v>
          </cell>
          <cell r="K1354" t="str">
            <v>Healthcare Representative</v>
          </cell>
          <cell r="L1354">
            <v>1</v>
          </cell>
          <cell r="M1354" t="str">
            <v>Married</v>
          </cell>
          <cell r="N1354">
            <v>5033</v>
          </cell>
          <cell r="O1354">
            <v>2</v>
          </cell>
          <cell r="P1354" t="str">
            <v>No</v>
          </cell>
          <cell r="Q1354">
            <v>4</v>
          </cell>
          <cell r="R1354">
            <v>10</v>
          </cell>
          <cell r="S1354">
            <v>3</v>
          </cell>
          <cell r="T1354">
            <v>2</v>
          </cell>
          <cell r="U1354">
            <v>0</v>
          </cell>
          <cell r="V1354">
            <v>2</v>
          </cell>
          <cell r="W1354">
            <v>2</v>
          </cell>
          <cell r="X1354">
            <v>15</v>
          </cell>
          <cell r="Y1354">
            <v>0</v>
          </cell>
          <cell r="Z1354" t="str">
            <v>Mid</v>
          </cell>
          <cell r="AA1354" t="str">
            <v>Medium</v>
          </cell>
          <cell r="AB1354" t="str">
            <v>Early</v>
          </cell>
          <cell r="AC1354" t="str">
            <v>Medium</v>
          </cell>
          <cell r="AD1354">
            <v>1903</v>
          </cell>
        </row>
        <row r="1355">
          <cell r="A1355">
            <v>34</v>
          </cell>
          <cell r="B1355" t="str">
            <v>Yes</v>
          </cell>
          <cell r="C1355" t="str">
            <v>Research &amp; Development</v>
          </cell>
          <cell r="D1355">
            <v>16</v>
          </cell>
          <cell r="E1355">
            <v>4</v>
          </cell>
          <cell r="F1355" t="str">
            <v>Technical Degree</v>
          </cell>
          <cell r="G1355">
            <v>4</v>
          </cell>
          <cell r="H1355" t="str">
            <v>Male</v>
          </cell>
          <cell r="I1355">
            <v>1</v>
          </cell>
          <cell r="J1355">
            <v>1</v>
          </cell>
          <cell r="K1355" t="str">
            <v>Research Scientist</v>
          </cell>
          <cell r="L1355">
            <v>1</v>
          </cell>
          <cell r="M1355" t="str">
            <v>Married</v>
          </cell>
          <cell r="N1355">
            <v>2307</v>
          </cell>
          <cell r="O1355">
            <v>1</v>
          </cell>
          <cell r="P1355" t="str">
            <v>Yes</v>
          </cell>
          <cell r="Q1355">
            <v>2</v>
          </cell>
          <cell r="R1355">
            <v>5</v>
          </cell>
          <cell r="S1355">
            <v>3</v>
          </cell>
          <cell r="T1355">
            <v>5</v>
          </cell>
          <cell r="U1355">
            <v>2</v>
          </cell>
          <cell r="V1355">
            <v>3</v>
          </cell>
          <cell r="W1355">
            <v>0</v>
          </cell>
          <cell r="X1355">
            <v>23</v>
          </cell>
          <cell r="Y1355">
            <v>1</v>
          </cell>
          <cell r="Z1355" t="str">
            <v>Mid</v>
          </cell>
          <cell r="AA1355" t="str">
            <v>Low</v>
          </cell>
          <cell r="AB1355" t="str">
            <v>Mid</v>
          </cell>
          <cell r="AC1355" t="str">
            <v>High</v>
          </cell>
          <cell r="AD1355">
            <v>1905</v>
          </cell>
        </row>
        <row r="1356">
          <cell r="A1356">
            <v>56</v>
          </cell>
          <cell r="B1356" t="str">
            <v>Yes</v>
          </cell>
          <cell r="C1356" t="str">
            <v>Research &amp; Development</v>
          </cell>
          <cell r="D1356">
            <v>24</v>
          </cell>
          <cell r="E1356">
            <v>2</v>
          </cell>
          <cell r="F1356" t="str">
            <v>Life Sciences</v>
          </cell>
          <cell r="G1356">
            <v>1</v>
          </cell>
          <cell r="H1356" t="str">
            <v>Male</v>
          </cell>
          <cell r="I1356">
            <v>3</v>
          </cell>
          <cell r="J1356">
            <v>1</v>
          </cell>
          <cell r="K1356" t="str">
            <v>Laboratory Technician</v>
          </cell>
          <cell r="L1356">
            <v>4</v>
          </cell>
          <cell r="M1356" t="str">
            <v>Single</v>
          </cell>
          <cell r="N1356">
            <v>2587</v>
          </cell>
          <cell r="O1356">
            <v>1</v>
          </cell>
          <cell r="P1356" t="str">
            <v>No</v>
          </cell>
          <cell r="Q1356">
            <v>4</v>
          </cell>
          <cell r="R1356">
            <v>5</v>
          </cell>
          <cell r="S1356">
            <v>3</v>
          </cell>
          <cell r="T1356">
            <v>4</v>
          </cell>
          <cell r="U1356">
            <v>2</v>
          </cell>
          <cell r="V1356">
            <v>1</v>
          </cell>
          <cell r="W1356">
            <v>0</v>
          </cell>
          <cell r="X1356">
            <v>16</v>
          </cell>
          <cell r="Y1356">
            <v>1</v>
          </cell>
          <cell r="Z1356" t="str">
            <v>Senior</v>
          </cell>
          <cell r="AA1356" t="str">
            <v>Low</v>
          </cell>
          <cell r="AB1356" t="str">
            <v>Mid</v>
          </cell>
          <cell r="AC1356" t="str">
            <v>Medium</v>
          </cell>
          <cell r="AD1356">
            <v>1907</v>
          </cell>
        </row>
        <row r="1357">
          <cell r="A1357">
            <v>36</v>
          </cell>
          <cell r="B1357" t="str">
            <v>No</v>
          </cell>
          <cell r="C1357" t="str">
            <v>Sales</v>
          </cell>
          <cell r="D1357">
            <v>17</v>
          </cell>
          <cell r="E1357">
            <v>2</v>
          </cell>
          <cell r="F1357" t="str">
            <v>Marketing</v>
          </cell>
          <cell r="G1357">
            <v>3</v>
          </cell>
          <cell r="H1357" t="str">
            <v>Male</v>
          </cell>
          <cell r="I1357">
            <v>2</v>
          </cell>
          <cell r="J1357">
            <v>2</v>
          </cell>
          <cell r="K1357" t="str">
            <v>Sales Executive</v>
          </cell>
          <cell r="L1357">
            <v>2</v>
          </cell>
          <cell r="M1357" t="str">
            <v>Married</v>
          </cell>
          <cell r="N1357">
            <v>5507</v>
          </cell>
          <cell r="O1357">
            <v>2</v>
          </cell>
          <cell r="P1357" t="str">
            <v>No</v>
          </cell>
          <cell r="Q1357">
            <v>3</v>
          </cell>
          <cell r="R1357">
            <v>12</v>
          </cell>
          <cell r="S1357">
            <v>1</v>
          </cell>
          <cell r="T1357">
            <v>4</v>
          </cell>
          <cell r="U1357">
            <v>2</v>
          </cell>
          <cell r="V1357">
            <v>1</v>
          </cell>
          <cell r="W1357">
            <v>3</v>
          </cell>
          <cell r="X1357">
            <v>16</v>
          </cell>
          <cell r="Y1357">
            <v>0</v>
          </cell>
          <cell r="Z1357" t="str">
            <v>Mid</v>
          </cell>
          <cell r="AA1357" t="str">
            <v>Medium</v>
          </cell>
          <cell r="AB1357" t="str">
            <v>Mid</v>
          </cell>
          <cell r="AC1357" t="str">
            <v>Medium</v>
          </cell>
          <cell r="AD1357">
            <v>1908</v>
          </cell>
        </row>
        <row r="1358">
          <cell r="A1358">
            <v>41</v>
          </cell>
          <cell r="B1358" t="str">
            <v>No</v>
          </cell>
          <cell r="C1358" t="str">
            <v>Sales</v>
          </cell>
          <cell r="D1358">
            <v>8</v>
          </cell>
          <cell r="E1358">
            <v>3</v>
          </cell>
          <cell r="F1358" t="str">
            <v>Marketing</v>
          </cell>
          <cell r="G1358">
            <v>3</v>
          </cell>
          <cell r="H1358" t="str">
            <v>Female</v>
          </cell>
          <cell r="I1358">
            <v>3</v>
          </cell>
          <cell r="J1358">
            <v>2</v>
          </cell>
          <cell r="K1358" t="str">
            <v>Sales Executive</v>
          </cell>
          <cell r="L1358">
            <v>2</v>
          </cell>
          <cell r="M1358" t="str">
            <v>Married</v>
          </cell>
          <cell r="N1358">
            <v>4393</v>
          </cell>
          <cell r="O1358">
            <v>5</v>
          </cell>
          <cell r="P1358" t="str">
            <v>No</v>
          </cell>
          <cell r="Q1358">
            <v>3</v>
          </cell>
          <cell r="R1358">
            <v>14</v>
          </cell>
          <cell r="S1358">
            <v>3</v>
          </cell>
          <cell r="T1358">
            <v>5</v>
          </cell>
          <cell r="U1358">
            <v>4</v>
          </cell>
          <cell r="V1358">
            <v>1</v>
          </cell>
          <cell r="W1358">
            <v>4</v>
          </cell>
          <cell r="X1358">
            <v>21</v>
          </cell>
          <cell r="Y1358">
            <v>0</v>
          </cell>
          <cell r="Z1358" t="str">
            <v>Mid</v>
          </cell>
          <cell r="AA1358" t="str">
            <v>Low</v>
          </cell>
          <cell r="AB1358" t="str">
            <v>Mid</v>
          </cell>
          <cell r="AC1358" t="str">
            <v>High</v>
          </cell>
          <cell r="AD1358">
            <v>1909</v>
          </cell>
        </row>
        <row r="1359">
          <cell r="A1359">
            <v>42</v>
          </cell>
          <cell r="B1359" t="str">
            <v>No</v>
          </cell>
          <cell r="C1359" t="str">
            <v>Research &amp; Development</v>
          </cell>
          <cell r="D1359">
            <v>6</v>
          </cell>
          <cell r="E1359">
            <v>3</v>
          </cell>
          <cell r="F1359" t="str">
            <v>Medical</v>
          </cell>
          <cell r="G1359">
            <v>3</v>
          </cell>
          <cell r="H1359" t="str">
            <v>Male</v>
          </cell>
          <cell r="I1359">
            <v>3</v>
          </cell>
          <cell r="J1359">
            <v>3</v>
          </cell>
          <cell r="K1359" t="str">
            <v>Research Director</v>
          </cell>
          <cell r="L1359">
            <v>1</v>
          </cell>
          <cell r="M1359" t="str">
            <v>Married</v>
          </cell>
          <cell r="N1359">
            <v>13348</v>
          </cell>
          <cell r="O1359">
            <v>9</v>
          </cell>
          <cell r="P1359" t="str">
            <v>No</v>
          </cell>
          <cell r="Q1359">
            <v>2</v>
          </cell>
          <cell r="R1359">
            <v>18</v>
          </cell>
          <cell r="S1359">
            <v>4</v>
          </cell>
          <cell r="T1359">
            <v>13</v>
          </cell>
          <cell r="U1359">
            <v>7</v>
          </cell>
          <cell r="V1359">
            <v>5</v>
          </cell>
          <cell r="W1359">
            <v>7</v>
          </cell>
          <cell r="X1359">
            <v>13</v>
          </cell>
          <cell r="Y1359">
            <v>0</v>
          </cell>
          <cell r="Z1359" t="str">
            <v>Mid</v>
          </cell>
          <cell r="AA1359" t="str">
            <v>High</v>
          </cell>
          <cell r="AB1359" t="str">
            <v>Long</v>
          </cell>
          <cell r="AC1359" t="str">
            <v>Medium</v>
          </cell>
          <cell r="AD1359">
            <v>1911</v>
          </cell>
        </row>
        <row r="1360">
          <cell r="A1360">
            <v>31</v>
          </cell>
          <cell r="B1360" t="str">
            <v>No</v>
          </cell>
          <cell r="C1360" t="str">
            <v>Sales</v>
          </cell>
          <cell r="D1360">
            <v>10</v>
          </cell>
          <cell r="E1360">
            <v>2</v>
          </cell>
          <cell r="F1360" t="str">
            <v>Medical</v>
          </cell>
          <cell r="G1360">
            <v>3</v>
          </cell>
          <cell r="H1360" t="str">
            <v>Female</v>
          </cell>
          <cell r="I1360">
            <v>3</v>
          </cell>
          <cell r="J1360">
            <v>2</v>
          </cell>
          <cell r="K1360" t="str">
            <v>Sales Executive</v>
          </cell>
          <cell r="L1360">
            <v>4</v>
          </cell>
          <cell r="M1360" t="str">
            <v>Divorced</v>
          </cell>
          <cell r="N1360">
            <v>6583</v>
          </cell>
          <cell r="O1360">
            <v>2</v>
          </cell>
          <cell r="P1360" t="str">
            <v>Yes</v>
          </cell>
          <cell r="Q1360">
            <v>4</v>
          </cell>
          <cell r="R1360">
            <v>8</v>
          </cell>
          <cell r="S1360">
            <v>3</v>
          </cell>
          <cell r="T1360">
            <v>5</v>
          </cell>
          <cell r="U1360">
            <v>2</v>
          </cell>
          <cell r="V1360">
            <v>1</v>
          </cell>
          <cell r="W1360">
            <v>4</v>
          </cell>
          <cell r="X1360">
            <v>11</v>
          </cell>
          <cell r="Y1360">
            <v>0</v>
          </cell>
          <cell r="Z1360" t="str">
            <v>Mid</v>
          </cell>
          <cell r="AA1360" t="str">
            <v>Medium</v>
          </cell>
          <cell r="AB1360" t="str">
            <v>Mid</v>
          </cell>
          <cell r="AC1360" t="str">
            <v>Low</v>
          </cell>
          <cell r="AD1360">
            <v>1912</v>
          </cell>
        </row>
        <row r="1361">
          <cell r="A1361">
            <v>34</v>
          </cell>
          <cell r="B1361" t="str">
            <v>No</v>
          </cell>
          <cell r="C1361" t="str">
            <v>Sales</v>
          </cell>
          <cell r="D1361">
            <v>3</v>
          </cell>
          <cell r="E1361">
            <v>1</v>
          </cell>
          <cell r="F1361" t="str">
            <v>Medical</v>
          </cell>
          <cell r="G1361">
            <v>4</v>
          </cell>
          <cell r="H1361" t="str">
            <v>Female</v>
          </cell>
          <cell r="I1361">
            <v>2</v>
          </cell>
          <cell r="J1361">
            <v>2</v>
          </cell>
          <cell r="K1361" t="str">
            <v>Sales Executive</v>
          </cell>
          <cell r="L1361">
            <v>4</v>
          </cell>
          <cell r="M1361" t="str">
            <v>Married</v>
          </cell>
          <cell r="N1361">
            <v>8103</v>
          </cell>
          <cell r="O1361">
            <v>3</v>
          </cell>
          <cell r="P1361" t="str">
            <v>Yes</v>
          </cell>
          <cell r="Q1361">
            <v>3</v>
          </cell>
          <cell r="R1361">
            <v>9</v>
          </cell>
          <cell r="S1361">
            <v>2</v>
          </cell>
          <cell r="T1361">
            <v>4</v>
          </cell>
          <cell r="U1361">
            <v>2</v>
          </cell>
          <cell r="V1361">
            <v>0</v>
          </cell>
          <cell r="W1361">
            <v>1</v>
          </cell>
          <cell r="X1361">
            <v>12</v>
          </cell>
          <cell r="Y1361">
            <v>0</v>
          </cell>
          <cell r="Z1361" t="str">
            <v>Mid</v>
          </cell>
          <cell r="AA1361" t="str">
            <v>Medium</v>
          </cell>
          <cell r="AB1361" t="str">
            <v>Mid</v>
          </cell>
          <cell r="AC1361" t="str">
            <v>Low</v>
          </cell>
          <cell r="AD1361">
            <v>1915</v>
          </cell>
        </row>
        <row r="1362">
          <cell r="A1362">
            <v>31</v>
          </cell>
          <cell r="B1362" t="str">
            <v>No</v>
          </cell>
          <cell r="C1362" t="str">
            <v>Research &amp; Development</v>
          </cell>
          <cell r="D1362">
            <v>4</v>
          </cell>
          <cell r="E1362">
            <v>3</v>
          </cell>
          <cell r="F1362" t="str">
            <v>Medical</v>
          </cell>
          <cell r="G1362">
            <v>1</v>
          </cell>
          <cell r="H1362" t="str">
            <v>Female</v>
          </cell>
          <cell r="I1362">
            <v>4</v>
          </cell>
          <cell r="J1362">
            <v>1</v>
          </cell>
          <cell r="K1362" t="str">
            <v>Laboratory Technician</v>
          </cell>
          <cell r="L1362">
            <v>3</v>
          </cell>
          <cell r="M1362" t="str">
            <v>Divorced</v>
          </cell>
          <cell r="N1362">
            <v>3978</v>
          </cell>
          <cell r="O1362">
            <v>8</v>
          </cell>
          <cell r="P1362" t="str">
            <v>No</v>
          </cell>
          <cell r="Q1362">
            <v>2</v>
          </cell>
          <cell r="R1362">
            <v>4</v>
          </cell>
          <cell r="S1362">
            <v>2</v>
          </cell>
          <cell r="T1362">
            <v>2</v>
          </cell>
          <cell r="U1362">
            <v>2</v>
          </cell>
          <cell r="V1362">
            <v>2</v>
          </cell>
          <cell r="W1362">
            <v>2</v>
          </cell>
          <cell r="X1362">
            <v>12</v>
          </cell>
          <cell r="Y1362">
            <v>0</v>
          </cell>
          <cell r="Z1362" t="str">
            <v>Mid</v>
          </cell>
          <cell r="AA1362" t="str">
            <v>Low</v>
          </cell>
          <cell r="AB1362" t="str">
            <v>Early</v>
          </cell>
          <cell r="AC1362" t="str">
            <v>Low</v>
          </cell>
          <cell r="AD1362">
            <v>1916</v>
          </cell>
        </row>
        <row r="1363">
          <cell r="A1363">
            <v>26</v>
          </cell>
          <cell r="B1363" t="str">
            <v>No</v>
          </cell>
          <cell r="C1363" t="str">
            <v>Research &amp; Development</v>
          </cell>
          <cell r="D1363">
            <v>6</v>
          </cell>
          <cell r="E1363">
            <v>3</v>
          </cell>
          <cell r="F1363" t="str">
            <v>Other</v>
          </cell>
          <cell r="G1363">
            <v>3</v>
          </cell>
          <cell r="H1363" t="str">
            <v>Male</v>
          </cell>
          <cell r="I1363">
            <v>4</v>
          </cell>
          <cell r="J1363">
            <v>1</v>
          </cell>
          <cell r="K1363" t="str">
            <v>Laboratory Technician</v>
          </cell>
          <cell r="L1363">
            <v>4</v>
          </cell>
          <cell r="M1363" t="str">
            <v>Married</v>
          </cell>
          <cell r="N1363">
            <v>2544</v>
          </cell>
          <cell r="O1363">
            <v>0</v>
          </cell>
          <cell r="P1363" t="str">
            <v>No</v>
          </cell>
          <cell r="Q1363">
            <v>1</v>
          </cell>
          <cell r="R1363">
            <v>8</v>
          </cell>
          <cell r="S1363">
            <v>3</v>
          </cell>
          <cell r="T1363">
            <v>7</v>
          </cell>
          <cell r="U1363">
            <v>7</v>
          </cell>
          <cell r="V1363">
            <v>7</v>
          </cell>
          <cell r="W1363">
            <v>7</v>
          </cell>
          <cell r="X1363">
            <v>18</v>
          </cell>
          <cell r="Y1363">
            <v>0</v>
          </cell>
          <cell r="Z1363" t="str">
            <v>Young</v>
          </cell>
          <cell r="AA1363" t="str">
            <v>Low</v>
          </cell>
          <cell r="AB1363" t="str">
            <v>Long</v>
          </cell>
          <cell r="AC1363" t="str">
            <v>High</v>
          </cell>
          <cell r="AD1363">
            <v>1918</v>
          </cell>
        </row>
        <row r="1364">
          <cell r="A1364">
            <v>45</v>
          </cell>
          <cell r="B1364" t="str">
            <v>No</v>
          </cell>
          <cell r="C1364" t="str">
            <v>Research &amp; Development</v>
          </cell>
          <cell r="D1364">
            <v>1</v>
          </cell>
          <cell r="E1364">
            <v>4</v>
          </cell>
          <cell r="F1364" t="str">
            <v>Medical</v>
          </cell>
          <cell r="G1364">
            <v>2</v>
          </cell>
          <cell r="H1364" t="str">
            <v>Male</v>
          </cell>
          <cell r="I1364">
            <v>3</v>
          </cell>
          <cell r="J1364">
            <v>2</v>
          </cell>
          <cell r="K1364" t="str">
            <v>Healthcare Representative</v>
          </cell>
          <cell r="L1364">
            <v>3</v>
          </cell>
          <cell r="M1364" t="str">
            <v>Single</v>
          </cell>
          <cell r="N1364">
            <v>5399</v>
          </cell>
          <cell r="O1364">
            <v>4</v>
          </cell>
          <cell r="P1364" t="str">
            <v>No</v>
          </cell>
          <cell r="Q1364">
            <v>3</v>
          </cell>
          <cell r="R1364">
            <v>12</v>
          </cell>
          <cell r="S1364">
            <v>3</v>
          </cell>
          <cell r="T1364">
            <v>4</v>
          </cell>
          <cell r="U1364">
            <v>2</v>
          </cell>
          <cell r="V1364">
            <v>0</v>
          </cell>
          <cell r="W1364">
            <v>3</v>
          </cell>
          <cell r="X1364">
            <v>12</v>
          </cell>
          <cell r="Y1364">
            <v>0</v>
          </cell>
          <cell r="Z1364" t="str">
            <v>Senior</v>
          </cell>
          <cell r="AA1364" t="str">
            <v>Medium</v>
          </cell>
          <cell r="AB1364" t="str">
            <v>Mid</v>
          </cell>
          <cell r="AC1364" t="str">
            <v>Low</v>
          </cell>
          <cell r="AD1364">
            <v>1922</v>
          </cell>
        </row>
        <row r="1365">
          <cell r="A1365">
            <v>33</v>
          </cell>
          <cell r="B1365" t="str">
            <v>No</v>
          </cell>
          <cell r="C1365" t="str">
            <v>Sales</v>
          </cell>
          <cell r="D1365">
            <v>10</v>
          </cell>
          <cell r="E1365">
            <v>4</v>
          </cell>
          <cell r="F1365" t="str">
            <v>Marketing</v>
          </cell>
          <cell r="G1365">
            <v>2</v>
          </cell>
          <cell r="H1365" t="str">
            <v>Male</v>
          </cell>
          <cell r="I1365">
            <v>3</v>
          </cell>
          <cell r="J1365">
            <v>2</v>
          </cell>
          <cell r="K1365" t="str">
            <v>Sales Executive</v>
          </cell>
          <cell r="L1365">
            <v>3</v>
          </cell>
          <cell r="M1365" t="str">
            <v>Single</v>
          </cell>
          <cell r="N1365">
            <v>5487</v>
          </cell>
          <cell r="O1365">
            <v>1</v>
          </cell>
          <cell r="P1365" t="str">
            <v>No</v>
          </cell>
          <cell r="Q1365">
            <v>2</v>
          </cell>
          <cell r="R1365">
            <v>10</v>
          </cell>
          <cell r="S1365">
            <v>2</v>
          </cell>
          <cell r="T1365">
            <v>10</v>
          </cell>
          <cell r="U1365">
            <v>4</v>
          </cell>
          <cell r="V1365">
            <v>0</v>
          </cell>
          <cell r="W1365">
            <v>9</v>
          </cell>
          <cell r="X1365">
            <v>14</v>
          </cell>
          <cell r="Y1365">
            <v>0</v>
          </cell>
          <cell r="Z1365" t="str">
            <v>Mid</v>
          </cell>
          <cell r="AA1365" t="str">
            <v>Medium</v>
          </cell>
          <cell r="AB1365" t="str">
            <v>Long</v>
          </cell>
          <cell r="AC1365" t="str">
            <v>Medium</v>
          </cell>
          <cell r="AD1365">
            <v>1924</v>
          </cell>
        </row>
        <row r="1366">
          <cell r="A1366">
            <v>28</v>
          </cell>
          <cell r="B1366" t="str">
            <v>No</v>
          </cell>
          <cell r="C1366" t="str">
            <v>Sales</v>
          </cell>
          <cell r="D1366">
            <v>1</v>
          </cell>
          <cell r="E1366">
            <v>2</v>
          </cell>
          <cell r="F1366" t="str">
            <v>Life Sciences</v>
          </cell>
          <cell r="G1366">
            <v>3</v>
          </cell>
          <cell r="H1366" t="str">
            <v>Male</v>
          </cell>
          <cell r="I1366">
            <v>2</v>
          </cell>
          <cell r="J1366">
            <v>2</v>
          </cell>
          <cell r="K1366" t="str">
            <v>Sales Executive</v>
          </cell>
          <cell r="L1366">
            <v>4</v>
          </cell>
          <cell r="M1366" t="str">
            <v>Married</v>
          </cell>
          <cell r="N1366">
            <v>6834</v>
          </cell>
          <cell r="O1366">
            <v>1</v>
          </cell>
          <cell r="P1366" t="str">
            <v>Yes</v>
          </cell>
          <cell r="Q1366">
            <v>3</v>
          </cell>
          <cell r="R1366">
            <v>7</v>
          </cell>
          <cell r="S1366">
            <v>3</v>
          </cell>
          <cell r="T1366">
            <v>7</v>
          </cell>
          <cell r="U1366">
            <v>7</v>
          </cell>
          <cell r="V1366">
            <v>0</v>
          </cell>
          <cell r="W1366">
            <v>7</v>
          </cell>
          <cell r="X1366">
            <v>12</v>
          </cell>
          <cell r="Y1366">
            <v>0</v>
          </cell>
          <cell r="Z1366" t="str">
            <v>Young</v>
          </cell>
          <cell r="AA1366" t="str">
            <v>Medium</v>
          </cell>
          <cell r="AB1366" t="str">
            <v>Long</v>
          </cell>
          <cell r="AC1366" t="str">
            <v>Low</v>
          </cell>
          <cell r="AD1366">
            <v>1927</v>
          </cell>
        </row>
        <row r="1367">
          <cell r="A1367">
            <v>29</v>
          </cell>
          <cell r="B1367" t="str">
            <v>Yes</v>
          </cell>
          <cell r="C1367" t="str">
            <v>Sales</v>
          </cell>
          <cell r="D1367">
            <v>24</v>
          </cell>
          <cell r="E1367">
            <v>3</v>
          </cell>
          <cell r="F1367" t="str">
            <v>Technical Degree</v>
          </cell>
          <cell r="G1367">
            <v>3</v>
          </cell>
          <cell r="H1367" t="str">
            <v>Male</v>
          </cell>
          <cell r="I1367">
            <v>4</v>
          </cell>
          <cell r="J1367">
            <v>1</v>
          </cell>
          <cell r="K1367" t="str">
            <v>Sales Representative</v>
          </cell>
          <cell r="L1367">
            <v>1</v>
          </cell>
          <cell r="M1367" t="str">
            <v>Single</v>
          </cell>
          <cell r="N1367">
            <v>1091</v>
          </cell>
          <cell r="O1367">
            <v>1</v>
          </cell>
          <cell r="P1367" t="str">
            <v>No</v>
          </cell>
          <cell r="Q1367">
            <v>4</v>
          </cell>
          <cell r="R1367">
            <v>1</v>
          </cell>
          <cell r="S1367">
            <v>3</v>
          </cell>
          <cell r="T1367">
            <v>1</v>
          </cell>
          <cell r="U1367">
            <v>0</v>
          </cell>
          <cell r="V1367">
            <v>0</v>
          </cell>
          <cell r="W1367">
            <v>0</v>
          </cell>
          <cell r="X1367">
            <v>17</v>
          </cell>
          <cell r="Y1367">
            <v>1</v>
          </cell>
          <cell r="Z1367" t="str">
            <v>Young</v>
          </cell>
          <cell r="AA1367" t="str">
            <v>Low</v>
          </cell>
          <cell r="AB1367" t="str">
            <v>Early</v>
          </cell>
          <cell r="AC1367" t="str">
            <v>Medium</v>
          </cell>
          <cell r="AD1367">
            <v>1928</v>
          </cell>
        </row>
        <row r="1368">
          <cell r="A1368">
            <v>39</v>
          </cell>
          <cell r="B1368" t="str">
            <v>No</v>
          </cell>
          <cell r="C1368" t="str">
            <v>Sales</v>
          </cell>
          <cell r="D1368">
            <v>21</v>
          </cell>
          <cell r="E1368">
            <v>4</v>
          </cell>
          <cell r="F1368" t="str">
            <v>Life Sciences</v>
          </cell>
          <cell r="G1368">
            <v>1</v>
          </cell>
          <cell r="H1368" t="str">
            <v>Female</v>
          </cell>
          <cell r="I1368">
            <v>1</v>
          </cell>
          <cell r="J1368">
            <v>2</v>
          </cell>
          <cell r="K1368" t="str">
            <v>Sales Executive</v>
          </cell>
          <cell r="L1368">
            <v>3</v>
          </cell>
          <cell r="M1368" t="str">
            <v>Married</v>
          </cell>
          <cell r="N1368">
            <v>5736</v>
          </cell>
          <cell r="O1368">
            <v>6</v>
          </cell>
          <cell r="P1368" t="str">
            <v>No</v>
          </cell>
          <cell r="Q1368">
            <v>3</v>
          </cell>
          <cell r="R1368">
            <v>10</v>
          </cell>
          <cell r="S1368">
            <v>3</v>
          </cell>
          <cell r="T1368">
            <v>3</v>
          </cell>
          <cell r="U1368">
            <v>2</v>
          </cell>
          <cell r="V1368">
            <v>1</v>
          </cell>
          <cell r="W1368">
            <v>2</v>
          </cell>
          <cell r="X1368">
            <v>19</v>
          </cell>
          <cell r="Y1368">
            <v>0</v>
          </cell>
          <cell r="Z1368" t="str">
            <v>Mid</v>
          </cell>
          <cell r="AA1368" t="str">
            <v>Medium</v>
          </cell>
          <cell r="AB1368" t="str">
            <v>Mid</v>
          </cell>
          <cell r="AC1368" t="str">
            <v>High</v>
          </cell>
          <cell r="AD1368">
            <v>1929</v>
          </cell>
        </row>
        <row r="1369">
          <cell r="A1369">
            <v>27</v>
          </cell>
          <cell r="B1369" t="str">
            <v>No</v>
          </cell>
          <cell r="C1369" t="str">
            <v>Research &amp; Development</v>
          </cell>
          <cell r="D1369">
            <v>2</v>
          </cell>
          <cell r="E1369">
            <v>4</v>
          </cell>
          <cell r="F1369" t="str">
            <v>Technical Degree</v>
          </cell>
          <cell r="G1369">
            <v>2</v>
          </cell>
          <cell r="H1369" t="str">
            <v>Male</v>
          </cell>
          <cell r="I1369">
            <v>3</v>
          </cell>
          <cell r="J1369">
            <v>1</v>
          </cell>
          <cell r="K1369" t="str">
            <v>Research Scientist</v>
          </cell>
          <cell r="L1369">
            <v>2</v>
          </cell>
          <cell r="M1369" t="str">
            <v>Married</v>
          </cell>
          <cell r="N1369">
            <v>2226</v>
          </cell>
          <cell r="O1369">
            <v>1</v>
          </cell>
          <cell r="P1369" t="str">
            <v>No</v>
          </cell>
          <cell r="Q1369">
            <v>3</v>
          </cell>
          <cell r="R1369">
            <v>6</v>
          </cell>
          <cell r="S1369">
            <v>2</v>
          </cell>
          <cell r="T1369">
            <v>5</v>
          </cell>
          <cell r="U1369">
            <v>3</v>
          </cell>
          <cell r="V1369">
            <v>1</v>
          </cell>
          <cell r="W1369">
            <v>2</v>
          </cell>
          <cell r="X1369">
            <v>11</v>
          </cell>
          <cell r="Y1369">
            <v>0</v>
          </cell>
          <cell r="Z1369" t="str">
            <v>Young</v>
          </cell>
          <cell r="AA1369" t="str">
            <v>Low</v>
          </cell>
          <cell r="AB1369" t="str">
            <v>Mid</v>
          </cell>
          <cell r="AC1369" t="str">
            <v>Low</v>
          </cell>
          <cell r="AD1369">
            <v>1931</v>
          </cell>
        </row>
        <row r="1370">
          <cell r="A1370">
            <v>34</v>
          </cell>
          <cell r="B1370" t="str">
            <v>No</v>
          </cell>
          <cell r="C1370" t="str">
            <v>Research &amp; Development</v>
          </cell>
          <cell r="D1370">
            <v>22</v>
          </cell>
          <cell r="E1370">
            <v>4</v>
          </cell>
          <cell r="F1370" t="str">
            <v>Other</v>
          </cell>
          <cell r="G1370">
            <v>3</v>
          </cell>
          <cell r="H1370" t="str">
            <v>Male</v>
          </cell>
          <cell r="I1370">
            <v>2</v>
          </cell>
          <cell r="J1370">
            <v>2</v>
          </cell>
          <cell r="K1370" t="str">
            <v>Research Scientist</v>
          </cell>
          <cell r="L1370">
            <v>4</v>
          </cell>
          <cell r="M1370" t="str">
            <v>Married</v>
          </cell>
          <cell r="N1370">
            <v>5747</v>
          </cell>
          <cell r="O1370">
            <v>1</v>
          </cell>
          <cell r="P1370" t="str">
            <v>Yes</v>
          </cell>
          <cell r="Q1370">
            <v>2</v>
          </cell>
          <cell r="R1370">
            <v>16</v>
          </cell>
          <cell r="S1370">
            <v>3</v>
          </cell>
          <cell r="T1370">
            <v>15</v>
          </cell>
          <cell r="U1370">
            <v>10</v>
          </cell>
          <cell r="V1370">
            <v>6</v>
          </cell>
          <cell r="W1370">
            <v>11</v>
          </cell>
          <cell r="X1370">
            <v>15</v>
          </cell>
          <cell r="Y1370">
            <v>0</v>
          </cell>
          <cell r="Z1370" t="str">
            <v>Mid</v>
          </cell>
          <cell r="AA1370" t="str">
            <v>Medium</v>
          </cell>
          <cell r="AB1370" t="str">
            <v>Long</v>
          </cell>
          <cell r="AC1370" t="str">
            <v>Medium</v>
          </cell>
          <cell r="AD1370">
            <v>1932</v>
          </cell>
        </row>
        <row r="1371">
          <cell r="A1371">
            <v>28</v>
          </cell>
          <cell r="B1371" t="str">
            <v>Yes</v>
          </cell>
          <cell r="C1371" t="str">
            <v>Sales</v>
          </cell>
          <cell r="D1371">
            <v>13</v>
          </cell>
          <cell r="E1371">
            <v>2</v>
          </cell>
          <cell r="F1371" t="str">
            <v>Marketing</v>
          </cell>
          <cell r="G1371">
            <v>4</v>
          </cell>
          <cell r="H1371" t="str">
            <v>Female</v>
          </cell>
          <cell r="I1371">
            <v>3</v>
          </cell>
          <cell r="J1371">
            <v>2</v>
          </cell>
          <cell r="K1371" t="str">
            <v>Sales Executive</v>
          </cell>
          <cell r="L1371">
            <v>3</v>
          </cell>
          <cell r="M1371" t="str">
            <v>Single</v>
          </cell>
          <cell r="N1371">
            <v>9854</v>
          </cell>
          <cell r="O1371">
            <v>3</v>
          </cell>
          <cell r="P1371" t="str">
            <v>Yes</v>
          </cell>
          <cell r="Q1371">
            <v>4</v>
          </cell>
          <cell r="R1371">
            <v>6</v>
          </cell>
          <cell r="S1371">
            <v>3</v>
          </cell>
          <cell r="T1371">
            <v>2</v>
          </cell>
          <cell r="U1371">
            <v>0</v>
          </cell>
          <cell r="V1371">
            <v>2</v>
          </cell>
          <cell r="W1371">
            <v>2</v>
          </cell>
          <cell r="X1371">
            <v>11</v>
          </cell>
          <cell r="Y1371">
            <v>1</v>
          </cell>
          <cell r="Z1371" t="str">
            <v>Young</v>
          </cell>
          <cell r="AA1371" t="str">
            <v>Medium</v>
          </cell>
          <cell r="AB1371" t="str">
            <v>Early</v>
          </cell>
          <cell r="AC1371" t="str">
            <v>Low</v>
          </cell>
          <cell r="AD1371">
            <v>1933</v>
          </cell>
        </row>
        <row r="1372">
          <cell r="A1372">
            <v>47</v>
          </cell>
          <cell r="B1372" t="str">
            <v>No</v>
          </cell>
          <cell r="C1372" t="str">
            <v>Research &amp; Development</v>
          </cell>
          <cell r="D1372">
            <v>14</v>
          </cell>
          <cell r="E1372">
            <v>4</v>
          </cell>
          <cell r="F1372" t="str">
            <v>Technical Degree</v>
          </cell>
          <cell r="G1372">
            <v>3</v>
          </cell>
          <cell r="H1372" t="str">
            <v>Male</v>
          </cell>
          <cell r="I1372">
            <v>3</v>
          </cell>
          <cell r="J1372">
            <v>2</v>
          </cell>
          <cell r="K1372" t="str">
            <v>Research Scientist</v>
          </cell>
          <cell r="L1372">
            <v>2</v>
          </cell>
          <cell r="M1372" t="str">
            <v>Married</v>
          </cell>
          <cell r="N1372">
            <v>5467</v>
          </cell>
          <cell r="O1372">
            <v>8</v>
          </cell>
          <cell r="P1372" t="str">
            <v>No</v>
          </cell>
          <cell r="Q1372">
            <v>3</v>
          </cell>
          <cell r="R1372">
            <v>16</v>
          </cell>
          <cell r="S1372">
            <v>4</v>
          </cell>
          <cell r="T1372">
            <v>8</v>
          </cell>
          <cell r="U1372">
            <v>7</v>
          </cell>
          <cell r="V1372">
            <v>1</v>
          </cell>
          <cell r="W1372">
            <v>7</v>
          </cell>
          <cell r="X1372">
            <v>18</v>
          </cell>
          <cell r="Y1372">
            <v>0</v>
          </cell>
          <cell r="Z1372" t="str">
            <v>Senior</v>
          </cell>
          <cell r="AA1372" t="str">
            <v>Medium</v>
          </cell>
          <cell r="AB1372" t="str">
            <v>Long</v>
          </cell>
          <cell r="AC1372" t="str">
            <v>High</v>
          </cell>
          <cell r="AD1372">
            <v>1934</v>
          </cell>
        </row>
        <row r="1373">
          <cell r="A1373">
            <v>56</v>
          </cell>
          <cell r="B1373" t="str">
            <v>No</v>
          </cell>
          <cell r="C1373" t="str">
            <v>Sales</v>
          </cell>
          <cell r="D1373">
            <v>11</v>
          </cell>
          <cell r="E1373">
            <v>5</v>
          </cell>
          <cell r="F1373" t="str">
            <v>Marketing</v>
          </cell>
          <cell r="G1373">
            <v>4</v>
          </cell>
          <cell r="H1373" t="str">
            <v>Female</v>
          </cell>
          <cell r="I1373">
            <v>2</v>
          </cell>
          <cell r="J1373">
            <v>2</v>
          </cell>
          <cell r="K1373" t="str">
            <v>Sales Executive</v>
          </cell>
          <cell r="L1373">
            <v>1</v>
          </cell>
          <cell r="M1373" t="str">
            <v>Married</v>
          </cell>
          <cell r="N1373">
            <v>5380</v>
          </cell>
          <cell r="O1373">
            <v>4</v>
          </cell>
          <cell r="P1373" t="str">
            <v>No</v>
          </cell>
          <cell r="Q1373">
            <v>3</v>
          </cell>
          <cell r="R1373">
            <v>6</v>
          </cell>
          <cell r="S1373">
            <v>3</v>
          </cell>
          <cell r="T1373">
            <v>0</v>
          </cell>
          <cell r="U1373">
            <v>0</v>
          </cell>
          <cell r="V1373">
            <v>0</v>
          </cell>
          <cell r="W1373">
            <v>0</v>
          </cell>
          <cell r="X1373">
            <v>16</v>
          </cell>
          <cell r="Y1373">
            <v>0</v>
          </cell>
          <cell r="Z1373" t="str">
            <v>Senior</v>
          </cell>
          <cell r="AA1373" t="str">
            <v>Medium</v>
          </cell>
          <cell r="AB1373" t="str">
            <v>Early</v>
          </cell>
          <cell r="AC1373" t="str">
            <v>Medium</v>
          </cell>
          <cell r="AD1373">
            <v>1935</v>
          </cell>
        </row>
        <row r="1374">
          <cell r="A1374">
            <v>39</v>
          </cell>
          <cell r="B1374" t="str">
            <v>No</v>
          </cell>
          <cell r="C1374" t="str">
            <v>Research &amp; Development</v>
          </cell>
          <cell r="D1374">
            <v>9</v>
          </cell>
          <cell r="E1374">
            <v>2</v>
          </cell>
          <cell r="F1374" t="str">
            <v>Medical</v>
          </cell>
          <cell r="G1374">
            <v>1</v>
          </cell>
          <cell r="H1374" t="str">
            <v>Male</v>
          </cell>
          <cell r="I1374">
            <v>3</v>
          </cell>
          <cell r="J1374">
            <v>2</v>
          </cell>
          <cell r="K1374" t="str">
            <v>Manufacturing Director</v>
          </cell>
          <cell r="L1374">
            <v>1</v>
          </cell>
          <cell r="M1374" t="str">
            <v>Married</v>
          </cell>
          <cell r="N1374">
            <v>5151</v>
          </cell>
          <cell r="O1374">
            <v>1</v>
          </cell>
          <cell r="P1374" t="str">
            <v>No</v>
          </cell>
          <cell r="Q1374">
            <v>4</v>
          </cell>
          <cell r="R1374">
            <v>10</v>
          </cell>
          <cell r="S1374">
            <v>3</v>
          </cell>
          <cell r="T1374">
            <v>10</v>
          </cell>
          <cell r="U1374">
            <v>0</v>
          </cell>
          <cell r="V1374">
            <v>7</v>
          </cell>
          <cell r="W1374">
            <v>9</v>
          </cell>
          <cell r="X1374">
            <v>25</v>
          </cell>
          <cell r="Y1374">
            <v>0</v>
          </cell>
          <cell r="Z1374" t="str">
            <v>Mid</v>
          </cell>
          <cell r="AA1374" t="str">
            <v>Medium</v>
          </cell>
          <cell r="AB1374" t="str">
            <v>Long</v>
          </cell>
          <cell r="AC1374" t="str">
            <v>High</v>
          </cell>
          <cell r="AD1374">
            <v>1936</v>
          </cell>
        </row>
        <row r="1375">
          <cell r="A1375">
            <v>38</v>
          </cell>
          <cell r="B1375" t="str">
            <v>No</v>
          </cell>
          <cell r="C1375" t="str">
            <v>Research &amp; Development</v>
          </cell>
          <cell r="D1375">
            <v>8</v>
          </cell>
          <cell r="E1375">
            <v>3</v>
          </cell>
          <cell r="F1375" t="str">
            <v>Medical</v>
          </cell>
          <cell r="G1375">
            <v>4</v>
          </cell>
          <cell r="H1375" t="str">
            <v>Female</v>
          </cell>
          <cell r="I1375">
            <v>2</v>
          </cell>
          <cell r="J1375">
            <v>2</v>
          </cell>
          <cell r="K1375" t="str">
            <v>Research Scientist</v>
          </cell>
          <cell r="L1375">
            <v>2</v>
          </cell>
          <cell r="M1375" t="str">
            <v>Divorced</v>
          </cell>
          <cell r="N1375">
            <v>2133</v>
          </cell>
          <cell r="O1375">
            <v>1</v>
          </cell>
          <cell r="P1375" t="str">
            <v>Yes</v>
          </cell>
          <cell r="Q1375">
            <v>3</v>
          </cell>
          <cell r="R1375">
            <v>20</v>
          </cell>
          <cell r="S1375">
            <v>3</v>
          </cell>
          <cell r="T1375">
            <v>20</v>
          </cell>
          <cell r="U1375">
            <v>11</v>
          </cell>
          <cell r="V1375">
            <v>0</v>
          </cell>
          <cell r="W1375">
            <v>7</v>
          </cell>
          <cell r="X1375">
            <v>16</v>
          </cell>
          <cell r="Y1375">
            <v>0</v>
          </cell>
          <cell r="Z1375" t="str">
            <v>Mid</v>
          </cell>
          <cell r="AA1375" t="str">
            <v>Low</v>
          </cell>
          <cell r="AB1375" t="str">
            <v>Long</v>
          </cell>
          <cell r="AC1375" t="str">
            <v>Medium</v>
          </cell>
          <cell r="AD1375">
            <v>1937</v>
          </cell>
        </row>
        <row r="1376">
          <cell r="A1376">
            <v>58</v>
          </cell>
          <cell r="B1376" t="str">
            <v>No</v>
          </cell>
          <cell r="C1376" t="str">
            <v>Sales</v>
          </cell>
          <cell r="D1376">
            <v>21</v>
          </cell>
          <cell r="E1376">
            <v>3</v>
          </cell>
          <cell r="F1376" t="str">
            <v>Life Sciences</v>
          </cell>
          <cell r="G1376">
            <v>4</v>
          </cell>
          <cell r="H1376" t="str">
            <v>Female</v>
          </cell>
          <cell r="I1376">
            <v>3</v>
          </cell>
          <cell r="J1376">
            <v>4</v>
          </cell>
          <cell r="K1376" t="str">
            <v>Manager</v>
          </cell>
          <cell r="L1376">
            <v>4</v>
          </cell>
          <cell r="M1376" t="str">
            <v>Married</v>
          </cell>
          <cell r="N1376">
            <v>17875</v>
          </cell>
          <cell r="O1376">
            <v>4</v>
          </cell>
          <cell r="P1376" t="str">
            <v>Yes</v>
          </cell>
          <cell r="Q1376">
            <v>3</v>
          </cell>
          <cell r="R1376">
            <v>29</v>
          </cell>
          <cell r="S1376">
            <v>2</v>
          </cell>
          <cell r="T1376">
            <v>1</v>
          </cell>
          <cell r="U1376">
            <v>0</v>
          </cell>
          <cell r="V1376">
            <v>0</v>
          </cell>
          <cell r="W1376">
            <v>0</v>
          </cell>
          <cell r="X1376">
            <v>13</v>
          </cell>
          <cell r="Y1376">
            <v>0</v>
          </cell>
          <cell r="Z1376" t="str">
            <v>Senior</v>
          </cell>
          <cell r="AA1376" t="str">
            <v>High</v>
          </cell>
          <cell r="AB1376" t="str">
            <v>Early</v>
          </cell>
          <cell r="AC1376" t="str">
            <v>Medium</v>
          </cell>
          <cell r="AD1376">
            <v>1938</v>
          </cell>
        </row>
        <row r="1377">
          <cell r="A1377">
            <v>32</v>
          </cell>
          <cell r="B1377" t="str">
            <v>Yes</v>
          </cell>
          <cell r="C1377" t="str">
            <v>Research &amp; Development</v>
          </cell>
          <cell r="D1377">
            <v>5</v>
          </cell>
          <cell r="E1377">
            <v>2</v>
          </cell>
          <cell r="F1377" t="str">
            <v>Life Sciences</v>
          </cell>
          <cell r="G1377">
            <v>1</v>
          </cell>
          <cell r="H1377" t="str">
            <v>Female</v>
          </cell>
          <cell r="I1377">
            <v>4</v>
          </cell>
          <cell r="J1377">
            <v>1</v>
          </cell>
          <cell r="K1377" t="str">
            <v>Research Scientist</v>
          </cell>
          <cell r="L1377">
            <v>3</v>
          </cell>
          <cell r="M1377" t="str">
            <v>Single</v>
          </cell>
          <cell r="N1377">
            <v>2432</v>
          </cell>
          <cell r="O1377">
            <v>3</v>
          </cell>
          <cell r="P1377" t="str">
            <v>Yes</v>
          </cell>
          <cell r="Q1377">
            <v>1</v>
          </cell>
          <cell r="R1377">
            <v>8</v>
          </cell>
          <cell r="S1377">
            <v>3</v>
          </cell>
          <cell r="T1377">
            <v>4</v>
          </cell>
          <cell r="U1377">
            <v>1</v>
          </cell>
          <cell r="V1377">
            <v>0</v>
          </cell>
          <cell r="W1377">
            <v>3</v>
          </cell>
          <cell r="X1377">
            <v>14</v>
          </cell>
          <cell r="Y1377">
            <v>1</v>
          </cell>
          <cell r="Z1377" t="str">
            <v>Mid</v>
          </cell>
          <cell r="AA1377" t="str">
            <v>Low</v>
          </cell>
          <cell r="AB1377" t="str">
            <v>Mid</v>
          </cell>
          <cell r="AC1377" t="str">
            <v>Medium</v>
          </cell>
          <cell r="AD1377">
            <v>1939</v>
          </cell>
        </row>
        <row r="1378">
          <cell r="A1378">
            <v>38</v>
          </cell>
          <cell r="B1378" t="str">
            <v>No</v>
          </cell>
          <cell r="C1378" t="str">
            <v>Research &amp; Development</v>
          </cell>
          <cell r="D1378">
            <v>9</v>
          </cell>
          <cell r="E1378">
            <v>2</v>
          </cell>
          <cell r="F1378" t="str">
            <v>Life Sciences</v>
          </cell>
          <cell r="G1378">
            <v>2</v>
          </cell>
          <cell r="H1378" t="str">
            <v>Male</v>
          </cell>
          <cell r="I1378">
            <v>3</v>
          </cell>
          <cell r="J1378">
            <v>1</v>
          </cell>
          <cell r="K1378" t="str">
            <v>Research Scientist</v>
          </cell>
          <cell r="L1378">
            <v>4</v>
          </cell>
          <cell r="M1378" t="str">
            <v>Divorced</v>
          </cell>
          <cell r="N1378">
            <v>4771</v>
          </cell>
          <cell r="O1378">
            <v>2</v>
          </cell>
          <cell r="P1378" t="str">
            <v>No</v>
          </cell>
          <cell r="Q1378">
            <v>4</v>
          </cell>
          <cell r="R1378">
            <v>10</v>
          </cell>
          <cell r="S1378">
            <v>4</v>
          </cell>
          <cell r="T1378">
            <v>5</v>
          </cell>
          <cell r="U1378">
            <v>2</v>
          </cell>
          <cell r="V1378">
            <v>0</v>
          </cell>
          <cell r="W1378">
            <v>3</v>
          </cell>
          <cell r="X1378">
            <v>19</v>
          </cell>
          <cell r="Y1378">
            <v>0</v>
          </cell>
          <cell r="Z1378" t="str">
            <v>Mid</v>
          </cell>
          <cell r="AA1378" t="str">
            <v>Low</v>
          </cell>
          <cell r="AB1378" t="str">
            <v>Mid</v>
          </cell>
          <cell r="AC1378" t="str">
            <v>High</v>
          </cell>
          <cell r="AD1378">
            <v>1940</v>
          </cell>
        </row>
        <row r="1379">
          <cell r="A1379">
            <v>49</v>
          </cell>
          <cell r="B1379" t="str">
            <v>No</v>
          </cell>
          <cell r="C1379" t="str">
            <v>Research &amp; Development</v>
          </cell>
          <cell r="D1379">
            <v>2</v>
          </cell>
          <cell r="E1379">
            <v>1</v>
          </cell>
          <cell r="F1379" t="str">
            <v>Life Sciences</v>
          </cell>
          <cell r="G1379">
            <v>2</v>
          </cell>
          <cell r="H1379" t="str">
            <v>Male</v>
          </cell>
          <cell r="I1379">
            <v>3</v>
          </cell>
          <cell r="J1379">
            <v>5</v>
          </cell>
          <cell r="K1379" t="str">
            <v>Research Director</v>
          </cell>
          <cell r="L1379">
            <v>4</v>
          </cell>
          <cell r="M1379" t="str">
            <v>Married</v>
          </cell>
          <cell r="N1379">
            <v>19161</v>
          </cell>
          <cell r="O1379">
            <v>3</v>
          </cell>
          <cell r="P1379" t="str">
            <v>No</v>
          </cell>
          <cell r="Q1379">
            <v>4</v>
          </cell>
          <cell r="R1379">
            <v>28</v>
          </cell>
          <cell r="S1379">
            <v>3</v>
          </cell>
          <cell r="T1379">
            <v>5</v>
          </cell>
          <cell r="U1379">
            <v>4</v>
          </cell>
          <cell r="V1379">
            <v>4</v>
          </cell>
          <cell r="W1379">
            <v>3</v>
          </cell>
          <cell r="X1379">
            <v>15</v>
          </cell>
          <cell r="Y1379">
            <v>0</v>
          </cell>
          <cell r="Z1379" t="str">
            <v>Senior</v>
          </cell>
          <cell r="AA1379" t="str">
            <v>High</v>
          </cell>
          <cell r="AB1379" t="str">
            <v>Mid</v>
          </cell>
          <cell r="AC1379" t="str">
            <v>Medium</v>
          </cell>
          <cell r="AD1379">
            <v>1941</v>
          </cell>
        </row>
        <row r="1380">
          <cell r="A1380">
            <v>42</v>
          </cell>
          <cell r="B1380" t="str">
            <v>No</v>
          </cell>
          <cell r="C1380" t="str">
            <v>Sales</v>
          </cell>
          <cell r="D1380">
            <v>12</v>
          </cell>
          <cell r="E1380">
            <v>4</v>
          </cell>
          <cell r="F1380" t="str">
            <v>Marketing</v>
          </cell>
          <cell r="G1380">
            <v>2</v>
          </cell>
          <cell r="H1380" t="str">
            <v>Male</v>
          </cell>
          <cell r="I1380">
            <v>3</v>
          </cell>
          <cell r="J1380">
            <v>2</v>
          </cell>
          <cell r="K1380" t="str">
            <v>Sales Executive</v>
          </cell>
          <cell r="L1380">
            <v>4</v>
          </cell>
          <cell r="M1380" t="str">
            <v>Divorced</v>
          </cell>
          <cell r="N1380">
            <v>5087</v>
          </cell>
          <cell r="O1380">
            <v>3</v>
          </cell>
          <cell r="P1380" t="str">
            <v>Yes</v>
          </cell>
          <cell r="Q1380">
            <v>3</v>
          </cell>
          <cell r="R1380">
            <v>14</v>
          </cell>
          <cell r="S1380">
            <v>3</v>
          </cell>
          <cell r="T1380">
            <v>0</v>
          </cell>
          <cell r="U1380">
            <v>0</v>
          </cell>
          <cell r="V1380">
            <v>0</v>
          </cell>
          <cell r="W1380">
            <v>0</v>
          </cell>
          <cell r="X1380">
            <v>12</v>
          </cell>
          <cell r="Y1380">
            <v>0</v>
          </cell>
          <cell r="Z1380" t="str">
            <v>Mid</v>
          </cell>
          <cell r="AA1380" t="str">
            <v>Medium</v>
          </cell>
          <cell r="AB1380" t="str">
            <v>Early</v>
          </cell>
          <cell r="AC1380" t="str">
            <v>Low</v>
          </cell>
          <cell r="AD1380">
            <v>1943</v>
          </cell>
        </row>
        <row r="1381">
          <cell r="A1381">
            <v>27</v>
          </cell>
          <cell r="B1381" t="str">
            <v>Yes</v>
          </cell>
          <cell r="C1381" t="str">
            <v>Human Resources</v>
          </cell>
          <cell r="D1381">
            <v>22</v>
          </cell>
          <cell r="E1381">
            <v>3</v>
          </cell>
          <cell r="F1381" t="str">
            <v>Human Resources</v>
          </cell>
          <cell r="G1381">
            <v>1</v>
          </cell>
          <cell r="H1381" t="str">
            <v>Female</v>
          </cell>
          <cell r="I1381">
            <v>2</v>
          </cell>
          <cell r="J1381">
            <v>1</v>
          </cell>
          <cell r="K1381" t="str">
            <v>Human Resources</v>
          </cell>
          <cell r="L1381">
            <v>2</v>
          </cell>
          <cell r="M1381" t="str">
            <v>Married</v>
          </cell>
          <cell r="N1381">
            <v>2863</v>
          </cell>
          <cell r="O1381">
            <v>1</v>
          </cell>
          <cell r="P1381" t="str">
            <v>No</v>
          </cell>
          <cell r="Q1381">
            <v>1</v>
          </cell>
          <cell r="R1381">
            <v>1</v>
          </cell>
          <cell r="S1381">
            <v>3</v>
          </cell>
          <cell r="T1381">
            <v>1</v>
          </cell>
          <cell r="U1381">
            <v>0</v>
          </cell>
          <cell r="V1381">
            <v>0</v>
          </cell>
          <cell r="W1381">
            <v>0</v>
          </cell>
          <cell r="X1381">
            <v>12</v>
          </cell>
          <cell r="Y1381">
            <v>1</v>
          </cell>
          <cell r="Z1381" t="str">
            <v>Young</v>
          </cell>
          <cell r="AA1381" t="str">
            <v>Low</v>
          </cell>
          <cell r="AB1381" t="str">
            <v>Early</v>
          </cell>
          <cell r="AC1381" t="str">
            <v>Low</v>
          </cell>
          <cell r="AD1381">
            <v>1944</v>
          </cell>
        </row>
        <row r="1382">
          <cell r="A1382">
            <v>35</v>
          </cell>
          <cell r="B1382" t="str">
            <v>No</v>
          </cell>
          <cell r="C1382" t="str">
            <v>Sales</v>
          </cell>
          <cell r="D1382">
            <v>18</v>
          </cell>
          <cell r="E1382">
            <v>4</v>
          </cell>
          <cell r="F1382" t="str">
            <v>Medical</v>
          </cell>
          <cell r="G1382">
            <v>2</v>
          </cell>
          <cell r="H1382" t="str">
            <v>Male</v>
          </cell>
          <cell r="I1382">
            <v>3</v>
          </cell>
          <cell r="J1382">
            <v>2</v>
          </cell>
          <cell r="K1382" t="str">
            <v>Sales Executive</v>
          </cell>
          <cell r="L1382">
            <v>1</v>
          </cell>
          <cell r="M1382" t="str">
            <v>Married</v>
          </cell>
          <cell r="N1382">
            <v>5561</v>
          </cell>
          <cell r="O1382">
            <v>0</v>
          </cell>
          <cell r="P1382" t="str">
            <v>No</v>
          </cell>
          <cell r="Q1382">
            <v>4</v>
          </cell>
          <cell r="R1382">
            <v>6</v>
          </cell>
          <cell r="S1382">
            <v>1</v>
          </cell>
          <cell r="T1382">
            <v>5</v>
          </cell>
          <cell r="U1382">
            <v>3</v>
          </cell>
          <cell r="V1382">
            <v>0</v>
          </cell>
          <cell r="W1382">
            <v>4</v>
          </cell>
          <cell r="X1382">
            <v>16</v>
          </cell>
          <cell r="Y1382">
            <v>0</v>
          </cell>
          <cell r="Z1382" t="str">
            <v>Mid</v>
          </cell>
          <cell r="AA1382" t="str">
            <v>Medium</v>
          </cell>
          <cell r="AB1382" t="str">
            <v>Mid</v>
          </cell>
          <cell r="AC1382" t="str">
            <v>Medium</v>
          </cell>
          <cell r="AD1382">
            <v>1945</v>
          </cell>
        </row>
        <row r="1383">
          <cell r="A1383">
            <v>28</v>
          </cell>
          <cell r="B1383" t="str">
            <v>No</v>
          </cell>
          <cell r="C1383" t="str">
            <v>Research &amp; Development</v>
          </cell>
          <cell r="D1383">
            <v>16</v>
          </cell>
          <cell r="E1383">
            <v>3</v>
          </cell>
          <cell r="F1383" t="str">
            <v>Medical</v>
          </cell>
          <cell r="G1383">
            <v>3</v>
          </cell>
          <cell r="H1383" t="str">
            <v>Male</v>
          </cell>
          <cell r="I1383">
            <v>3</v>
          </cell>
          <cell r="J1383">
            <v>1</v>
          </cell>
          <cell r="K1383" t="str">
            <v>Research Scientist</v>
          </cell>
          <cell r="L1383">
            <v>3</v>
          </cell>
          <cell r="M1383" t="str">
            <v>Single</v>
          </cell>
          <cell r="N1383">
            <v>2144</v>
          </cell>
          <cell r="O1383">
            <v>1</v>
          </cell>
          <cell r="P1383" t="str">
            <v>No</v>
          </cell>
          <cell r="Q1383">
            <v>3</v>
          </cell>
          <cell r="R1383">
            <v>5</v>
          </cell>
          <cell r="S1383">
            <v>2</v>
          </cell>
          <cell r="T1383">
            <v>5</v>
          </cell>
          <cell r="U1383">
            <v>3</v>
          </cell>
          <cell r="V1383">
            <v>1</v>
          </cell>
          <cell r="W1383">
            <v>4</v>
          </cell>
          <cell r="X1383">
            <v>14</v>
          </cell>
          <cell r="Y1383">
            <v>0</v>
          </cell>
          <cell r="Z1383" t="str">
            <v>Young</v>
          </cell>
          <cell r="AA1383" t="str">
            <v>Low</v>
          </cell>
          <cell r="AB1383" t="str">
            <v>Mid</v>
          </cell>
          <cell r="AC1383" t="str">
            <v>Medium</v>
          </cell>
          <cell r="AD1383">
            <v>1947</v>
          </cell>
        </row>
        <row r="1384">
          <cell r="A1384">
            <v>31</v>
          </cell>
          <cell r="B1384" t="str">
            <v>No</v>
          </cell>
          <cell r="C1384" t="str">
            <v>Research &amp; Development</v>
          </cell>
          <cell r="D1384">
            <v>3</v>
          </cell>
          <cell r="E1384">
            <v>2</v>
          </cell>
          <cell r="F1384" t="str">
            <v>Medical</v>
          </cell>
          <cell r="G1384">
            <v>3</v>
          </cell>
          <cell r="H1384" t="str">
            <v>Male</v>
          </cell>
          <cell r="I1384">
            <v>3</v>
          </cell>
          <cell r="J1384">
            <v>1</v>
          </cell>
          <cell r="K1384" t="str">
            <v>Research Scientist</v>
          </cell>
          <cell r="L1384">
            <v>1</v>
          </cell>
          <cell r="M1384" t="str">
            <v>Divorced</v>
          </cell>
          <cell r="N1384">
            <v>3065</v>
          </cell>
          <cell r="O1384">
            <v>1</v>
          </cell>
          <cell r="P1384" t="str">
            <v>Yes</v>
          </cell>
          <cell r="Q1384">
            <v>4</v>
          </cell>
          <cell r="R1384">
            <v>4</v>
          </cell>
          <cell r="S1384">
            <v>4</v>
          </cell>
          <cell r="T1384">
            <v>4</v>
          </cell>
          <cell r="U1384">
            <v>2</v>
          </cell>
          <cell r="V1384">
            <v>2</v>
          </cell>
          <cell r="W1384">
            <v>3</v>
          </cell>
          <cell r="X1384">
            <v>13</v>
          </cell>
          <cell r="Y1384">
            <v>0</v>
          </cell>
          <cell r="Z1384" t="str">
            <v>Mid</v>
          </cell>
          <cell r="AA1384" t="str">
            <v>Low</v>
          </cell>
          <cell r="AB1384" t="str">
            <v>Mid</v>
          </cell>
          <cell r="AC1384" t="str">
            <v>Medium</v>
          </cell>
          <cell r="AD1384">
            <v>1948</v>
          </cell>
        </row>
        <row r="1385">
          <cell r="A1385">
            <v>36</v>
          </cell>
          <cell r="B1385" t="str">
            <v>No</v>
          </cell>
          <cell r="C1385" t="str">
            <v>Research &amp; Development</v>
          </cell>
          <cell r="D1385">
            <v>9</v>
          </cell>
          <cell r="E1385">
            <v>4</v>
          </cell>
          <cell r="F1385" t="str">
            <v>Life Sciences</v>
          </cell>
          <cell r="G1385">
            <v>1</v>
          </cell>
          <cell r="H1385" t="str">
            <v>Male</v>
          </cell>
          <cell r="I1385">
            <v>4</v>
          </cell>
          <cell r="J1385">
            <v>1</v>
          </cell>
          <cell r="K1385" t="str">
            <v>Laboratory Technician</v>
          </cell>
          <cell r="L1385">
            <v>2</v>
          </cell>
          <cell r="M1385" t="str">
            <v>Married</v>
          </cell>
          <cell r="N1385">
            <v>2810</v>
          </cell>
          <cell r="O1385">
            <v>1</v>
          </cell>
          <cell r="P1385" t="str">
            <v>No</v>
          </cell>
          <cell r="Q1385">
            <v>2</v>
          </cell>
          <cell r="R1385">
            <v>5</v>
          </cell>
          <cell r="S1385">
            <v>3</v>
          </cell>
          <cell r="T1385">
            <v>5</v>
          </cell>
          <cell r="U1385">
            <v>4</v>
          </cell>
          <cell r="V1385">
            <v>0</v>
          </cell>
          <cell r="W1385">
            <v>2</v>
          </cell>
          <cell r="X1385">
            <v>22</v>
          </cell>
          <cell r="Y1385">
            <v>0</v>
          </cell>
          <cell r="Z1385" t="str">
            <v>Mid</v>
          </cell>
          <cell r="AA1385" t="str">
            <v>Low</v>
          </cell>
          <cell r="AB1385" t="str">
            <v>Mid</v>
          </cell>
          <cell r="AC1385" t="str">
            <v>High</v>
          </cell>
          <cell r="AD1385">
            <v>1949</v>
          </cell>
        </row>
        <row r="1386">
          <cell r="A1386">
            <v>34</v>
          </cell>
          <cell r="B1386" t="str">
            <v>No</v>
          </cell>
          <cell r="C1386" t="str">
            <v>Sales</v>
          </cell>
          <cell r="D1386">
            <v>1</v>
          </cell>
          <cell r="E1386">
            <v>3</v>
          </cell>
          <cell r="F1386" t="str">
            <v>Marketing</v>
          </cell>
          <cell r="G1386">
            <v>1</v>
          </cell>
          <cell r="H1386" t="str">
            <v>Male</v>
          </cell>
          <cell r="I1386">
            <v>3</v>
          </cell>
          <cell r="J1386">
            <v>3</v>
          </cell>
          <cell r="K1386" t="str">
            <v>Sales Executive</v>
          </cell>
          <cell r="L1386">
            <v>4</v>
          </cell>
          <cell r="M1386" t="str">
            <v>Single</v>
          </cell>
          <cell r="N1386">
            <v>9888</v>
          </cell>
          <cell r="O1386">
            <v>1</v>
          </cell>
          <cell r="P1386" t="str">
            <v>No</v>
          </cell>
          <cell r="Q1386">
            <v>1</v>
          </cell>
          <cell r="R1386">
            <v>14</v>
          </cell>
          <cell r="S1386">
            <v>2</v>
          </cell>
          <cell r="T1386">
            <v>14</v>
          </cell>
          <cell r="U1386">
            <v>8</v>
          </cell>
          <cell r="V1386">
            <v>2</v>
          </cell>
          <cell r="W1386">
            <v>1</v>
          </cell>
          <cell r="X1386">
            <v>21</v>
          </cell>
          <cell r="Y1386">
            <v>0</v>
          </cell>
          <cell r="Z1386" t="str">
            <v>Mid</v>
          </cell>
          <cell r="AA1386" t="str">
            <v>Medium</v>
          </cell>
          <cell r="AB1386" t="str">
            <v>Long</v>
          </cell>
          <cell r="AC1386" t="str">
            <v>High</v>
          </cell>
          <cell r="AD1386">
            <v>1950</v>
          </cell>
        </row>
        <row r="1387">
          <cell r="A1387">
            <v>34</v>
          </cell>
          <cell r="B1387" t="str">
            <v>No</v>
          </cell>
          <cell r="C1387" t="str">
            <v>Sales</v>
          </cell>
          <cell r="D1387">
            <v>13</v>
          </cell>
          <cell r="E1387">
            <v>4</v>
          </cell>
          <cell r="F1387" t="str">
            <v>Medical</v>
          </cell>
          <cell r="G1387">
            <v>4</v>
          </cell>
          <cell r="H1387" t="str">
            <v>Male</v>
          </cell>
          <cell r="I1387">
            <v>3</v>
          </cell>
          <cell r="J1387">
            <v>3</v>
          </cell>
          <cell r="K1387" t="str">
            <v>Sales Executive</v>
          </cell>
          <cell r="L1387">
            <v>3</v>
          </cell>
          <cell r="M1387" t="str">
            <v>Divorced</v>
          </cell>
          <cell r="N1387">
            <v>8628</v>
          </cell>
          <cell r="O1387">
            <v>1</v>
          </cell>
          <cell r="P1387" t="str">
            <v>No</v>
          </cell>
          <cell r="Q1387">
            <v>3</v>
          </cell>
          <cell r="R1387">
            <v>9</v>
          </cell>
          <cell r="S1387">
            <v>2</v>
          </cell>
          <cell r="T1387">
            <v>8</v>
          </cell>
          <cell r="U1387">
            <v>7</v>
          </cell>
          <cell r="V1387">
            <v>1</v>
          </cell>
          <cell r="W1387">
            <v>1</v>
          </cell>
          <cell r="X1387">
            <v>18</v>
          </cell>
          <cell r="Y1387">
            <v>0</v>
          </cell>
          <cell r="Z1387" t="str">
            <v>Mid</v>
          </cell>
          <cell r="AA1387" t="str">
            <v>Medium</v>
          </cell>
          <cell r="AB1387" t="str">
            <v>Long</v>
          </cell>
          <cell r="AC1387" t="str">
            <v>High</v>
          </cell>
          <cell r="AD1387">
            <v>1951</v>
          </cell>
        </row>
        <row r="1388">
          <cell r="A1388">
            <v>26</v>
          </cell>
          <cell r="B1388" t="str">
            <v>No</v>
          </cell>
          <cell r="C1388" t="str">
            <v>Research &amp; Development</v>
          </cell>
          <cell r="D1388">
            <v>1</v>
          </cell>
          <cell r="E1388">
            <v>3</v>
          </cell>
          <cell r="F1388" t="str">
            <v>Medical</v>
          </cell>
          <cell r="G1388">
            <v>3</v>
          </cell>
          <cell r="H1388" t="str">
            <v>Male</v>
          </cell>
          <cell r="I1388">
            <v>3</v>
          </cell>
          <cell r="J1388">
            <v>1</v>
          </cell>
          <cell r="K1388" t="str">
            <v>Laboratory Technician</v>
          </cell>
          <cell r="L1388">
            <v>1</v>
          </cell>
          <cell r="M1388" t="str">
            <v>Single</v>
          </cell>
          <cell r="N1388">
            <v>2867</v>
          </cell>
          <cell r="O1388">
            <v>0</v>
          </cell>
          <cell r="P1388" t="str">
            <v>No</v>
          </cell>
          <cell r="Q1388">
            <v>4</v>
          </cell>
          <cell r="R1388">
            <v>8</v>
          </cell>
          <cell r="S1388">
            <v>2</v>
          </cell>
          <cell r="T1388">
            <v>7</v>
          </cell>
          <cell r="U1388">
            <v>7</v>
          </cell>
          <cell r="V1388">
            <v>7</v>
          </cell>
          <cell r="W1388">
            <v>6</v>
          </cell>
          <cell r="X1388">
            <v>13</v>
          </cell>
          <cell r="Y1388">
            <v>0</v>
          </cell>
          <cell r="Z1388" t="str">
            <v>Young</v>
          </cell>
          <cell r="AA1388" t="str">
            <v>Low</v>
          </cell>
          <cell r="AB1388" t="str">
            <v>Long</v>
          </cell>
          <cell r="AC1388" t="str">
            <v>Medium</v>
          </cell>
          <cell r="AD1388">
            <v>1952</v>
          </cell>
        </row>
        <row r="1389">
          <cell r="A1389">
            <v>29</v>
          </cell>
          <cell r="B1389" t="str">
            <v>No</v>
          </cell>
          <cell r="C1389" t="str">
            <v>Research &amp; Development</v>
          </cell>
          <cell r="D1389">
            <v>1</v>
          </cell>
          <cell r="E1389">
            <v>3</v>
          </cell>
          <cell r="F1389" t="str">
            <v>Life Sciences</v>
          </cell>
          <cell r="G1389">
            <v>1</v>
          </cell>
          <cell r="H1389" t="str">
            <v>Male</v>
          </cell>
          <cell r="I1389">
            <v>3</v>
          </cell>
          <cell r="J1389">
            <v>2</v>
          </cell>
          <cell r="K1389" t="str">
            <v>Healthcare Representative</v>
          </cell>
          <cell r="L1389">
            <v>1</v>
          </cell>
          <cell r="M1389" t="str">
            <v>Married</v>
          </cell>
          <cell r="N1389">
            <v>5373</v>
          </cell>
          <cell r="O1389">
            <v>0</v>
          </cell>
          <cell r="P1389" t="str">
            <v>No</v>
          </cell>
          <cell r="Q1389">
            <v>1</v>
          </cell>
          <cell r="R1389">
            <v>6</v>
          </cell>
          <cell r="S1389">
            <v>2</v>
          </cell>
          <cell r="T1389">
            <v>5</v>
          </cell>
          <cell r="U1389">
            <v>3</v>
          </cell>
          <cell r="V1389">
            <v>0</v>
          </cell>
          <cell r="W1389">
            <v>2</v>
          </cell>
          <cell r="X1389">
            <v>12</v>
          </cell>
          <cell r="Y1389">
            <v>0</v>
          </cell>
          <cell r="Z1389" t="str">
            <v>Young</v>
          </cell>
          <cell r="AA1389" t="str">
            <v>Medium</v>
          </cell>
          <cell r="AB1389" t="str">
            <v>Mid</v>
          </cell>
          <cell r="AC1389" t="str">
            <v>Low</v>
          </cell>
          <cell r="AD1389">
            <v>1954</v>
          </cell>
        </row>
        <row r="1390">
          <cell r="A1390">
            <v>32</v>
          </cell>
          <cell r="B1390" t="str">
            <v>No</v>
          </cell>
          <cell r="C1390" t="str">
            <v>Research &amp; Development</v>
          </cell>
          <cell r="D1390">
            <v>15</v>
          </cell>
          <cell r="E1390">
            <v>4</v>
          </cell>
          <cell r="F1390" t="str">
            <v>Medical</v>
          </cell>
          <cell r="G1390">
            <v>3</v>
          </cell>
          <cell r="H1390" t="str">
            <v>Female</v>
          </cell>
          <cell r="I1390">
            <v>3</v>
          </cell>
          <cell r="J1390">
            <v>2</v>
          </cell>
          <cell r="K1390" t="str">
            <v>Healthcare Representative</v>
          </cell>
          <cell r="L1390">
            <v>4</v>
          </cell>
          <cell r="M1390" t="str">
            <v>Divorced</v>
          </cell>
          <cell r="N1390">
            <v>6667</v>
          </cell>
          <cell r="O1390">
            <v>5</v>
          </cell>
          <cell r="P1390" t="str">
            <v>No</v>
          </cell>
          <cell r="Q1390">
            <v>2</v>
          </cell>
          <cell r="R1390">
            <v>9</v>
          </cell>
          <cell r="S1390">
            <v>3</v>
          </cell>
          <cell r="T1390">
            <v>5</v>
          </cell>
          <cell r="U1390">
            <v>1</v>
          </cell>
          <cell r="V1390">
            <v>1</v>
          </cell>
          <cell r="W1390">
            <v>2</v>
          </cell>
          <cell r="X1390">
            <v>18</v>
          </cell>
          <cell r="Y1390">
            <v>0</v>
          </cell>
          <cell r="Z1390" t="str">
            <v>Mid</v>
          </cell>
          <cell r="AA1390" t="str">
            <v>Medium</v>
          </cell>
          <cell r="AB1390" t="str">
            <v>Mid</v>
          </cell>
          <cell r="AC1390" t="str">
            <v>High</v>
          </cell>
          <cell r="AD1390">
            <v>1955</v>
          </cell>
        </row>
        <row r="1391">
          <cell r="A1391">
            <v>31</v>
          </cell>
          <cell r="B1391" t="str">
            <v>No</v>
          </cell>
          <cell r="C1391" t="str">
            <v>Research &amp; Development</v>
          </cell>
          <cell r="D1391">
            <v>1</v>
          </cell>
          <cell r="E1391">
            <v>3</v>
          </cell>
          <cell r="F1391" t="str">
            <v>Life Sciences</v>
          </cell>
          <cell r="G1391">
            <v>4</v>
          </cell>
          <cell r="H1391" t="str">
            <v>Male</v>
          </cell>
          <cell r="I1391">
            <v>1</v>
          </cell>
          <cell r="J1391">
            <v>2</v>
          </cell>
          <cell r="K1391" t="str">
            <v>Research Scientist</v>
          </cell>
          <cell r="L1391">
            <v>1</v>
          </cell>
          <cell r="M1391" t="str">
            <v>Married</v>
          </cell>
          <cell r="N1391">
            <v>5003</v>
          </cell>
          <cell r="O1391">
            <v>1</v>
          </cell>
          <cell r="P1391" t="str">
            <v>No</v>
          </cell>
          <cell r="Q1391">
            <v>2</v>
          </cell>
          <cell r="R1391">
            <v>10</v>
          </cell>
          <cell r="S1391">
            <v>3</v>
          </cell>
          <cell r="T1391">
            <v>10</v>
          </cell>
          <cell r="U1391">
            <v>8</v>
          </cell>
          <cell r="V1391">
            <v>8</v>
          </cell>
          <cell r="W1391">
            <v>7</v>
          </cell>
          <cell r="X1391">
            <v>21</v>
          </cell>
          <cell r="Y1391">
            <v>0</v>
          </cell>
          <cell r="Z1391" t="str">
            <v>Mid</v>
          </cell>
          <cell r="AA1391" t="str">
            <v>Medium</v>
          </cell>
          <cell r="AB1391" t="str">
            <v>Long</v>
          </cell>
          <cell r="AC1391" t="str">
            <v>High</v>
          </cell>
          <cell r="AD1391">
            <v>1956</v>
          </cell>
        </row>
        <row r="1392">
          <cell r="A1392">
            <v>28</v>
          </cell>
          <cell r="B1392" t="str">
            <v>Yes</v>
          </cell>
          <cell r="C1392" t="str">
            <v>Research &amp; Development</v>
          </cell>
          <cell r="D1392">
            <v>17</v>
          </cell>
          <cell r="E1392">
            <v>3</v>
          </cell>
          <cell r="F1392" t="str">
            <v>Technical Degree</v>
          </cell>
          <cell r="G1392">
            <v>3</v>
          </cell>
          <cell r="H1392" t="str">
            <v>Male</v>
          </cell>
          <cell r="I1392">
            <v>2</v>
          </cell>
          <cell r="J1392">
            <v>1</v>
          </cell>
          <cell r="K1392" t="str">
            <v>Laboratory Technician</v>
          </cell>
          <cell r="L1392">
            <v>4</v>
          </cell>
          <cell r="M1392" t="str">
            <v>Divorced</v>
          </cell>
          <cell r="N1392">
            <v>2367</v>
          </cell>
          <cell r="O1392">
            <v>5</v>
          </cell>
          <cell r="P1392" t="str">
            <v>No</v>
          </cell>
          <cell r="Q1392">
            <v>1</v>
          </cell>
          <cell r="R1392">
            <v>6</v>
          </cell>
          <cell r="S1392">
            <v>2</v>
          </cell>
          <cell r="T1392">
            <v>4</v>
          </cell>
          <cell r="U1392">
            <v>1</v>
          </cell>
          <cell r="V1392">
            <v>0</v>
          </cell>
          <cell r="W1392">
            <v>3</v>
          </cell>
          <cell r="X1392">
            <v>12</v>
          </cell>
          <cell r="Y1392">
            <v>1</v>
          </cell>
          <cell r="Z1392" t="str">
            <v>Young</v>
          </cell>
          <cell r="AA1392" t="str">
            <v>Low</v>
          </cell>
          <cell r="AB1392" t="str">
            <v>Mid</v>
          </cell>
          <cell r="AC1392" t="str">
            <v>Low</v>
          </cell>
          <cell r="AD1392">
            <v>1960</v>
          </cell>
        </row>
        <row r="1393">
          <cell r="A1393">
            <v>38</v>
          </cell>
          <cell r="B1393" t="str">
            <v>No</v>
          </cell>
          <cell r="C1393" t="str">
            <v>Sales</v>
          </cell>
          <cell r="D1393">
            <v>1</v>
          </cell>
          <cell r="E1393">
            <v>3</v>
          </cell>
          <cell r="F1393" t="str">
            <v>Life Sciences</v>
          </cell>
          <cell r="G1393">
            <v>1</v>
          </cell>
          <cell r="H1393" t="str">
            <v>Male</v>
          </cell>
          <cell r="I1393">
            <v>2</v>
          </cell>
          <cell r="J1393">
            <v>1</v>
          </cell>
          <cell r="K1393" t="str">
            <v>Sales Representative</v>
          </cell>
          <cell r="L1393">
            <v>1</v>
          </cell>
          <cell r="M1393" t="str">
            <v>Single</v>
          </cell>
          <cell r="N1393">
            <v>2858</v>
          </cell>
          <cell r="O1393">
            <v>4</v>
          </cell>
          <cell r="P1393" t="str">
            <v>No</v>
          </cell>
          <cell r="Q1393">
            <v>1</v>
          </cell>
          <cell r="R1393">
            <v>20</v>
          </cell>
          <cell r="S1393">
            <v>2</v>
          </cell>
          <cell r="T1393">
            <v>1</v>
          </cell>
          <cell r="U1393">
            <v>0</v>
          </cell>
          <cell r="V1393">
            <v>0</v>
          </cell>
          <cell r="W1393">
            <v>0</v>
          </cell>
          <cell r="X1393">
            <v>14</v>
          </cell>
          <cell r="Y1393">
            <v>0</v>
          </cell>
          <cell r="Z1393" t="str">
            <v>Mid</v>
          </cell>
          <cell r="AA1393" t="str">
            <v>Low</v>
          </cell>
          <cell r="AB1393" t="str">
            <v>Early</v>
          </cell>
          <cell r="AC1393" t="str">
            <v>Medium</v>
          </cell>
          <cell r="AD1393">
            <v>1961</v>
          </cell>
        </row>
        <row r="1394">
          <cell r="A1394">
            <v>35</v>
          </cell>
          <cell r="B1394" t="str">
            <v>No</v>
          </cell>
          <cell r="C1394" t="str">
            <v>Sales</v>
          </cell>
          <cell r="D1394">
            <v>7</v>
          </cell>
          <cell r="E1394">
            <v>4</v>
          </cell>
          <cell r="F1394" t="str">
            <v>Life Sciences</v>
          </cell>
          <cell r="G1394">
            <v>3</v>
          </cell>
          <cell r="H1394" t="str">
            <v>Female</v>
          </cell>
          <cell r="I1394">
            <v>3</v>
          </cell>
          <cell r="J1394">
            <v>2</v>
          </cell>
          <cell r="K1394" t="str">
            <v>Sales Executive</v>
          </cell>
          <cell r="L1394">
            <v>4</v>
          </cell>
          <cell r="M1394" t="str">
            <v>Married</v>
          </cell>
          <cell r="N1394">
            <v>5204</v>
          </cell>
          <cell r="O1394">
            <v>1</v>
          </cell>
          <cell r="P1394" t="str">
            <v>Yes</v>
          </cell>
          <cell r="Q1394">
            <v>4</v>
          </cell>
          <cell r="R1394">
            <v>10</v>
          </cell>
          <cell r="S1394">
            <v>3</v>
          </cell>
          <cell r="T1394">
            <v>10</v>
          </cell>
          <cell r="U1394">
            <v>8</v>
          </cell>
          <cell r="V1394">
            <v>0</v>
          </cell>
          <cell r="W1394">
            <v>9</v>
          </cell>
          <cell r="X1394">
            <v>11</v>
          </cell>
          <cell r="Y1394">
            <v>0</v>
          </cell>
          <cell r="Z1394" t="str">
            <v>Mid</v>
          </cell>
          <cell r="AA1394" t="str">
            <v>Medium</v>
          </cell>
          <cell r="AB1394" t="str">
            <v>Long</v>
          </cell>
          <cell r="AC1394" t="str">
            <v>Low</v>
          </cell>
          <cell r="AD1394">
            <v>1962</v>
          </cell>
        </row>
        <row r="1395">
          <cell r="A1395">
            <v>27</v>
          </cell>
          <cell r="B1395" t="str">
            <v>No</v>
          </cell>
          <cell r="C1395" t="str">
            <v>Sales</v>
          </cell>
          <cell r="D1395">
            <v>9</v>
          </cell>
          <cell r="E1395">
            <v>3</v>
          </cell>
          <cell r="F1395" t="str">
            <v>Marketing</v>
          </cell>
          <cell r="G1395">
            <v>4</v>
          </cell>
          <cell r="H1395" t="str">
            <v>Male</v>
          </cell>
          <cell r="I1395">
            <v>3</v>
          </cell>
          <cell r="J1395">
            <v>2</v>
          </cell>
          <cell r="K1395" t="str">
            <v>Sales Executive</v>
          </cell>
          <cell r="L1395">
            <v>4</v>
          </cell>
          <cell r="M1395" t="str">
            <v>Single</v>
          </cell>
          <cell r="N1395">
            <v>4105</v>
          </cell>
          <cell r="O1395">
            <v>1</v>
          </cell>
          <cell r="P1395" t="str">
            <v>No</v>
          </cell>
          <cell r="Q1395">
            <v>1</v>
          </cell>
          <cell r="R1395">
            <v>7</v>
          </cell>
          <cell r="S1395">
            <v>3</v>
          </cell>
          <cell r="T1395">
            <v>7</v>
          </cell>
          <cell r="U1395">
            <v>7</v>
          </cell>
          <cell r="V1395">
            <v>0</v>
          </cell>
          <cell r="W1395">
            <v>7</v>
          </cell>
          <cell r="X1395">
            <v>14</v>
          </cell>
          <cell r="Y1395">
            <v>0</v>
          </cell>
          <cell r="Z1395" t="str">
            <v>Young</v>
          </cell>
          <cell r="AA1395" t="str">
            <v>Low</v>
          </cell>
          <cell r="AB1395" t="str">
            <v>Long</v>
          </cell>
          <cell r="AC1395" t="str">
            <v>Medium</v>
          </cell>
          <cell r="AD1395">
            <v>1965</v>
          </cell>
        </row>
        <row r="1396">
          <cell r="A1396">
            <v>32</v>
          </cell>
          <cell r="B1396" t="str">
            <v>No</v>
          </cell>
          <cell r="C1396" t="str">
            <v>Research &amp; Development</v>
          </cell>
          <cell r="D1396">
            <v>5</v>
          </cell>
          <cell r="E1396">
            <v>4</v>
          </cell>
          <cell r="F1396" t="str">
            <v>Life Sciences</v>
          </cell>
          <cell r="G1396">
            <v>4</v>
          </cell>
          <cell r="H1396" t="str">
            <v>Male</v>
          </cell>
          <cell r="I1396">
            <v>2</v>
          </cell>
          <cell r="J1396">
            <v>2</v>
          </cell>
          <cell r="K1396" t="str">
            <v>Manufacturing Director</v>
          </cell>
          <cell r="L1396">
            <v>4</v>
          </cell>
          <cell r="M1396" t="str">
            <v>Single</v>
          </cell>
          <cell r="N1396">
            <v>9679</v>
          </cell>
          <cell r="O1396">
            <v>8</v>
          </cell>
          <cell r="P1396" t="str">
            <v>No</v>
          </cell>
          <cell r="Q1396">
            <v>2</v>
          </cell>
          <cell r="R1396">
            <v>8</v>
          </cell>
          <cell r="S1396">
            <v>3</v>
          </cell>
          <cell r="T1396">
            <v>1</v>
          </cell>
          <cell r="U1396">
            <v>0</v>
          </cell>
          <cell r="V1396">
            <v>0</v>
          </cell>
          <cell r="W1396">
            <v>0</v>
          </cell>
          <cell r="X1396">
            <v>24</v>
          </cell>
          <cell r="Y1396">
            <v>0</v>
          </cell>
          <cell r="Z1396" t="str">
            <v>Mid</v>
          </cell>
          <cell r="AA1396" t="str">
            <v>Medium</v>
          </cell>
          <cell r="AB1396" t="str">
            <v>Early</v>
          </cell>
          <cell r="AC1396" t="str">
            <v>High</v>
          </cell>
          <cell r="AD1396">
            <v>1966</v>
          </cell>
        </row>
        <row r="1397">
          <cell r="A1397">
            <v>31</v>
          </cell>
          <cell r="B1397" t="str">
            <v>Yes</v>
          </cell>
          <cell r="C1397" t="str">
            <v>Sales</v>
          </cell>
          <cell r="D1397">
            <v>26</v>
          </cell>
          <cell r="E1397">
            <v>4</v>
          </cell>
          <cell r="F1397" t="str">
            <v>Marketing</v>
          </cell>
          <cell r="G1397">
            <v>1</v>
          </cell>
          <cell r="H1397" t="str">
            <v>Male</v>
          </cell>
          <cell r="I1397">
            <v>3</v>
          </cell>
          <cell r="J1397">
            <v>2</v>
          </cell>
          <cell r="K1397" t="str">
            <v>Sales Executive</v>
          </cell>
          <cell r="L1397">
            <v>4</v>
          </cell>
          <cell r="M1397" t="str">
            <v>Married</v>
          </cell>
          <cell r="N1397">
            <v>5617</v>
          </cell>
          <cell r="O1397">
            <v>1</v>
          </cell>
          <cell r="P1397" t="str">
            <v>Yes</v>
          </cell>
          <cell r="Q1397">
            <v>3</v>
          </cell>
          <cell r="R1397">
            <v>10</v>
          </cell>
          <cell r="S1397">
            <v>3</v>
          </cell>
          <cell r="T1397">
            <v>10</v>
          </cell>
          <cell r="U1397">
            <v>7</v>
          </cell>
          <cell r="V1397">
            <v>0</v>
          </cell>
          <cell r="W1397">
            <v>8</v>
          </cell>
          <cell r="X1397">
            <v>11</v>
          </cell>
          <cell r="Y1397">
            <v>1</v>
          </cell>
          <cell r="Z1397" t="str">
            <v>Mid</v>
          </cell>
          <cell r="AA1397" t="str">
            <v>Medium</v>
          </cell>
          <cell r="AB1397" t="str">
            <v>Long</v>
          </cell>
          <cell r="AC1397" t="str">
            <v>Low</v>
          </cell>
          <cell r="AD1397">
            <v>1967</v>
          </cell>
        </row>
        <row r="1398">
          <cell r="A1398">
            <v>53</v>
          </cell>
          <cell r="B1398" t="str">
            <v>Yes</v>
          </cell>
          <cell r="C1398" t="str">
            <v>Sales</v>
          </cell>
          <cell r="D1398">
            <v>24</v>
          </cell>
          <cell r="E1398">
            <v>4</v>
          </cell>
          <cell r="F1398" t="str">
            <v>Life Sciences</v>
          </cell>
          <cell r="G1398">
            <v>1</v>
          </cell>
          <cell r="H1398" t="str">
            <v>Male</v>
          </cell>
          <cell r="I1398">
            <v>3</v>
          </cell>
          <cell r="J1398">
            <v>3</v>
          </cell>
          <cell r="K1398" t="str">
            <v>Sales Executive</v>
          </cell>
          <cell r="L1398">
            <v>1</v>
          </cell>
          <cell r="M1398" t="str">
            <v>Single</v>
          </cell>
          <cell r="N1398">
            <v>10448</v>
          </cell>
          <cell r="O1398">
            <v>6</v>
          </cell>
          <cell r="P1398" t="str">
            <v>Yes</v>
          </cell>
          <cell r="Q1398">
            <v>2</v>
          </cell>
          <cell r="R1398">
            <v>15</v>
          </cell>
          <cell r="S1398">
            <v>2</v>
          </cell>
          <cell r="T1398">
            <v>2</v>
          </cell>
          <cell r="U1398">
            <v>2</v>
          </cell>
          <cell r="V1398">
            <v>2</v>
          </cell>
          <cell r="W1398">
            <v>2</v>
          </cell>
          <cell r="X1398">
            <v>13</v>
          </cell>
          <cell r="Y1398">
            <v>1</v>
          </cell>
          <cell r="Z1398" t="str">
            <v>Senior</v>
          </cell>
          <cell r="AA1398" t="str">
            <v>High</v>
          </cell>
          <cell r="AB1398" t="str">
            <v>Early</v>
          </cell>
          <cell r="AC1398" t="str">
            <v>Medium</v>
          </cell>
          <cell r="AD1398">
            <v>1968</v>
          </cell>
        </row>
        <row r="1399">
          <cell r="A1399">
            <v>54</v>
          </cell>
          <cell r="B1399" t="str">
            <v>No</v>
          </cell>
          <cell r="C1399" t="str">
            <v>Research &amp; Development</v>
          </cell>
          <cell r="D1399">
            <v>9</v>
          </cell>
          <cell r="E1399">
            <v>2</v>
          </cell>
          <cell r="F1399" t="str">
            <v>Life Sciences</v>
          </cell>
          <cell r="G1399">
            <v>1</v>
          </cell>
          <cell r="H1399" t="str">
            <v>Female</v>
          </cell>
          <cell r="I1399">
            <v>3</v>
          </cell>
          <cell r="J1399">
            <v>2</v>
          </cell>
          <cell r="K1399" t="str">
            <v>Research Scientist</v>
          </cell>
          <cell r="L1399">
            <v>3</v>
          </cell>
          <cell r="M1399" t="str">
            <v>Married</v>
          </cell>
          <cell r="N1399">
            <v>2897</v>
          </cell>
          <cell r="O1399">
            <v>3</v>
          </cell>
          <cell r="P1399" t="str">
            <v>No</v>
          </cell>
          <cell r="Q1399">
            <v>3</v>
          </cell>
          <cell r="R1399">
            <v>9</v>
          </cell>
          <cell r="S1399">
            <v>2</v>
          </cell>
          <cell r="T1399">
            <v>4</v>
          </cell>
          <cell r="U1399">
            <v>3</v>
          </cell>
          <cell r="V1399">
            <v>2</v>
          </cell>
          <cell r="W1399">
            <v>3</v>
          </cell>
          <cell r="X1399">
            <v>11</v>
          </cell>
          <cell r="Y1399">
            <v>0</v>
          </cell>
          <cell r="Z1399" t="str">
            <v>Senior</v>
          </cell>
          <cell r="AA1399" t="str">
            <v>Low</v>
          </cell>
          <cell r="AB1399" t="str">
            <v>Mid</v>
          </cell>
          <cell r="AC1399" t="str">
            <v>Low</v>
          </cell>
          <cell r="AD1399">
            <v>1969</v>
          </cell>
        </row>
        <row r="1400">
          <cell r="A1400">
            <v>33</v>
          </cell>
          <cell r="B1400" t="str">
            <v>No</v>
          </cell>
          <cell r="C1400" t="str">
            <v>Research &amp; Development</v>
          </cell>
          <cell r="D1400">
            <v>7</v>
          </cell>
          <cell r="E1400">
            <v>2</v>
          </cell>
          <cell r="F1400" t="str">
            <v>Life Sciences</v>
          </cell>
          <cell r="G1400">
            <v>4</v>
          </cell>
          <cell r="H1400" t="str">
            <v>Male</v>
          </cell>
          <cell r="I1400">
            <v>3</v>
          </cell>
          <cell r="J1400">
            <v>2</v>
          </cell>
          <cell r="K1400" t="str">
            <v>Healthcare Representative</v>
          </cell>
          <cell r="L1400">
            <v>3</v>
          </cell>
          <cell r="M1400" t="str">
            <v>Divorced</v>
          </cell>
          <cell r="N1400">
            <v>5968</v>
          </cell>
          <cell r="O1400">
            <v>1</v>
          </cell>
          <cell r="P1400" t="str">
            <v>No</v>
          </cell>
          <cell r="Q1400">
            <v>3</v>
          </cell>
          <cell r="R1400">
            <v>9</v>
          </cell>
          <cell r="S1400">
            <v>3</v>
          </cell>
          <cell r="T1400">
            <v>9</v>
          </cell>
          <cell r="U1400">
            <v>7</v>
          </cell>
          <cell r="V1400">
            <v>2</v>
          </cell>
          <cell r="W1400">
            <v>8</v>
          </cell>
          <cell r="X1400">
            <v>20</v>
          </cell>
          <cell r="Y1400">
            <v>0</v>
          </cell>
          <cell r="Z1400" t="str">
            <v>Mid</v>
          </cell>
          <cell r="AA1400" t="str">
            <v>Medium</v>
          </cell>
          <cell r="AB1400" t="str">
            <v>Long</v>
          </cell>
          <cell r="AC1400" t="str">
            <v>High</v>
          </cell>
          <cell r="AD1400">
            <v>1970</v>
          </cell>
        </row>
        <row r="1401">
          <cell r="A1401">
            <v>43</v>
          </cell>
          <cell r="B1401" t="str">
            <v>No</v>
          </cell>
          <cell r="C1401" t="str">
            <v>Research &amp; Development</v>
          </cell>
          <cell r="D1401">
            <v>11</v>
          </cell>
          <cell r="E1401">
            <v>3</v>
          </cell>
          <cell r="F1401" t="str">
            <v>Life Sciences</v>
          </cell>
          <cell r="G1401">
            <v>1</v>
          </cell>
          <cell r="H1401" t="str">
            <v>Male</v>
          </cell>
          <cell r="I1401">
            <v>3</v>
          </cell>
          <cell r="J1401">
            <v>3</v>
          </cell>
          <cell r="K1401" t="str">
            <v>Healthcare Representative</v>
          </cell>
          <cell r="L1401">
            <v>3</v>
          </cell>
          <cell r="M1401" t="str">
            <v>Married</v>
          </cell>
          <cell r="N1401">
            <v>7510</v>
          </cell>
          <cell r="O1401">
            <v>1</v>
          </cell>
          <cell r="P1401" t="str">
            <v>No</v>
          </cell>
          <cell r="Q1401">
            <v>2</v>
          </cell>
          <cell r="R1401">
            <v>10</v>
          </cell>
          <cell r="S1401">
            <v>3</v>
          </cell>
          <cell r="T1401">
            <v>10</v>
          </cell>
          <cell r="U1401">
            <v>9</v>
          </cell>
          <cell r="V1401">
            <v>0</v>
          </cell>
          <cell r="W1401">
            <v>9</v>
          </cell>
          <cell r="X1401">
            <v>17</v>
          </cell>
          <cell r="Y1401">
            <v>0</v>
          </cell>
          <cell r="Z1401" t="str">
            <v>Mid</v>
          </cell>
          <cell r="AA1401" t="str">
            <v>Medium</v>
          </cell>
          <cell r="AB1401" t="str">
            <v>Long</v>
          </cell>
          <cell r="AC1401" t="str">
            <v>Medium</v>
          </cell>
          <cell r="AD1401">
            <v>1971</v>
          </cell>
        </row>
        <row r="1402">
          <cell r="A1402">
            <v>38</v>
          </cell>
          <cell r="B1402" t="str">
            <v>No</v>
          </cell>
          <cell r="C1402" t="str">
            <v>Human Resources</v>
          </cell>
          <cell r="D1402">
            <v>1</v>
          </cell>
          <cell r="E1402">
            <v>4</v>
          </cell>
          <cell r="F1402" t="str">
            <v>Other</v>
          </cell>
          <cell r="G1402">
            <v>4</v>
          </cell>
          <cell r="H1402" t="str">
            <v>Male</v>
          </cell>
          <cell r="I1402">
            <v>3</v>
          </cell>
          <cell r="J1402">
            <v>1</v>
          </cell>
          <cell r="K1402" t="str">
            <v>Human Resources</v>
          </cell>
          <cell r="L1402">
            <v>2</v>
          </cell>
          <cell r="M1402" t="str">
            <v>Married</v>
          </cell>
          <cell r="N1402">
            <v>2991</v>
          </cell>
          <cell r="O1402">
            <v>0</v>
          </cell>
          <cell r="P1402" t="str">
            <v>Yes</v>
          </cell>
          <cell r="Q1402">
            <v>2</v>
          </cell>
          <cell r="R1402">
            <v>7</v>
          </cell>
          <cell r="S1402">
            <v>3</v>
          </cell>
          <cell r="T1402">
            <v>6</v>
          </cell>
          <cell r="U1402">
            <v>2</v>
          </cell>
          <cell r="V1402">
            <v>1</v>
          </cell>
          <cell r="W1402">
            <v>2</v>
          </cell>
          <cell r="X1402">
            <v>11</v>
          </cell>
          <cell r="Y1402">
            <v>0</v>
          </cell>
          <cell r="Z1402" t="str">
            <v>Mid</v>
          </cell>
          <cell r="AA1402" t="str">
            <v>Low</v>
          </cell>
          <cell r="AB1402" t="str">
            <v>Mid</v>
          </cell>
          <cell r="AC1402" t="str">
            <v>Low</v>
          </cell>
          <cell r="AD1402">
            <v>1972</v>
          </cell>
        </row>
        <row r="1403">
          <cell r="A1403">
            <v>55</v>
          </cell>
          <cell r="B1403" t="str">
            <v>No</v>
          </cell>
          <cell r="C1403" t="str">
            <v>Human Resources</v>
          </cell>
          <cell r="D1403">
            <v>26</v>
          </cell>
          <cell r="E1403">
            <v>4</v>
          </cell>
          <cell r="F1403" t="str">
            <v>Human Resources</v>
          </cell>
          <cell r="G1403">
            <v>3</v>
          </cell>
          <cell r="H1403" t="str">
            <v>Male</v>
          </cell>
          <cell r="I1403">
            <v>4</v>
          </cell>
          <cell r="J1403">
            <v>5</v>
          </cell>
          <cell r="K1403" t="str">
            <v>Manager</v>
          </cell>
          <cell r="L1403">
            <v>2</v>
          </cell>
          <cell r="M1403" t="str">
            <v>Married</v>
          </cell>
          <cell r="N1403">
            <v>19636</v>
          </cell>
          <cell r="O1403">
            <v>4</v>
          </cell>
          <cell r="P1403" t="str">
            <v>Yes</v>
          </cell>
          <cell r="Q1403">
            <v>1</v>
          </cell>
          <cell r="R1403">
            <v>35</v>
          </cell>
          <cell r="S1403">
            <v>3</v>
          </cell>
          <cell r="T1403">
            <v>10</v>
          </cell>
          <cell r="U1403">
            <v>9</v>
          </cell>
          <cell r="V1403">
            <v>1</v>
          </cell>
          <cell r="W1403">
            <v>4</v>
          </cell>
          <cell r="X1403">
            <v>18</v>
          </cell>
          <cell r="Y1403">
            <v>0</v>
          </cell>
          <cell r="Z1403" t="str">
            <v>Senior</v>
          </cell>
          <cell r="AA1403" t="str">
            <v>High</v>
          </cell>
          <cell r="AB1403" t="str">
            <v>Long</v>
          </cell>
          <cell r="AC1403" t="str">
            <v>High</v>
          </cell>
          <cell r="AD1403">
            <v>1973</v>
          </cell>
        </row>
        <row r="1404">
          <cell r="A1404">
            <v>31</v>
          </cell>
          <cell r="B1404" t="str">
            <v>No</v>
          </cell>
          <cell r="C1404" t="str">
            <v>Research &amp; Development</v>
          </cell>
          <cell r="D1404">
            <v>2</v>
          </cell>
          <cell r="E1404">
            <v>1</v>
          </cell>
          <cell r="F1404" t="str">
            <v>Medical</v>
          </cell>
          <cell r="G1404">
            <v>4</v>
          </cell>
          <cell r="H1404" t="str">
            <v>Female</v>
          </cell>
          <cell r="I1404">
            <v>1</v>
          </cell>
          <cell r="J1404">
            <v>1</v>
          </cell>
          <cell r="K1404" t="str">
            <v>Laboratory Technician</v>
          </cell>
          <cell r="L1404">
            <v>4</v>
          </cell>
          <cell r="M1404" t="str">
            <v>Divorced</v>
          </cell>
          <cell r="N1404">
            <v>1129</v>
          </cell>
          <cell r="O1404">
            <v>1</v>
          </cell>
          <cell r="P1404" t="str">
            <v>Yes</v>
          </cell>
          <cell r="Q1404">
            <v>3</v>
          </cell>
          <cell r="R1404">
            <v>1</v>
          </cell>
          <cell r="S1404">
            <v>3</v>
          </cell>
          <cell r="T1404">
            <v>1</v>
          </cell>
          <cell r="U1404">
            <v>0</v>
          </cell>
          <cell r="V1404">
            <v>0</v>
          </cell>
          <cell r="W1404">
            <v>0</v>
          </cell>
          <cell r="X1404">
            <v>11</v>
          </cell>
          <cell r="Y1404">
            <v>0</v>
          </cell>
          <cell r="Z1404" t="str">
            <v>Mid</v>
          </cell>
          <cell r="AA1404" t="str">
            <v>Low</v>
          </cell>
          <cell r="AB1404" t="str">
            <v>Early</v>
          </cell>
          <cell r="AC1404" t="str">
            <v>Low</v>
          </cell>
          <cell r="AD1404">
            <v>1974</v>
          </cell>
        </row>
        <row r="1405">
          <cell r="A1405">
            <v>39</v>
          </cell>
          <cell r="B1405" t="str">
            <v>No</v>
          </cell>
          <cell r="C1405" t="str">
            <v>Sales</v>
          </cell>
          <cell r="D1405">
            <v>15</v>
          </cell>
          <cell r="E1405">
            <v>4</v>
          </cell>
          <cell r="F1405" t="str">
            <v>Marketing</v>
          </cell>
          <cell r="G1405">
            <v>2</v>
          </cell>
          <cell r="H1405" t="str">
            <v>Male</v>
          </cell>
          <cell r="I1405">
            <v>3</v>
          </cell>
          <cell r="J1405">
            <v>4</v>
          </cell>
          <cell r="K1405" t="str">
            <v>Sales Executive</v>
          </cell>
          <cell r="L1405">
            <v>1</v>
          </cell>
          <cell r="M1405" t="str">
            <v>Single</v>
          </cell>
          <cell r="N1405">
            <v>13341</v>
          </cell>
          <cell r="O1405">
            <v>0</v>
          </cell>
          <cell r="P1405" t="str">
            <v>No</v>
          </cell>
          <cell r="Q1405">
            <v>1</v>
          </cell>
          <cell r="R1405">
            <v>21</v>
          </cell>
          <cell r="S1405">
            <v>3</v>
          </cell>
          <cell r="T1405">
            <v>20</v>
          </cell>
          <cell r="U1405">
            <v>8</v>
          </cell>
          <cell r="V1405">
            <v>11</v>
          </cell>
          <cell r="W1405">
            <v>10</v>
          </cell>
          <cell r="X1405">
            <v>12</v>
          </cell>
          <cell r="Y1405">
            <v>0</v>
          </cell>
          <cell r="Z1405" t="str">
            <v>Mid</v>
          </cell>
          <cell r="AA1405" t="str">
            <v>High</v>
          </cell>
          <cell r="AB1405" t="str">
            <v>Long</v>
          </cell>
          <cell r="AC1405" t="str">
            <v>Low</v>
          </cell>
          <cell r="AD1405">
            <v>1975</v>
          </cell>
        </row>
        <row r="1406">
          <cell r="A1406">
            <v>42</v>
          </cell>
          <cell r="B1406" t="str">
            <v>No</v>
          </cell>
          <cell r="C1406" t="str">
            <v>Research &amp; Development</v>
          </cell>
          <cell r="D1406">
            <v>23</v>
          </cell>
          <cell r="E1406">
            <v>2</v>
          </cell>
          <cell r="F1406" t="str">
            <v>Life Sciences</v>
          </cell>
          <cell r="G1406">
            <v>4</v>
          </cell>
          <cell r="H1406" t="str">
            <v>Male</v>
          </cell>
          <cell r="I1406">
            <v>2</v>
          </cell>
          <cell r="J1406">
            <v>2</v>
          </cell>
          <cell r="K1406" t="str">
            <v>Research Scientist</v>
          </cell>
          <cell r="L1406">
            <v>3</v>
          </cell>
          <cell r="M1406" t="str">
            <v>Single</v>
          </cell>
          <cell r="N1406">
            <v>4332</v>
          </cell>
          <cell r="O1406">
            <v>1</v>
          </cell>
          <cell r="P1406" t="str">
            <v>No</v>
          </cell>
          <cell r="Q1406">
            <v>4</v>
          </cell>
          <cell r="R1406">
            <v>20</v>
          </cell>
          <cell r="S1406">
            <v>3</v>
          </cell>
          <cell r="T1406">
            <v>20</v>
          </cell>
          <cell r="U1406">
            <v>9</v>
          </cell>
          <cell r="V1406">
            <v>3</v>
          </cell>
          <cell r="W1406">
            <v>7</v>
          </cell>
          <cell r="X1406">
            <v>12</v>
          </cell>
          <cell r="Y1406">
            <v>0</v>
          </cell>
          <cell r="Z1406" t="str">
            <v>Mid</v>
          </cell>
          <cell r="AA1406" t="str">
            <v>Low</v>
          </cell>
          <cell r="AB1406" t="str">
            <v>Long</v>
          </cell>
          <cell r="AC1406" t="str">
            <v>Low</v>
          </cell>
          <cell r="AD1406">
            <v>1976</v>
          </cell>
        </row>
        <row r="1407">
          <cell r="A1407">
            <v>31</v>
          </cell>
          <cell r="B1407" t="str">
            <v>No</v>
          </cell>
          <cell r="C1407" t="str">
            <v>Research &amp; Development</v>
          </cell>
          <cell r="D1407">
            <v>10</v>
          </cell>
          <cell r="E1407">
            <v>3</v>
          </cell>
          <cell r="F1407" t="str">
            <v>Medical</v>
          </cell>
          <cell r="G1407">
            <v>3</v>
          </cell>
          <cell r="H1407" t="str">
            <v>Female</v>
          </cell>
          <cell r="I1407">
            <v>3</v>
          </cell>
          <cell r="J1407">
            <v>3</v>
          </cell>
          <cell r="K1407" t="str">
            <v>Research Director</v>
          </cell>
          <cell r="L1407">
            <v>3</v>
          </cell>
          <cell r="M1407" t="str">
            <v>Married</v>
          </cell>
          <cell r="N1407">
            <v>11031</v>
          </cell>
          <cell r="O1407">
            <v>4</v>
          </cell>
          <cell r="P1407" t="str">
            <v>No</v>
          </cell>
          <cell r="Q1407">
            <v>3</v>
          </cell>
          <cell r="R1407">
            <v>13</v>
          </cell>
          <cell r="S1407">
            <v>4</v>
          </cell>
          <cell r="T1407">
            <v>11</v>
          </cell>
          <cell r="U1407">
            <v>7</v>
          </cell>
          <cell r="V1407">
            <v>4</v>
          </cell>
          <cell r="W1407">
            <v>8</v>
          </cell>
          <cell r="X1407">
            <v>20</v>
          </cell>
          <cell r="Y1407">
            <v>0</v>
          </cell>
          <cell r="Z1407" t="str">
            <v>Mid</v>
          </cell>
          <cell r="AA1407" t="str">
            <v>High</v>
          </cell>
          <cell r="AB1407" t="str">
            <v>Long</v>
          </cell>
          <cell r="AC1407" t="str">
            <v>High</v>
          </cell>
          <cell r="AD1407">
            <v>1979</v>
          </cell>
        </row>
        <row r="1408">
          <cell r="A1408">
            <v>54</v>
          </cell>
          <cell r="B1408" t="str">
            <v>No</v>
          </cell>
          <cell r="C1408" t="str">
            <v>Research &amp; Development</v>
          </cell>
          <cell r="D1408">
            <v>10</v>
          </cell>
          <cell r="E1408">
            <v>3</v>
          </cell>
          <cell r="F1408" t="str">
            <v>Medical</v>
          </cell>
          <cell r="G1408">
            <v>3</v>
          </cell>
          <cell r="H1408" t="str">
            <v>Female</v>
          </cell>
          <cell r="I1408">
            <v>3</v>
          </cell>
          <cell r="J1408">
            <v>2</v>
          </cell>
          <cell r="K1408" t="str">
            <v>Manufacturing Director</v>
          </cell>
          <cell r="L1408">
            <v>1</v>
          </cell>
          <cell r="M1408" t="str">
            <v>Single</v>
          </cell>
          <cell r="N1408">
            <v>4440</v>
          </cell>
          <cell r="O1408">
            <v>6</v>
          </cell>
          <cell r="P1408" t="str">
            <v>Yes</v>
          </cell>
          <cell r="Q1408">
            <v>4</v>
          </cell>
          <cell r="R1408">
            <v>9</v>
          </cell>
          <cell r="S1408">
            <v>3</v>
          </cell>
          <cell r="T1408">
            <v>5</v>
          </cell>
          <cell r="U1408">
            <v>2</v>
          </cell>
          <cell r="V1408">
            <v>1</v>
          </cell>
          <cell r="W1408">
            <v>4</v>
          </cell>
          <cell r="X1408">
            <v>19</v>
          </cell>
          <cell r="Y1408">
            <v>0</v>
          </cell>
          <cell r="Z1408" t="str">
            <v>Senior</v>
          </cell>
          <cell r="AA1408" t="str">
            <v>Low</v>
          </cell>
          <cell r="AB1408" t="str">
            <v>Mid</v>
          </cell>
          <cell r="AC1408" t="str">
            <v>High</v>
          </cell>
          <cell r="AD1408">
            <v>1980</v>
          </cell>
        </row>
        <row r="1409">
          <cell r="A1409">
            <v>24</v>
          </cell>
          <cell r="B1409" t="str">
            <v>No</v>
          </cell>
          <cell r="C1409" t="str">
            <v>Research &amp; Development</v>
          </cell>
          <cell r="D1409">
            <v>1</v>
          </cell>
          <cell r="E1409">
            <v>2</v>
          </cell>
          <cell r="F1409" t="str">
            <v>Life Sciences</v>
          </cell>
          <cell r="G1409">
            <v>2</v>
          </cell>
          <cell r="H1409" t="str">
            <v>Male</v>
          </cell>
          <cell r="I1409">
            <v>2</v>
          </cell>
          <cell r="J1409">
            <v>2</v>
          </cell>
          <cell r="K1409" t="str">
            <v>Healthcare Representative</v>
          </cell>
          <cell r="L1409">
            <v>3</v>
          </cell>
          <cell r="M1409" t="str">
            <v>Single</v>
          </cell>
          <cell r="N1409">
            <v>4617</v>
          </cell>
          <cell r="O1409">
            <v>1</v>
          </cell>
          <cell r="P1409" t="str">
            <v>No</v>
          </cell>
          <cell r="Q1409">
            <v>2</v>
          </cell>
          <cell r="R1409">
            <v>4</v>
          </cell>
          <cell r="S1409">
            <v>2</v>
          </cell>
          <cell r="T1409">
            <v>4</v>
          </cell>
          <cell r="U1409">
            <v>3</v>
          </cell>
          <cell r="V1409">
            <v>1</v>
          </cell>
          <cell r="W1409">
            <v>2</v>
          </cell>
          <cell r="X1409">
            <v>12</v>
          </cell>
          <cell r="Y1409">
            <v>0</v>
          </cell>
          <cell r="Z1409" t="str">
            <v>Young</v>
          </cell>
          <cell r="AA1409" t="str">
            <v>Low</v>
          </cell>
          <cell r="AB1409" t="str">
            <v>Mid</v>
          </cell>
          <cell r="AC1409" t="str">
            <v>Low</v>
          </cell>
          <cell r="AD1409">
            <v>1981</v>
          </cell>
        </row>
        <row r="1410">
          <cell r="A1410">
            <v>23</v>
          </cell>
          <cell r="B1410" t="str">
            <v>No</v>
          </cell>
          <cell r="C1410" t="str">
            <v>Research &amp; Development</v>
          </cell>
          <cell r="D1410">
            <v>12</v>
          </cell>
          <cell r="E1410">
            <v>2</v>
          </cell>
          <cell r="F1410" t="str">
            <v>Other</v>
          </cell>
          <cell r="G1410">
            <v>4</v>
          </cell>
          <cell r="H1410" t="str">
            <v>Male</v>
          </cell>
          <cell r="I1410">
            <v>3</v>
          </cell>
          <cell r="J1410">
            <v>1</v>
          </cell>
          <cell r="K1410" t="str">
            <v>Laboratory Technician</v>
          </cell>
          <cell r="L1410">
            <v>4</v>
          </cell>
          <cell r="M1410" t="str">
            <v>Single</v>
          </cell>
          <cell r="N1410">
            <v>2647</v>
          </cell>
          <cell r="O1410">
            <v>1</v>
          </cell>
          <cell r="P1410" t="str">
            <v>No</v>
          </cell>
          <cell r="Q1410">
            <v>3</v>
          </cell>
          <cell r="R1410">
            <v>5</v>
          </cell>
          <cell r="S1410">
            <v>4</v>
          </cell>
          <cell r="T1410">
            <v>5</v>
          </cell>
          <cell r="U1410">
            <v>2</v>
          </cell>
          <cell r="V1410">
            <v>1</v>
          </cell>
          <cell r="W1410">
            <v>4</v>
          </cell>
          <cell r="X1410">
            <v>13</v>
          </cell>
          <cell r="Y1410">
            <v>0</v>
          </cell>
          <cell r="Z1410" t="str">
            <v>Young</v>
          </cell>
          <cell r="AA1410" t="str">
            <v>Low</v>
          </cell>
          <cell r="AB1410" t="str">
            <v>Mid</v>
          </cell>
          <cell r="AC1410" t="str">
            <v>Medium</v>
          </cell>
          <cell r="AD1410">
            <v>1982</v>
          </cell>
        </row>
        <row r="1411">
          <cell r="A1411">
            <v>40</v>
          </cell>
          <cell r="B1411" t="str">
            <v>No</v>
          </cell>
          <cell r="C1411" t="str">
            <v>Research &amp; Development</v>
          </cell>
          <cell r="D1411">
            <v>11</v>
          </cell>
          <cell r="E1411">
            <v>3</v>
          </cell>
          <cell r="F1411" t="str">
            <v>Technical Degree</v>
          </cell>
          <cell r="G1411">
            <v>4</v>
          </cell>
          <cell r="H1411" t="str">
            <v>Female</v>
          </cell>
          <cell r="I1411">
            <v>3</v>
          </cell>
          <cell r="J1411">
            <v>2</v>
          </cell>
          <cell r="K1411" t="str">
            <v>Laboratory Technician</v>
          </cell>
          <cell r="L1411">
            <v>3</v>
          </cell>
          <cell r="M1411" t="str">
            <v>Married</v>
          </cell>
          <cell r="N1411">
            <v>6323</v>
          </cell>
          <cell r="O1411">
            <v>1</v>
          </cell>
          <cell r="P1411" t="str">
            <v>No</v>
          </cell>
          <cell r="Q1411">
            <v>1</v>
          </cell>
          <cell r="R1411">
            <v>10</v>
          </cell>
          <cell r="S1411">
            <v>4</v>
          </cell>
          <cell r="T1411">
            <v>10</v>
          </cell>
          <cell r="U1411">
            <v>9</v>
          </cell>
          <cell r="V1411">
            <v>9</v>
          </cell>
          <cell r="W1411">
            <v>4</v>
          </cell>
          <cell r="X1411">
            <v>11</v>
          </cell>
          <cell r="Y1411">
            <v>0</v>
          </cell>
          <cell r="Z1411" t="str">
            <v>Mid</v>
          </cell>
          <cell r="AA1411" t="str">
            <v>Medium</v>
          </cell>
          <cell r="AB1411" t="str">
            <v>Long</v>
          </cell>
          <cell r="AC1411" t="str">
            <v>Low</v>
          </cell>
          <cell r="AD1411">
            <v>1985</v>
          </cell>
        </row>
        <row r="1412">
          <cell r="A1412">
            <v>40</v>
          </cell>
          <cell r="B1412" t="str">
            <v>No</v>
          </cell>
          <cell r="C1412" t="str">
            <v>Sales</v>
          </cell>
          <cell r="D1412">
            <v>2</v>
          </cell>
          <cell r="E1412">
            <v>2</v>
          </cell>
          <cell r="F1412" t="str">
            <v>Marketing</v>
          </cell>
          <cell r="G1412">
            <v>2</v>
          </cell>
          <cell r="H1412" t="str">
            <v>Female</v>
          </cell>
          <cell r="I1412">
            <v>3</v>
          </cell>
          <cell r="J1412">
            <v>2</v>
          </cell>
          <cell r="K1412" t="str">
            <v>Sales Executive</v>
          </cell>
          <cell r="L1412">
            <v>2</v>
          </cell>
          <cell r="M1412" t="str">
            <v>Married</v>
          </cell>
          <cell r="N1412">
            <v>5677</v>
          </cell>
          <cell r="O1412">
            <v>3</v>
          </cell>
          <cell r="P1412" t="str">
            <v>No</v>
          </cell>
          <cell r="Q1412">
            <v>3</v>
          </cell>
          <cell r="R1412">
            <v>15</v>
          </cell>
          <cell r="S1412">
            <v>3</v>
          </cell>
          <cell r="T1412">
            <v>11</v>
          </cell>
          <cell r="U1412">
            <v>8</v>
          </cell>
          <cell r="V1412">
            <v>5</v>
          </cell>
          <cell r="W1412">
            <v>10</v>
          </cell>
          <cell r="X1412">
            <v>14</v>
          </cell>
          <cell r="Y1412">
            <v>0</v>
          </cell>
          <cell r="Z1412" t="str">
            <v>Mid</v>
          </cell>
          <cell r="AA1412" t="str">
            <v>Medium</v>
          </cell>
          <cell r="AB1412" t="str">
            <v>Long</v>
          </cell>
          <cell r="AC1412" t="str">
            <v>Medium</v>
          </cell>
          <cell r="AD1412">
            <v>1986</v>
          </cell>
        </row>
        <row r="1413">
          <cell r="A1413">
            <v>25</v>
          </cell>
          <cell r="B1413" t="str">
            <v>No</v>
          </cell>
          <cell r="C1413" t="str">
            <v>Human Resources</v>
          </cell>
          <cell r="D1413">
            <v>2</v>
          </cell>
          <cell r="E1413">
            <v>3</v>
          </cell>
          <cell r="F1413" t="str">
            <v>Human Resources</v>
          </cell>
          <cell r="G1413">
            <v>3</v>
          </cell>
          <cell r="H1413" t="str">
            <v>Female</v>
          </cell>
          <cell r="I1413">
            <v>3</v>
          </cell>
          <cell r="J1413">
            <v>1</v>
          </cell>
          <cell r="K1413" t="str">
            <v>Human Resources</v>
          </cell>
          <cell r="L1413">
            <v>2</v>
          </cell>
          <cell r="M1413" t="str">
            <v>Married</v>
          </cell>
          <cell r="N1413">
            <v>2187</v>
          </cell>
          <cell r="O1413">
            <v>4</v>
          </cell>
          <cell r="P1413" t="str">
            <v>No</v>
          </cell>
          <cell r="Q1413">
            <v>3</v>
          </cell>
          <cell r="R1413">
            <v>6</v>
          </cell>
          <cell r="S1413">
            <v>3</v>
          </cell>
          <cell r="T1413">
            <v>2</v>
          </cell>
          <cell r="U1413">
            <v>0</v>
          </cell>
          <cell r="V1413">
            <v>1</v>
          </cell>
          <cell r="W1413">
            <v>2</v>
          </cell>
          <cell r="X1413">
            <v>14</v>
          </cell>
          <cell r="Y1413">
            <v>0</v>
          </cell>
          <cell r="Z1413" t="str">
            <v>Young</v>
          </cell>
          <cell r="AA1413" t="str">
            <v>Low</v>
          </cell>
          <cell r="AB1413" t="str">
            <v>Early</v>
          </cell>
          <cell r="AC1413" t="str">
            <v>Medium</v>
          </cell>
          <cell r="AD1413">
            <v>1987</v>
          </cell>
        </row>
        <row r="1414">
          <cell r="A1414">
            <v>30</v>
          </cell>
          <cell r="B1414" t="str">
            <v>No</v>
          </cell>
          <cell r="C1414" t="str">
            <v>Research &amp; Development</v>
          </cell>
          <cell r="D1414">
            <v>1</v>
          </cell>
          <cell r="E1414">
            <v>2</v>
          </cell>
          <cell r="F1414" t="str">
            <v>Medical</v>
          </cell>
          <cell r="G1414">
            <v>4</v>
          </cell>
          <cell r="H1414" t="str">
            <v>Male</v>
          </cell>
          <cell r="I1414">
            <v>3</v>
          </cell>
          <cell r="J1414">
            <v>1</v>
          </cell>
          <cell r="K1414" t="str">
            <v>Laboratory Technician</v>
          </cell>
          <cell r="L1414">
            <v>2</v>
          </cell>
          <cell r="M1414" t="str">
            <v>Married</v>
          </cell>
          <cell r="N1414">
            <v>3748</v>
          </cell>
          <cell r="O1414">
            <v>1</v>
          </cell>
          <cell r="P1414" t="str">
            <v>No</v>
          </cell>
          <cell r="Q1414">
            <v>3</v>
          </cell>
          <cell r="R1414">
            <v>12</v>
          </cell>
          <cell r="S1414">
            <v>2</v>
          </cell>
          <cell r="T1414">
            <v>12</v>
          </cell>
          <cell r="U1414">
            <v>8</v>
          </cell>
          <cell r="V1414">
            <v>1</v>
          </cell>
          <cell r="W1414">
            <v>7</v>
          </cell>
          <cell r="X1414">
            <v>13</v>
          </cell>
          <cell r="Y1414">
            <v>0</v>
          </cell>
          <cell r="Z1414" t="str">
            <v>Mid</v>
          </cell>
          <cell r="AA1414" t="str">
            <v>Low</v>
          </cell>
          <cell r="AB1414" t="str">
            <v>Long</v>
          </cell>
          <cell r="AC1414" t="str">
            <v>Medium</v>
          </cell>
          <cell r="AD1414">
            <v>1989</v>
          </cell>
        </row>
        <row r="1415">
          <cell r="A1415">
            <v>25</v>
          </cell>
          <cell r="B1415" t="str">
            <v>No</v>
          </cell>
          <cell r="C1415" t="str">
            <v>Research &amp; Development</v>
          </cell>
          <cell r="D1415">
            <v>2</v>
          </cell>
          <cell r="E1415">
            <v>1</v>
          </cell>
          <cell r="F1415" t="str">
            <v>Other</v>
          </cell>
          <cell r="G1415">
            <v>4</v>
          </cell>
          <cell r="H1415" t="str">
            <v>Male</v>
          </cell>
          <cell r="I1415">
            <v>3</v>
          </cell>
          <cell r="J1415">
            <v>1</v>
          </cell>
          <cell r="K1415" t="str">
            <v>Laboratory Technician</v>
          </cell>
          <cell r="L1415">
            <v>3</v>
          </cell>
          <cell r="M1415" t="str">
            <v>Divorced</v>
          </cell>
          <cell r="N1415">
            <v>3977</v>
          </cell>
          <cell r="O1415">
            <v>6</v>
          </cell>
          <cell r="P1415" t="str">
            <v>Yes</v>
          </cell>
          <cell r="Q1415">
            <v>3</v>
          </cell>
          <cell r="R1415">
            <v>7</v>
          </cell>
          <cell r="S1415">
            <v>2</v>
          </cell>
          <cell r="T1415">
            <v>2</v>
          </cell>
          <cell r="U1415">
            <v>2</v>
          </cell>
          <cell r="V1415">
            <v>0</v>
          </cell>
          <cell r="W1415">
            <v>2</v>
          </cell>
          <cell r="X1415">
            <v>19</v>
          </cell>
          <cell r="Y1415">
            <v>0</v>
          </cell>
          <cell r="Z1415" t="str">
            <v>Young</v>
          </cell>
          <cell r="AA1415" t="str">
            <v>Low</v>
          </cell>
          <cell r="AB1415" t="str">
            <v>Early</v>
          </cell>
          <cell r="AC1415" t="str">
            <v>High</v>
          </cell>
          <cell r="AD1415">
            <v>1992</v>
          </cell>
        </row>
        <row r="1416">
          <cell r="A1416">
            <v>47</v>
          </cell>
          <cell r="B1416" t="str">
            <v>No</v>
          </cell>
          <cell r="C1416" t="str">
            <v>Research &amp; Development</v>
          </cell>
          <cell r="D1416">
            <v>25</v>
          </cell>
          <cell r="E1416">
            <v>3</v>
          </cell>
          <cell r="F1416" t="str">
            <v>Medical</v>
          </cell>
          <cell r="G1416">
            <v>1</v>
          </cell>
          <cell r="H1416" t="str">
            <v>Male</v>
          </cell>
          <cell r="I1416">
            <v>3</v>
          </cell>
          <cell r="J1416">
            <v>3</v>
          </cell>
          <cell r="K1416" t="str">
            <v>Healthcare Representative</v>
          </cell>
          <cell r="L1416">
            <v>3</v>
          </cell>
          <cell r="M1416" t="str">
            <v>Single</v>
          </cell>
          <cell r="N1416">
            <v>8633</v>
          </cell>
          <cell r="O1416">
            <v>2</v>
          </cell>
          <cell r="P1416" t="str">
            <v>No</v>
          </cell>
          <cell r="Q1416">
            <v>2</v>
          </cell>
          <cell r="R1416">
            <v>25</v>
          </cell>
          <cell r="S1416">
            <v>3</v>
          </cell>
          <cell r="T1416">
            <v>17</v>
          </cell>
          <cell r="U1416">
            <v>14</v>
          </cell>
          <cell r="V1416">
            <v>12</v>
          </cell>
          <cell r="W1416">
            <v>11</v>
          </cell>
          <cell r="X1416">
            <v>23</v>
          </cell>
          <cell r="Y1416">
            <v>0</v>
          </cell>
          <cell r="Z1416" t="str">
            <v>Senior</v>
          </cell>
          <cell r="AA1416" t="str">
            <v>Medium</v>
          </cell>
          <cell r="AB1416" t="str">
            <v>Long</v>
          </cell>
          <cell r="AC1416" t="str">
            <v>High</v>
          </cell>
          <cell r="AD1416">
            <v>1993</v>
          </cell>
        </row>
        <row r="1417">
          <cell r="A1417">
            <v>33</v>
          </cell>
          <cell r="B1417" t="str">
            <v>No</v>
          </cell>
          <cell r="C1417" t="str">
            <v>Research &amp; Development</v>
          </cell>
          <cell r="D1417">
            <v>1</v>
          </cell>
          <cell r="E1417">
            <v>2</v>
          </cell>
          <cell r="F1417" t="str">
            <v>Medical</v>
          </cell>
          <cell r="G1417">
            <v>2</v>
          </cell>
          <cell r="H1417" t="str">
            <v>Male</v>
          </cell>
          <cell r="I1417">
            <v>2</v>
          </cell>
          <cell r="J1417">
            <v>1</v>
          </cell>
          <cell r="K1417" t="str">
            <v>Laboratory Technician</v>
          </cell>
          <cell r="L1417">
            <v>3</v>
          </cell>
          <cell r="M1417" t="str">
            <v>Divorced</v>
          </cell>
          <cell r="N1417">
            <v>2008</v>
          </cell>
          <cell r="O1417">
            <v>1</v>
          </cell>
          <cell r="P1417" t="str">
            <v>No</v>
          </cell>
          <cell r="Q1417">
            <v>3</v>
          </cell>
          <cell r="R1417">
            <v>1</v>
          </cell>
          <cell r="S1417">
            <v>2</v>
          </cell>
          <cell r="T1417">
            <v>1</v>
          </cell>
          <cell r="U1417">
            <v>1</v>
          </cell>
          <cell r="V1417">
            <v>0</v>
          </cell>
          <cell r="W1417">
            <v>0</v>
          </cell>
          <cell r="X1417">
            <v>12</v>
          </cell>
          <cell r="Y1417">
            <v>0</v>
          </cell>
          <cell r="Z1417" t="str">
            <v>Mid</v>
          </cell>
          <cell r="AA1417" t="str">
            <v>Low</v>
          </cell>
          <cell r="AB1417" t="str">
            <v>Early</v>
          </cell>
          <cell r="AC1417" t="str">
            <v>Low</v>
          </cell>
          <cell r="AD1417">
            <v>1994</v>
          </cell>
        </row>
        <row r="1418">
          <cell r="A1418">
            <v>38</v>
          </cell>
          <cell r="B1418" t="str">
            <v>No</v>
          </cell>
          <cell r="C1418" t="str">
            <v>Sales</v>
          </cell>
          <cell r="D1418">
            <v>1</v>
          </cell>
          <cell r="E1418">
            <v>4</v>
          </cell>
          <cell r="F1418" t="str">
            <v>Life Sciences</v>
          </cell>
          <cell r="G1418">
            <v>4</v>
          </cell>
          <cell r="H1418" t="str">
            <v>Male</v>
          </cell>
          <cell r="I1418">
            <v>3</v>
          </cell>
          <cell r="J1418">
            <v>2</v>
          </cell>
          <cell r="K1418" t="str">
            <v>Sales Executive</v>
          </cell>
          <cell r="L1418">
            <v>2</v>
          </cell>
          <cell r="M1418" t="str">
            <v>Married</v>
          </cell>
          <cell r="N1418">
            <v>4440</v>
          </cell>
          <cell r="O1418">
            <v>0</v>
          </cell>
          <cell r="P1418" t="str">
            <v>No</v>
          </cell>
          <cell r="Q1418">
            <v>1</v>
          </cell>
          <cell r="R1418">
            <v>16</v>
          </cell>
          <cell r="S1418">
            <v>3</v>
          </cell>
          <cell r="T1418">
            <v>15</v>
          </cell>
          <cell r="U1418">
            <v>13</v>
          </cell>
          <cell r="V1418">
            <v>5</v>
          </cell>
          <cell r="W1418">
            <v>8</v>
          </cell>
          <cell r="X1418">
            <v>15</v>
          </cell>
          <cell r="Y1418">
            <v>0</v>
          </cell>
          <cell r="Z1418" t="str">
            <v>Mid</v>
          </cell>
          <cell r="AA1418" t="str">
            <v>Low</v>
          </cell>
          <cell r="AB1418" t="str">
            <v>Long</v>
          </cell>
          <cell r="AC1418" t="str">
            <v>Medium</v>
          </cell>
          <cell r="AD1418">
            <v>1995</v>
          </cell>
        </row>
        <row r="1419">
          <cell r="A1419">
            <v>31</v>
          </cell>
          <cell r="B1419" t="str">
            <v>No</v>
          </cell>
          <cell r="C1419" t="str">
            <v>Sales</v>
          </cell>
          <cell r="D1419">
            <v>2</v>
          </cell>
          <cell r="E1419">
            <v>2</v>
          </cell>
          <cell r="F1419" t="str">
            <v>Life Sciences</v>
          </cell>
          <cell r="G1419">
            <v>1</v>
          </cell>
          <cell r="H1419" t="str">
            <v>Male</v>
          </cell>
          <cell r="I1419">
            <v>3</v>
          </cell>
          <cell r="J1419">
            <v>1</v>
          </cell>
          <cell r="K1419" t="str">
            <v>Sales Representative</v>
          </cell>
          <cell r="L1419">
            <v>3</v>
          </cell>
          <cell r="M1419" t="str">
            <v>Married</v>
          </cell>
          <cell r="N1419">
            <v>3067</v>
          </cell>
          <cell r="O1419">
            <v>0</v>
          </cell>
          <cell r="P1419" t="str">
            <v>No</v>
          </cell>
          <cell r="Q1419">
            <v>3</v>
          </cell>
          <cell r="R1419">
            <v>3</v>
          </cell>
          <cell r="S1419">
            <v>3</v>
          </cell>
          <cell r="T1419">
            <v>2</v>
          </cell>
          <cell r="U1419">
            <v>2</v>
          </cell>
          <cell r="V1419">
            <v>1</v>
          </cell>
          <cell r="W1419">
            <v>2</v>
          </cell>
          <cell r="X1419">
            <v>19</v>
          </cell>
          <cell r="Y1419">
            <v>0</v>
          </cell>
          <cell r="Z1419" t="str">
            <v>Mid</v>
          </cell>
          <cell r="AA1419" t="str">
            <v>Low</v>
          </cell>
          <cell r="AB1419" t="str">
            <v>Early</v>
          </cell>
          <cell r="AC1419" t="str">
            <v>High</v>
          </cell>
          <cell r="AD1419">
            <v>1996</v>
          </cell>
        </row>
        <row r="1420">
          <cell r="A1420">
            <v>38</v>
          </cell>
          <cell r="B1420" t="str">
            <v>No</v>
          </cell>
          <cell r="C1420" t="str">
            <v>Research &amp; Development</v>
          </cell>
          <cell r="D1420">
            <v>6</v>
          </cell>
          <cell r="E1420">
            <v>4</v>
          </cell>
          <cell r="F1420" t="str">
            <v>Life Sciences</v>
          </cell>
          <cell r="G1420">
            <v>1</v>
          </cell>
          <cell r="H1420" t="str">
            <v>Male</v>
          </cell>
          <cell r="I1420">
            <v>2</v>
          </cell>
          <cell r="J1420">
            <v>2</v>
          </cell>
          <cell r="K1420" t="str">
            <v>Manufacturing Director</v>
          </cell>
          <cell r="L1420">
            <v>3</v>
          </cell>
          <cell r="M1420" t="str">
            <v>Married</v>
          </cell>
          <cell r="N1420">
            <v>5321</v>
          </cell>
          <cell r="O1420">
            <v>2</v>
          </cell>
          <cell r="P1420" t="str">
            <v>No</v>
          </cell>
          <cell r="Q1420">
            <v>4</v>
          </cell>
          <cell r="R1420">
            <v>10</v>
          </cell>
          <cell r="S1420">
            <v>3</v>
          </cell>
          <cell r="T1420">
            <v>8</v>
          </cell>
          <cell r="U1420">
            <v>3</v>
          </cell>
          <cell r="V1420">
            <v>7</v>
          </cell>
          <cell r="W1420">
            <v>7</v>
          </cell>
          <cell r="X1420">
            <v>11</v>
          </cell>
          <cell r="Y1420">
            <v>0</v>
          </cell>
          <cell r="Z1420" t="str">
            <v>Mid</v>
          </cell>
          <cell r="AA1420" t="str">
            <v>Medium</v>
          </cell>
          <cell r="AB1420" t="str">
            <v>Long</v>
          </cell>
          <cell r="AC1420" t="str">
            <v>Low</v>
          </cell>
          <cell r="AD1420">
            <v>1997</v>
          </cell>
        </row>
        <row r="1421">
          <cell r="A1421">
            <v>42</v>
          </cell>
          <cell r="B1421" t="str">
            <v>No</v>
          </cell>
          <cell r="C1421" t="str">
            <v>Research &amp; Development</v>
          </cell>
          <cell r="D1421">
            <v>18</v>
          </cell>
          <cell r="E1421">
            <v>4</v>
          </cell>
          <cell r="F1421" t="str">
            <v>Life Sciences</v>
          </cell>
          <cell r="G1421">
            <v>4</v>
          </cell>
          <cell r="H1421" t="str">
            <v>Male</v>
          </cell>
          <cell r="I1421">
            <v>3</v>
          </cell>
          <cell r="J1421">
            <v>2</v>
          </cell>
          <cell r="K1421" t="str">
            <v>Research Scientist</v>
          </cell>
          <cell r="L1421">
            <v>1</v>
          </cell>
          <cell r="M1421" t="str">
            <v>Divorced</v>
          </cell>
          <cell r="N1421">
            <v>5410</v>
          </cell>
          <cell r="O1421">
            <v>6</v>
          </cell>
          <cell r="P1421" t="str">
            <v>Yes</v>
          </cell>
          <cell r="Q1421">
            <v>3</v>
          </cell>
          <cell r="R1421">
            <v>9</v>
          </cell>
          <cell r="S1421">
            <v>2</v>
          </cell>
          <cell r="T1421">
            <v>4</v>
          </cell>
          <cell r="U1421">
            <v>3</v>
          </cell>
          <cell r="V1421">
            <v>1</v>
          </cell>
          <cell r="W1421">
            <v>2</v>
          </cell>
          <cell r="X1421">
            <v>17</v>
          </cell>
          <cell r="Y1421">
            <v>0</v>
          </cell>
          <cell r="Z1421" t="str">
            <v>Mid</v>
          </cell>
          <cell r="AA1421" t="str">
            <v>Medium</v>
          </cell>
          <cell r="AB1421" t="str">
            <v>Mid</v>
          </cell>
          <cell r="AC1421" t="str">
            <v>Medium</v>
          </cell>
          <cell r="AD1421">
            <v>1998</v>
          </cell>
        </row>
        <row r="1422">
          <cell r="A1422">
            <v>41</v>
          </cell>
          <cell r="B1422" t="str">
            <v>No</v>
          </cell>
          <cell r="C1422" t="str">
            <v>Research &amp; Development</v>
          </cell>
          <cell r="D1422">
            <v>1</v>
          </cell>
          <cell r="E1422">
            <v>3</v>
          </cell>
          <cell r="F1422" t="str">
            <v>Life Sciences</v>
          </cell>
          <cell r="G1422">
            <v>4</v>
          </cell>
          <cell r="H1422" t="str">
            <v>Male</v>
          </cell>
          <cell r="I1422">
            <v>3</v>
          </cell>
          <cell r="J1422">
            <v>1</v>
          </cell>
          <cell r="K1422" t="str">
            <v>Research Scientist</v>
          </cell>
          <cell r="L1422">
            <v>4</v>
          </cell>
          <cell r="M1422" t="str">
            <v>Married</v>
          </cell>
          <cell r="N1422">
            <v>2782</v>
          </cell>
          <cell r="O1422">
            <v>3</v>
          </cell>
          <cell r="P1422" t="str">
            <v>No</v>
          </cell>
          <cell r="Q1422">
            <v>1</v>
          </cell>
          <cell r="R1422">
            <v>12</v>
          </cell>
          <cell r="S1422">
            <v>3</v>
          </cell>
          <cell r="T1422">
            <v>5</v>
          </cell>
          <cell r="U1422">
            <v>3</v>
          </cell>
          <cell r="V1422">
            <v>1</v>
          </cell>
          <cell r="W1422">
            <v>0</v>
          </cell>
          <cell r="X1422">
            <v>22</v>
          </cell>
          <cell r="Y1422">
            <v>0</v>
          </cell>
          <cell r="Z1422" t="str">
            <v>Mid</v>
          </cell>
          <cell r="AA1422" t="str">
            <v>Low</v>
          </cell>
          <cell r="AB1422" t="str">
            <v>Mid</v>
          </cell>
          <cell r="AC1422" t="str">
            <v>High</v>
          </cell>
          <cell r="AD1422">
            <v>1999</v>
          </cell>
        </row>
        <row r="1423">
          <cell r="A1423">
            <v>47</v>
          </cell>
          <cell r="B1423" t="str">
            <v>No</v>
          </cell>
          <cell r="C1423" t="str">
            <v>Research &amp; Development</v>
          </cell>
          <cell r="D1423">
            <v>1</v>
          </cell>
          <cell r="E1423">
            <v>1</v>
          </cell>
          <cell r="F1423" t="str">
            <v>Medical</v>
          </cell>
          <cell r="G1423">
            <v>3</v>
          </cell>
          <cell r="H1423" t="str">
            <v>Female</v>
          </cell>
          <cell r="I1423">
            <v>3</v>
          </cell>
          <cell r="J1423">
            <v>3</v>
          </cell>
          <cell r="K1423" t="str">
            <v>Research Director</v>
          </cell>
          <cell r="L1423">
            <v>2</v>
          </cell>
          <cell r="M1423" t="str">
            <v>Married</v>
          </cell>
          <cell r="N1423">
            <v>11957</v>
          </cell>
          <cell r="O1423">
            <v>0</v>
          </cell>
          <cell r="P1423" t="str">
            <v>No</v>
          </cell>
          <cell r="Q1423">
            <v>1</v>
          </cell>
          <cell r="R1423">
            <v>14</v>
          </cell>
          <cell r="S1423">
            <v>1</v>
          </cell>
          <cell r="T1423">
            <v>13</v>
          </cell>
          <cell r="U1423">
            <v>8</v>
          </cell>
          <cell r="V1423">
            <v>5</v>
          </cell>
          <cell r="W1423">
            <v>12</v>
          </cell>
          <cell r="X1423">
            <v>18</v>
          </cell>
          <cell r="Y1423">
            <v>0</v>
          </cell>
          <cell r="Z1423" t="str">
            <v>Senior</v>
          </cell>
          <cell r="AA1423" t="str">
            <v>High</v>
          </cell>
          <cell r="AB1423" t="str">
            <v>Long</v>
          </cell>
          <cell r="AC1423" t="str">
            <v>High</v>
          </cell>
          <cell r="AD1423">
            <v>2000</v>
          </cell>
        </row>
        <row r="1424">
          <cell r="A1424">
            <v>35</v>
          </cell>
          <cell r="B1424" t="str">
            <v>No</v>
          </cell>
          <cell r="C1424" t="str">
            <v>Research &amp; Development</v>
          </cell>
          <cell r="D1424">
            <v>11</v>
          </cell>
          <cell r="E1424">
            <v>4</v>
          </cell>
          <cell r="F1424" t="str">
            <v>Medical</v>
          </cell>
          <cell r="G1424">
            <v>4</v>
          </cell>
          <cell r="H1424" t="str">
            <v>Male</v>
          </cell>
          <cell r="I1424">
            <v>3</v>
          </cell>
          <cell r="J1424">
            <v>1</v>
          </cell>
          <cell r="K1424" t="str">
            <v>Laboratory Technician</v>
          </cell>
          <cell r="L1424">
            <v>3</v>
          </cell>
          <cell r="M1424" t="str">
            <v>Married</v>
          </cell>
          <cell r="N1424">
            <v>2660</v>
          </cell>
          <cell r="O1424">
            <v>7</v>
          </cell>
          <cell r="P1424" t="str">
            <v>Yes</v>
          </cell>
          <cell r="Q1424">
            <v>3</v>
          </cell>
          <cell r="R1424">
            <v>5</v>
          </cell>
          <cell r="S1424">
            <v>3</v>
          </cell>
          <cell r="T1424">
            <v>2</v>
          </cell>
          <cell r="U1424">
            <v>2</v>
          </cell>
          <cell r="V1424">
            <v>2</v>
          </cell>
          <cell r="W1424">
            <v>2</v>
          </cell>
          <cell r="X1424">
            <v>11</v>
          </cell>
          <cell r="Y1424">
            <v>0</v>
          </cell>
          <cell r="Z1424" t="str">
            <v>Mid</v>
          </cell>
          <cell r="AA1424" t="str">
            <v>Low</v>
          </cell>
          <cell r="AB1424" t="str">
            <v>Early</v>
          </cell>
          <cell r="AC1424" t="str">
            <v>Low</v>
          </cell>
          <cell r="AD1424">
            <v>2003</v>
          </cell>
        </row>
        <row r="1425">
          <cell r="A1425">
            <v>22</v>
          </cell>
          <cell r="B1425" t="str">
            <v>No</v>
          </cell>
          <cell r="C1425" t="str">
            <v>Research &amp; Development</v>
          </cell>
          <cell r="D1425">
            <v>1</v>
          </cell>
          <cell r="E1425">
            <v>2</v>
          </cell>
          <cell r="F1425" t="str">
            <v>Life Sciences</v>
          </cell>
          <cell r="G1425">
            <v>4</v>
          </cell>
          <cell r="H1425" t="str">
            <v>Male</v>
          </cell>
          <cell r="I1425">
            <v>3</v>
          </cell>
          <cell r="J1425">
            <v>1</v>
          </cell>
          <cell r="K1425" t="str">
            <v>Research Scientist</v>
          </cell>
          <cell r="L1425">
            <v>3</v>
          </cell>
          <cell r="M1425" t="str">
            <v>Single</v>
          </cell>
          <cell r="N1425">
            <v>3375</v>
          </cell>
          <cell r="O1425">
            <v>0</v>
          </cell>
          <cell r="P1425" t="str">
            <v>No</v>
          </cell>
          <cell r="Q1425">
            <v>4</v>
          </cell>
          <cell r="R1425">
            <v>4</v>
          </cell>
          <cell r="S1425">
            <v>4</v>
          </cell>
          <cell r="T1425">
            <v>3</v>
          </cell>
          <cell r="U1425">
            <v>2</v>
          </cell>
          <cell r="V1425">
            <v>1</v>
          </cell>
          <cell r="W1425">
            <v>2</v>
          </cell>
          <cell r="X1425">
            <v>12</v>
          </cell>
          <cell r="Y1425">
            <v>0</v>
          </cell>
          <cell r="Z1425" t="str">
            <v>Young</v>
          </cell>
          <cell r="AA1425" t="str">
            <v>Low</v>
          </cell>
          <cell r="AB1425" t="str">
            <v>Mid</v>
          </cell>
          <cell r="AC1425" t="str">
            <v>Low</v>
          </cell>
          <cell r="AD1425">
            <v>2007</v>
          </cell>
        </row>
        <row r="1426">
          <cell r="A1426">
            <v>35</v>
          </cell>
          <cell r="B1426" t="str">
            <v>No</v>
          </cell>
          <cell r="C1426" t="str">
            <v>Research &amp; Development</v>
          </cell>
          <cell r="D1426">
            <v>9</v>
          </cell>
          <cell r="E1426">
            <v>4</v>
          </cell>
          <cell r="F1426" t="str">
            <v>Medical</v>
          </cell>
          <cell r="G1426">
            <v>2</v>
          </cell>
          <cell r="H1426" t="str">
            <v>Male</v>
          </cell>
          <cell r="I1426">
            <v>3</v>
          </cell>
          <cell r="J1426">
            <v>2</v>
          </cell>
          <cell r="K1426" t="str">
            <v>Research Scientist</v>
          </cell>
          <cell r="L1426">
            <v>3</v>
          </cell>
          <cell r="M1426" t="str">
            <v>Single</v>
          </cell>
          <cell r="N1426">
            <v>5098</v>
          </cell>
          <cell r="O1426">
            <v>1</v>
          </cell>
          <cell r="P1426" t="str">
            <v>No</v>
          </cell>
          <cell r="Q1426">
            <v>2</v>
          </cell>
          <cell r="R1426">
            <v>10</v>
          </cell>
          <cell r="S1426">
            <v>3</v>
          </cell>
          <cell r="T1426">
            <v>10</v>
          </cell>
          <cell r="U1426">
            <v>7</v>
          </cell>
          <cell r="V1426">
            <v>0</v>
          </cell>
          <cell r="W1426">
            <v>8</v>
          </cell>
          <cell r="X1426">
            <v>19</v>
          </cell>
          <cell r="Y1426">
            <v>0</v>
          </cell>
          <cell r="Z1426" t="str">
            <v>Mid</v>
          </cell>
          <cell r="AA1426" t="str">
            <v>Medium</v>
          </cell>
          <cell r="AB1426" t="str">
            <v>Long</v>
          </cell>
          <cell r="AC1426" t="str">
            <v>High</v>
          </cell>
          <cell r="AD1426">
            <v>2008</v>
          </cell>
        </row>
        <row r="1427">
          <cell r="A1427">
            <v>33</v>
          </cell>
          <cell r="B1427" t="str">
            <v>No</v>
          </cell>
          <cell r="C1427" t="str">
            <v>Research &amp; Development</v>
          </cell>
          <cell r="D1427">
            <v>15</v>
          </cell>
          <cell r="E1427">
            <v>2</v>
          </cell>
          <cell r="F1427" t="str">
            <v>Medical</v>
          </cell>
          <cell r="G1427">
            <v>2</v>
          </cell>
          <cell r="H1427" t="str">
            <v>Female</v>
          </cell>
          <cell r="I1427">
            <v>3</v>
          </cell>
          <cell r="J1427">
            <v>2</v>
          </cell>
          <cell r="K1427" t="str">
            <v>Healthcare Representative</v>
          </cell>
          <cell r="L1427">
            <v>4</v>
          </cell>
          <cell r="M1427" t="str">
            <v>Married</v>
          </cell>
          <cell r="N1427">
            <v>4878</v>
          </cell>
          <cell r="O1427">
            <v>0</v>
          </cell>
          <cell r="P1427" t="str">
            <v>Yes</v>
          </cell>
          <cell r="Q1427">
            <v>1</v>
          </cell>
          <cell r="R1427">
            <v>10</v>
          </cell>
          <cell r="S1427">
            <v>3</v>
          </cell>
          <cell r="T1427">
            <v>9</v>
          </cell>
          <cell r="U1427">
            <v>7</v>
          </cell>
          <cell r="V1427">
            <v>8</v>
          </cell>
          <cell r="W1427">
            <v>1</v>
          </cell>
          <cell r="X1427">
            <v>13</v>
          </cell>
          <cell r="Y1427">
            <v>0</v>
          </cell>
          <cell r="Z1427" t="str">
            <v>Mid</v>
          </cell>
          <cell r="AA1427" t="str">
            <v>Low</v>
          </cell>
          <cell r="AB1427" t="str">
            <v>Long</v>
          </cell>
          <cell r="AC1427" t="str">
            <v>Medium</v>
          </cell>
          <cell r="AD1427">
            <v>2009</v>
          </cell>
        </row>
        <row r="1428">
          <cell r="A1428">
            <v>32</v>
          </cell>
          <cell r="B1428" t="str">
            <v>No</v>
          </cell>
          <cell r="C1428" t="str">
            <v>Research &amp; Development</v>
          </cell>
          <cell r="D1428">
            <v>29</v>
          </cell>
          <cell r="E1428">
            <v>4</v>
          </cell>
          <cell r="F1428" t="str">
            <v>Life Sciences</v>
          </cell>
          <cell r="G1428">
            <v>3</v>
          </cell>
          <cell r="H1428" t="str">
            <v>Female</v>
          </cell>
          <cell r="I1428">
            <v>2</v>
          </cell>
          <cell r="J1428">
            <v>1</v>
          </cell>
          <cell r="K1428" t="str">
            <v>Laboratory Technician</v>
          </cell>
          <cell r="L1428">
            <v>2</v>
          </cell>
          <cell r="M1428" t="str">
            <v>Single</v>
          </cell>
          <cell r="N1428">
            <v>2837</v>
          </cell>
          <cell r="O1428">
            <v>1</v>
          </cell>
          <cell r="P1428" t="str">
            <v>No</v>
          </cell>
          <cell r="Q1428">
            <v>3</v>
          </cell>
          <cell r="R1428">
            <v>6</v>
          </cell>
          <cell r="S1428">
            <v>3</v>
          </cell>
          <cell r="T1428">
            <v>6</v>
          </cell>
          <cell r="U1428">
            <v>2</v>
          </cell>
          <cell r="V1428">
            <v>4</v>
          </cell>
          <cell r="W1428">
            <v>1</v>
          </cell>
          <cell r="X1428">
            <v>13</v>
          </cell>
          <cell r="Y1428">
            <v>0</v>
          </cell>
          <cell r="Z1428" t="str">
            <v>Mid</v>
          </cell>
          <cell r="AA1428" t="str">
            <v>Low</v>
          </cell>
          <cell r="AB1428" t="str">
            <v>Mid</v>
          </cell>
          <cell r="AC1428" t="str">
            <v>Medium</v>
          </cell>
          <cell r="AD1428">
            <v>2010</v>
          </cell>
        </row>
        <row r="1429">
          <cell r="A1429">
            <v>40</v>
          </cell>
          <cell r="B1429" t="str">
            <v>No</v>
          </cell>
          <cell r="C1429" t="str">
            <v>Research &amp; Development</v>
          </cell>
          <cell r="D1429">
            <v>1</v>
          </cell>
          <cell r="E1429">
            <v>4</v>
          </cell>
          <cell r="F1429" t="str">
            <v>Life Sciences</v>
          </cell>
          <cell r="G1429">
            <v>1</v>
          </cell>
          <cell r="H1429" t="str">
            <v>Male</v>
          </cell>
          <cell r="I1429">
            <v>3</v>
          </cell>
          <cell r="J1429">
            <v>1</v>
          </cell>
          <cell r="K1429" t="str">
            <v>Laboratory Technician</v>
          </cell>
          <cell r="L1429">
            <v>4</v>
          </cell>
          <cell r="M1429" t="str">
            <v>Married</v>
          </cell>
          <cell r="N1429">
            <v>2406</v>
          </cell>
          <cell r="O1429">
            <v>8</v>
          </cell>
          <cell r="P1429" t="str">
            <v>No</v>
          </cell>
          <cell r="Q1429">
            <v>3</v>
          </cell>
          <cell r="R1429">
            <v>8</v>
          </cell>
          <cell r="S1429">
            <v>2</v>
          </cell>
          <cell r="T1429">
            <v>1</v>
          </cell>
          <cell r="U1429">
            <v>0</v>
          </cell>
          <cell r="V1429">
            <v>0</v>
          </cell>
          <cell r="W1429">
            <v>0</v>
          </cell>
          <cell r="X1429">
            <v>19</v>
          </cell>
          <cell r="Y1429">
            <v>0</v>
          </cell>
          <cell r="Z1429" t="str">
            <v>Mid</v>
          </cell>
          <cell r="AA1429" t="str">
            <v>Low</v>
          </cell>
          <cell r="AB1429" t="str">
            <v>Early</v>
          </cell>
          <cell r="AC1429" t="str">
            <v>High</v>
          </cell>
          <cell r="AD1429">
            <v>2012</v>
          </cell>
        </row>
        <row r="1430">
          <cell r="A1430">
            <v>32</v>
          </cell>
          <cell r="B1430" t="str">
            <v>No</v>
          </cell>
          <cell r="C1430" t="str">
            <v>Sales</v>
          </cell>
          <cell r="D1430">
            <v>1</v>
          </cell>
          <cell r="E1430">
            <v>4</v>
          </cell>
          <cell r="F1430" t="str">
            <v>Medical</v>
          </cell>
          <cell r="G1430">
            <v>2</v>
          </cell>
          <cell r="H1430" t="str">
            <v>Male</v>
          </cell>
          <cell r="I1430">
            <v>2</v>
          </cell>
          <cell r="J1430">
            <v>1</v>
          </cell>
          <cell r="K1430" t="str">
            <v>Sales Representative</v>
          </cell>
          <cell r="L1430">
            <v>2</v>
          </cell>
          <cell r="M1430" t="str">
            <v>Married</v>
          </cell>
          <cell r="N1430">
            <v>2269</v>
          </cell>
          <cell r="O1430">
            <v>0</v>
          </cell>
          <cell r="P1430" t="str">
            <v>No</v>
          </cell>
          <cell r="Q1430">
            <v>2</v>
          </cell>
          <cell r="R1430">
            <v>3</v>
          </cell>
          <cell r="S1430">
            <v>3</v>
          </cell>
          <cell r="T1430">
            <v>2</v>
          </cell>
          <cell r="U1430">
            <v>2</v>
          </cell>
          <cell r="V1430">
            <v>2</v>
          </cell>
          <cell r="W1430">
            <v>2</v>
          </cell>
          <cell r="X1430">
            <v>14</v>
          </cell>
          <cell r="Y1430">
            <v>0</v>
          </cell>
          <cell r="Z1430" t="str">
            <v>Mid</v>
          </cell>
          <cell r="AA1430" t="str">
            <v>Low</v>
          </cell>
          <cell r="AB1430" t="str">
            <v>Early</v>
          </cell>
          <cell r="AC1430" t="str">
            <v>Medium</v>
          </cell>
          <cell r="AD1430">
            <v>2013</v>
          </cell>
        </row>
        <row r="1431">
          <cell r="A1431">
            <v>39</v>
          </cell>
          <cell r="B1431" t="str">
            <v>No</v>
          </cell>
          <cell r="C1431" t="str">
            <v>Research &amp; Development</v>
          </cell>
          <cell r="D1431">
            <v>24</v>
          </cell>
          <cell r="E1431">
            <v>1</v>
          </cell>
          <cell r="F1431" t="str">
            <v>Life Sciences</v>
          </cell>
          <cell r="G1431">
            <v>1</v>
          </cell>
          <cell r="H1431" t="str">
            <v>Male</v>
          </cell>
          <cell r="I1431">
            <v>3</v>
          </cell>
          <cell r="J1431">
            <v>2</v>
          </cell>
          <cell r="K1431" t="str">
            <v>Research Scientist</v>
          </cell>
          <cell r="L1431">
            <v>4</v>
          </cell>
          <cell r="M1431" t="str">
            <v>Single</v>
          </cell>
          <cell r="N1431">
            <v>4108</v>
          </cell>
          <cell r="O1431">
            <v>7</v>
          </cell>
          <cell r="P1431" t="str">
            <v>No</v>
          </cell>
          <cell r="Q1431">
            <v>1</v>
          </cell>
          <cell r="R1431">
            <v>18</v>
          </cell>
          <cell r="S1431">
            <v>3</v>
          </cell>
          <cell r="T1431">
            <v>7</v>
          </cell>
          <cell r="U1431">
            <v>7</v>
          </cell>
          <cell r="V1431">
            <v>1</v>
          </cell>
          <cell r="W1431">
            <v>7</v>
          </cell>
          <cell r="X1431">
            <v>13</v>
          </cell>
          <cell r="Y1431">
            <v>0</v>
          </cell>
          <cell r="Z1431" t="str">
            <v>Mid</v>
          </cell>
          <cell r="AA1431" t="str">
            <v>Low</v>
          </cell>
          <cell r="AB1431" t="str">
            <v>Long</v>
          </cell>
          <cell r="AC1431" t="str">
            <v>Medium</v>
          </cell>
          <cell r="AD1431">
            <v>2014</v>
          </cell>
        </row>
        <row r="1432">
          <cell r="A1432">
            <v>38</v>
          </cell>
          <cell r="B1432" t="str">
            <v>No</v>
          </cell>
          <cell r="C1432" t="str">
            <v>Research &amp; Development</v>
          </cell>
          <cell r="D1432">
            <v>10</v>
          </cell>
          <cell r="E1432">
            <v>3</v>
          </cell>
          <cell r="F1432" t="str">
            <v>Medical</v>
          </cell>
          <cell r="G1432">
            <v>2</v>
          </cell>
          <cell r="H1432" t="str">
            <v>Female</v>
          </cell>
          <cell r="I1432">
            <v>1</v>
          </cell>
          <cell r="J1432">
            <v>3</v>
          </cell>
          <cell r="K1432" t="str">
            <v>Research Director</v>
          </cell>
          <cell r="L1432">
            <v>3</v>
          </cell>
          <cell r="M1432" t="str">
            <v>Married</v>
          </cell>
          <cell r="N1432">
            <v>13206</v>
          </cell>
          <cell r="O1432">
            <v>3</v>
          </cell>
          <cell r="P1432" t="str">
            <v>No</v>
          </cell>
          <cell r="Q1432">
            <v>1</v>
          </cell>
          <cell r="R1432">
            <v>20</v>
          </cell>
          <cell r="S1432">
            <v>3</v>
          </cell>
          <cell r="T1432">
            <v>18</v>
          </cell>
          <cell r="U1432">
            <v>16</v>
          </cell>
          <cell r="V1432">
            <v>1</v>
          </cell>
          <cell r="W1432">
            <v>11</v>
          </cell>
          <cell r="X1432">
            <v>12</v>
          </cell>
          <cell r="Y1432">
            <v>0</v>
          </cell>
          <cell r="Z1432" t="str">
            <v>Mid</v>
          </cell>
          <cell r="AA1432" t="str">
            <v>High</v>
          </cell>
          <cell r="AB1432" t="str">
            <v>Long</v>
          </cell>
          <cell r="AC1432" t="str">
            <v>Low</v>
          </cell>
          <cell r="AD1432">
            <v>2015</v>
          </cell>
        </row>
        <row r="1433">
          <cell r="A1433">
            <v>32</v>
          </cell>
          <cell r="B1433" t="str">
            <v>No</v>
          </cell>
          <cell r="C1433" t="str">
            <v>Sales</v>
          </cell>
          <cell r="D1433">
            <v>1</v>
          </cell>
          <cell r="E1433">
            <v>4</v>
          </cell>
          <cell r="F1433" t="str">
            <v>Marketing</v>
          </cell>
          <cell r="G1433">
            <v>3</v>
          </cell>
          <cell r="H1433" t="str">
            <v>Female</v>
          </cell>
          <cell r="I1433">
            <v>3</v>
          </cell>
          <cell r="J1433">
            <v>3</v>
          </cell>
          <cell r="K1433" t="str">
            <v>Sales Executive</v>
          </cell>
          <cell r="L1433">
            <v>4</v>
          </cell>
          <cell r="M1433" t="str">
            <v>Married</v>
          </cell>
          <cell r="N1433">
            <v>10422</v>
          </cell>
          <cell r="O1433">
            <v>1</v>
          </cell>
          <cell r="P1433" t="str">
            <v>No</v>
          </cell>
          <cell r="Q1433">
            <v>3</v>
          </cell>
          <cell r="R1433">
            <v>14</v>
          </cell>
          <cell r="S1433">
            <v>3</v>
          </cell>
          <cell r="T1433">
            <v>14</v>
          </cell>
          <cell r="U1433">
            <v>10</v>
          </cell>
          <cell r="V1433">
            <v>5</v>
          </cell>
          <cell r="W1433">
            <v>7</v>
          </cell>
          <cell r="X1433">
            <v>19</v>
          </cell>
          <cell r="Y1433">
            <v>0</v>
          </cell>
          <cell r="Z1433" t="str">
            <v>Mid</v>
          </cell>
          <cell r="AA1433" t="str">
            <v>High</v>
          </cell>
          <cell r="AB1433" t="str">
            <v>Long</v>
          </cell>
          <cell r="AC1433" t="str">
            <v>High</v>
          </cell>
          <cell r="AD1433">
            <v>2016</v>
          </cell>
        </row>
        <row r="1434">
          <cell r="A1434">
            <v>37</v>
          </cell>
          <cell r="B1434" t="str">
            <v>No</v>
          </cell>
          <cell r="C1434" t="str">
            <v>Research &amp; Development</v>
          </cell>
          <cell r="D1434">
            <v>10</v>
          </cell>
          <cell r="E1434">
            <v>3</v>
          </cell>
          <cell r="F1434" t="str">
            <v>Life Sciences</v>
          </cell>
          <cell r="G1434">
            <v>3</v>
          </cell>
          <cell r="H1434" t="str">
            <v>Female</v>
          </cell>
          <cell r="I1434">
            <v>4</v>
          </cell>
          <cell r="J1434">
            <v>3</v>
          </cell>
          <cell r="K1434" t="str">
            <v>Research Director</v>
          </cell>
          <cell r="L1434">
            <v>4</v>
          </cell>
          <cell r="M1434" t="str">
            <v>Married</v>
          </cell>
          <cell r="N1434">
            <v>13744</v>
          </cell>
          <cell r="O1434">
            <v>1</v>
          </cell>
          <cell r="P1434" t="str">
            <v>Yes</v>
          </cell>
          <cell r="Q1434">
            <v>1</v>
          </cell>
          <cell r="R1434">
            <v>16</v>
          </cell>
          <cell r="S1434">
            <v>3</v>
          </cell>
          <cell r="T1434">
            <v>16</v>
          </cell>
          <cell r="U1434">
            <v>11</v>
          </cell>
          <cell r="V1434">
            <v>6</v>
          </cell>
          <cell r="W1434">
            <v>8</v>
          </cell>
          <cell r="X1434">
            <v>25</v>
          </cell>
          <cell r="Y1434">
            <v>0</v>
          </cell>
          <cell r="Z1434" t="str">
            <v>Mid</v>
          </cell>
          <cell r="AA1434" t="str">
            <v>High</v>
          </cell>
          <cell r="AB1434" t="str">
            <v>Long</v>
          </cell>
          <cell r="AC1434" t="str">
            <v>High</v>
          </cell>
          <cell r="AD1434">
            <v>2017</v>
          </cell>
        </row>
        <row r="1435">
          <cell r="A1435">
            <v>25</v>
          </cell>
          <cell r="B1435" t="str">
            <v>No</v>
          </cell>
          <cell r="C1435" t="str">
            <v>Sales</v>
          </cell>
          <cell r="D1435">
            <v>8</v>
          </cell>
          <cell r="E1435">
            <v>2</v>
          </cell>
          <cell r="F1435" t="str">
            <v>Other</v>
          </cell>
          <cell r="G1435">
            <v>1</v>
          </cell>
          <cell r="H1435" t="str">
            <v>Female</v>
          </cell>
          <cell r="I1435">
            <v>3</v>
          </cell>
          <cell r="J1435">
            <v>2</v>
          </cell>
          <cell r="K1435" t="str">
            <v>Sales Executive</v>
          </cell>
          <cell r="L1435">
            <v>3</v>
          </cell>
          <cell r="M1435" t="str">
            <v>Divorced</v>
          </cell>
          <cell r="N1435">
            <v>4907</v>
          </cell>
          <cell r="O1435">
            <v>0</v>
          </cell>
          <cell r="P1435" t="str">
            <v>Yes</v>
          </cell>
          <cell r="Q1435">
            <v>2</v>
          </cell>
          <cell r="R1435">
            <v>6</v>
          </cell>
          <cell r="S1435">
            <v>2</v>
          </cell>
          <cell r="T1435">
            <v>5</v>
          </cell>
          <cell r="U1435">
            <v>3</v>
          </cell>
          <cell r="V1435">
            <v>0</v>
          </cell>
          <cell r="W1435">
            <v>4</v>
          </cell>
          <cell r="X1435">
            <v>22</v>
          </cell>
          <cell r="Y1435">
            <v>0</v>
          </cell>
          <cell r="Z1435" t="str">
            <v>Young</v>
          </cell>
          <cell r="AA1435" t="str">
            <v>Low</v>
          </cell>
          <cell r="AB1435" t="str">
            <v>Mid</v>
          </cell>
          <cell r="AC1435" t="str">
            <v>High</v>
          </cell>
          <cell r="AD1435">
            <v>2018</v>
          </cell>
        </row>
        <row r="1436">
          <cell r="A1436">
            <v>52</v>
          </cell>
          <cell r="B1436" t="str">
            <v>No</v>
          </cell>
          <cell r="C1436" t="str">
            <v>Sales</v>
          </cell>
          <cell r="D1436">
            <v>29</v>
          </cell>
          <cell r="E1436">
            <v>4</v>
          </cell>
          <cell r="F1436" t="str">
            <v>Life Sciences</v>
          </cell>
          <cell r="G1436">
            <v>1</v>
          </cell>
          <cell r="H1436" t="str">
            <v>Male</v>
          </cell>
          <cell r="I1436">
            <v>3</v>
          </cell>
          <cell r="J1436">
            <v>1</v>
          </cell>
          <cell r="K1436" t="str">
            <v>Sales Representative</v>
          </cell>
          <cell r="L1436">
            <v>4</v>
          </cell>
          <cell r="M1436" t="str">
            <v>Divorced</v>
          </cell>
          <cell r="N1436">
            <v>3482</v>
          </cell>
          <cell r="O1436">
            <v>2</v>
          </cell>
          <cell r="P1436" t="str">
            <v>No</v>
          </cell>
          <cell r="Q1436">
            <v>2</v>
          </cell>
          <cell r="R1436">
            <v>16</v>
          </cell>
          <cell r="S1436">
            <v>2</v>
          </cell>
          <cell r="T1436">
            <v>9</v>
          </cell>
          <cell r="U1436">
            <v>8</v>
          </cell>
          <cell r="V1436">
            <v>0</v>
          </cell>
          <cell r="W1436">
            <v>0</v>
          </cell>
          <cell r="X1436">
            <v>15</v>
          </cell>
          <cell r="Y1436">
            <v>0</v>
          </cell>
          <cell r="Z1436" t="str">
            <v>Senior</v>
          </cell>
          <cell r="AA1436" t="str">
            <v>Low</v>
          </cell>
          <cell r="AB1436" t="str">
            <v>Long</v>
          </cell>
          <cell r="AC1436" t="str">
            <v>Medium</v>
          </cell>
          <cell r="AD1436">
            <v>2019</v>
          </cell>
        </row>
        <row r="1437">
          <cell r="A1437">
            <v>44</v>
          </cell>
          <cell r="B1437" t="str">
            <v>No</v>
          </cell>
          <cell r="C1437" t="str">
            <v>Research &amp; Development</v>
          </cell>
          <cell r="D1437">
            <v>1</v>
          </cell>
          <cell r="E1437">
            <v>3</v>
          </cell>
          <cell r="F1437" t="str">
            <v>Medical</v>
          </cell>
          <cell r="G1437">
            <v>2</v>
          </cell>
          <cell r="H1437" t="str">
            <v>Male</v>
          </cell>
          <cell r="I1437">
            <v>3</v>
          </cell>
          <cell r="J1437">
            <v>1</v>
          </cell>
          <cell r="K1437" t="str">
            <v>Research Scientist</v>
          </cell>
          <cell r="L1437">
            <v>4</v>
          </cell>
          <cell r="M1437" t="str">
            <v>Single</v>
          </cell>
          <cell r="N1437">
            <v>2436</v>
          </cell>
          <cell r="O1437">
            <v>6</v>
          </cell>
          <cell r="P1437" t="str">
            <v>Yes</v>
          </cell>
          <cell r="Q1437">
            <v>3</v>
          </cell>
          <cell r="R1437">
            <v>6</v>
          </cell>
          <cell r="S1437">
            <v>3</v>
          </cell>
          <cell r="T1437">
            <v>4</v>
          </cell>
          <cell r="U1437">
            <v>3</v>
          </cell>
          <cell r="V1437">
            <v>1</v>
          </cell>
          <cell r="W1437">
            <v>2</v>
          </cell>
          <cell r="X1437">
            <v>12</v>
          </cell>
          <cell r="Y1437">
            <v>0</v>
          </cell>
          <cell r="Z1437" t="str">
            <v>Mid</v>
          </cell>
          <cell r="AA1437" t="str">
            <v>Low</v>
          </cell>
          <cell r="AB1437" t="str">
            <v>Mid</v>
          </cell>
          <cell r="AC1437" t="str">
            <v>Low</v>
          </cell>
          <cell r="AD1437">
            <v>2020</v>
          </cell>
        </row>
        <row r="1438">
          <cell r="A1438">
            <v>21</v>
          </cell>
          <cell r="B1438" t="str">
            <v>No</v>
          </cell>
          <cell r="C1438" t="str">
            <v>Sales</v>
          </cell>
          <cell r="D1438">
            <v>5</v>
          </cell>
          <cell r="E1438">
            <v>1</v>
          </cell>
          <cell r="F1438" t="str">
            <v>Medical</v>
          </cell>
          <cell r="G1438">
            <v>3</v>
          </cell>
          <cell r="H1438" t="str">
            <v>Male</v>
          </cell>
          <cell r="I1438">
            <v>3</v>
          </cell>
          <cell r="J1438">
            <v>1</v>
          </cell>
          <cell r="K1438" t="str">
            <v>Sales Representative</v>
          </cell>
          <cell r="L1438">
            <v>1</v>
          </cell>
          <cell r="M1438" t="str">
            <v>Single</v>
          </cell>
          <cell r="N1438">
            <v>2380</v>
          </cell>
          <cell r="O1438">
            <v>1</v>
          </cell>
          <cell r="P1438" t="str">
            <v>Yes</v>
          </cell>
          <cell r="Q1438">
            <v>4</v>
          </cell>
          <cell r="R1438">
            <v>2</v>
          </cell>
          <cell r="S1438">
            <v>3</v>
          </cell>
          <cell r="T1438">
            <v>2</v>
          </cell>
          <cell r="U1438">
            <v>2</v>
          </cell>
          <cell r="V1438">
            <v>1</v>
          </cell>
          <cell r="W1438">
            <v>2</v>
          </cell>
          <cell r="X1438">
            <v>11</v>
          </cell>
          <cell r="Y1438">
            <v>0</v>
          </cell>
          <cell r="Z1438" t="str">
            <v>Young</v>
          </cell>
          <cell r="AA1438" t="str">
            <v>Low</v>
          </cell>
          <cell r="AB1438" t="str">
            <v>Early</v>
          </cell>
          <cell r="AC1438" t="str">
            <v>Low</v>
          </cell>
          <cell r="AD1438">
            <v>2021</v>
          </cell>
        </row>
        <row r="1439">
          <cell r="A1439">
            <v>39</v>
          </cell>
          <cell r="B1439" t="str">
            <v>No</v>
          </cell>
          <cell r="C1439" t="str">
            <v>Research &amp; Development</v>
          </cell>
          <cell r="D1439">
            <v>9</v>
          </cell>
          <cell r="E1439">
            <v>3</v>
          </cell>
          <cell r="F1439" t="str">
            <v>Life Sciences</v>
          </cell>
          <cell r="G1439">
            <v>4</v>
          </cell>
          <cell r="H1439" t="str">
            <v>Male</v>
          </cell>
          <cell r="I1439">
            <v>3</v>
          </cell>
          <cell r="J1439">
            <v>5</v>
          </cell>
          <cell r="K1439" t="str">
            <v>Manager</v>
          </cell>
          <cell r="L1439">
            <v>4</v>
          </cell>
          <cell r="M1439" t="str">
            <v>Single</v>
          </cell>
          <cell r="N1439">
            <v>19431</v>
          </cell>
          <cell r="O1439">
            <v>2</v>
          </cell>
          <cell r="P1439" t="str">
            <v>No</v>
          </cell>
          <cell r="Q1439">
            <v>3</v>
          </cell>
          <cell r="R1439">
            <v>21</v>
          </cell>
          <cell r="S1439">
            <v>2</v>
          </cell>
          <cell r="T1439">
            <v>6</v>
          </cell>
          <cell r="U1439">
            <v>0</v>
          </cell>
          <cell r="V1439">
            <v>1</v>
          </cell>
          <cell r="W1439">
            <v>3</v>
          </cell>
          <cell r="X1439">
            <v>13</v>
          </cell>
          <cell r="Y1439">
            <v>0</v>
          </cell>
          <cell r="Z1439" t="str">
            <v>Mid</v>
          </cell>
          <cell r="AA1439" t="str">
            <v>High</v>
          </cell>
          <cell r="AB1439" t="str">
            <v>Mid</v>
          </cell>
          <cell r="AC1439" t="str">
            <v>Medium</v>
          </cell>
          <cell r="AD1439">
            <v>2022</v>
          </cell>
        </row>
        <row r="1440">
          <cell r="A1440">
            <v>23</v>
          </cell>
          <cell r="B1440" t="str">
            <v>Yes</v>
          </cell>
          <cell r="C1440" t="str">
            <v>Sales</v>
          </cell>
          <cell r="D1440">
            <v>9</v>
          </cell>
          <cell r="E1440">
            <v>3</v>
          </cell>
          <cell r="F1440" t="str">
            <v>Marketing</v>
          </cell>
          <cell r="G1440">
            <v>4</v>
          </cell>
          <cell r="H1440" t="str">
            <v>Male</v>
          </cell>
          <cell r="I1440">
            <v>3</v>
          </cell>
          <cell r="J1440">
            <v>1</v>
          </cell>
          <cell r="K1440" t="str">
            <v>Sales Representative</v>
          </cell>
          <cell r="L1440">
            <v>1</v>
          </cell>
          <cell r="M1440" t="str">
            <v>Married</v>
          </cell>
          <cell r="N1440">
            <v>1790</v>
          </cell>
          <cell r="O1440">
            <v>1</v>
          </cell>
          <cell r="P1440" t="str">
            <v>No</v>
          </cell>
          <cell r="Q1440">
            <v>1</v>
          </cell>
          <cell r="R1440">
            <v>1</v>
          </cell>
          <cell r="S1440">
            <v>2</v>
          </cell>
          <cell r="T1440">
            <v>1</v>
          </cell>
          <cell r="U1440">
            <v>0</v>
          </cell>
          <cell r="V1440">
            <v>1</v>
          </cell>
          <cell r="W1440">
            <v>0</v>
          </cell>
          <cell r="X1440">
            <v>19</v>
          </cell>
          <cell r="Y1440">
            <v>1</v>
          </cell>
          <cell r="Z1440" t="str">
            <v>Young</v>
          </cell>
          <cell r="AA1440" t="str">
            <v>Low</v>
          </cell>
          <cell r="AB1440" t="str">
            <v>Early</v>
          </cell>
          <cell r="AC1440" t="str">
            <v>High</v>
          </cell>
          <cell r="AD1440">
            <v>2023</v>
          </cell>
        </row>
        <row r="1441">
          <cell r="A1441">
            <v>36</v>
          </cell>
          <cell r="B1441" t="str">
            <v>No</v>
          </cell>
          <cell r="C1441" t="str">
            <v>Sales</v>
          </cell>
          <cell r="D1441">
            <v>3</v>
          </cell>
          <cell r="E1441">
            <v>3</v>
          </cell>
          <cell r="F1441" t="str">
            <v>Medical</v>
          </cell>
          <cell r="G1441">
            <v>1</v>
          </cell>
          <cell r="H1441" t="str">
            <v>Female</v>
          </cell>
          <cell r="I1441">
            <v>2</v>
          </cell>
          <cell r="J1441">
            <v>3</v>
          </cell>
          <cell r="K1441" t="str">
            <v>Sales Executive</v>
          </cell>
          <cell r="L1441">
            <v>4</v>
          </cell>
          <cell r="M1441" t="str">
            <v>Married</v>
          </cell>
          <cell r="N1441">
            <v>7644</v>
          </cell>
          <cell r="O1441">
            <v>0</v>
          </cell>
          <cell r="P1441" t="str">
            <v>No</v>
          </cell>
          <cell r="Q1441">
            <v>3</v>
          </cell>
          <cell r="R1441">
            <v>10</v>
          </cell>
          <cell r="S1441">
            <v>3</v>
          </cell>
          <cell r="T1441">
            <v>9</v>
          </cell>
          <cell r="U1441">
            <v>7</v>
          </cell>
          <cell r="V1441">
            <v>3</v>
          </cell>
          <cell r="W1441">
            <v>4</v>
          </cell>
          <cell r="X1441">
            <v>19</v>
          </cell>
          <cell r="Y1441">
            <v>0</v>
          </cell>
          <cell r="Z1441" t="str">
            <v>Mid</v>
          </cell>
          <cell r="AA1441" t="str">
            <v>Medium</v>
          </cell>
          <cell r="AB1441" t="str">
            <v>Long</v>
          </cell>
          <cell r="AC1441" t="str">
            <v>High</v>
          </cell>
          <cell r="AD1441">
            <v>2024</v>
          </cell>
        </row>
        <row r="1442">
          <cell r="A1442">
            <v>36</v>
          </cell>
          <cell r="B1442" t="str">
            <v>No</v>
          </cell>
          <cell r="C1442" t="str">
            <v>Research &amp; Development</v>
          </cell>
          <cell r="D1442">
            <v>4</v>
          </cell>
          <cell r="E1442">
            <v>2</v>
          </cell>
          <cell r="F1442" t="str">
            <v>Life Sciences</v>
          </cell>
          <cell r="G1442">
            <v>4</v>
          </cell>
          <cell r="H1442" t="str">
            <v>Female</v>
          </cell>
          <cell r="I1442">
            <v>3</v>
          </cell>
          <cell r="J1442">
            <v>2</v>
          </cell>
          <cell r="K1442" t="str">
            <v>Manufacturing Director</v>
          </cell>
          <cell r="L1442">
            <v>2</v>
          </cell>
          <cell r="M1442" t="str">
            <v>Divorced</v>
          </cell>
          <cell r="N1442">
            <v>5131</v>
          </cell>
          <cell r="O1442">
            <v>7</v>
          </cell>
          <cell r="P1442" t="str">
            <v>No</v>
          </cell>
          <cell r="Q1442">
            <v>2</v>
          </cell>
          <cell r="R1442">
            <v>18</v>
          </cell>
          <cell r="S1442">
            <v>3</v>
          </cell>
          <cell r="T1442">
            <v>4</v>
          </cell>
          <cell r="U1442">
            <v>2</v>
          </cell>
          <cell r="V1442">
            <v>0</v>
          </cell>
          <cell r="W1442">
            <v>2</v>
          </cell>
          <cell r="X1442">
            <v>13</v>
          </cell>
          <cell r="Y1442">
            <v>0</v>
          </cell>
          <cell r="Z1442" t="str">
            <v>Mid</v>
          </cell>
          <cell r="AA1442" t="str">
            <v>Medium</v>
          </cell>
          <cell r="AB1442" t="str">
            <v>Mid</v>
          </cell>
          <cell r="AC1442" t="str">
            <v>Medium</v>
          </cell>
          <cell r="AD1442">
            <v>2025</v>
          </cell>
        </row>
        <row r="1443">
          <cell r="A1443">
            <v>56</v>
          </cell>
          <cell r="B1443" t="str">
            <v>No</v>
          </cell>
          <cell r="C1443" t="str">
            <v>Research &amp; Development</v>
          </cell>
          <cell r="D1443">
            <v>1</v>
          </cell>
          <cell r="E1443">
            <v>4</v>
          </cell>
          <cell r="F1443" t="str">
            <v>Life Sciences</v>
          </cell>
          <cell r="G1443">
            <v>3</v>
          </cell>
          <cell r="H1443" t="str">
            <v>Male</v>
          </cell>
          <cell r="I1443">
            <v>3</v>
          </cell>
          <cell r="J1443">
            <v>2</v>
          </cell>
          <cell r="K1443" t="str">
            <v>Healthcare Representative</v>
          </cell>
          <cell r="L1443">
            <v>3</v>
          </cell>
          <cell r="M1443" t="str">
            <v>Divorced</v>
          </cell>
          <cell r="N1443">
            <v>6306</v>
          </cell>
          <cell r="O1443">
            <v>1</v>
          </cell>
          <cell r="P1443" t="str">
            <v>No</v>
          </cell>
          <cell r="Q1443">
            <v>1</v>
          </cell>
          <cell r="R1443">
            <v>13</v>
          </cell>
          <cell r="S1443">
            <v>2</v>
          </cell>
          <cell r="T1443">
            <v>13</v>
          </cell>
          <cell r="U1443">
            <v>12</v>
          </cell>
          <cell r="V1443">
            <v>1</v>
          </cell>
          <cell r="W1443">
            <v>9</v>
          </cell>
          <cell r="X1443">
            <v>21</v>
          </cell>
          <cell r="Y1443">
            <v>0</v>
          </cell>
          <cell r="Z1443" t="str">
            <v>Senior</v>
          </cell>
          <cell r="AA1443" t="str">
            <v>Medium</v>
          </cell>
          <cell r="AB1443" t="str">
            <v>Long</v>
          </cell>
          <cell r="AC1443" t="str">
            <v>High</v>
          </cell>
          <cell r="AD1443">
            <v>2026</v>
          </cell>
        </row>
        <row r="1444">
          <cell r="A1444">
            <v>29</v>
          </cell>
          <cell r="B1444" t="str">
            <v>Yes</v>
          </cell>
          <cell r="C1444" t="str">
            <v>Research &amp; Development</v>
          </cell>
          <cell r="D1444">
            <v>1</v>
          </cell>
          <cell r="E1444">
            <v>4</v>
          </cell>
          <cell r="F1444" t="str">
            <v>Medical</v>
          </cell>
          <cell r="G1444">
            <v>1</v>
          </cell>
          <cell r="H1444" t="str">
            <v>Male</v>
          </cell>
          <cell r="I1444">
            <v>3</v>
          </cell>
          <cell r="J1444">
            <v>1</v>
          </cell>
          <cell r="K1444" t="str">
            <v>Research Scientist</v>
          </cell>
          <cell r="L1444">
            <v>4</v>
          </cell>
          <cell r="M1444" t="str">
            <v>Married</v>
          </cell>
          <cell r="N1444">
            <v>4787</v>
          </cell>
          <cell r="O1444">
            <v>9</v>
          </cell>
          <cell r="P1444" t="str">
            <v>Yes</v>
          </cell>
          <cell r="Q1444">
            <v>2</v>
          </cell>
          <cell r="R1444">
            <v>4</v>
          </cell>
          <cell r="S1444">
            <v>4</v>
          </cell>
          <cell r="T1444">
            <v>2</v>
          </cell>
          <cell r="U1444">
            <v>2</v>
          </cell>
          <cell r="V1444">
            <v>2</v>
          </cell>
          <cell r="W1444">
            <v>2</v>
          </cell>
          <cell r="X1444">
            <v>14</v>
          </cell>
          <cell r="Y1444">
            <v>1</v>
          </cell>
          <cell r="Z1444" t="str">
            <v>Young</v>
          </cell>
          <cell r="AA1444" t="str">
            <v>Low</v>
          </cell>
          <cell r="AB1444" t="str">
            <v>Early</v>
          </cell>
          <cell r="AC1444" t="str">
            <v>Medium</v>
          </cell>
          <cell r="AD1444">
            <v>2027</v>
          </cell>
        </row>
        <row r="1445">
          <cell r="A1445">
            <v>42</v>
          </cell>
          <cell r="B1445" t="str">
            <v>No</v>
          </cell>
          <cell r="C1445" t="str">
            <v>Research &amp; Development</v>
          </cell>
          <cell r="D1445">
            <v>2</v>
          </cell>
          <cell r="E1445">
            <v>3</v>
          </cell>
          <cell r="F1445" t="str">
            <v>Life Sciences</v>
          </cell>
          <cell r="G1445">
            <v>1</v>
          </cell>
          <cell r="H1445" t="str">
            <v>Male</v>
          </cell>
          <cell r="I1445">
            <v>3</v>
          </cell>
          <cell r="J1445">
            <v>5</v>
          </cell>
          <cell r="K1445" t="str">
            <v>Manager</v>
          </cell>
          <cell r="L1445">
            <v>3</v>
          </cell>
          <cell r="M1445" t="str">
            <v>Married</v>
          </cell>
          <cell r="N1445">
            <v>18880</v>
          </cell>
          <cell r="O1445">
            <v>5</v>
          </cell>
          <cell r="P1445" t="str">
            <v>No</v>
          </cell>
          <cell r="Q1445">
            <v>1</v>
          </cell>
          <cell r="R1445">
            <v>24</v>
          </cell>
          <cell r="S1445">
            <v>2</v>
          </cell>
          <cell r="T1445">
            <v>22</v>
          </cell>
          <cell r="U1445">
            <v>6</v>
          </cell>
          <cell r="V1445">
            <v>4</v>
          </cell>
          <cell r="W1445">
            <v>14</v>
          </cell>
          <cell r="X1445">
            <v>11</v>
          </cell>
          <cell r="Y1445">
            <v>0</v>
          </cell>
          <cell r="Z1445" t="str">
            <v>Mid</v>
          </cell>
          <cell r="AA1445" t="str">
            <v>High</v>
          </cell>
          <cell r="AB1445" t="str">
            <v>Long</v>
          </cell>
          <cell r="AC1445" t="str">
            <v>Low</v>
          </cell>
          <cell r="AD1445">
            <v>2031</v>
          </cell>
        </row>
        <row r="1446">
          <cell r="A1446">
            <v>56</v>
          </cell>
          <cell r="B1446" t="str">
            <v>Yes</v>
          </cell>
          <cell r="C1446" t="str">
            <v>Research &amp; Development</v>
          </cell>
          <cell r="D1446">
            <v>7</v>
          </cell>
          <cell r="E1446">
            <v>2</v>
          </cell>
          <cell r="F1446" t="str">
            <v>Technical Degree</v>
          </cell>
          <cell r="G1446">
            <v>4</v>
          </cell>
          <cell r="H1446" t="str">
            <v>Male</v>
          </cell>
          <cell r="I1446">
            <v>3</v>
          </cell>
          <cell r="J1446">
            <v>1</v>
          </cell>
          <cell r="K1446" t="str">
            <v>Laboratory Technician</v>
          </cell>
          <cell r="L1446">
            <v>3</v>
          </cell>
          <cell r="M1446" t="str">
            <v>Married</v>
          </cell>
          <cell r="N1446">
            <v>2339</v>
          </cell>
          <cell r="O1446">
            <v>8</v>
          </cell>
          <cell r="P1446" t="str">
            <v>No</v>
          </cell>
          <cell r="Q1446">
            <v>4</v>
          </cell>
          <cell r="R1446">
            <v>14</v>
          </cell>
          <cell r="S1446">
            <v>1</v>
          </cell>
          <cell r="T1446">
            <v>10</v>
          </cell>
          <cell r="U1446">
            <v>9</v>
          </cell>
          <cell r="V1446">
            <v>9</v>
          </cell>
          <cell r="W1446">
            <v>8</v>
          </cell>
          <cell r="X1446">
            <v>11</v>
          </cell>
          <cell r="Y1446">
            <v>1</v>
          </cell>
          <cell r="Z1446" t="str">
            <v>Senior</v>
          </cell>
          <cell r="AA1446" t="str">
            <v>Low</v>
          </cell>
          <cell r="AB1446" t="str">
            <v>Long</v>
          </cell>
          <cell r="AC1446" t="str">
            <v>Low</v>
          </cell>
          <cell r="AD1446">
            <v>2032</v>
          </cell>
        </row>
        <row r="1447">
          <cell r="A1447">
            <v>41</v>
          </cell>
          <cell r="B1447" t="str">
            <v>No</v>
          </cell>
          <cell r="C1447" t="str">
            <v>Research &amp; Development</v>
          </cell>
          <cell r="D1447">
            <v>28</v>
          </cell>
          <cell r="E1447">
            <v>4</v>
          </cell>
          <cell r="F1447" t="str">
            <v>Life Sciences</v>
          </cell>
          <cell r="G1447">
            <v>1</v>
          </cell>
          <cell r="H1447" t="str">
            <v>Female</v>
          </cell>
          <cell r="I1447">
            <v>2</v>
          </cell>
          <cell r="J1447">
            <v>4</v>
          </cell>
          <cell r="K1447" t="str">
            <v>Manufacturing Director</v>
          </cell>
          <cell r="L1447">
            <v>2</v>
          </cell>
          <cell r="M1447" t="str">
            <v>Married</v>
          </cell>
          <cell r="N1447">
            <v>13570</v>
          </cell>
          <cell r="O1447">
            <v>0</v>
          </cell>
          <cell r="P1447" t="str">
            <v>No</v>
          </cell>
          <cell r="Q1447">
            <v>3</v>
          </cell>
          <cell r="R1447">
            <v>21</v>
          </cell>
          <cell r="S1447">
            <v>3</v>
          </cell>
          <cell r="T1447">
            <v>20</v>
          </cell>
          <cell r="U1447">
            <v>7</v>
          </cell>
          <cell r="V1447">
            <v>0</v>
          </cell>
          <cell r="W1447">
            <v>10</v>
          </cell>
          <cell r="X1447">
            <v>23</v>
          </cell>
          <cell r="Y1447">
            <v>0</v>
          </cell>
          <cell r="Z1447" t="str">
            <v>Mid</v>
          </cell>
          <cell r="AA1447" t="str">
            <v>High</v>
          </cell>
          <cell r="AB1447" t="str">
            <v>Long</v>
          </cell>
          <cell r="AC1447" t="str">
            <v>High</v>
          </cell>
          <cell r="AD1447">
            <v>2034</v>
          </cell>
        </row>
        <row r="1448">
          <cell r="A1448">
            <v>34</v>
          </cell>
          <cell r="B1448" t="str">
            <v>No</v>
          </cell>
          <cell r="C1448" t="str">
            <v>Sales</v>
          </cell>
          <cell r="D1448">
            <v>28</v>
          </cell>
          <cell r="E1448">
            <v>3</v>
          </cell>
          <cell r="F1448" t="str">
            <v>Marketing</v>
          </cell>
          <cell r="G1448">
            <v>4</v>
          </cell>
          <cell r="H1448" t="str">
            <v>Female</v>
          </cell>
          <cell r="I1448">
            <v>2</v>
          </cell>
          <cell r="J1448">
            <v>2</v>
          </cell>
          <cell r="K1448" t="str">
            <v>Sales Executive</v>
          </cell>
          <cell r="L1448">
            <v>3</v>
          </cell>
          <cell r="M1448" t="str">
            <v>Married</v>
          </cell>
          <cell r="N1448">
            <v>6712</v>
          </cell>
          <cell r="O1448">
            <v>1</v>
          </cell>
          <cell r="P1448" t="str">
            <v>No</v>
          </cell>
          <cell r="Q1448">
            <v>4</v>
          </cell>
          <cell r="R1448">
            <v>8</v>
          </cell>
          <cell r="S1448">
            <v>3</v>
          </cell>
          <cell r="T1448">
            <v>8</v>
          </cell>
          <cell r="U1448">
            <v>7</v>
          </cell>
          <cell r="V1448">
            <v>1</v>
          </cell>
          <cell r="W1448">
            <v>7</v>
          </cell>
          <cell r="X1448">
            <v>21</v>
          </cell>
          <cell r="Y1448">
            <v>0</v>
          </cell>
          <cell r="Z1448" t="str">
            <v>Mid</v>
          </cell>
          <cell r="AA1448" t="str">
            <v>Medium</v>
          </cell>
          <cell r="AB1448" t="str">
            <v>Long</v>
          </cell>
          <cell r="AC1448" t="str">
            <v>High</v>
          </cell>
          <cell r="AD1448">
            <v>2035</v>
          </cell>
        </row>
        <row r="1449">
          <cell r="A1449">
            <v>36</v>
          </cell>
          <cell r="B1449" t="str">
            <v>No</v>
          </cell>
          <cell r="C1449" t="str">
            <v>Sales</v>
          </cell>
          <cell r="D1449">
            <v>15</v>
          </cell>
          <cell r="E1449">
            <v>4</v>
          </cell>
          <cell r="F1449" t="str">
            <v>Marketing</v>
          </cell>
          <cell r="G1449">
            <v>4</v>
          </cell>
          <cell r="H1449" t="str">
            <v>Male</v>
          </cell>
          <cell r="I1449">
            <v>1</v>
          </cell>
          <cell r="J1449">
            <v>2</v>
          </cell>
          <cell r="K1449" t="str">
            <v>Sales Executive</v>
          </cell>
          <cell r="L1449">
            <v>4</v>
          </cell>
          <cell r="M1449" t="str">
            <v>Divorced</v>
          </cell>
          <cell r="N1449">
            <v>5406</v>
          </cell>
          <cell r="O1449">
            <v>1</v>
          </cell>
          <cell r="P1449" t="str">
            <v>No</v>
          </cell>
          <cell r="Q1449">
            <v>1</v>
          </cell>
          <cell r="R1449">
            <v>15</v>
          </cell>
          <cell r="S1449">
            <v>2</v>
          </cell>
          <cell r="T1449">
            <v>15</v>
          </cell>
          <cell r="U1449">
            <v>12</v>
          </cell>
          <cell r="V1449">
            <v>11</v>
          </cell>
          <cell r="W1449">
            <v>11</v>
          </cell>
          <cell r="X1449">
            <v>24</v>
          </cell>
          <cell r="Y1449">
            <v>0</v>
          </cell>
          <cell r="Z1449" t="str">
            <v>Mid</v>
          </cell>
          <cell r="AA1449" t="str">
            <v>Medium</v>
          </cell>
          <cell r="AB1449" t="str">
            <v>Long</v>
          </cell>
          <cell r="AC1449" t="str">
            <v>High</v>
          </cell>
          <cell r="AD1449">
            <v>2036</v>
          </cell>
        </row>
        <row r="1450">
          <cell r="A1450">
            <v>41</v>
          </cell>
          <cell r="B1450" t="str">
            <v>No</v>
          </cell>
          <cell r="C1450" t="str">
            <v>Sales</v>
          </cell>
          <cell r="D1450">
            <v>3</v>
          </cell>
          <cell r="E1450">
            <v>3</v>
          </cell>
          <cell r="F1450" t="str">
            <v>Life Sciences</v>
          </cell>
          <cell r="G1450">
            <v>3</v>
          </cell>
          <cell r="H1450" t="str">
            <v>Male</v>
          </cell>
          <cell r="I1450">
            <v>2</v>
          </cell>
          <cell r="J1450">
            <v>2</v>
          </cell>
          <cell r="K1450" t="str">
            <v>Sales Executive</v>
          </cell>
          <cell r="L1450">
            <v>2</v>
          </cell>
          <cell r="M1450" t="str">
            <v>Divorced</v>
          </cell>
          <cell r="N1450">
            <v>8938</v>
          </cell>
          <cell r="O1450">
            <v>2</v>
          </cell>
          <cell r="P1450" t="str">
            <v>No</v>
          </cell>
          <cell r="Q1450">
            <v>3</v>
          </cell>
          <cell r="R1450">
            <v>14</v>
          </cell>
          <cell r="S1450">
            <v>3</v>
          </cell>
          <cell r="T1450">
            <v>5</v>
          </cell>
          <cell r="U1450">
            <v>4</v>
          </cell>
          <cell r="V1450">
            <v>0</v>
          </cell>
          <cell r="W1450">
            <v>4</v>
          </cell>
          <cell r="X1450">
            <v>11</v>
          </cell>
          <cell r="Y1450">
            <v>0</v>
          </cell>
          <cell r="Z1450" t="str">
            <v>Mid</v>
          </cell>
          <cell r="AA1450" t="str">
            <v>Medium</v>
          </cell>
          <cell r="AB1450" t="str">
            <v>Mid</v>
          </cell>
          <cell r="AC1450" t="str">
            <v>Low</v>
          </cell>
          <cell r="AD1450">
            <v>2037</v>
          </cell>
        </row>
        <row r="1451">
          <cell r="A1451">
            <v>32</v>
          </cell>
          <cell r="B1451" t="str">
            <v>No</v>
          </cell>
          <cell r="C1451" t="str">
            <v>Research &amp; Development</v>
          </cell>
          <cell r="D1451">
            <v>2</v>
          </cell>
          <cell r="E1451">
            <v>3</v>
          </cell>
          <cell r="F1451" t="str">
            <v>Technical Degree</v>
          </cell>
          <cell r="G1451">
            <v>4</v>
          </cell>
          <cell r="H1451" t="str">
            <v>Male</v>
          </cell>
          <cell r="I1451">
            <v>3</v>
          </cell>
          <cell r="J1451">
            <v>1</v>
          </cell>
          <cell r="K1451" t="str">
            <v>Research Scientist</v>
          </cell>
          <cell r="L1451">
            <v>1</v>
          </cell>
          <cell r="M1451" t="str">
            <v>Single</v>
          </cell>
          <cell r="N1451">
            <v>2439</v>
          </cell>
          <cell r="O1451">
            <v>1</v>
          </cell>
          <cell r="P1451" t="str">
            <v>No</v>
          </cell>
          <cell r="Q1451">
            <v>4</v>
          </cell>
          <cell r="R1451">
            <v>4</v>
          </cell>
          <cell r="S1451">
            <v>3</v>
          </cell>
          <cell r="T1451">
            <v>4</v>
          </cell>
          <cell r="U1451">
            <v>2</v>
          </cell>
          <cell r="V1451">
            <v>1</v>
          </cell>
          <cell r="W1451">
            <v>2</v>
          </cell>
          <cell r="X1451">
            <v>14</v>
          </cell>
          <cell r="Y1451">
            <v>0</v>
          </cell>
          <cell r="Z1451" t="str">
            <v>Mid</v>
          </cell>
          <cell r="AA1451" t="str">
            <v>Low</v>
          </cell>
          <cell r="AB1451" t="str">
            <v>Mid</v>
          </cell>
          <cell r="AC1451" t="str">
            <v>Medium</v>
          </cell>
          <cell r="AD1451">
            <v>2038</v>
          </cell>
        </row>
        <row r="1452">
          <cell r="A1452">
            <v>35</v>
          </cell>
          <cell r="B1452" t="str">
            <v>No</v>
          </cell>
          <cell r="C1452" t="str">
            <v>Human Resources</v>
          </cell>
          <cell r="D1452">
            <v>26</v>
          </cell>
          <cell r="E1452">
            <v>4</v>
          </cell>
          <cell r="F1452" t="str">
            <v>Life Sciences</v>
          </cell>
          <cell r="G1452">
            <v>3</v>
          </cell>
          <cell r="H1452" t="str">
            <v>Female</v>
          </cell>
          <cell r="I1452">
            <v>3</v>
          </cell>
          <cell r="J1452">
            <v>3</v>
          </cell>
          <cell r="K1452" t="str">
            <v>Human Resources</v>
          </cell>
          <cell r="L1452">
            <v>4</v>
          </cell>
          <cell r="M1452" t="str">
            <v>Single</v>
          </cell>
          <cell r="N1452">
            <v>8837</v>
          </cell>
          <cell r="O1452">
            <v>1</v>
          </cell>
          <cell r="P1452" t="str">
            <v>Yes</v>
          </cell>
          <cell r="Q1452">
            <v>3</v>
          </cell>
          <cell r="R1452">
            <v>9</v>
          </cell>
          <cell r="S1452">
            <v>3</v>
          </cell>
          <cell r="T1452">
            <v>9</v>
          </cell>
          <cell r="U1452">
            <v>0</v>
          </cell>
          <cell r="V1452">
            <v>1</v>
          </cell>
          <cell r="W1452">
            <v>7</v>
          </cell>
          <cell r="X1452">
            <v>16</v>
          </cell>
          <cell r="Y1452">
            <v>0</v>
          </cell>
          <cell r="Z1452" t="str">
            <v>Mid</v>
          </cell>
          <cell r="AA1452" t="str">
            <v>Medium</v>
          </cell>
          <cell r="AB1452" t="str">
            <v>Long</v>
          </cell>
          <cell r="AC1452" t="str">
            <v>Medium</v>
          </cell>
          <cell r="AD1452">
            <v>2040</v>
          </cell>
        </row>
        <row r="1453">
          <cell r="A1453">
            <v>38</v>
          </cell>
          <cell r="B1453" t="str">
            <v>No</v>
          </cell>
          <cell r="C1453" t="str">
            <v>Sales</v>
          </cell>
          <cell r="D1453">
            <v>10</v>
          </cell>
          <cell r="E1453">
            <v>2</v>
          </cell>
          <cell r="F1453" t="str">
            <v>Life Sciences</v>
          </cell>
          <cell r="G1453">
            <v>1</v>
          </cell>
          <cell r="H1453" t="str">
            <v>Female</v>
          </cell>
          <cell r="I1453">
            <v>3</v>
          </cell>
          <cell r="J1453">
            <v>2</v>
          </cell>
          <cell r="K1453" t="str">
            <v>Sales Executive</v>
          </cell>
          <cell r="L1453">
            <v>4</v>
          </cell>
          <cell r="M1453" t="str">
            <v>Married</v>
          </cell>
          <cell r="N1453">
            <v>5343</v>
          </cell>
          <cell r="O1453">
            <v>1</v>
          </cell>
          <cell r="P1453" t="str">
            <v>No</v>
          </cell>
          <cell r="Q1453">
            <v>3</v>
          </cell>
          <cell r="R1453">
            <v>10</v>
          </cell>
          <cell r="S1453">
            <v>3</v>
          </cell>
          <cell r="T1453">
            <v>10</v>
          </cell>
          <cell r="U1453">
            <v>7</v>
          </cell>
          <cell r="V1453">
            <v>1</v>
          </cell>
          <cell r="W1453">
            <v>9</v>
          </cell>
          <cell r="X1453">
            <v>11</v>
          </cell>
          <cell r="Y1453">
            <v>0</v>
          </cell>
          <cell r="Z1453" t="str">
            <v>Mid</v>
          </cell>
          <cell r="AA1453" t="str">
            <v>Medium</v>
          </cell>
          <cell r="AB1453" t="str">
            <v>Long</v>
          </cell>
          <cell r="AC1453" t="str">
            <v>Low</v>
          </cell>
          <cell r="AD1453">
            <v>2041</v>
          </cell>
        </row>
        <row r="1454">
          <cell r="A1454">
            <v>50</v>
          </cell>
          <cell r="B1454" t="str">
            <v>Yes</v>
          </cell>
          <cell r="C1454" t="str">
            <v>Sales</v>
          </cell>
          <cell r="D1454">
            <v>1</v>
          </cell>
          <cell r="E1454">
            <v>4</v>
          </cell>
          <cell r="F1454" t="str">
            <v>Life Sciences</v>
          </cell>
          <cell r="G1454">
            <v>2</v>
          </cell>
          <cell r="H1454" t="str">
            <v>Male</v>
          </cell>
          <cell r="I1454">
            <v>3</v>
          </cell>
          <cell r="J1454">
            <v>2</v>
          </cell>
          <cell r="K1454" t="str">
            <v>Sales Executive</v>
          </cell>
          <cell r="L1454">
            <v>3</v>
          </cell>
          <cell r="M1454" t="str">
            <v>Divorced</v>
          </cell>
          <cell r="N1454">
            <v>6728</v>
          </cell>
          <cell r="O1454">
            <v>7</v>
          </cell>
          <cell r="P1454" t="str">
            <v>No</v>
          </cell>
          <cell r="Q1454">
            <v>4</v>
          </cell>
          <cell r="R1454">
            <v>12</v>
          </cell>
          <cell r="S1454">
            <v>3</v>
          </cell>
          <cell r="T1454">
            <v>6</v>
          </cell>
          <cell r="U1454">
            <v>3</v>
          </cell>
          <cell r="V1454">
            <v>0</v>
          </cell>
          <cell r="W1454">
            <v>1</v>
          </cell>
          <cell r="X1454">
            <v>12</v>
          </cell>
          <cell r="Y1454">
            <v>1</v>
          </cell>
          <cell r="Z1454" t="str">
            <v>Senior</v>
          </cell>
          <cell r="AA1454" t="str">
            <v>Medium</v>
          </cell>
          <cell r="AB1454" t="str">
            <v>Mid</v>
          </cell>
          <cell r="AC1454" t="str">
            <v>Low</v>
          </cell>
          <cell r="AD1454">
            <v>2044</v>
          </cell>
        </row>
        <row r="1455">
          <cell r="A1455">
            <v>36</v>
          </cell>
          <cell r="B1455" t="str">
            <v>No</v>
          </cell>
          <cell r="C1455" t="str">
            <v>Sales</v>
          </cell>
          <cell r="D1455">
            <v>11</v>
          </cell>
          <cell r="E1455">
            <v>4</v>
          </cell>
          <cell r="F1455" t="str">
            <v>Marketing</v>
          </cell>
          <cell r="G1455">
            <v>2</v>
          </cell>
          <cell r="H1455" t="str">
            <v>Female</v>
          </cell>
          <cell r="I1455">
            <v>2</v>
          </cell>
          <cell r="J1455">
            <v>2</v>
          </cell>
          <cell r="K1455" t="str">
            <v>Sales Executive</v>
          </cell>
          <cell r="L1455">
            <v>4</v>
          </cell>
          <cell r="M1455" t="str">
            <v>Married</v>
          </cell>
          <cell r="N1455">
            <v>6652</v>
          </cell>
          <cell r="O1455">
            <v>4</v>
          </cell>
          <cell r="P1455" t="str">
            <v>No</v>
          </cell>
          <cell r="Q1455">
            <v>1</v>
          </cell>
          <cell r="R1455">
            <v>8</v>
          </cell>
          <cell r="S1455">
            <v>2</v>
          </cell>
          <cell r="T1455">
            <v>6</v>
          </cell>
          <cell r="U1455">
            <v>3</v>
          </cell>
          <cell r="V1455">
            <v>0</v>
          </cell>
          <cell r="W1455">
            <v>0</v>
          </cell>
          <cell r="X1455">
            <v>13</v>
          </cell>
          <cell r="Y1455">
            <v>0</v>
          </cell>
          <cell r="Z1455" t="str">
            <v>Mid</v>
          </cell>
          <cell r="AA1455" t="str">
            <v>Medium</v>
          </cell>
          <cell r="AB1455" t="str">
            <v>Mid</v>
          </cell>
          <cell r="AC1455" t="str">
            <v>Medium</v>
          </cell>
          <cell r="AD1455">
            <v>2045</v>
          </cell>
        </row>
        <row r="1456">
          <cell r="A1456">
            <v>45</v>
          </cell>
          <cell r="B1456" t="str">
            <v>No</v>
          </cell>
          <cell r="C1456" t="str">
            <v>Sales</v>
          </cell>
          <cell r="D1456">
            <v>20</v>
          </cell>
          <cell r="E1456">
            <v>3</v>
          </cell>
          <cell r="F1456" t="str">
            <v>Life Sciences</v>
          </cell>
          <cell r="G1456">
            <v>4</v>
          </cell>
          <cell r="H1456" t="str">
            <v>Female</v>
          </cell>
          <cell r="I1456">
            <v>3</v>
          </cell>
          <cell r="J1456">
            <v>2</v>
          </cell>
          <cell r="K1456" t="str">
            <v>Sales Executive</v>
          </cell>
          <cell r="L1456">
            <v>3</v>
          </cell>
          <cell r="M1456" t="str">
            <v>Single</v>
          </cell>
          <cell r="N1456">
            <v>4850</v>
          </cell>
          <cell r="O1456">
            <v>8</v>
          </cell>
          <cell r="P1456" t="str">
            <v>No</v>
          </cell>
          <cell r="Q1456">
            <v>3</v>
          </cell>
          <cell r="R1456">
            <v>8</v>
          </cell>
          <cell r="S1456">
            <v>3</v>
          </cell>
          <cell r="T1456">
            <v>5</v>
          </cell>
          <cell r="U1456">
            <v>3</v>
          </cell>
          <cell r="V1456">
            <v>0</v>
          </cell>
          <cell r="W1456">
            <v>1</v>
          </cell>
          <cell r="X1456">
            <v>15</v>
          </cell>
          <cell r="Y1456">
            <v>0</v>
          </cell>
          <cell r="Z1456" t="str">
            <v>Senior</v>
          </cell>
          <cell r="AA1456" t="str">
            <v>Low</v>
          </cell>
          <cell r="AB1456" t="str">
            <v>Mid</v>
          </cell>
          <cell r="AC1456" t="str">
            <v>Medium</v>
          </cell>
          <cell r="AD1456">
            <v>2046</v>
          </cell>
        </row>
        <row r="1457">
          <cell r="A1457">
            <v>40</v>
          </cell>
          <cell r="B1457" t="str">
            <v>No</v>
          </cell>
          <cell r="C1457" t="str">
            <v>Research &amp; Development</v>
          </cell>
          <cell r="D1457">
            <v>2</v>
          </cell>
          <cell r="E1457">
            <v>4</v>
          </cell>
          <cell r="F1457" t="str">
            <v>Life Sciences</v>
          </cell>
          <cell r="G1457">
            <v>3</v>
          </cell>
          <cell r="H1457" t="str">
            <v>Male</v>
          </cell>
          <cell r="I1457">
            <v>2</v>
          </cell>
          <cell r="J1457">
            <v>1</v>
          </cell>
          <cell r="K1457" t="str">
            <v>Research Scientist</v>
          </cell>
          <cell r="L1457">
            <v>3</v>
          </cell>
          <cell r="M1457" t="str">
            <v>Single</v>
          </cell>
          <cell r="N1457">
            <v>2809</v>
          </cell>
          <cell r="O1457">
            <v>2</v>
          </cell>
          <cell r="P1457" t="str">
            <v>No</v>
          </cell>
          <cell r="Q1457">
            <v>4</v>
          </cell>
          <cell r="R1457">
            <v>8</v>
          </cell>
          <cell r="S1457">
            <v>3</v>
          </cell>
          <cell r="T1457">
            <v>2</v>
          </cell>
          <cell r="U1457">
            <v>2</v>
          </cell>
          <cell r="V1457">
            <v>2</v>
          </cell>
          <cell r="W1457">
            <v>2</v>
          </cell>
          <cell r="X1457">
            <v>14</v>
          </cell>
          <cell r="Y1457">
            <v>0</v>
          </cell>
          <cell r="Z1457" t="str">
            <v>Mid</v>
          </cell>
          <cell r="AA1457" t="str">
            <v>Low</v>
          </cell>
          <cell r="AB1457" t="str">
            <v>Early</v>
          </cell>
          <cell r="AC1457" t="str">
            <v>Medium</v>
          </cell>
          <cell r="AD1457">
            <v>2048</v>
          </cell>
        </row>
        <row r="1458">
          <cell r="A1458">
            <v>35</v>
          </cell>
          <cell r="B1458" t="str">
            <v>No</v>
          </cell>
          <cell r="C1458" t="str">
            <v>Research &amp; Development</v>
          </cell>
          <cell r="D1458">
            <v>18</v>
          </cell>
          <cell r="E1458">
            <v>4</v>
          </cell>
          <cell r="F1458" t="str">
            <v>Life Sciences</v>
          </cell>
          <cell r="G1458">
            <v>3</v>
          </cell>
          <cell r="H1458" t="str">
            <v>Male</v>
          </cell>
          <cell r="I1458">
            <v>3</v>
          </cell>
          <cell r="J1458">
            <v>2</v>
          </cell>
          <cell r="K1458" t="str">
            <v>Healthcare Representative</v>
          </cell>
          <cell r="L1458">
            <v>3</v>
          </cell>
          <cell r="M1458" t="str">
            <v>Married</v>
          </cell>
          <cell r="N1458">
            <v>5689</v>
          </cell>
          <cell r="O1458">
            <v>1</v>
          </cell>
          <cell r="P1458" t="str">
            <v>Yes</v>
          </cell>
          <cell r="Q1458">
            <v>4</v>
          </cell>
          <cell r="R1458">
            <v>10</v>
          </cell>
          <cell r="S1458">
            <v>4</v>
          </cell>
          <cell r="T1458">
            <v>10</v>
          </cell>
          <cell r="U1458">
            <v>2</v>
          </cell>
          <cell r="V1458">
            <v>0</v>
          </cell>
          <cell r="W1458">
            <v>2</v>
          </cell>
          <cell r="X1458">
            <v>14</v>
          </cell>
          <cell r="Y1458">
            <v>0</v>
          </cell>
          <cell r="Z1458" t="str">
            <v>Mid</v>
          </cell>
          <cell r="AA1458" t="str">
            <v>Medium</v>
          </cell>
          <cell r="AB1458" t="str">
            <v>Long</v>
          </cell>
          <cell r="AC1458" t="str">
            <v>Medium</v>
          </cell>
          <cell r="AD1458">
            <v>2049</v>
          </cell>
        </row>
        <row r="1459">
          <cell r="A1459">
            <v>40</v>
          </cell>
          <cell r="B1459" t="str">
            <v>No</v>
          </cell>
          <cell r="C1459" t="str">
            <v>Research &amp; Development</v>
          </cell>
          <cell r="D1459">
            <v>2</v>
          </cell>
          <cell r="E1459">
            <v>4</v>
          </cell>
          <cell r="F1459" t="str">
            <v>Medical</v>
          </cell>
          <cell r="G1459">
            <v>3</v>
          </cell>
          <cell r="H1459" t="str">
            <v>Female</v>
          </cell>
          <cell r="I1459">
            <v>3</v>
          </cell>
          <cell r="J1459">
            <v>1</v>
          </cell>
          <cell r="K1459" t="str">
            <v>Research Scientist</v>
          </cell>
          <cell r="L1459">
            <v>3</v>
          </cell>
          <cell r="M1459" t="str">
            <v>Married</v>
          </cell>
          <cell r="N1459">
            <v>2001</v>
          </cell>
          <cell r="O1459">
            <v>2</v>
          </cell>
          <cell r="P1459" t="str">
            <v>No</v>
          </cell>
          <cell r="Q1459">
            <v>2</v>
          </cell>
          <cell r="R1459">
            <v>20</v>
          </cell>
          <cell r="S1459">
            <v>3</v>
          </cell>
          <cell r="T1459">
            <v>5</v>
          </cell>
          <cell r="U1459">
            <v>3</v>
          </cell>
          <cell r="V1459">
            <v>0</v>
          </cell>
          <cell r="W1459">
            <v>2</v>
          </cell>
          <cell r="X1459">
            <v>14</v>
          </cell>
          <cell r="Y1459">
            <v>0</v>
          </cell>
          <cell r="Z1459" t="str">
            <v>Mid</v>
          </cell>
          <cell r="AA1459" t="str">
            <v>Low</v>
          </cell>
          <cell r="AB1459" t="str">
            <v>Mid</v>
          </cell>
          <cell r="AC1459" t="str">
            <v>Medium</v>
          </cell>
          <cell r="AD1459">
            <v>2051</v>
          </cell>
        </row>
        <row r="1460">
          <cell r="A1460">
            <v>35</v>
          </cell>
          <cell r="B1460" t="str">
            <v>No</v>
          </cell>
          <cell r="C1460" t="str">
            <v>Research &amp; Development</v>
          </cell>
          <cell r="D1460">
            <v>1</v>
          </cell>
          <cell r="E1460">
            <v>4</v>
          </cell>
          <cell r="F1460" t="str">
            <v>Life Sciences</v>
          </cell>
          <cell r="G1460">
            <v>3</v>
          </cell>
          <cell r="H1460" t="str">
            <v>Female</v>
          </cell>
          <cell r="I1460">
            <v>1</v>
          </cell>
          <cell r="J1460">
            <v>1</v>
          </cell>
          <cell r="K1460" t="str">
            <v>Research Scientist</v>
          </cell>
          <cell r="L1460">
            <v>4</v>
          </cell>
          <cell r="M1460" t="str">
            <v>Married</v>
          </cell>
          <cell r="N1460">
            <v>2977</v>
          </cell>
          <cell r="O1460">
            <v>1</v>
          </cell>
          <cell r="P1460" t="str">
            <v>No</v>
          </cell>
          <cell r="Q1460">
            <v>4</v>
          </cell>
          <cell r="R1460">
            <v>4</v>
          </cell>
          <cell r="S1460">
            <v>3</v>
          </cell>
          <cell r="T1460">
            <v>4</v>
          </cell>
          <cell r="U1460">
            <v>3</v>
          </cell>
          <cell r="V1460">
            <v>1</v>
          </cell>
          <cell r="W1460">
            <v>1</v>
          </cell>
          <cell r="X1460">
            <v>12</v>
          </cell>
          <cell r="Y1460">
            <v>0</v>
          </cell>
          <cell r="Z1460" t="str">
            <v>Mid</v>
          </cell>
          <cell r="AA1460" t="str">
            <v>Low</v>
          </cell>
          <cell r="AB1460" t="str">
            <v>Mid</v>
          </cell>
          <cell r="AC1460" t="str">
            <v>Low</v>
          </cell>
          <cell r="AD1460">
            <v>2052</v>
          </cell>
        </row>
        <row r="1461">
          <cell r="A1461">
            <v>29</v>
          </cell>
          <cell r="B1461" t="str">
            <v>No</v>
          </cell>
          <cell r="C1461" t="str">
            <v>Research &amp; Development</v>
          </cell>
          <cell r="D1461">
            <v>13</v>
          </cell>
          <cell r="E1461">
            <v>2</v>
          </cell>
          <cell r="F1461" t="str">
            <v>Other</v>
          </cell>
          <cell r="G1461">
            <v>4</v>
          </cell>
          <cell r="H1461" t="str">
            <v>Male</v>
          </cell>
          <cell r="I1461">
            <v>2</v>
          </cell>
          <cell r="J1461">
            <v>2</v>
          </cell>
          <cell r="K1461" t="str">
            <v>Laboratory Technician</v>
          </cell>
          <cell r="L1461">
            <v>2</v>
          </cell>
          <cell r="M1461" t="str">
            <v>Married</v>
          </cell>
          <cell r="N1461">
            <v>4025</v>
          </cell>
          <cell r="O1461">
            <v>4</v>
          </cell>
          <cell r="P1461" t="str">
            <v>Yes</v>
          </cell>
          <cell r="Q1461">
            <v>1</v>
          </cell>
          <cell r="R1461">
            <v>10</v>
          </cell>
          <cell r="S1461">
            <v>3</v>
          </cell>
          <cell r="T1461">
            <v>4</v>
          </cell>
          <cell r="U1461">
            <v>3</v>
          </cell>
          <cell r="V1461">
            <v>0</v>
          </cell>
          <cell r="W1461">
            <v>3</v>
          </cell>
          <cell r="X1461">
            <v>13</v>
          </cell>
          <cell r="Y1461">
            <v>0</v>
          </cell>
          <cell r="Z1461" t="str">
            <v>Young</v>
          </cell>
          <cell r="AA1461" t="str">
            <v>Low</v>
          </cell>
          <cell r="AB1461" t="str">
            <v>Mid</v>
          </cell>
          <cell r="AC1461" t="str">
            <v>Medium</v>
          </cell>
          <cell r="AD1461">
            <v>2053</v>
          </cell>
        </row>
        <row r="1462">
          <cell r="A1462">
            <v>29</v>
          </cell>
          <cell r="B1462" t="str">
            <v>No</v>
          </cell>
          <cell r="C1462" t="str">
            <v>Research &amp; Development</v>
          </cell>
          <cell r="D1462">
            <v>28</v>
          </cell>
          <cell r="E1462">
            <v>4</v>
          </cell>
          <cell r="F1462" t="str">
            <v>Medical</v>
          </cell>
          <cell r="G1462">
            <v>4</v>
          </cell>
          <cell r="H1462" t="str">
            <v>Female</v>
          </cell>
          <cell r="I1462">
            <v>2</v>
          </cell>
          <cell r="J1462">
            <v>1</v>
          </cell>
          <cell r="K1462" t="str">
            <v>Research Scientist</v>
          </cell>
          <cell r="L1462">
            <v>1</v>
          </cell>
          <cell r="M1462" t="str">
            <v>Single</v>
          </cell>
          <cell r="N1462">
            <v>3785</v>
          </cell>
          <cell r="O1462">
            <v>1</v>
          </cell>
          <cell r="P1462" t="str">
            <v>No</v>
          </cell>
          <cell r="Q1462">
            <v>2</v>
          </cell>
          <cell r="R1462">
            <v>5</v>
          </cell>
          <cell r="S1462">
            <v>1</v>
          </cell>
          <cell r="T1462">
            <v>5</v>
          </cell>
          <cell r="U1462">
            <v>4</v>
          </cell>
          <cell r="V1462">
            <v>0</v>
          </cell>
          <cell r="W1462">
            <v>4</v>
          </cell>
          <cell r="X1462">
            <v>14</v>
          </cell>
          <cell r="Y1462">
            <v>0</v>
          </cell>
          <cell r="Z1462" t="str">
            <v>Young</v>
          </cell>
          <cell r="AA1462" t="str">
            <v>Low</v>
          </cell>
          <cell r="AB1462" t="str">
            <v>Mid</v>
          </cell>
          <cell r="AC1462" t="str">
            <v>Medium</v>
          </cell>
          <cell r="AD1462">
            <v>2054</v>
          </cell>
        </row>
        <row r="1463">
          <cell r="A1463">
            <v>50</v>
          </cell>
          <cell r="B1463" t="str">
            <v>Yes</v>
          </cell>
          <cell r="C1463" t="str">
            <v>Sales</v>
          </cell>
          <cell r="D1463">
            <v>28</v>
          </cell>
          <cell r="E1463">
            <v>3</v>
          </cell>
          <cell r="F1463" t="str">
            <v>Marketing</v>
          </cell>
          <cell r="G1463">
            <v>4</v>
          </cell>
          <cell r="H1463" t="str">
            <v>Male</v>
          </cell>
          <cell r="I1463">
            <v>2</v>
          </cell>
          <cell r="J1463">
            <v>3</v>
          </cell>
          <cell r="K1463" t="str">
            <v>Sales Executive</v>
          </cell>
          <cell r="L1463">
            <v>1</v>
          </cell>
          <cell r="M1463" t="str">
            <v>Divorced</v>
          </cell>
          <cell r="N1463">
            <v>10854</v>
          </cell>
          <cell r="O1463">
            <v>4</v>
          </cell>
          <cell r="P1463" t="str">
            <v>Yes</v>
          </cell>
          <cell r="Q1463">
            <v>2</v>
          </cell>
          <cell r="R1463">
            <v>20</v>
          </cell>
          <cell r="S1463">
            <v>3</v>
          </cell>
          <cell r="T1463">
            <v>3</v>
          </cell>
          <cell r="U1463">
            <v>2</v>
          </cell>
          <cell r="V1463">
            <v>2</v>
          </cell>
          <cell r="W1463">
            <v>0</v>
          </cell>
          <cell r="X1463">
            <v>13</v>
          </cell>
          <cell r="Y1463">
            <v>1</v>
          </cell>
          <cell r="Z1463" t="str">
            <v>Senior</v>
          </cell>
          <cell r="AA1463" t="str">
            <v>High</v>
          </cell>
          <cell r="AB1463" t="str">
            <v>Mid</v>
          </cell>
          <cell r="AC1463" t="str">
            <v>Medium</v>
          </cell>
          <cell r="AD1463">
            <v>2055</v>
          </cell>
        </row>
        <row r="1464">
          <cell r="A1464">
            <v>39</v>
          </cell>
          <cell r="B1464" t="str">
            <v>No</v>
          </cell>
          <cell r="C1464" t="str">
            <v>Sales</v>
          </cell>
          <cell r="D1464">
            <v>24</v>
          </cell>
          <cell r="E1464">
            <v>1</v>
          </cell>
          <cell r="F1464" t="str">
            <v>Marketing</v>
          </cell>
          <cell r="G1464">
            <v>2</v>
          </cell>
          <cell r="H1464" t="str">
            <v>Female</v>
          </cell>
          <cell r="I1464">
            <v>2</v>
          </cell>
          <cell r="J1464">
            <v>4</v>
          </cell>
          <cell r="K1464" t="str">
            <v>Sales Executive</v>
          </cell>
          <cell r="L1464">
            <v>4</v>
          </cell>
          <cell r="M1464" t="str">
            <v>Married</v>
          </cell>
          <cell r="N1464">
            <v>12031</v>
          </cell>
          <cell r="O1464">
            <v>0</v>
          </cell>
          <cell r="P1464" t="str">
            <v>No</v>
          </cell>
          <cell r="Q1464">
            <v>1</v>
          </cell>
          <cell r="R1464">
            <v>21</v>
          </cell>
          <cell r="S1464">
            <v>2</v>
          </cell>
          <cell r="T1464">
            <v>20</v>
          </cell>
          <cell r="U1464">
            <v>9</v>
          </cell>
          <cell r="V1464">
            <v>9</v>
          </cell>
          <cell r="W1464">
            <v>6</v>
          </cell>
          <cell r="X1464">
            <v>11</v>
          </cell>
          <cell r="Y1464">
            <v>0</v>
          </cell>
          <cell r="Z1464" t="str">
            <v>Mid</v>
          </cell>
          <cell r="AA1464" t="str">
            <v>High</v>
          </cell>
          <cell r="AB1464" t="str">
            <v>Long</v>
          </cell>
          <cell r="AC1464" t="str">
            <v>Low</v>
          </cell>
          <cell r="AD1464">
            <v>2056</v>
          </cell>
        </row>
        <row r="1465">
          <cell r="A1465">
            <v>31</v>
          </cell>
          <cell r="B1465" t="str">
            <v>No</v>
          </cell>
          <cell r="C1465" t="str">
            <v>Research &amp; Development</v>
          </cell>
          <cell r="D1465">
            <v>5</v>
          </cell>
          <cell r="E1465">
            <v>3</v>
          </cell>
          <cell r="F1465" t="str">
            <v>Medical</v>
          </cell>
          <cell r="G1465">
            <v>2</v>
          </cell>
          <cell r="H1465" t="str">
            <v>Male</v>
          </cell>
          <cell r="I1465">
            <v>3</v>
          </cell>
          <cell r="J1465">
            <v>2</v>
          </cell>
          <cell r="K1465" t="str">
            <v>Manufacturing Director</v>
          </cell>
          <cell r="L1465">
            <v>1</v>
          </cell>
          <cell r="M1465" t="str">
            <v>Single</v>
          </cell>
          <cell r="N1465">
            <v>9936</v>
          </cell>
          <cell r="O1465">
            <v>0</v>
          </cell>
          <cell r="P1465" t="str">
            <v>No</v>
          </cell>
          <cell r="Q1465">
            <v>2</v>
          </cell>
          <cell r="R1465">
            <v>10</v>
          </cell>
          <cell r="S1465">
            <v>3</v>
          </cell>
          <cell r="T1465">
            <v>9</v>
          </cell>
          <cell r="U1465">
            <v>4</v>
          </cell>
          <cell r="V1465">
            <v>1</v>
          </cell>
          <cell r="W1465">
            <v>7</v>
          </cell>
          <cell r="X1465">
            <v>19</v>
          </cell>
          <cell r="Y1465">
            <v>0</v>
          </cell>
          <cell r="Z1465" t="str">
            <v>Mid</v>
          </cell>
          <cell r="AA1465" t="str">
            <v>Medium</v>
          </cell>
          <cell r="AB1465" t="str">
            <v>Long</v>
          </cell>
          <cell r="AC1465" t="str">
            <v>High</v>
          </cell>
          <cell r="AD1465">
            <v>2057</v>
          </cell>
        </row>
        <row r="1466">
          <cell r="A1466">
            <v>26</v>
          </cell>
          <cell r="B1466" t="str">
            <v>No</v>
          </cell>
          <cell r="C1466" t="str">
            <v>Sales</v>
          </cell>
          <cell r="D1466">
            <v>5</v>
          </cell>
          <cell r="E1466">
            <v>3</v>
          </cell>
          <cell r="F1466" t="str">
            <v>Other</v>
          </cell>
          <cell r="G1466">
            <v>4</v>
          </cell>
          <cell r="H1466" t="str">
            <v>Female</v>
          </cell>
          <cell r="I1466">
            <v>2</v>
          </cell>
          <cell r="J1466">
            <v>1</v>
          </cell>
          <cell r="K1466" t="str">
            <v>Sales Representative</v>
          </cell>
          <cell r="L1466">
            <v>3</v>
          </cell>
          <cell r="M1466" t="str">
            <v>Single</v>
          </cell>
          <cell r="N1466">
            <v>2966</v>
          </cell>
          <cell r="O1466">
            <v>0</v>
          </cell>
          <cell r="P1466" t="str">
            <v>No</v>
          </cell>
          <cell r="Q1466">
            <v>4</v>
          </cell>
          <cell r="R1466">
            <v>5</v>
          </cell>
          <cell r="S1466">
            <v>3</v>
          </cell>
          <cell r="T1466">
            <v>4</v>
          </cell>
          <cell r="U1466">
            <v>2</v>
          </cell>
          <cell r="V1466">
            <v>0</v>
          </cell>
          <cell r="W1466">
            <v>0</v>
          </cell>
          <cell r="X1466">
            <v>18</v>
          </cell>
          <cell r="Y1466">
            <v>0</v>
          </cell>
          <cell r="Z1466" t="str">
            <v>Young</v>
          </cell>
          <cell r="AA1466" t="str">
            <v>Low</v>
          </cell>
          <cell r="AB1466" t="str">
            <v>Mid</v>
          </cell>
          <cell r="AC1466" t="str">
            <v>High</v>
          </cell>
          <cell r="AD1466">
            <v>2060</v>
          </cell>
        </row>
        <row r="1467">
          <cell r="A1467">
            <v>36</v>
          </cell>
          <cell r="B1467" t="str">
            <v>No</v>
          </cell>
          <cell r="C1467" t="str">
            <v>Research &amp; Development</v>
          </cell>
          <cell r="D1467">
            <v>23</v>
          </cell>
          <cell r="E1467">
            <v>2</v>
          </cell>
          <cell r="F1467" t="str">
            <v>Medical</v>
          </cell>
          <cell r="G1467">
            <v>3</v>
          </cell>
          <cell r="H1467" t="str">
            <v>Male</v>
          </cell>
          <cell r="I1467">
            <v>4</v>
          </cell>
          <cell r="J1467">
            <v>2</v>
          </cell>
          <cell r="K1467" t="str">
            <v>Laboratory Technician</v>
          </cell>
          <cell r="L1467">
            <v>4</v>
          </cell>
          <cell r="M1467" t="str">
            <v>Married</v>
          </cell>
          <cell r="N1467">
            <v>2571</v>
          </cell>
          <cell r="O1467">
            <v>4</v>
          </cell>
          <cell r="P1467" t="str">
            <v>No</v>
          </cell>
          <cell r="Q1467">
            <v>3</v>
          </cell>
          <cell r="R1467">
            <v>17</v>
          </cell>
          <cell r="S1467">
            <v>3</v>
          </cell>
          <cell r="T1467">
            <v>5</v>
          </cell>
          <cell r="U1467">
            <v>2</v>
          </cell>
          <cell r="V1467">
            <v>0</v>
          </cell>
          <cell r="W1467">
            <v>3</v>
          </cell>
          <cell r="X1467">
            <v>17</v>
          </cell>
          <cell r="Y1467">
            <v>0</v>
          </cell>
          <cell r="Z1467" t="str">
            <v>Mid</v>
          </cell>
          <cell r="AA1467" t="str">
            <v>Low</v>
          </cell>
          <cell r="AB1467" t="str">
            <v>Mid</v>
          </cell>
          <cell r="AC1467" t="str">
            <v>Medium</v>
          </cell>
          <cell r="AD1467">
            <v>2061</v>
          </cell>
        </row>
        <row r="1468">
          <cell r="A1468">
            <v>39</v>
          </cell>
          <cell r="B1468" t="str">
            <v>No</v>
          </cell>
          <cell r="C1468" t="str">
            <v>Research &amp; Development</v>
          </cell>
          <cell r="D1468">
            <v>6</v>
          </cell>
          <cell r="E1468">
            <v>1</v>
          </cell>
          <cell r="F1468" t="str">
            <v>Medical</v>
          </cell>
          <cell r="G1468">
            <v>4</v>
          </cell>
          <cell r="H1468" t="str">
            <v>Male</v>
          </cell>
          <cell r="I1468">
            <v>2</v>
          </cell>
          <cell r="J1468">
            <v>3</v>
          </cell>
          <cell r="K1468" t="str">
            <v>Healthcare Representative</v>
          </cell>
          <cell r="L1468">
            <v>1</v>
          </cell>
          <cell r="M1468" t="str">
            <v>Married</v>
          </cell>
          <cell r="N1468">
            <v>9991</v>
          </cell>
          <cell r="O1468">
            <v>4</v>
          </cell>
          <cell r="P1468" t="str">
            <v>No</v>
          </cell>
          <cell r="Q1468">
            <v>1</v>
          </cell>
          <cell r="R1468">
            <v>9</v>
          </cell>
          <cell r="S1468">
            <v>3</v>
          </cell>
          <cell r="T1468">
            <v>7</v>
          </cell>
          <cell r="U1468">
            <v>7</v>
          </cell>
          <cell r="V1468">
            <v>1</v>
          </cell>
          <cell r="W1468">
            <v>7</v>
          </cell>
          <cell r="X1468">
            <v>15</v>
          </cell>
          <cell r="Y1468">
            <v>0</v>
          </cell>
          <cell r="Z1468" t="str">
            <v>Mid</v>
          </cell>
          <cell r="AA1468" t="str">
            <v>Medium</v>
          </cell>
          <cell r="AB1468" t="str">
            <v>Long</v>
          </cell>
          <cell r="AC1468" t="str">
            <v>Medium</v>
          </cell>
          <cell r="AD1468">
            <v>2062</v>
          </cell>
        </row>
        <row r="1469">
          <cell r="A1469">
            <v>27</v>
          </cell>
          <cell r="B1469" t="str">
            <v>No</v>
          </cell>
          <cell r="C1469" t="str">
            <v>Research &amp; Development</v>
          </cell>
          <cell r="D1469">
            <v>4</v>
          </cell>
          <cell r="E1469">
            <v>3</v>
          </cell>
          <cell r="F1469" t="str">
            <v>Life Sciences</v>
          </cell>
          <cell r="G1469">
            <v>2</v>
          </cell>
          <cell r="H1469" t="str">
            <v>Male</v>
          </cell>
          <cell r="I1469">
            <v>4</v>
          </cell>
          <cell r="J1469">
            <v>2</v>
          </cell>
          <cell r="K1469" t="str">
            <v>Manufacturing Director</v>
          </cell>
          <cell r="L1469">
            <v>2</v>
          </cell>
          <cell r="M1469" t="str">
            <v>Married</v>
          </cell>
          <cell r="N1469">
            <v>6142</v>
          </cell>
          <cell r="O1469">
            <v>1</v>
          </cell>
          <cell r="P1469" t="str">
            <v>Yes</v>
          </cell>
          <cell r="Q1469">
            <v>2</v>
          </cell>
          <cell r="R1469">
            <v>6</v>
          </cell>
          <cell r="S1469">
            <v>3</v>
          </cell>
          <cell r="T1469">
            <v>6</v>
          </cell>
          <cell r="U1469">
            <v>2</v>
          </cell>
          <cell r="V1469">
            <v>0</v>
          </cell>
          <cell r="W1469">
            <v>3</v>
          </cell>
          <cell r="X1469">
            <v>20</v>
          </cell>
          <cell r="Y1469">
            <v>0</v>
          </cell>
          <cell r="Z1469" t="str">
            <v>Young</v>
          </cell>
          <cell r="AA1469" t="str">
            <v>Medium</v>
          </cell>
          <cell r="AB1469" t="str">
            <v>Mid</v>
          </cell>
          <cell r="AC1469" t="str">
            <v>High</v>
          </cell>
          <cell r="AD1469">
            <v>2064</v>
          </cell>
        </row>
        <row r="1470">
          <cell r="A1470">
            <v>49</v>
          </cell>
          <cell r="B1470" t="str">
            <v>No</v>
          </cell>
          <cell r="C1470" t="str">
            <v>Sales</v>
          </cell>
          <cell r="D1470">
            <v>2</v>
          </cell>
          <cell r="E1470">
            <v>3</v>
          </cell>
          <cell r="F1470" t="str">
            <v>Medical</v>
          </cell>
          <cell r="G1470">
            <v>4</v>
          </cell>
          <cell r="H1470" t="str">
            <v>Male</v>
          </cell>
          <cell r="I1470">
            <v>2</v>
          </cell>
          <cell r="J1470">
            <v>2</v>
          </cell>
          <cell r="K1470" t="str">
            <v>Sales Executive</v>
          </cell>
          <cell r="L1470">
            <v>2</v>
          </cell>
          <cell r="M1470" t="str">
            <v>Married</v>
          </cell>
          <cell r="N1470">
            <v>5390</v>
          </cell>
          <cell r="O1470">
            <v>2</v>
          </cell>
          <cell r="P1470" t="str">
            <v>No</v>
          </cell>
          <cell r="Q1470">
            <v>4</v>
          </cell>
          <cell r="R1470">
            <v>17</v>
          </cell>
          <cell r="S1470">
            <v>2</v>
          </cell>
          <cell r="T1470">
            <v>9</v>
          </cell>
          <cell r="U1470">
            <v>6</v>
          </cell>
          <cell r="V1470">
            <v>0</v>
          </cell>
          <cell r="W1470">
            <v>8</v>
          </cell>
          <cell r="X1470">
            <v>14</v>
          </cell>
          <cell r="Y1470">
            <v>0</v>
          </cell>
          <cell r="Z1470" t="str">
            <v>Senior</v>
          </cell>
          <cell r="AA1470" t="str">
            <v>Medium</v>
          </cell>
          <cell r="AB1470" t="str">
            <v>Long</v>
          </cell>
          <cell r="AC1470" t="str">
            <v>Medium</v>
          </cell>
          <cell r="AD1470">
            <v>2065</v>
          </cell>
        </row>
        <row r="1471">
          <cell r="A1471">
            <v>34</v>
          </cell>
          <cell r="B1471" t="str">
            <v>No</v>
          </cell>
          <cell r="C1471" t="str">
            <v>Research &amp; Development</v>
          </cell>
          <cell r="D1471">
            <v>8</v>
          </cell>
          <cell r="E1471">
            <v>3</v>
          </cell>
          <cell r="F1471" t="str">
            <v>Medical</v>
          </cell>
          <cell r="G1471">
            <v>2</v>
          </cell>
          <cell r="H1471" t="str">
            <v>Male</v>
          </cell>
          <cell r="I1471">
            <v>4</v>
          </cell>
          <cell r="J1471">
            <v>2</v>
          </cell>
          <cell r="K1471" t="str">
            <v>Laboratory Technician</v>
          </cell>
          <cell r="L1471">
            <v>3</v>
          </cell>
          <cell r="M1471" t="str">
            <v>Married</v>
          </cell>
          <cell r="N1471">
            <v>4404</v>
          </cell>
          <cell r="O1471">
            <v>2</v>
          </cell>
          <cell r="P1471" t="str">
            <v>No</v>
          </cell>
          <cell r="Q1471">
            <v>1</v>
          </cell>
          <cell r="R1471">
            <v>6</v>
          </cell>
          <cell r="S1471">
            <v>4</v>
          </cell>
          <cell r="T1471">
            <v>4</v>
          </cell>
          <cell r="U1471">
            <v>3</v>
          </cell>
          <cell r="V1471">
            <v>1</v>
          </cell>
          <cell r="W1471">
            <v>2</v>
          </cell>
          <cell r="X1471">
            <v>12</v>
          </cell>
          <cell r="Y1471">
            <v>0</v>
          </cell>
          <cell r="Z1471" t="str">
            <v>Mid</v>
          </cell>
          <cell r="AA1471" t="str">
            <v>Low</v>
          </cell>
          <cell r="AB1471" t="str">
            <v>Mid</v>
          </cell>
          <cell r="AC1471" t="str">
            <v>Low</v>
          </cell>
          <cell r="AD1471">
            <v>2068</v>
          </cell>
        </row>
      </sheetData>
      <sheetData sheetId="2">
        <row r="8">
          <cell r="C8">
            <v>582</v>
          </cell>
        </row>
        <row r="9">
          <cell r="C9">
            <v>882</v>
          </cell>
          <cell r="K9">
            <v>366</v>
          </cell>
        </row>
        <row r="17">
          <cell r="C17">
            <v>55</v>
          </cell>
        </row>
      </sheetData>
      <sheetData sheetId="3">
        <row r="12">
          <cell r="M12">
            <v>0.27914110429447853</v>
          </cell>
        </row>
        <row r="13">
          <cell r="H13">
            <v>0.16122448979591836</v>
          </cell>
        </row>
      </sheetData>
      <sheetData sheetId="4"/>
      <sheetData sheetId="5"/>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shti rai" refreshedDate="46183.837639004632" createdVersion="8" refreshedVersion="8" minRefreshableVersion="3" recordCount="1470" xr:uid="{E03431B7-A2C2-4704-8F77-156999C13D34}">
  <cacheSource type="worksheet">
    <worksheetSource name="H_A"/>
  </cacheSource>
  <cacheFields count="30">
    <cacheField name="Age" numFmtId="0">
      <sharedItems containsSemiMixedTypes="0" containsString="0" containsNumber="1" containsInteger="1" minValue="18" maxValue="60"/>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Attrition" numFmtId="0">
      <sharedItems count="2">
        <s v="Yes"/>
        <s v="No"/>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tring="0" containsBlank="1" containsNumber="1" containsInteger="1" minValue="1" maxValue="5"/>
    </cacheField>
    <cacheField name="EducationField" numFmtId="0">
      <sharedItems count="6">
        <s v="Life Sciences"/>
        <s v="Other"/>
        <s v="Medical"/>
        <s v="Marketing"/>
        <s v="Technical Degree"/>
        <s v="Human Resources"/>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OverTime" numFmtId="0">
      <sharedItems count="2">
        <s v="Yes"/>
        <s v="No"/>
      </sharedItems>
    </cacheField>
    <cacheField name="RelationshipSatisfaction" numFmtId="0">
      <sharedItems containsSemiMixedTypes="0" containsString="0" containsNumber="1" containsInteger="1" minValue="1" maxValue="4"/>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Attrition Flag" numFmtId="0">
      <sharedItems containsSemiMixedTypes="0" containsString="0" containsNumber="1" containsInteger="1" minValue="0" maxValue="1"/>
    </cacheField>
    <cacheField name="Age Group" numFmtId="0">
      <sharedItems count="3">
        <s v="Mid"/>
        <s v="Senior"/>
        <s v="Young"/>
      </sharedItems>
    </cacheField>
    <cacheField name="Income Group" numFmtId="0">
      <sharedItems count="3">
        <s v="Medium"/>
        <s v="Low"/>
        <s v="High"/>
      </sharedItems>
    </cacheField>
    <cacheField name="Tenure Group" numFmtId="0">
      <sharedItems/>
    </cacheField>
    <cacheField name="Salary Hike Group" numFmtId="0">
      <sharedItems count="3">
        <s v="Low"/>
        <s v="High"/>
        <s v="Medium"/>
      </sharedItems>
    </cacheField>
  </cacheFields>
  <extLst>
    <ext xmlns:x14="http://schemas.microsoft.com/office/spreadsheetml/2009/9/main" uri="{725AE2AE-9491-48be-B2B4-4EB974FC3084}">
      <x14:pivotCacheDefinition pivotCacheId="802356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x v="0"/>
    <n v="1"/>
    <n v="2"/>
    <x v="0"/>
    <n v="2"/>
    <x v="0"/>
    <n v="3"/>
    <n v="2"/>
    <x v="0"/>
    <x v="0"/>
    <s v="Single"/>
    <n v="5993"/>
    <n v="8"/>
    <x v="0"/>
    <n v="1"/>
    <n v="8"/>
    <n v="1"/>
    <n v="6"/>
    <n v="4"/>
    <n v="0"/>
    <n v="5"/>
    <x v="0"/>
    <n v="1"/>
    <x v="0"/>
    <x v="0"/>
    <s v="Mid"/>
    <x v="0"/>
  </r>
  <r>
    <n v="49"/>
    <x v="1"/>
    <x v="1"/>
    <x v="1"/>
    <n v="8"/>
    <n v="1"/>
    <x v="0"/>
    <n v="3"/>
    <x v="1"/>
    <n v="2"/>
    <n v="2"/>
    <x v="1"/>
    <x v="1"/>
    <s v="Married"/>
    <n v="5130"/>
    <n v="1"/>
    <x v="1"/>
    <n v="4"/>
    <n v="10"/>
    <n v="3"/>
    <n v="10"/>
    <n v="7"/>
    <n v="1"/>
    <n v="7"/>
    <x v="1"/>
    <n v="0"/>
    <x v="1"/>
    <x v="0"/>
    <s v="Long"/>
    <x v="1"/>
  </r>
  <r>
    <n v="37"/>
    <x v="2"/>
    <x v="0"/>
    <x v="1"/>
    <n v="2"/>
    <n v="2"/>
    <x v="1"/>
    <n v="4"/>
    <x v="1"/>
    <n v="2"/>
    <n v="1"/>
    <x v="2"/>
    <x v="2"/>
    <s v="Single"/>
    <n v="2090"/>
    <n v="6"/>
    <x v="0"/>
    <n v="2"/>
    <n v="7"/>
    <n v="3"/>
    <n v="0"/>
    <n v="0"/>
    <n v="0"/>
    <n v="0"/>
    <x v="2"/>
    <n v="1"/>
    <x v="0"/>
    <x v="1"/>
    <s v="Early"/>
    <x v="2"/>
  </r>
  <r>
    <n v="33"/>
    <x v="3"/>
    <x v="1"/>
    <x v="1"/>
    <n v="3"/>
    <n v="4"/>
    <x v="0"/>
    <n v="4"/>
    <x v="0"/>
    <n v="3"/>
    <n v="1"/>
    <x v="1"/>
    <x v="2"/>
    <s v="Married"/>
    <n v="2909"/>
    <n v="1"/>
    <x v="0"/>
    <n v="3"/>
    <n v="8"/>
    <n v="3"/>
    <n v="8"/>
    <n v="7"/>
    <n v="3"/>
    <n v="0"/>
    <x v="0"/>
    <n v="0"/>
    <x v="0"/>
    <x v="1"/>
    <s v="Long"/>
    <x v="0"/>
  </r>
  <r>
    <n v="27"/>
    <x v="4"/>
    <x v="1"/>
    <x v="1"/>
    <n v="2"/>
    <n v="1"/>
    <x v="2"/>
    <n v="1"/>
    <x v="1"/>
    <n v="3"/>
    <n v="1"/>
    <x v="2"/>
    <x v="1"/>
    <s v="Married"/>
    <n v="3468"/>
    <n v="9"/>
    <x v="1"/>
    <n v="4"/>
    <n v="6"/>
    <n v="3"/>
    <n v="2"/>
    <n v="2"/>
    <n v="2"/>
    <n v="2"/>
    <x v="3"/>
    <n v="0"/>
    <x v="2"/>
    <x v="1"/>
    <s v="Early"/>
    <x v="0"/>
  </r>
  <r>
    <n v="32"/>
    <x v="5"/>
    <x v="1"/>
    <x v="1"/>
    <n v="2"/>
    <n v="2"/>
    <x v="0"/>
    <n v="4"/>
    <x v="1"/>
    <n v="3"/>
    <n v="1"/>
    <x v="2"/>
    <x v="0"/>
    <s v="Single"/>
    <n v="3068"/>
    <n v="0"/>
    <x v="1"/>
    <n v="3"/>
    <n v="8"/>
    <n v="2"/>
    <n v="7"/>
    <n v="7"/>
    <n v="3"/>
    <n v="6"/>
    <x v="4"/>
    <n v="0"/>
    <x v="0"/>
    <x v="1"/>
    <s v="Long"/>
    <x v="2"/>
  </r>
  <r>
    <n v="59"/>
    <x v="6"/>
    <x v="1"/>
    <x v="1"/>
    <n v="3"/>
    <n v="3"/>
    <x v="2"/>
    <n v="3"/>
    <x v="0"/>
    <n v="4"/>
    <n v="1"/>
    <x v="2"/>
    <x v="3"/>
    <s v="Married"/>
    <n v="2670"/>
    <n v="4"/>
    <x v="0"/>
    <n v="1"/>
    <n v="12"/>
    <n v="2"/>
    <n v="1"/>
    <n v="0"/>
    <n v="0"/>
    <n v="0"/>
    <x v="5"/>
    <n v="0"/>
    <x v="1"/>
    <x v="1"/>
    <s v="Early"/>
    <x v="1"/>
  </r>
  <r>
    <n v="30"/>
    <x v="7"/>
    <x v="1"/>
    <x v="1"/>
    <n v="24"/>
    <n v="1"/>
    <x v="0"/>
    <n v="4"/>
    <x v="1"/>
    <n v="3"/>
    <n v="1"/>
    <x v="2"/>
    <x v="2"/>
    <s v="Divorced"/>
    <n v="2693"/>
    <n v="1"/>
    <x v="1"/>
    <n v="2"/>
    <n v="1"/>
    <n v="3"/>
    <n v="1"/>
    <n v="0"/>
    <n v="0"/>
    <n v="0"/>
    <x v="6"/>
    <n v="0"/>
    <x v="0"/>
    <x v="1"/>
    <s v="Early"/>
    <x v="1"/>
  </r>
  <r>
    <n v="38"/>
    <x v="8"/>
    <x v="1"/>
    <x v="1"/>
    <n v="23"/>
    <n v="3"/>
    <x v="0"/>
    <n v="4"/>
    <x v="1"/>
    <n v="2"/>
    <n v="3"/>
    <x v="3"/>
    <x v="2"/>
    <s v="Single"/>
    <n v="9526"/>
    <n v="0"/>
    <x v="1"/>
    <n v="2"/>
    <n v="10"/>
    <n v="3"/>
    <n v="9"/>
    <n v="7"/>
    <n v="1"/>
    <n v="8"/>
    <x v="7"/>
    <n v="0"/>
    <x v="0"/>
    <x v="0"/>
    <s v="Long"/>
    <x v="1"/>
  </r>
  <r>
    <n v="36"/>
    <x v="9"/>
    <x v="1"/>
    <x v="1"/>
    <n v="27"/>
    <n v="3"/>
    <x v="2"/>
    <n v="3"/>
    <x v="1"/>
    <n v="3"/>
    <n v="2"/>
    <x v="4"/>
    <x v="2"/>
    <s v="Married"/>
    <n v="5237"/>
    <n v="6"/>
    <x v="1"/>
    <n v="2"/>
    <n v="17"/>
    <n v="2"/>
    <n v="7"/>
    <n v="7"/>
    <n v="7"/>
    <n v="7"/>
    <x v="4"/>
    <n v="0"/>
    <x v="0"/>
    <x v="0"/>
    <s v="Long"/>
    <x v="2"/>
  </r>
  <r>
    <n v="35"/>
    <x v="10"/>
    <x v="1"/>
    <x v="1"/>
    <n v="16"/>
    <n v="3"/>
    <x v="2"/>
    <n v="1"/>
    <x v="1"/>
    <n v="4"/>
    <n v="1"/>
    <x v="2"/>
    <x v="1"/>
    <s v="Married"/>
    <n v="2426"/>
    <n v="0"/>
    <x v="1"/>
    <n v="3"/>
    <n v="6"/>
    <n v="3"/>
    <n v="5"/>
    <n v="4"/>
    <n v="0"/>
    <n v="3"/>
    <x v="4"/>
    <n v="0"/>
    <x v="0"/>
    <x v="1"/>
    <s v="Mid"/>
    <x v="2"/>
  </r>
  <r>
    <n v="29"/>
    <x v="11"/>
    <x v="1"/>
    <x v="1"/>
    <n v="15"/>
    <n v="2"/>
    <x v="0"/>
    <n v="4"/>
    <x v="0"/>
    <n v="2"/>
    <n v="2"/>
    <x v="2"/>
    <x v="2"/>
    <s v="Single"/>
    <n v="4193"/>
    <n v="0"/>
    <x v="0"/>
    <n v="4"/>
    <n v="10"/>
    <n v="3"/>
    <n v="9"/>
    <n v="5"/>
    <n v="0"/>
    <n v="8"/>
    <x v="3"/>
    <n v="0"/>
    <x v="2"/>
    <x v="1"/>
    <s v="Long"/>
    <x v="0"/>
  </r>
  <r>
    <n v="31"/>
    <x v="12"/>
    <x v="1"/>
    <x v="1"/>
    <n v="26"/>
    <n v="1"/>
    <x v="0"/>
    <n v="1"/>
    <x v="1"/>
    <n v="3"/>
    <n v="1"/>
    <x v="1"/>
    <x v="2"/>
    <s v="Divorced"/>
    <n v="2911"/>
    <n v="1"/>
    <x v="1"/>
    <n v="4"/>
    <n v="5"/>
    <n v="2"/>
    <n v="5"/>
    <n v="2"/>
    <n v="4"/>
    <n v="3"/>
    <x v="8"/>
    <n v="0"/>
    <x v="0"/>
    <x v="1"/>
    <s v="Mid"/>
    <x v="2"/>
  </r>
  <r>
    <n v="34"/>
    <x v="13"/>
    <x v="1"/>
    <x v="1"/>
    <n v="19"/>
    <n v="2"/>
    <x v="2"/>
    <n v="2"/>
    <x v="1"/>
    <n v="3"/>
    <n v="1"/>
    <x v="2"/>
    <x v="0"/>
    <s v="Divorced"/>
    <n v="2661"/>
    <n v="0"/>
    <x v="1"/>
    <n v="3"/>
    <n v="3"/>
    <n v="3"/>
    <n v="2"/>
    <n v="2"/>
    <n v="1"/>
    <n v="2"/>
    <x v="0"/>
    <n v="0"/>
    <x v="0"/>
    <x v="1"/>
    <s v="Early"/>
    <x v="0"/>
  </r>
  <r>
    <n v="28"/>
    <x v="14"/>
    <x v="0"/>
    <x v="1"/>
    <n v="24"/>
    <n v="3"/>
    <x v="0"/>
    <n v="3"/>
    <x v="1"/>
    <n v="2"/>
    <n v="1"/>
    <x v="2"/>
    <x v="2"/>
    <s v="Single"/>
    <n v="2028"/>
    <n v="5"/>
    <x v="0"/>
    <n v="2"/>
    <n v="6"/>
    <n v="3"/>
    <n v="4"/>
    <n v="2"/>
    <n v="0"/>
    <n v="3"/>
    <x v="9"/>
    <n v="1"/>
    <x v="2"/>
    <x v="1"/>
    <s v="Mid"/>
    <x v="2"/>
  </r>
  <r>
    <n v="29"/>
    <x v="15"/>
    <x v="1"/>
    <x v="1"/>
    <n v="21"/>
    <n v="4"/>
    <x v="0"/>
    <n v="2"/>
    <x v="0"/>
    <n v="4"/>
    <n v="3"/>
    <x v="3"/>
    <x v="3"/>
    <s v="Divorced"/>
    <n v="9980"/>
    <n v="1"/>
    <x v="1"/>
    <n v="3"/>
    <n v="10"/>
    <n v="3"/>
    <n v="10"/>
    <n v="9"/>
    <n v="8"/>
    <n v="8"/>
    <x v="0"/>
    <n v="0"/>
    <x v="2"/>
    <x v="0"/>
    <s v="Long"/>
    <x v="0"/>
  </r>
  <r>
    <n v="32"/>
    <x v="16"/>
    <x v="1"/>
    <x v="1"/>
    <n v="5"/>
    <n v="2"/>
    <x v="0"/>
    <n v="1"/>
    <x v="1"/>
    <n v="4"/>
    <n v="1"/>
    <x v="1"/>
    <x v="1"/>
    <s v="Divorced"/>
    <n v="3298"/>
    <n v="0"/>
    <x v="0"/>
    <n v="4"/>
    <n v="7"/>
    <n v="2"/>
    <n v="6"/>
    <n v="2"/>
    <n v="0"/>
    <n v="5"/>
    <x v="3"/>
    <n v="0"/>
    <x v="0"/>
    <x v="1"/>
    <s v="Mid"/>
    <x v="0"/>
  </r>
  <r>
    <n v="22"/>
    <x v="17"/>
    <x v="1"/>
    <x v="1"/>
    <n v="16"/>
    <n v="2"/>
    <x v="2"/>
    <n v="4"/>
    <x v="1"/>
    <n v="4"/>
    <n v="1"/>
    <x v="2"/>
    <x v="0"/>
    <s v="Divorced"/>
    <n v="2935"/>
    <n v="1"/>
    <x v="0"/>
    <n v="2"/>
    <n v="1"/>
    <n v="2"/>
    <n v="1"/>
    <n v="0"/>
    <n v="0"/>
    <n v="0"/>
    <x v="4"/>
    <n v="0"/>
    <x v="2"/>
    <x v="1"/>
    <s v="Early"/>
    <x v="2"/>
  </r>
  <r>
    <n v="53"/>
    <x v="18"/>
    <x v="1"/>
    <x v="0"/>
    <n v="2"/>
    <n v="4"/>
    <x v="0"/>
    <n v="1"/>
    <x v="0"/>
    <n v="2"/>
    <n v="4"/>
    <x v="5"/>
    <x v="0"/>
    <s v="Married"/>
    <n v="15427"/>
    <n v="2"/>
    <x v="1"/>
    <n v="3"/>
    <n v="31"/>
    <n v="3"/>
    <n v="25"/>
    <n v="8"/>
    <n v="3"/>
    <n v="7"/>
    <x v="10"/>
    <n v="0"/>
    <x v="1"/>
    <x v="2"/>
    <s v="Long"/>
    <x v="2"/>
  </r>
  <r>
    <n v="38"/>
    <x v="19"/>
    <x v="1"/>
    <x v="1"/>
    <n v="2"/>
    <n v="3"/>
    <x v="0"/>
    <n v="4"/>
    <x v="1"/>
    <n v="3"/>
    <n v="1"/>
    <x v="1"/>
    <x v="0"/>
    <s v="Single"/>
    <n v="3944"/>
    <n v="5"/>
    <x v="0"/>
    <n v="3"/>
    <n v="6"/>
    <n v="3"/>
    <n v="3"/>
    <n v="2"/>
    <n v="1"/>
    <n v="2"/>
    <x v="0"/>
    <n v="0"/>
    <x v="0"/>
    <x v="1"/>
    <s v="Mid"/>
    <x v="0"/>
  </r>
  <r>
    <n v="24"/>
    <x v="20"/>
    <x v="1"/>
    <x v="1"/>
    <n v="11"/>
    <n v="2"/>
    <x v="1"/>
    <n v="1"/>
    <x v="0"/>
    <n v="4"/>
    <n v="2"/>
    <x v="3"/>
    <x v="2"/>
    <s v="Divorced"/>
    <n v="4011"/>
    <n v="0"/>
    <x v="1"/>
    <n v="4"/>
    <n v="5"/>
    <n v="2"/>
    <n v="4"/>
    <n v="2"/>
    <n v="1"/>
    <n v="3"/>
    <x v="11"/>
    <n v="0"/>
    <x v="2"/>
    <x v="1"/>
    <s v="Mid"/>
    <x v="1"/>
  </r>
  <r>
    <n v="36"/>
    <x v="21"/>
    <x v="0"/>
    <x v="0"/>
    <n v="9"/>
    <n v="4"/>
    <x v="0"/>
    <n v="3"/>
    <x v="1"/>
    <n v="2"/>
    <n v="1"/>
    <x v="6"/>
    <x v="3"/>
    <s v="Single"/>
    <n v="3407"/>
    <n v="7"/>
    <x v="1"/>
    <n v="2"/>
    <n v="10"/>
    <n v="3"/>
    <n v="5"/>
    <n v="3"/>
    <n v="0"/>
    <n v="3"/>
    <x v="1"/>
    <n v="1"/>
    <x v="0"/>
    <x v="1"/>
    <s v="Mid"/>
    <x v="1"/>
  </r>
  <r>
    <n v="34"/>
    <x v="22"/>
    <x v="1"/>
    <x v="1"/>
    <n v="7"/>
    <n v="4"/>
    <x v="0"/>
    <n v="1"/>
    <x v="0"/>
    <n v="3"/>
    <n v="3"/>
    <x v="7"/>
    <x v="1"/>
    <s v="Single"/>
    <n v="11994"/>
    <n v="0"/>
    <x v="1"/>
    <n v="3"/>
    <n v="13"/>
    <n v="3"/>
    <n v="12"/>
    <n v="6"/>
    <n v="2"/>
    <n v="11"/>
    <x v="0"/>
    <n v="0"/>
    <x v="0"/>
    <x v="2"/>
    <s v="Long"/>
    <x v="0"/>
  </r>
  <r>
    <n v="21"/>
    <x v="23"/>
    <x v="1"/>
    <x v="1"/>
    <n v="15"/>
    <n v="2"/>
    <x v="0"/>
    <n v="3"/>
    <x v="1"/>
    <n v="3"/>
    <n v="1"/>
    <x v="1"/>
    <x v="0"/>
    <s v="Single"/>
    <n v="1232"/>
    <n v="1"/>
    <x v="1"/>
    <n v="4"/>
    <n v="0"/>
    <n v="3"/>
    <n v="0"/>
    <n v="0"/>
    <n v="0"/>
    <n v="0"/>
    <x v="9"/>
    <n v="0"/>
    <x v="2"/>
    <x v="1"/>
    <s v="Early"/>
    <x v="2"/>
  </r>
  <r>
    <n v="34"/>
    <x v="24"/>
    <x v="0"/>
    <x v="1"/>
    <n v="6"/>
    <n v="1"/>
    <x v="2"/>
    <n v="2"/>
    <x v="1"/>
    <n v="3"/>
    <n v="1"/>
    <x v="1"/>
    <x v="3"/>
    <s v="Single"/>
    <n v="2960"/>
    <n v="2"/>
    <x v="1"/>
    <n v="3"/>
    <n v="8"/>
    <n v="3"/>
    <n v="4"/>
    <n v="2"/>
    <n v="1"/>
    <n v="3"/>
    <x v="0"/>
    <n v="1"/>
    <x v="0"/>
    <x v="1"/>
    <s v="Mid"/>
    <x v="0"/>
  </r>
  <r>
    <n v="53"/>
    <x v="25"/>
    <x v="1"/>
    <x v="1"/>
    <n v="5"/>
    <n v="3"/>
    <x v="1"/>
    <n v="3"/>
    <x v="0"/>
    <n v="3"/>
    <n v="5"/>
    <x v="5"/>
    <x v="2"/>
    <s v="Divorced"/>
    <n v="19094"/>
    <n v="4"/>
    <x v="1"/>
    <n v="4"/>
    <n v="26"/>
    <n v="2"/>
    <n v="14"/>
    <n v="13"/>
    <n v="4"/>
    <n v="8"/>
    <x v="0"/>
    <n v="0"/>
    <x v="1"/>
    <x v="2"/>
    <s v="Long"/>
    <x v="0"/>
  </r>
  <r>
    <n v="32"/>
    <x v="26"/>
    <x v="0"/>
    <x v="1"/>
    <n v="16"/>
    <n v="1"/>
    <x v="0"/>
    <n v="2"/>
    <x v="0"/>
    <n v="1"/>
    <n v="1"/>
    <x v="1"/>
    <x v="3"/>
    <s v="Single"/>
    <n v="3919"/>
    <n v="1"/>
    <x v="0"/>
    <n v="2"/>
    <n v="10"/>
    <n v="3"/>
    <n v="10"/>
    <n v="2"/>
    <n v="6"/>
    <n v="7"/>
    <x v="6"/>
    <n v="1"/>
    <x v="0"/>
    <x v="1"/>
    <s v="Long"/>
    <x v="1"/>
  </r>
  <r>
    <n v="42"/>
    <x v="27"/>
    <x v="1"/>
    <x v="0"/>
    <n v="8"/>
    <n v="4"/>
    <x v="3"/>
    <n v="3"/>
    <x v="1"/>
    <n v="3"/>
    <n v="2"/>
    <x v="0"/>
    <x v="1"/>
    <s v="Married"/>
    <n v="6825"/>
    <n v="0"/>
    <x v="1"/>
    <n v="4"/>
    <n v="10"/>
    <n v="3"/>
    <n v="9"/>
    <n v="7"/>
    <n v="4"/>
    <n v="2"/>
    <x v="0"/>
    <n v="0"/>
    <x v="0"/>
    <x v="0"/>
    <s v="Long"/>
    <x v="0"/>
  </r>
  <r>
    <n v="44"/>
    <x v="28"/>
    <x v="1"/>
    <x v="1"/>
    <n v="7"/>
    <n v="4"/>
    <x v="2"/>
    <n v="1"/>
    <x v="0"/>
    <n v="2"/>
    <n v="3"/>
    <x v="4"/>
    <x v="0"/>
    <s v="Married"/>
    <n v="10248"/>
    <n v="3"/>
    <x v="1"/>
    <n v="4"/>
    <n v="24"/>
    <n v="3"/>
    <n v="22"/>
    <n v="6"/>
    <n v="5"/>
    <n v="17"/>
    <x v="9"/>
    <n v="0"/>
    <x v="0"/>
    <x v="2"/>
    <s v="Long"/>
    <x v="2"/>
  </r>
  <r>
    <n v="46"/>
    <x v="29"/>
    <x v="1"/>
    <x v="0"/>
    <n v="2"/>
    <n v="4"/>
    <x v="3"/>
    <n v="2"/>
    <x v="0"/>
    <n v="3"/>
    <n v="5"/>
    <x v="5"/>
    <x v="3"/>
    <s v="Single"/>
    <n v="18947"/>
    <n v="3"/>
    <x v="1"/>
    <n v="4"/>
    <n v="22"/>
    <n v="2"/>
    <n v="2"/>
    <n v="2"/>
    <n v="2"/>
    <n v="1"/>
    <x v="3"/>
    <n v="0"/>
    <x v="1"/>
    <x v="2"/>
    <s v="Early"/>
    <x v="0"/>
  </r>
  <r>
    <n v="33"/>
    <x v="30"/>
    <x v="1"/>
    <x v="1"/>
    <n v="2"/>
    <n v="3"/>
    <x v="2"/>
    <n v="3"/>
    <x v="1"/>
    <n v="3"/>
    <n v="1"/>
    <x v="2"/>
    <x v="0"/>
    <s v="Single"/>
    <n v="2496"/>
    <n v="4"/>
    <x v="1"/>
    <n v="4"/>
    <n v="7"/>
    <n v="3"/>
    <n v="1"/>
    <n v="1"/>
    <n v="0"/>
    <n v="0"/>
    <x v="0"/>
    <n v="0"/>
    <x v="0"/>
    <x v="1"/>
    <s v="Early"/>
    <x v="0"/>
  </r>
  <r>
    <n v="44"/>
    <x v="31"/>
    <x v="1"/>
    <x v="1"/>
    <n v="10"/>
    <n v="4"/>
    <x v="1"/>
    <n v="4"/>
    <x v="1"/>
    <n v="3"/>
    <n v="2"/>
    <x v="4"/>
    <x v="0"/>
    <s v="Married"/>
    <n v="6465"/>
    <n v="2"/>
    <x v="0"/>
    <n v="4"/>
    <n v="9"/>
    <n v="4"/>
    <n v="4"/>
    <n v="2"/>
    <n v="1"/>
    <n v="3"/>
    <x v="4"/>
    <n v="0"/>
    <x v="0"/>
    <x v="0"/>
    <s v="Mid"/>
    <x v="2"/>
  </r>
  <r>
    <n v="30"/>
    <x v="32"/>
    <x v="1"/>
    <x v="1"/>
    <n v="9"/>
    <n v="2"/>
    <x v="2"/>
    <n v="4"/>
    <x v="1"/>
    <n v="2"/>
    <n v="1"/>
    <x v="2"/>
    <x v="2"/>
    <s v="Single"/>
    <n v="2206"/>
    <n v="1"/>
    <x v="1"/>
    <n v="1"/>
    <n v="10"/>
    <n v="3"/>
    <n v="10"/>
    <n v="0"/>
    <n v="1"/>
    <n v="8"/>
    <x v="4"/>
    <n v="0"/>
    <x v="0"/>
    <x v="1"/>
    <s v="Long"/>
    <x v="2"/>
  </r>
  <r>
    <n v="39"/>
    <x v="33"/>
    <x v="0"/>
    <x v="0"/>
    <n v="5"/>
    <n v="3"/>
    <x v="4"/>
    <n v="4"/>
    <x v="1"/>
    <n v="3"/>
    <n v="2"/>
    <x v="6"/>
    <x v="0"/>
    <s v="Married"/>
    <n v="2086"/>
    <n v="3"/>
    <x v="1"/>
    <n v="3"/>
    <n v="19"/>
    <n v="4"/>
    <n v="1"/>
    <n v="0"/>
    <n v="0"/>
    <n v="0"/>
    <x v="9"/>
    <n v="1"/>
    <x v="0"/>
    <x v="1"/>
    <s v="Early"/>
    <x v="2"/>
  </r>
  <r>
    <n v="24"/>
    <x v="34"/>
    <x v="0"/>
    <x v="1"/>
    <n v="1"/>
    <n v="3"/>
    <x v="2"/>
    <n v="2"/>
    <x v="1"/>
    <n v="3"/>
    <n v="1"/>
    <x v="1"/>
    <x v="0"/>
    <s v="Married"/>
    <n v="2293"/>
    <n v="2"/>
    <x v="0"/>
    <n v="1"/>
    <n v="6"/>
    <n v="2"/>
    <n v="2"/>
    <n v="0"/>
    <n v="2"/>
    <n v="0"/>
    <x v="10"/>
    <n v="1"/>
    <x v="2"/>
    <x v="1"/>
    <s v="Early"/>
    <x v="2"/>
  </r>
  <r>
    <n v="43"/>
    <x v="35"/>
    <x v="1"/>
    <x v="1"/>
    <n v="2"/>
    <n v="2"/>
    <x v="2"/>
    <n v="4"/>
    <x v="0"/>
    <n v="4"/>
    <n v="1"/>
    <x v="1"/>
    <x v="2"/>
    <s v="Divorced"/>
    <n v="2645"/>
    <n v="1"/>
    <x v="1"/>
    <n v="4"/>
    <n v="6"/>
    <n v="2"/>
    <n v="5"/>
    <n v="3"/>
    <n v="1"/>
    <n v="4"/>
    <x v="3"/>
    <n v="0"/>
    <x v="0"/>
    <x v="1"/>
    <s v="Mid"/>
    <x v="0"/>
  </r>
  <r>
    <n v="50"/>
    <x v="36"/>
    <x v="0"/>
    <x v="0"/>
    <n v="3"/>
    <n v="2"/>
    <x v="3"/>
    <n v="1"/>
    <x v="1"/>
    <n v="2"/>
    <n v="1"/>
    <x v="6"/>
    <x v="2"/>
    <s v="Married"/>
    <n v="2683"/>
    <n v="1"/>
    <x v="0"/>
    <n v="3"/>
    <n v="3"/>
    <n v="3"/>
    <n v="3"/>
    <n v="2"/>
    <n v="0"/>
    <n v="2"/>
    <x v="9"/>
    <n v="1"/>
    <x v="1"/>
    <x v="1"/>
    <s v="Mid"/>
    <x v="2"/>
  </r>
  <r>
    <n v="35"/>
    <x v="37"/>
    <x v="1"/>
    <x v="0"/>
    <n v="2"/>
    <n v="3"/>
    <x v="3"/>
    <n v="4"/>
    <x v="0"/>
    <n v="3"/>
    <n v="1"/>
    <x v="6"/>
    <x v="0"/>
    <s v="Married"/>
    <n v="2014"/>
    <n v="1"/>
    <x v="1"/>
    <n v="1"/>
    <n v="2"/>
    <n v="3"/>
    <n v="2"/>
    <n v="2"/>
    <n v="2"/>
    <n v="2"/>
    <x v="4"/>
    <n v="0"/>
    <x v="0"/>
    <x v="1"/>
    <s v="Early"/>
    <x v="2"/>
  </r>
  <r>
    <n v="36"/>
    <x v="38"/>
    <x v="1"/>
    <x v="1"/>
    <n v="5"/>
    <n v="4"/>
    <x v="0"/>
    <n v="2"/>
    <x v="0"/>
    <n v="2"/>
    <n v="1"/>
    <x v="1"/>
    <x v="3"/>
    <s v="Married"/>
    <n v="3419"/>
    <n v="9"/>
    <x v="0"/>
    <n v="4"/>
    <n v="6"/>
    <n v="4"/>
    <n v="1"/>
    <n v="1"/>
    <n v="0"/>
    <n v="0"/>
    <x v="9"/>
    <n v="0"/>
    <x v="0"/>
    <x v="1"/>
    <s v="Early"/>
    <x v="2"/>
  </r>
  <r>
    <n v="33"/>
    <x v="39"/>
    <x v="1"/>
    <x v="0"/>
    <n v="1"/>
    <n v="3"/>
    <x v="0"/>
    <n v="3"/>
    <x v="0"/>
    <n v="4"/>
    <n v="2"/>
    <x v="0"/>
    <x v="3"/>
    <s v="Married"/>
    <n v="5376"/>
    <n v="2"/>
    <x v="1"/>
    <n v="1"/>
    <n v="10"/>
    <n v="3"/>
    <n v="5"/>
    <n v="3"/>
    <n v="1"/>
    <n v="3"/>
    <x v="12"/>
    <n v="0"/>
    <x v="0"/>
    <x v="0"/>
    <s v="Mid"/>
    <x v="1"/>
  </r>
  <r>
    <n v="35"/>
    <x v="40"/>
    <x v="1"/>
    <x v="1"/>
    <n v="4"/>
    <n v="2"/>
    <x v="1"/>
    <n v="3"/>
    <x v="1"/>
    <n v="3"/>
    <n v="1"/>
    <x v="2"/>
    <x v="0"/>
    <s v="Divorced"/>
    <n v="1951"/>
    <n v="1"/>
    <x v="1"/>
    <n v="3"/>
    <n v="1"/>
    <n v="3"/>
    <n v="1"/>
    <n v="0"/>
    <n v="0"/>
    <n v="0"/>
    <x v="3"/>
    <n v="0"/>
    <x v="0"/>
    <x v="1"/>
    <s v="Early"/>
    <x v="0"/>
  </r>
  <r>
    <n v="27"/>
    <x v="41"/>
    <x v="1"/>
    <x v="1"/>
    <n v="2"/>
    <n v="4"/>
    <x v="0"/>
    <n v="4"/>
    <x v="0"/>
    <n v="3"/>
    <n v="1"/>
    <x v="2"/>
    <x v="3"/>
    <s v="Divorced"/>
    <n v="2341"/>
    <n v="1"/>
    <x v="1"/>
    <n v="4"/>
    <n v="1"/>
    <n v="3"/>
    <n v="1"/>
    <n v="0"/>
    <n v="0"/>
    <n v="0"/>
    <x v="4"/>
    <n v="0"/>
    <x v="2"/>
    <x v="1"/>
    <s v="Early"/>
    <x v="2"/>
  </r>
  <r>
    <n v="26"/>
    <x v="42"/>
    <x v="0"/>
    <x v="1"/>
    <n v="25"/>
    <n v="3"/>
    <x v="0"/>
    <n v="1"/>
    <x v="1"/>
    <n v="1"/>
    <n v="1"/>
    <x v="2"/>
    <x v="2"/>
    <s v="Single"/>
    <n v="2293"/>
    <n v="1"/>
    <x v="1"/>
    <n v="3"/>
    <n v="1"/>
    <n v="2"/>
    <n v="1"/>
    <n v="0"/>
    <n v="0"/>
    <n v="1"/>
    <x v="3"/>
    <n v="1"/>
    <x v="2"/>
    <x v="1"/>
    <s v="Early"/>
    <x v="0"/>
  </r>
  <r>
    <n v="27"/>
    <x v="43"/>
    <x v="1"/>
    <x v="0"/>
    <n v="8"/>
    <n v="3"/>
    <x v="0"/>
    <n v="4"/>
    <x v="1"/>
    <n v="3"/>
    <n v="3"/>
    <x v="0"/>
    <x v="2"/>
    <s v="Single"/>
    <n v="8726"/>
    <n v="1"/>
    <x v="1"/>
    <n v="4"/>
    <n v="9"/>
    <n v="3"/>
    <n v="9"/>
    <n v="8"/>
    <n v="1"/>
    <n v="7"/>
    <x v="2"/>
    <n v="0"/>
    <x v="2"/>
    <x v="0"/>
    <s v="Long"/>
    <x v="2"/>
  </r>
  <r>
    <n v="30"/>
    <x v="44"/>
    <x v="1"/>
    <x v="1"/>
    <n v="1"/>
    <n v="2"/>
    <x v="2"/>
    <n v="3"/>
    <x v="0"/>
    <n v="3"/>
    <n v="2"/>
    <x v="2"/>
    <x v="0"/>
    <s v="Single"/>
    <n v="4011"/>
    <n v="1"/>
    <x v="1"/>
    <n v="4"/>
    <n v="12"/>
    <n v="3"/>
    <n v="12"/>
    <n v="8"/>
    <n v="3"/>
    <n v="7"/>
    <x v="1"/>
    <n v="0"/>
    <x v="0"/>
    <x v="1"/>
    <s v="Long"/>
    <x v="1"/>
  </r>
  <r>
    <n v="41"/>
    <x v="45"/>
    <x v="0"/>
    <x v="1"/>
    <n v="12"/>
    <n v="3"/>
    <x v="4"/>
    <n v="2"/>
    <x v="0"/>
    <n v="3"/>
    <n v="5"/>
    <x v="7"/>
    <x v="2"/>
    <s v="Married"/>
    <n v="19545"/>
    <n v="1"/>
    <x v="1"/>
    <n v="4"/>
    <n v="23"/>
    <n v="3"/>
    <n v="22"/>
    <n v="15"/>
    <n v="15"/>
    <n v="8"/>
    <x v="3"/>
    <n v="1"/>
    <x v="0"/>
    <x v="2"/>
    <s v="Long"/>
    <x v="0"/>
  </r>
  <r>
    <n v="34"/>
    <x v="46"/>
    <x v="1"/>
    <x v="0"/>
    <n v="23"/>
    <n v="4"/>
    <x v="3"/>
    <n v="2"/>
    <x v="1"/>
    <n v="3"/>
    <n v="2"/>
    <x v="0"/>
    <x v="2"/>
    <s v="Single"/>
    <n v="4568"/>
    <n v="0"/>
    <x v="1"/>
    <n v="3"/>
    <n v="10"/>
    <n v="3"/>
    <n v="9"/>
    <n v="5"/>
    <n v="8"/>
    <n v="7"/>
    <x v="5"/>
    <n v="0"/>
    <x v="0"/>
    <x v="1"/>
    <s v="Long"/>
    <x v="1"/>
  </r>
  <r>
    <n v="37"/>
    <x v="47"/>
    <x v="1"/>
    <x v="1"/>
    <n v="19"/>
    <n v="2"/>
    <x v="0"/>
    <n v="2"/>
    <x v="1"/>
    <n v="3"/>
    <n v="1"/>
    <x v="1"/>
    <x v="1"/>
    <s v="Married"/>
    <n v="3022"/>
    <n v="4"/>
    <x v="1"/>
    <n v="1"/>
    <n v="8"/>
    <n v="3"/>
    <n v="1"/>
    <n v="0"/>
    <n v="0"/>
    <n v="0"/>
    <x v="7"/>
    <n v="0"/>
    <x v="0"/>
    <x v="1"/>
    <s v="Early"/>
    <x v="1"/>
  </r>
  <r>
    <n v="46"/>
    <x v="48"/>
    <x v="1"/>
    <x v="0"/>
    <n v="5"/>
    <n v="4"/>
    <x v="3"/>
    <n v="1"/>
    <x v="1"/>
    <n v="3"/>
    <n v="2"/>
    <x v="0"/>
    <x v="0"/>
    <s v="Single"/>
    <n v="5772"/>
    <n v="4"/>
    <x v="0"/>
    <n v="3"/>
    <n v="14"/>
    <n v="3"/>
    <n v="9"/>
    <n v="6"/>
    <n v="0"/>
    <n v="8"/>
    <x v="7"/>
    <n v="0"/>
    <x v="1"/>
    <x v="0"/>
    <s v="Long"/>
    <x v="1"/>
  </r>
  <r>
    <n v="35"/>
    <x v="49"/>
    <x v="1"/>
    <x v="1"/>
    <n v="8"/>
    <n v="1"/>
    <x v="0"/>
    <n v="4"/>
    <x v="1"/>
    <n v="4"/>
    <n v="1"/>
    <x v="2"/>
    <x v="0"/>
    <s v="Married"/>
    <n v="2269"/>
    <n v="1"/>
    <x v="1"/>
    <n v="4"/>
    <n v="1"/>
    <n v="3"/>
    <n v="1"/>
    <n v="0"/>
    <n v="0"/>
    <n v="1"/>
    <x v="12"/>
    <n v="0"/>
    <x v="0"/>
    <x v="1"/>
    <s v="Early"/>
    <x v="1"/>
  </r>
  <r>
    <n v="48"/>
    <x v="50"/>
    <x v="0"/>
    <x v="1"/>
    <n v="1"/>
    <n v="2"/>
    <x v="0"/>
    <n v="1"/>
    <x v="1"/>
    <n v="2"/>
    <n v="3"/>
    <x v="2"/>
    <x v="2"/>
    <s v="Single"/>
    <n v="5381"/>
    <n v="9"/>
    <x v="0"/>
    <n v="4"/>
    <n v="23"/>
    <n v="3"/>
    <n v="1"/>
    <n v="0"/>
    <n v="0"/>
    <n v="0"/>
    <x v="4"/>
    <n v="1"/>
    <x v="1"/>
    <x v="0"/>
    <s v="Early"/>
    <x v="2"/>
  </r>
  <r>
    <n v="28"/>
    <x v="51"/>
    <x v="0"/>
    <x v="1"/>
    <n v="5"/>
    <n v="4"/>
    <x v="4"/>
    <n v="3"/>
    <x v="1"/>
    <n v="3"/>
    <n v="1"/>
    <x v="2"/>
    <x v="2"/>
    <s v="Single"/>
    <n v="3441"/>
    <n v="1"/>
    <x v="0"/>
    <n v="3"/>
    <n v="2"/>
    <n v="2"/>
    <n v="2"/>
    <n v="2"/>
    <n v="2"/>
    <n v="2"/>
    <x v="4"/>
    <n v="1"/>
    <x v="2"/>
    <x v="1"/>
    <s v="Early"/>
    <x v="2"/>
  </r>
  <r>
    <n v="44"/>
    <x v="52"/>
    <x v="1"/>
    <x v="0"/>
    <n v="1"/>
    <n v="5"/>
    <x v="3"/>
    <n v="2"/>
    <x v="0"/>
    <n v="3"/>
    <n v="2"/>
    <x v="0"/>
    <x v="3"/>
    <s v="Divorced"/>
    <n v="5454"/>
    <n v="5"/>
    <x v="0"/>
    <n v="3"/>
    <n v="9"/>
    <n v="2"/>
    <n v="4"/>
    <n v="3"/>
    <n v="1"/>
    <n v="3"/>
    <x v="7"/>
    <n v="0"/>
    <x v="0"/>
    <x v="0"/>
    <s v="Mid"/>
    <x v="1"/>
  </r>
  <r>
    <n v="35"/>
    <x v="53"/>
    <x v="1"/>
    <x v="1"/>
    <n v="11"/>
    <n v="2"/>
    <x v="2"/>
    <n v="3"/>
    <x v="1"/>
    <n v="2"/>
    <n v="3"/>
    <x v="4"/>
    <x v="3"/>
    <s v="Married"/>
    <n v="9884"/>
    <n v="2"/>
    <x v="0"/>
    <n v="3"/>
    <n v="10"/>
    <n v="3"/>
    <n v="4"/>
    <n v="0"/>
    <n v="2"/>
    <n v="3"/>
    <x v="4"/>
    <n v="0"/>
    <x v="0"/>
    <x v="0"/>
    <s v="Mid"/>
    <x v="2"/>
  </r>
  <r>
    <n v="26"/>
    <x v="54"/>
    <x v="1"/>
    <x v="0"/>
    <n v="23"/>
    <n v="3"/>
    <x v="3"/>
    <n v="3"/>
    <x v="0"/>
    <n v="2"/>
    <n v="2"/>
    <x v="0"/>
    <x v="0"/>
    <s v="Married"/>
    <n v="4157"/>
    <n v="7"/>
    <x v="0"/>
    <n v="3"/>
    <n v="5"/>
    <n v="2"/>
    <n v="2"/>
    <n v="2"/>
    <n v="0"/>
    <n v="0"/>
    <x v="12"/>
    <n v="0"/>
    <x v="2"/>
    <x v="1"/>
    <s v="Early"/>
    <x v="1"/>
  </r>
  <r>
    <n v="33"/>
    <x v="55"/>
    <x v="1"/>
    <x v="1"/>
    <n v="1"/>
    <n v="2"/>
    <x v="0"/>
    <n v="1"/>
    <x v="0"/>
    <n v="3"/>
    <n v="3"/>
    <x v="7"/>
    <x v="0"/>
    <s v="Single"/>
    <n v="13458"/>
    <n v="1"/>
    <x v="0"/>
    <n v="3"/>
    <n v="15"/>
    <n v="3"/>
    <n v="15"/>
    <n v="14"/>
    <n v="8"/>
    <n v="12"/>
    <x v="3"/>
    <n v="0"/>
    <x v="0"/>
    <x v="2"/>
    <s v="Long"/>
    <x v="0"/>
  </r>
  <r>
    <n v="35"/>
    <x v="56"/>
    <x v="1"/>
    <x v="0"/>
    <n v="18"/>
    <n v="5"/>
    <x v="0"/>
    <n v="2"/>
    <x v="1"/>
    <n v="3"/>
    <n v="3"/>
    <x v="0"/>
    <x v="3"/>
    <s v="Married"/>
    <n v="9069"/>
    <n v="1"/>
    <x v="1"/>
    <n v="4"/>
    <n v="9"/>
    <n v="2"/>
    <n v="9"/>
    <n v="8"/>
    <n v="1"/>
    <n v="8"/>
    <x v="6"/>
    <n v="0"/>
    <x v="0"/>
    <x v="0"/>
    <s v="Long"/>
    <x v="1"/>
  </r>
  <r>
    <n v="35"/>
    <x v="57"/>
    <x v="1"/>
    <x v="1"/>
    <n v="23"/>
    <n v="4"/>
    <x v="2"/>
    <n v="3"/>
    <x v="0"/>
    <n v="3"/>
    <n v="1"/>
    <x v="2"/>
    <x v="3"/>
    <s v="Married"/>
    <n v="4014"/>
    <n v="3"/>
    <x v="0"/>
    <n v="3"/>
    <n v="4"/>
    <n v="3"/>
    <n v="2"/>
    <n v="2"/>
    <n v="2"/>
    <n v="2"/>
    <x v="2"/>
    <n v="0"/>
    <x v="0"/>
    <x v="1"/>
    <s v="Early"/>
    <x v="2"/>
  </r>
  <r>
    <n v="31"/>
    <x v="58"/>
    <x v="1"/>
    <x v="1"/>
    <n v="7"/>
    <n v="4"/>
    <x v="0"/>
    <n v="4"/>
    <x v="1"/>
    <n v="3"/>
    <n v="2"/>
    <x v="2"/>
    <x v="0"/>
    <s v="Divorced"/>
    <n v="5915"/>
    <n v="3"/>
    <x v="1"/>
    <n v="4"/>
    <n v="10"/>
    <n v="2"/>
    <n v="7"/>
    <n v="7"/>
    <n v="1"/>
    <n v="7"/>
    <x v="6"/>
    <n v="0"/>
    <x v="0"/>
    <x v="0"/>
    <s v="Long"/>
    <x v="1"/>
  </r>
  <r>
    <n v="37"/>
    <x v="59"/>
    <x v="1"/>
    <x v="1"/>
    <n v="1"/>
    <n v="4"/>
    <x v="0"/>
    <n v="1"/>
    <x v="1"/>
    <n v="2"/>
    <n v="2"/>
    <x v="3"/>
    <x v="2"/>
    <s v="Divorced"/>
    <n v="5993"/>
    <n v="1"/>
    <x v="1"/>
    <n v="3"/>
    <n v="7"/>
    <n v="4"/>
    <n v="7"/>
    <n v="5"/>
    <n v="0"/>
    <n v="7"/>
    <x v="11"/>
    <n v="0"/>
    <x v="0"/>
    <x v="0"/>
    <s v="Long"/>
    <x v="1"/>
  </r>
  <r>
    <n v="32"/>
    <x v="60"/>
    <x v="1"/>
    <x v="1"/>
    <n v="1"/>
    <n v="3"/>
    <x v="2"/>
    <n v="1"/>
    <x v="1"/>
    <n v="3"/>
    <n v="2"/>
    <x v="3"/>
    <x v="0"/>
    <s v="Married"/>
    <n v="6162"/>
    <n v="1"/>
    <x v="0"/>
    <n v="2"/>
    <n v="9"/>
    <n v="3"/>
    <n v="9"/>
    <n v="8"/>
    <n v="7"/>
    <n v="8"/>
    <x v="6"/>
    <n v="0"/>
    <x v="0"/>
    <x v="0"/>
    <s v="Long"/>
    <x v="1"/>
  </r>
  <r>
    <n v="38"/>
    <x v="61"/>
    <x v="1"/>
    <x v="1"/>
    <n v="29"/>
    <n v="5"/>
    <x v="0"/>
    <n v="4"/>
    <x v="0"/>
    <n v="3"/>
    <n v="2"/>
    <x v="2"/>
    <x v="0"/>
    <s v="Single"/>
    <n v="2406"/>
    <n v="1"/>
    <x v="1"/>
    <n v="4"/>
    <n v="10"/>
    <n v="3"/>
    <n v="10"/>
    <n v="3"/>
    <n v="9"/>
    <n v="9"/>
    <x v="0"/>
    <n v="0"/>
    <x v="0"/>
    <x v="1"/>
    <s v="Long"/>
    <x v="0"/>
  </r>
  <r>
    <n v="50"/>
    <x v="62"/>
    <x v="1"/>
    <x v="1"/>
    <n v="7"/>
    <n v="2"/>
    <x v="2"/>
    <n v="2"/>
    <x v="0"/>
    <n v="2"/>
    <n v="5"/>
    <x v="7"/>
    <x v="2"/>
    <s v="Divorced"/>
    <n v="18740"/>
    <n v="5"/>
    <x v="0"/>
    <n v="4"/>
    <n v="29"/>
    <n v="2"/>
    <n v="27"/>
    <n v="3"/>
    <n v="13"/>
    <n v="8"/>
    <x v="3"/>
    <n v="0"/>
    <x v="1"/>
    <x v="2"/>
    <s v="Long"/>
    <x v="0"/>
  </r>
  <r>
    <n v="59"/>
    <x v="63"/>
    <x v="1"/>
    <x v="0"/>
    <n v="25"/>
    <n v="3"/>
    <x v="0"/>
    <n v="1"/>
    <x v="0"/>
    <n v="3"/>
    <n v="3"/>
    <x v="0"/>
    <x v="3"/>
    <s v="Single"/>
    <n v="7637"/>
    <n v="7"/>
    <x v="1"/>
    <n v="4"/>
    <n v="28"/>
    <n v="2"/>
    <n v="21"/>
    <n v="16"/>
    <n v="7"/>
    <n v="9"/>
    <x v="0"/>
    <n v="0"/>
    <x v="1"/>
    <x v="0"/>
    <s v="Long"/>
    <x v="0"/>
  </r>
  <r>
    <n v="36"/>
    <x v="64"/>
    <x v="1"/>
    <x v="1"/>
    <n v="8"/>
    <n v="3"/>
    <x v="4"/>
    <n v="3"/>
    <x v="0"/>
    <n v="3"/>
    <n v="3"/>
    <x v="4"/>
    <x v="2"/>
    <s v="Divorced"/>
    <n v="10096"/>
    <n v="1"/>
    <x v="1"/>
    <n v="2"/>
    <n v="17"/>
    <n v="3"/>
    <n v="17"/>
    <n v="14"/>
    <n v="12"/>
    <n v="8"/>
    <x v="4"/>
    <n v="0"/>
    <x v="0"/>
    <x v="2"/>
    <s v="Long"/>
    <x v="2"/>
  </r>
  <r>
    <n v="55"/>
    <x v="65"/>
    <x v="1"/>
    <x v="1"/>
    <n v="8"/>
    <n v="3"/>
    <x v="2"/>
    <n v="4"/>
    <x v="0"/>
    <n v="3"/>
    <n v="4"/>
    <x v="5"/>
    <x v="2"/>
    <s v="Divorced"/>
    <n v="14756"/>
    <n v="2"/>
    <x v="0"/>
    <n v="3"/>
    <n v="21"/>
    <n v="3"/>
    <n v="5"/>
    <n v="0"/>
    <n v="0"/>
    <n v="2"/>
    <x v="9"/>
    <n v="0"/>
    <x v="1"/>
    <x v="2"/>
    <s v="Mid"/>
    <x v="2"/>
  </r>
  <r>
    <n v="36"/>
    <x v="66"/>
    <x v="1"/>
    <x v="1"/>
    <n v="11"/>
    <n v="3"/>
    <x v="0"/>
    <n v="2"/>
    <x v="1"/>
    <n v="2"/>
    <n v="2"/>
    <x v="3"/>
    <x v="1"/>
    <s v="Single"/>
    <n v="6499"/>
    <n v="1"/>
    <x v="1"/>
    <n v="3"/>
    <n v="6"/>
    <n v="3"/>
    <n v="6"/>
    <n v="5"/>
    <n v="0"/>
    <n v="3"/>
    <x v="4"/>
    <n v="0"/>
    <x v="0"/>
    <x v="0"/>
    <s v="Mid"/>
    <x v="2"/>
  </r>
  <r>
    <n v="45"/>
    <x v="67"/>
    <x v="1"/>
    <x v="1"/>
    <n v="7"/>
    <n v="3"/>
    <x v="0"/>
    <n v="2"/>
    <x v="1"/>
    <n v="3"/>
    <n v="3"/>
    <x v="1"/>
    <x v="3"/>
    <s v="Divorced"/>
    <n v="9724"/>
    <n v="2"/>
    <x v="1"/>
    <n v="3"/>
    <n v="25"/>
    <n v="3"/>
    <n v="1"/>
    <n v="0"/>
    <n v="0"/>
    <n v="0"/>
    <x v="8"/>
    <n v="0"/>
    <x v="1"/>
    <x v="0"/>
    <s v="Early"/>
    <x v="2"/>
  </r>
  <r>
    <n v="35"/>
    <x v="68"/>
    <x v="1"/>
    <x v="1"/>
    <n v="1"/>
    <n v="3"/>
    <x v="2"/>
    <n v="2"/>
    <x v="1"/>
    <n v="3"/>
    <n v="1"/>
    <x v="1"/>
    <x v="3"/>
    <s v="Married"/>
    <n v="2194"/>
    <n v="4"/>
    <x v="1"/>
    <n v="4"/>
    <n v="5"/>
    <n v="2"/>
    <n v="3"/>
    <n v="2"/>
    <n v="1"/>
    <n v="2"/>
    <x v="4"/>
    <n v="0"/>
    <x v="0"/>
    <x v="1"/>
    <s v="Mid"/>
    <x v="2"/>
  </r>
  <r>
    <n v="36"/>
    <x v="69"/>
    <x v="0"/>
    <x v="1"/>
    <n v="9"/>
    <n v="3"/>
    <x v="2"/>
    <n v="4"/>
    <x v="1"/>
    <n v="2"/>
    <n v="1"/>
    <x v="1"/>
    <x v="2"/>
    <s v="Married"/>
    <n v="3388"/>
    <n v="0"/>
    <x v="0"/>
    <n v="1"/>
    <n v="2"/>
    <n v="2"/>
    <n v="1"/>
    <n v="0"/>
    <n v="0"/>
    <n v="0"/>
    <x v="8"/>
    <n v="1"/>
    <x v="0"/>
    <x v="1"/>
    <s v="Early"/>
    <x v="2"/>
  </r>
  <r>
    <n v="59"/>
    <x v="70"/>
    <x v="1"/>
    <x v="0"/>
    <n v="1"/>
    <n v="1"/>
    <x v="0"/>
    <n v="1"/>
    <x v="0"/>
    <n v="2"/>
    <n v="2"/>
    <x v="0"/>
    <x v="2"/>
    <s v="Single"/>
    <n v="5473"/>
    <n v="7"/>
    <x v="1"/>
    <n v="4"/>
    <n v="20"/>
    <n v="2"/>
    <n v="4"/>
    <n v="3"/>
    <n v="1"/>
    <n v="3"/>
    <x v="0"/>
    <n v="0"/>
    <x v="1"/>
    <x v="0"/>
    <s v="Mid"/>
    <x v="0"/>
  </r>
  <r>
    <n v="29"/>
    <x v="71"/>
    <x v="1"/>
    <x v="1"/>
    <n v="2"/>
    <n v="3"/>
    <x v="0"/>
    <n v="3"/>
    <x v="1"/>
    <n v="3"/>
    <n v="1"/>
    <x v="1"/>
    <x v="1"/>
    <s v="Married"/>
    <n v="2703"/>
    <n v="0"/>
    <x v="1"/>
    <n v="4"/>
    <n v="6"/>
    <n v="3"/>
    <n v="5"/>
    <n v="4"/>
    <n v="0"/>
    <n v="4"/>
    <x v="1"/>
    <n v="0"/>
    <x v="2"/>
    <x v="1"/>
    <s v="Mid"/>
    <x v="1"/>
  </r>
  <r>
    <n v="31"/>
    <x v="72"/>
    <x v="1"/>
    <x v="1"/>
    <n v="1"/>
    <n v="4"/>
    <x v="2"/>
    <n v="3"/>
    <x v="1"/>
    <n v="3"/>
    <n v="1"/>
    <x v="1"/>
    <x v="1"/>
    <s v="Single"/>
    <n v="2501"/>
    <n v="1"/>
    <x v="1"/>
    <n v="2"/>
    <n v="1"/>
    <n v="3"/>
    <n v="1"/>
    <n v="1"/>
    <n v="1"/>
    <n v="0"/>
    <x v="8"/>
    <n v="0"/>
    <x v="0"/>
    <x v="1"/>
    <s v="Early"/>
    <x v="2"/>
  </r>
  <r>
    <n v="32"/>
    <x v="73"/>
    <x v="1"/>
    <x v="1"/>
    <n v="1"/>
    <n v="3"/>
    <x v="0"/>
    <n v="2"/>
    <x v="1"/>
    <n v="3"/>
    <n v="2"/>
    <x v="1"/>
    <x v="1"/>
    <s v="Married"/>
    <n v="6220"/>
    <n v="1"/>
    <x v="1"/>
    <n v="2"/>
    <n v="10"/>
    <n v="3"/>
    <n v="10"/>
    <n v="4"/>
    <n v="0"/>
    <n v="9"/>
    <x v="8"/>
    <n v="0"/>
    <x v="0"/>
    <x v="0"/>
    <s v="Long"/>
    <x v="2"/>
  </r>
  <r>
    <n v="36"/>
    <x v="74"/>
    <x v="1"/>
    <x v="1"/>
    <n v="6"/>
    <n v="3"/>
    <x v="0"/>
    <n v="2"/>
    <x v="0"/>
    <n v="4"/>
    <n v="1"/>
    <x v="2"/>
    <x v="0"/>
    <s v="Married"/>
    <n v="3038"/>
    <n v="3"/>
    <x v="1"/>
    <n v="2"/>
    <n v="5"/>
    <n v="3"/>
    <n v="1"/>
    <n v="0"/>
    <n v="0"/>
    <n v="0"/>
    <x v="3"/>
    <n v="0"/>
    <x v="0"/>
    <x v="1"/>
    <s v="Early"/>
    <x v="0"/>
  </r>
  <r>
    <n v="31"/>
    <x v="75"/>
    <x v="1"/>
    <x v="1"/>
    <n v="8"/>
    <n v="4"/>
    <x v="0"/>
    <n v="3"/>
    <x v="0"/>
    <n v="3"/>
    <n v="2"/>
    <x v="3"/>
    <x v="0"/>
    <s v="Single"/>
    <n v="4424"/>
    <n v="1"/>
    <x v="1"/>
    <n v="4"/>
    <n v="11"/>
    <n v="3"/>
    <n v="11"/>
    <n v="7"/>
    <n v="1"/>
    <n v="8"/>
    <x v="1"/>
    <n v="0"/>
    <x v="0"/>
    <x v="1"/>
    <s v="Long"/>
    <x v="1"/>
  </r>
  <r>
    <n v="35"/>
    <x v="76"/>
    <x v="1"/>
    <x v="0"/>
    <n v="1"/>
    <n v="4"/>
    <x v="3"/>
    <n v="3"/>
    <x v="1"/>
    <n v="2"/>
    <n v="2"/>
    <x v="0"/>
    <x v="3"/>
    <s v="Single"/>
    <n v="4312"/>
    <n v="0"/>
    <x v="1"/>
    <n v="2"/>
    <n v="16"/>
    <n v="3"/>
    <n v="15"/>
    <n v="13"/>
    <n v="2"/>
    <n v="8"/>
    <x v="9"/>
    <n v="0"/>
    <x v="0"/>
    <x v="1"/>
    <s v="Long"/>
    <x v="2"/>
  </r>
  <r>
    <n v="45"/>
    <x v="77"/>
    <x v="1"/>
    <x v="1"/>
    <n v="6"/>
    <n v="4"/>
    <x v="1"/>
    <n v="4"/>
    <x v="1"/>
    <n v="3"/>
    <n v="3"/>
    <x v="7"/>
    <x v="3"/>
    <s v="Married"/>
    <n v="13245"/>
    <n v="4"/>
    <x v="0"/>
    <n v="2"/>
    <n v="17"/>
    <n v="4"/>
    <n v="0"/>
    <n v="0"/>
    <n v="0"/>
    <n v="0"/>
    <x v="9"/>
    <n v="0"/>
    <x v="1"/>
    <x v="2"/>
    <s v="Early"/>
    <x v="2"/>
  </r>
  <r>
    <n v="37"/>
    <x v="78"/>
    <x v="1"/>
    <x v="1"/>
    <n v="7"/>
    <n v="4"/>
    <x v="2"/>
    <n v="1"/>
    <x v="1"/>
    <n v="3"/>
    <n v="3"/>
    <x v="7"/>
    <x v="2"/>
    <s v="Single"/>
    <n v="13664"/>
    <n v="4"/>
    <x v="1"/>
    <n v="1"/>
    <n v="16"/>
    <n v="4"/>
    <n v="5"/>
    <n v="2"/>
    <n v="0"/>
    <n v="2"/>
    <x v="4"/>
    <n v="0"/>
    <x v="0"/>
    <x v="2"/>
    <s v="Mid"/>
    <x v="2"/>
  </r>
  <r>
    <n v="46"/>
    <x v="79"/>
    <x v="1"/>
    <x v="2"/>
    <n v="5"/>
    <n v="2"/>
    <x v="2"/>
    <n v="2"/>
    <x v="1"/>
    <n v="3"/>
    <n v="2"/>
    <x v="8"/>
    <x v="1"/>
    <s v="Divorced"/>
    <n v="5021"/>
    <n v="8"/>
    <x v="0"/>
    <n v="4"/>
    <n v="16"/>
    <n v="3"/>
    <n v="4"/>
    <n v="2"/>
    <n v="0"/>
    <n v="2"/>
    <x v="6"/>
    <n v="0"/>
    <x v="1"/>
    <x v="0"/>
    <s v="Mid"/>
    <x v="1"/>
  </r>
  <r>
    <n v="30"/>
    <x v="80"/>
    <x v="1"/>
    <x v="1"/>
    <n v="1"/>
    <n v="1"/>
    <x v="0"/>
    <n v="4"/>
    <x v="1"/>
    <n v="2"/>
    <n v="2"/>
    <x v="2"/>
    <x v="0"/>
    <s v="Married"/>
    <n v="5126"/>
    <n v="1"/>
    <x v="0"/>
    <n v="3"/>
    <n v="10"/>
    <n v="2"/>
    <n v="10"/>
    <n v="8"/>
    <n v="3"/>
    <n v="0"/>
    <x v="3"/>
    <n v="0"/>
    <x v="0"/>
    <x v="0"/>
    <s v="Long"/>
    <x v="0"/>
  </r>
  <r>
    <n v="35"/>
    <x v="81"/>
    <x v="1"/>
    <x v="1"/>
    <n v="1"/>
    <n v="3"/>
    <x v="2"/>
    <n v="2"/>
    <x v="1"/>
    <n v="2"/>
    <n v="1"/>
    <x v="1"/>
    <x v="2"/>
    <s v="Single"/>
    <n v="2859"/>
    <n v="1"/>
    <x v="1"/>
    <n v="1"/>
    <n v="6"/>
    <n v="3"/>
    <n v="6"/>
    <n v="4"/>
    <n v="0"/>
    <n v="4"/>
    <x v="11"/>
    <n v="0"/>
    <x v="0"/>
    <x v="1"/>
    <s v="Mid"/>
    <x v="1"/>
  </r>
  <r>
    <n v="55"/>
    <x v="82"/>
    <x v="1"/>
    <x v="0"/>
    <n v="1"/>
    <n v="2"/>
    <x v="0"/>
    <n v="1"/>
    <x v="1"/>
    <n v="3"/>
    <n v="3"/>
    <x v="0"/>
    <x v="0"/>
    <s v="Married"/>
    <n v="10239"/>
    <n v="3"/>
    <x v="1"/>
    <n v="4"/>
    <n v="24"/>
    <n v="3"/>
    <n v="1"/>
    <n v="0"/>
    <n v="1"/>
    <n v="0"/>
    <x v="9"/>
    <n v="0"/>
    <x v="1"/>
    <x v="2"/>
    <s v="Early"/>
    <x v="2"/>
  </r>
  <r>
    <n v="38"/>
    <x v="83"/>
    <x v="1"/>
    <x v="1"/>
    <n v="6"/>
    <n v="3"/>
    <x v="2"/>
    <n v="2"/>
    <x v="0"/>
    <n v="1"/>
    <n v="2"/>
    <x v="1"/>
    <x v="0"/>
    <s v="Divorced"/>
    <n v="5329"/>
    <n v="7"/>
    <x v="0"/>
    <n v="4"/>
    <n v="17"/>
    <n v="3"/>
    <n v="13"/>
    <n v="11"/>
    <n v="1"/>
    <n v="9"/>
    <x v="3"/>
    <n v="0"/>
    <x v="0"/>
    <x v="0"/>
    <s v="Long"/>
    <x v="0"/>
  </r>
  <r>
    <n v="34"/>
    <x v="84"/>
    <x v="1"/>
    <x v="1"/>
    <n v="1"/>
    <n v="2"/>
    <x v="2"/>
    <n v="1"/>
    <x v="1"/>
    <n v="3"/>
    <n v="2"/>
    <x v="3"/>
    <x v="1"/>
    <s v="Married"/>
    <n v="4325"/>
    <n v="1"/>
    <x v="1"/>
    <n v="3"/>
    <n v="5"/>
    <n v="3"/>
    <n v="5"/>
    <n v="2"/>
    <n v="1"/>
    <n v="3"/>
    <x v="2"/>
    <n v="0"/>
    <x v="0"/>
    <x v="1"/>
    <s v="Mid"/>
    <x v="2"/>
  </r>
  <r>
    <n v="56"/>
    <x v="85"/>
    <x v="1"/>
    <x v="1"/>
    <n v="7"/>
    <n v="3"/>
    <x v="0"/>
    <n v="4"/>
    <x v="1"/>
    <n v="1"/>
    <n v="3"/>
    <x v="3"/>
    <x v="0"/>
    <s v="Single"/>
    <n v="7260"/>
    <n v="4"/>
    <x v="1"/>
    <n v="1"/>
    <n v="37"/>
    <n v="2"/>
    <n v="6"/>
    <n v="4"/>
    <n v="0"/>
    <n v="2"/>
    <x v="0"/>
    <n v="0"/>
    <x v="1"/>
    <x v="0"/>
    <s v="Mid"/>
    <x v="0"/>
  </r>
  <r>
    <n v="23"/>
    <x v="86"/>
    <x v="1"/>
    <x v="0"/>
    <n v="2"/>
    <n v="1"/>
    <x v="4"/>
    <n v="3"/>
    <x v="1"/>
    <n v="3"/>
    <n v="1"/>
    <x v="6"/>
    <x v="3"/>
    <s v="Divorced"/>
    <n v="2322"/>
    <n v="3"/>
    <x v="1"/>
    <n v="3"/>
    <n v="3"/>
    <n v="3"/>
    <n v="0"/>
    <n v="0"/>
    <n v="0"/>
    <n v="0"/>
    <x v="4"/>
    <n v="0"/>
    <x v="2"/>
    <x v="1"/>
    <s v="Early"/>
    <x v="2"/>
  </r>
  <r>
    <n v="51"/>
    <x v="87"/>
    <x v="1"/>
    <x v="1"/>
    <n v="9"/>
    <n v="4"/>
    <x v="0"/>
    <n v="4"/>
    <x v="1"/>
    <n v="3"/>
    <n v="1"/>
    <x v="2"/>
    <x v="0"/>
    <s v="Married"/>
    <n v="2075"/>
    <n v="3"/>
    <x v="1"/>
    <n v="2"/>
    <n v="10"/>
    <n v="3"/>
    <n v="4"/>
    <n v="2"/>
    <n v="0"/>
    <n v="3"/>
    <x v="1"/>
    <n v="0"/>
    <x v="1"/>
    <x v="1"/>
    <s v="Mid"/>
    <x v="1"/>
  </r>
  <r>
    <n v="30"/>
    <x v="88"/>
    <x v="1"/>
    <x v="1"/>
    <n v="2"/>
    <n v="3"/>
    <x v="0"/>
    <n v="3"/>
    <x v="1"/>
    <n v="2"/>
    <n v="2"/>
    <x v="4"/>
    <x v="0"/>
    <s v="Married"/>
    <n v="4152"/>
    <n v="1"/>
    <x v="1"/>
    <n v="1"/>
    <n v="11"/>
    <n v="3"/>
    <n v="11"/>
    <n v="10"/>
    <n v="10"/>
    <n v="8"/>
    <x v="12"/>
    <n v="0"/>
    <x v="0"/>
    <x v="1"/>
    <s v="Long"/>
    <x v="1"/>
  </r>
  <r>
    <n v="46"/>
    <x v="89"/>
    <x v="0"/>
    <x v="0"/>
    <n v="9"/>
    <n v="2"/>
    <x v="2"/>
    <n v="3"/>
    <x v="1"/>
    <n v="2"/>
    <n v="3"/>
    <x v="0"/>
    <x v="0"/>
    <s v="Single"/>
    <n v="9619"/>
    <n v="1"/>
    <x v="1"/>
    <n v="4"/>
    <n v="9"/>
    <n v="3"/>
    <n v="9"/>
    <n v="8"/>
    <n v="4"/>
    <n v="7"/>
    <x v="10"/>
    <n v="1"/>
    <x v="1"/>
    <x v="0"/>
    <s v="Long"/>
    <x v="2"/>
  </r>
  <r>
    <n v="40"/>
    <x v="90"/>
    <x v="1"/>
    <x v="1"/>
    <n v="1"/>
    <n v="4"/>
    <x v="0"/>
    <n v="3"/>
    <x v="1"/>
    <n v="2"/>
    <n v="4"/>
    <x v="4"/>
    <x v="1"/>
    <s v="Married"/>
    <n v="13503"/>
    <n v="1"/>
    <x v="1"/>
    <n v="4"/>
    <n v="22"/>
    <n v="2"/>
    <n v="22"/>
    <n v="3"/>
    <n v="11"/>
    <n v="11"/>
    <x v="6"/>
    <n v="0"/>
    <x v="0"/>
    <x v="2"/>
    <s v="Long"/>
    <x v="1"/>
  </r>
  <r>
    <n v="51"/>
    <x v="91"/>
    <x v="1"/>
    <x v="0"/>
    <n v="21"/>
    <n v="4"/>
    <x v="3"/>
    <n v="3"/>
    <x v="1"/>
    <n v="3"/>
    <n v="2"/>
    <x v="0"/>
    <x v="0"/>
    <s v="Single"/>
    <n v="5441"/>
    <n v="0"/>
    <x v="0"/>
    <n v="4"/>
    <n v="11"/>
    <n v="1"/>
    <n v="10"/>
    <n v="7"/>
    <n v="1"/>
    <n v="0"/>
    <x v="6"/>
    <n v="0"/>
    <x v="1"/>
    <x v="0"/>
    <s v="Long"/>
    <x v="1"/>
  </r>
  <r>
    <n v="30"/>
    <x v="92"/>
    <x v="1"/>
    <x v="0"/>
    <n v="4"/>
    <n v="2"/>
    <x v="2"/>
    <n v="3"/>
    <x v="0"/>
    <n v="2"/>
    <n v="2"/>
    <x v="0"/>
    <x v="1"/>
    <s v="Divorced"/>
    <n v="5209"/>
    <n v="1"/>
    <x v="0"/>
    <n v="2"/>
    <n v="11"/>
    <n v="2"/>
    <n v="11"/>
    <n v="8"/>
    <n v="2"/>
    <n v="7"/>
    <x v="3"/>
    <n v="0"/>
    <x v="0"/>
    <x v="0"/>
    <s v="Long"/>
    <x v="0"/>
  </r>
  <r>
    <n v="46"/>
    <x v="93"/>
    <x v="1"/>
    <x v="1"/>
    <n v="1"/>
    <n v="3"/>
    <x v="2"/>
    <n v="3"/>
    <x v="1"/>
    <n v="2"/>
    <n v="3"/>
    <x v="4"/>
    <x v="3"/>
    <s v="Married"/>
    <n v="10673"/>
    <n v="2"/>
    <x v="0"/>
    <n v="3"/>
    <n v="21"/>
    <n v="2"/>
    <n v="10"/>
    <n v="9"/>
    <n v="9"/>
    <n v="5"/>
    <x v="4"/>
    <n v="0"/>
    <x v="1"/>
    <x v="2"/>
    <s v="Long"/>
    <x v="2"/>
  </r>
  <r>
    <n v="32"/>
    <x v="94"/>
    <x v="1"/>
    <x v="0"/>
    <n v="6"/>
    <n v="4"/>
    <x v="2"/>
    <n v="2"/>
    <x v="1"/>
    <n v="3"/>
    <n v="2"/>
    <x v="0"/>
    <x v="2"/>
    <s v="Single"/>
    <n v="5010"/>
    <n v="1"/>
    <x v="1"/>
    <n v="1"/>
    <n v="12"/>
    <n v="3"/>
    <n v="11"/>
    <n v="8"/>
    <n v="5"/>
    <n v="7"/>
    <x v="10"/>
    <n v="0"/>
    <x v="0"/>
    <x v="0"/>
    <s v="Long"/>
    <x v="2"/>
  </r>
  <r>
    <n v="54"/>
    <x v="95"/>
    <x v="1"/>
    <x v="1"/>
    <n v="2"/>
    <n v="4"/>
    <x v="4"/>
    <n v="1"/>
    <x v="0"/>
    <n v="3"/>
    <n v="3"/>
    <x v="7"/>
    <x v="2"/>
    <s v="Married"/>
    <n v="13549"/>
    <n v="9"/>
    <x v="1"/>
    <n v="1"/>
    <n v="16"/>
    <n v="1"/>
    <n v="4"/>
    <n v="3"/>
    <n v="0"/>
    <n v="3"/>
    <x v="3"/>
    <n v="0"/>
    <x v="1"/>
    <x v="2"/>
    <s v="Mid"/>
    <x v="0"/>
  </r>
  <r>
    <n v="24"/>
    <x v="96"/>
    <x v="1"/>
    <x v="0"/>
    <n v="3"/>
    <n v="2"/>
    <x v="1"/>
    <n v="1"/>
    <x v="0"/>
    <n v="3"/>
    <n v="2"/>
    <x v="0"/>
    <x v="2"/>
    <s v="Married"/>
    <n v="4999"/>
    <n v="0"/>
    <x v="1"/>
    <n v="1"/>
    <n v="4"/>
    <n v="2"/>
    <n v="3"/>
    <n v="2"/>
    <n v="0"/>
    <n v="2"/>
    <x v="7"/>
    <n v="0"/>
    <x v="2"/>
    <x v="1"/>
    <s v="Mid"/>
    <x v="1"/>
  </r>
  <r>
    <n v="28"/>
    <x v="97"/>
    <x v="1"/>
    <x v="0"/>
    <n v="4"/>
    <n v="3"/>
    <x v="2"/>
    <n v="2"/>
    <x v="1"/>
    <n v="3"/>
    <n v="2"/>
    <x v="0"/>
    <x v="2"/>
    <s v="Married"/>
    <n v="4221"/>
    <n v="1"/>
    <x v="1"/>
    <n v="2"/>
    <n v="5"/>
    <n v="4"/>
    <n v="5"/>
    <n v="4"/>
    <n v="0"/>
    <n v="4"/>
    <x v="2"/>
    <n v="0"/>
    <x v="2"/>
    <x v="1"/>
    <s v="Mid"/>
    <x v="2"/>
  </r>
  <r>
    <n v="58"/>
    <x v="98"/>
    <x v="1"/>
    <x v="0"/>
    <n v="10"/>
    <n v="4"/>
    <x v="2"/>
    <n v="4"/>
    <x v="1"/>
    <n v="3"/>
    <n v="4"/>
    <x v="0"/>
    <x v="2"/>
    <s v="Single"/>
    <n v="13872"/>
    <n v="0"/>
    <x v="1"/>
    <n v="3"/>
    <n v="38"/>
    <n v="2"/>
    <n v="37"/>
    <n v="10"/>
    <n v="1"/>
    <n v="8"/>
    <x v="4"/>
    <n v="0"/>
    <x v="1"/>
    <x v="2"/>
    <s v="Long"/>
    <x v="2"/>
  </r>
  <r>
    <n v="44"/>
    <x v="99"/>
    <x v="1"/>
    <x v="1"/>
    <n v="23"/>
    <n v="3"/>
    <x v="2"/>
    <n v="2"/>
    <x v="1"/>
    <n v="3"/>
    <n v="2"/>
    <x v="2"/>
    <x v="1"/>
    <s v="Married"/>
    <n v="2042"/>
    <n v="4"/>
    <x v="1"/>
    <n v="3"/>
    <n v="17"/>
    <n v="4"/>
    <n v="3"/>
    <n v="2"/>
    <n v="1"/>
    <n v="2"/>
    <x v="3"/>
    <n v="0"/>
    <x v="0"/>
    <x v="1"/>
    <s v="Mid"/>
    <x v="0"/>
  </r>
  <r>
    <n v="37"/>
    <x v="100"/>
    <x v="0"/>
    <x v="2"/>
    <n v="6"/>
    <n v="4"/>
    <x v="5"/>
    <n v="3"/>
    <x v="1"/>
    <n v="3"/>
    <n v="1"/>
    <x v="8"/>
    <x v="3"/>
    <s v="Divorced"/>
    <n v="2073"/>
    <n v="4"/>
    <x v="0"/>
    <n v="4"/>
    <n v="7"/>
    <n v="3"/>
    <n v="3"/>
    <n v="2"/>
    <n v="0"/>
    <n v="2"/>
    <x v="6"/>
    <n v="1"/>
    <x v="0"/>
    <x v="1"/>
    <s v="Mid"/>
    <x v="1"/>
  </r>
  <r>
    <n v="32"/>
    <x v="101"/>
    <x v="1"/>
    <x v="1"/>
    <n v="1"/>
    <n v="1"/>
    <x v="0"/>
    <n v="4"/>
    <x v="1"/>
    <n v="3"/>
    <n v="1"/>
    <x v="1"/>
    <x v="3"/>
    <s v="Single"/>
    <n v="2956"/>
    <n v="1"/>
    <x v="1"/>
    <n v="4"/>
    <n v="1"/>
    <n v="3"/>
    <n v="1"/>
    <n v="0"/>
    <n v="0"/>
    <n v="0"/>
    <x v="4"/>
    <n v="0"/>
    <x v="0"/>
    <x v="1"/>
    <s v="Early"/>
    <x v="2"/>
  </r>
  <r>
    <n v="20"/>
    <x v="102"/>
    <x v="0"/>
    <x v="1"/>
    <n v="6"/>
    <n v="3"/>
    <x v="0"/>
    <n v="4"/>
    <x v="0"/>
    <n v="2"/>
    <n v="1"/>
    <x v="2"/>
    <x v="0"/>
    <s v="Single"/>
    <n v="2926"/>
    <n v="1"/>
    <x v="0"/>
    <n v="2"/>
    <n v="1"/>
    <n v="3"/>
    <n v="1"/>
    <n v="0"/>
    <n v="1"/>
    <n v="0"/>
    <x v="11"/>
    <n v="1"/>
    <x v="2"/>
    <x v="1"/>
    <s v="Early"/>
    <x v="1"/>
  </r>
  <r>
    <n v="34"/>
    <x v="103"/>
    <x v="1"/>
    <x v="1"/>
    <n v="6"/>
    <n v="4"/>
    <x v="1"/>
    <n v="1"/>
    <x v="0"/>
    <n v="3"/>
    <n v="2"/>
    <x v="1"/>
    <x v="2"/>
    <s v="Single"/>
    <n v="4809"/>
    <n v="1"/>
    <x v="1"/>
    <n v="3"/>
    <n v="16"/>
    <n v="3"/>
    <n v="16"/>
    <n v="13"/>
    <n v="2"/>
    <n v="10"/>
    <x v="9"/>
    <n v="0"/>
    <x v="0"/>
    <x v="1"/>
    <s v="Long"/>
    <x v="2"/>
  </r>
  <r>
    <n v="37"/>
    <x v="104"/>
    <x v="1"/>
    <x v="1"/>
    <n v="2"/>
    <n v="2"/>
    <x v="0"/>
    <n v="3"/>
    <x v="1"/>
    <n v="2"/>
    <n v="2"/>
    <x v="4"/>
    <x v="0"/>
    <s v="Divorced"/>
    <n v="5163"/>
    <n v="5"/>
    <x v="1"/>
    <n v="4"/>
    <n v="17"/>
    <n v="4"/>
    <n v="1"/>
    <n v="0"/>
    <n v="0"/>
    <n v="0"/>
    <x v="9"/>
    <n v="0"/>
    <x v="0"/>
    <x v="0"/>
    <s v="Early"/>
    <x v="2"/>
  </r>
  <r>
    <n v="59"/>
    <x v="105"/>
    <x v="1"/>
    <x v="2"/>
    <n v="2"/>
    <n v="4"/>
    <x v="5"/>
    <n v="3"/>
    <x v="0"/>
    <n v="2"/>
    <n v="5"/>
    <x v="5"/>
    <x v="0"/>
    <s v="Married"/>
    <n v="18844"/>
    <n v="9"/>
    <x v="1"/>
    <n v="4"/>
    <n v="30"/>
    <n v="3"/>
    <n v="3"/>
    <n v="2"/>
    <n v="2"/>
    <n v="2"/>
    <x v="7"/>
    <n v="0"/>
    <x v="1"/>
    <x v="2"/>
    <s v="Mid"/>
    <x v="1"/>
  </r>
  <r>
    <n v="50"/>
    <x v="106"/>
    <x v="1"/>
    <x v="1"/>
    <n v="1"/>
    <n v="3"/>
    <x v="0"/>
    <n v="1"/>
    <x v="0"/>
    <n v="3"/>
    <n v="5"/>
    <x v="7"/>
    <x v="1"/>
    <s v="Married"/>
    <n v="18172"/>
    <n v="3"/>
    <x v="0"/>
    <n v="1"/>
    <n v="28"/>
    <n v="2"/>
    <n v="8"/>
    <n v="3"/>
    <n v="0"/>
    <n v="7"/>
    <x v="12"/>
    <n v="0"/>
    <x v="1"/>
    <x v="2"/>
    <s v="Long"/>
    <x v="1"/>
  </r>
  <r>
    <n v="25"/>
    <x v="107"/>
    <x v="0"/>
    <x v="0"/>
    <n v="5"/>
    <n v="3"/>
    <x v="3"/>
    <n v="3"/>
    <x v="1"/>
    <n v="2"/>
    <n v="2"/>
    <x v="0"/>
    <x v="2"/>
    <s v="Single"/>
    <n v="5744"/>
    <n v="1"/>
    <x v="0"/>
    <n v="4"/>
    <n v="6"/>
    <n v="3"/>
    <n v="6"/>
    <n v="4"/>
    <n v="0"/>
    <n v="3"/>
    <x v="0"/>
    <n v="1"/>
    <x v="2"/>
    <x v="0"/>
    <s v="Mid"/>
    <x v="0"/>
  </r>
  <r>
    <n v="25"/>
    <x v="108"/>
    <x v="1"/>
    <x v="1"/>
    <n v="7"/>
    <n v="1"/>
    <x v="2"/>
    <n v="4"/>
    <x v="1"/>
    <n v="2"/>
    <n v="1"/>
    <x v="1"/>
    <x v="0"/>
    <s v="Married"/>
    <n v="2889"/>
    <n v="1"/>
    <x v="1"/>
    <n v="3"/>
    <n v="2"/>
    <n v="3"/>
    <n v="2"/>
    <n v="2"/>
    <n v="2"/>
    <n v="1"/>
    <x v="0"/>
    <n v="0"/>
    <x v="2"/>
    <x v="1"/>
    <s v="Early"/>
    <x v="0"/>
  </r>
  <r>
    <n v="22"/>
    <x v="109"/>
    <x v="1"/>
    <x v="1"/>
    <n v="15"/>
    <n v="3"/>
    <x v="2"/>
    <n v="2"/>
    <x v="0"/>
    <n v="3"/>
    <n v="1"/>
    <x v="2"/>
    <x v="0"/>
    <s v="Single"/>
    <n v="2871"/>
    <n v="1"/>
    <x v="1"/>
    <n v="3"/>
    <n v="1"/>
    <n v="3"/>
    <n v="0"/>
    <n v="0"/>
    <n v="0"/>
    <n v="0"/>
    <x v="2"/>
    <n v="0"/>
    <x v="2"/>
    <x v="1"/>
    <s v="Early"/>
    <x v="2"/>
  </r>
  <r>
    <n v="51"/>
    <x v="110"/>
    <x v="1"/>
    <x v="1"/>
    <n v="1"/>
    <n v="4"/>
    <x v="2"/>
    <n v="1"/>
    <x v="0"/>
    <n v="2"/>
    <n v="3"/>
    <x v="4"/>
    <x v="3"/>
    <s v="Single"/>
    <n v="7484"/>
    <n v="3"/>
    <x v="1"/>
    <n v="3"/>
    <n v="23"/>
    <n v="2"/>
    <n v="13"/>
    <n v="12"/>
    <n v="12"/>
    <n v="8"/>
    <x v="5"/>
    <n v="0"/>
    <x v="1"/>
    <x v="0"/>
    <s v="Long"/>
    <x v="1"/>
  </r>
  <r>
    <n v="34"/>
    <x v="111"/>
    <x v="0"/>
    <x v="1"/>
    <n v="7"/>
    <n v="3"/>
    <x v="0"/>
    <n v="1"/>
    <x v="1"/>
    <n v="1"/>
    <n v="2"/>
    <x v="2"/>
    <x v="2"/>
    <s v="Single"/>
    <n v="6074"/>
    <n v="1"/>
    <x v="0"/>
    <n v="4"/>
    <n v="9"/>
    <n v="3"/>
    <n v="9"/>
    <n v="7"/>
    <n v="0"/>
    <n v="6"/>
    <x v="13"/>
    <n v="1"/>
    <x v="0"/>
    <x v="0"/>
    <s v="Long"/>
    <x v="1"/>
  </r>
  <r>
    <n v="54"/>
    <x v="112"/>
    <x v="1"/>
    <x v="2"/>
    <n v="26"/>
    <n v="3"/>
    <x v="5"/>
    <n v="4"/>
    <x v="0"/>
    <n v="4"/>
    <n v="4"/>
    <x v="5"/>
    <x v="0"/>
    <s v="Single"/>
    <n v="17328"/>
    <n v="2"/>
    <x v="0"/>
    <n v="3"/>
    <n v="23"/>
    <n v="3"/>
    <n v="5"/>
    <n v="3"/>
    <n v="4"/>
    <n v="4"/>
    <x v="3"/>
    <n v="0"/>
    <x v="1"/>
    <x v="2"/>
    <s v="Mid"/>
    <x v="0"/>
  </r>
  <r>
    <n v="24"/>
    <x v="113"/>
    <x v="1"/>
    <x v="1"/>
    <n v="18"/>
    <n v="1"/>
    <x v="0"/>
    <n v="2"/>
    <x v="1"/>
    <n v="3"/>
    <n v="1"/>
    <x v="2"/>
    <x v="2"/>
    <s v="Married"/>
    <n v="2774"/>
    <n v="0"/>
    <x v="1"/>
    <n v="3"/>
    <n v="6"/>
    <n v="3"/>
    <n v="5"/>
    <n v="3"/>
    <n v="1"/>
    <n v="2"/>
    <x v="3"/>
    <n v="0"/>
    <x v="2"/>
    <x v="1"/>
    <s v="Mid"/>
    <x v="0"/>
  </r>
  <r>
    <n v="34"/>
    <x v="114"/>
    <x v="1"/>
    <x v="1"/>
    <n v="6"/>
    <n v="4"/>
    <x v="0"/>
    <n v="3"/>
    <x v="0"/>
    <n v="2"/>
    <n v="2"/>
    <x v="1"/>
    <x v="1"/>
    <s v="Divorced"/>
    <n v="4505"/>
    <n v="6"/>
    <x v="1"/>
    <n v="3"/>
    <n v="12"/>
    <n v="3"/>
    <n v="1"/>
    <n v="0"/>
    <n v="0"/>
    <n v="0"/>
    <x v="2"/>
    <n v="0"/>
    <x v="0"/>
    <x v="1"/>
    <s v="Early"/>
    <x v="2"/>
  </r>
  <r>
    <n v="37"/>
    <x v="115"/>
    <x v="1"/>
    <x v="0"/>
    <n v="3"/>
    <n v="3"/>
    <x v="0"/>
    <n v="3"/>
    <x v="1"/>
    <n v="3"/>
    <n v="3"/>
    <x v="0"/>
    <x v="0"/>
    <s v="Single"/>
    <n v="7428"/>
    <n v="2"/>
    <x v="1"/>
    <n v="1"/>
    <n v="12"/>
    <n v="3"/>
    <n v="5"/>
    <n v="3"/>
    <n v="1"/>
    <n v="3"/>
    <x v="3"/>
    <n v="0"/>
    <x v="0"/>
    <x v="0"/>
    <s v="Mid"/>
    <x v="0"/>
  </r>
  <r>
    <n v="34"/>
    <x v="116"/>
    <x v="1"/>
    <x v="1"/>
    <n v="5"/>
    <n v="3"/>
    <x v="2"/>
    <n v="3"/>
    <x v="0"/>
    <n v="2"/>
    <n v="3"/>
    <x v="5"/>
    <x v="3"/>
    <s v="Single"/>
    <n v="11631"/>
    <n v="2"/>
    <x v="1"/>
    <n v="4"/>
    <n v="14"/>
    <n v="3"/>
    <n v="11"/>
    <n v="10"/>
    <n v="5"/>
    <n v="8"/>
    <x v="3"/>
    <n v="0"/>
    <x v="0"/>
    <x v="2"/>
    <s v="Long"/>
    <x v="0"/>
  </r>
  <r>
    <n v="36"/>
    <x v="117"/>
    <x v="1"/>
    <x v="0"/>
    <n v="11"/>
    <n v="2"/>
    <x v="4"/>
    <n v="2"/>
    <x v="0"/>
    <n v="3"/>
    <n v="3"/>
    <x v="0"/>
    <x v="0"/>
    <s v="Married"/>
    <n v="9738"/>
    <n v="0"/>
    <x v="1"/>
    <n v="3"/>
    <n v="10"/>
    <n v="3"/>
    <n v="9"/>
    <n v="7"/>
    <n v="2"/>
    <n v="8"/>
    <x v="9"/>
    <n v="0"/>
    <x v="0"/>
    <x v="0"/>
    <s v="Long"/>
    <x v="2"/>
  </r>
  <r>
    <n v="36"/>
    <x v="118"/>
    <x v="1"/>
    <x v="1"/>
    <n v="3"/>
    <n v="2"/>
    <x v="0"/>
    <n v="1"/>
    <x v="0"/>
    <n v="3"/>
    <n v="1"/>
    <x v="2"/>
    <x v="0"/>
    <s v="Divorced"/>
    <n v="2835"/>
    <n v="5"/>
    <x v="1"/>
    <n v="1"/>
    <n v="7"/>
    <n v="3"/>
    <n v="1"/>
    <n v="0"/>
    <n v="0"/>
    <n v="0"/>
    <x v="6"/>
    <n v="0"/>
    <x v="0"/>
    <x v="1"/>
    <s v="Early"/>
    <x v="1"/>
  </r>
  <r>
    <n v="43"/>
    <x v="119"/>
    <x v="1"/>
    <x v="0"/>
    <n v="26"/>
    <n v="2"/>
    <x v="0"/>
    <n v="3"/>
    <x v="1"/>
    <n v="3"/>
    <n v="4"/>
    <x v="5"/>
    <x v="0"/>
    <s v="Married"/>
    <n v="16959"/>
    <n v="1"/>
    <x v="0"/>
    <n v="4"/>
    <n v="25"/>
    <n v="4"/>
    <n v="25"/>
    <n v="12"/>
    <n v="4"/>
    <n v="12"/>
    <x v="3"/>
    <n v="0"/>
    <x v="0"/>
    <x v="2"/>
    <s v="Long"/>
    <x v="0"/>
  </r>
  <r>
    <n v="30"/>
    <x v="120"/>
    <x v="1"/>
    <x v="1"/>
    <n v="23"/>
    <n v="3"/>
    <x v="0"/>
    <n v="1"/>
    <x v="1"/>
    <n v="1"/>
    <n v="1"/>
    <x v="1"/>
    <x v="2"/>
    <s v="Divorced"/>
    <n v="2613"/>
    <n v="1"/>
    <x v="1"/>
    <n v="3"/>
    <n v="10"/>
    <n v="2"/>
    <n v="10"/>
    <n v="7"/>
    <n v="0"/>
    <n v="9"/>
    <x v="14"/>
    <n v="0"/>
    <x v="0"/>
    <x v="1"/>
    <s v="Long"/>
    <x v="1"/>
  </r>
  <r>
    <n v="33"/>
    <x v="121"/>
    <x v="1"/>
    <x v="0"/>
    <n v="22"/>
    <n v="2"/>
    <x v="3"/>
    <n v="3"/>
    <x v="1"/>
    <n v="3"/>
    <n v="2"/>
    <x v="0"/>
    <x v="1"/>
    <s v="Married"/>
    <n v="6146"/>
    <n v="0"/>
    <x v="1"/>
    <n v="1"/>
    <n v="8"/>
    <n v="4"/>
    <n v="7"/>
    <n v="7"/>
    <n v="0"/>
    <n v="7"/>
    <x v="4"/>
    <n v="0"/>
    <x v="0"/>
    <x v="0"/>
    <s v="Long"/>
    <x v="2"/>
  </r>
  <r>
    <n v="56"/>
    <x v="122"/>
    <x v="0"/>
    <x v="1"/>
    <n v="14"/>
    <n v="4"/>
    <x v="0"/>
    <n v="2"/>
    <x v="0"/>
    <n v="3"/>
    <n v="1"/>
    <x v="1"/>
    <x v="1"/>
    <s v="Married"/>
    <n v="4963"/>
    <n v="9"/>
    <x v="0"/>
    <n v="1"/>
    <n v="7"/>
    <n v="3"/>
    <n v="5"/>
    <n v="4"/>
    <n v="4"/>
    <n v="3"/>
    <x v="11"/>
    <n v="1"/>
    <x v="1"/>
    <x v="1"/>
    <s v="Mid"/>
    <x v="1"/>
  </r>
  <r>
    <n v="51"/>
    <x v="123"/>
    <x v="1"/>
    <x v="1"/>
    <n v="6"/>
    <n v="3"/>
    <x v="0"/>
    <n v="1"/>
    <x v="1"/>
    <n v="3"/>
    <n v="5"/>
    <x v="7"/>
    <x v="2"/>
    <s v="Single"/>
    <n v="19537"/>
    <n v="7"/>
    <x v="1"/>
    <n v="3"/>
    <n v="23"/>
    <n v="3"/>
    <n v="20"/>
    <n v="18"/>
    <n v="15"/>
    <n v="15"/>
    <x v="4"/>
    <n v="0"/>
    <x v="1"/>
    <x v="2"/>
    <s v="Long"/>
    <x v="2"/>
  </r>
  <r>
    <n v="31"/>
    <x v="124"/>
    <x v="0"/>
    <x v="0"/>
    <n v="6"/>
    <n v="4"/>
    <x v="0"/>
    <n v="2"/>
    <x v="1"/>
    <n v="1"/>
    <n v="2"/>
    <x v="0"/>
    <x v="2"/>
    <s v="Married"/>
    <n v="6172"/>
    <n v="4"/>
    <x v="0"/>
    <n v="2"/>
    <n v="12"/>
    <n v="2"/>
    <n v="7"/>
    <n v="7"/>
    <n v="7"/>
    <n v="7"/>
    <x v="11"/>
    <n v="1"/>
    <x v="0"/>
    <x v="0"/>
    <s v="Long"/>
    <x v="1"/>
  </r>
  <r>
    <n v="26"/>
    <x v="125"/>
    <x v="1"/>
    <x v="1"/>
    <n v="6"/>
    <n v="3"/>
    <x v="1"/>
    <n v="3"/>
    <x v="0"/>
    <n v="2"/>
    <n v="1"/>
    <x v="1"/>
    <x v="1"/>
    <s v="Married"/>
    <n v="2368"/>
    <n v="1"/>
    <x v="1"/>
    <n v="3"/>
    <n v="5"/>
    <n v="2"/>
    <n v="5"/>
    <n v="4"/>
    <n v="4"/>
    <n v="3"/>
    <x v="12"/>
    <n v="0"/>
    <x v="2"/>
    <x v="1"/>
    <s v="Mid"/>
    <x v="1"/>
  </r>
  <r>
    <n v="58"/>
    <x v="126"/>
    <x v="0"/>
    <x v="1"/>
    <n v="23"/>
    <n v="4"/>
    <x v="2"/>
    <n v="4"/>
    <x v="0"/>
    <n v="3"/>
    <n v="3"/>
    <x v="4"/>
    <x v="0"/>
    <s v="Married"/>
    <n v="10312"/>
    <n v="1"/>
    <x v="1"/>
    <n v="4"/>
    <n v="40"/>
    <n v="2"/>
    <n v="40"/>
    <n v="10"/>
    <n v="15"/>
    <n v="6"/>
    <x v="3"/>
    <n v="1"/>
    <x v="1"/>
    <x v="2"/>
    <s v="Long"/>
    <x v="0"/>
  </r>
  <r>
    <n v="19"/>
    <x v="127"/>
    <x v="0"/>
    <x v="0"/>
    <n v="22"/>
    <n v="1"/>
    <x v="3"/>
    <n v="4"/>
    <x v="1"/>
    <n v="3"/>
    <n v="1"/>
    <x v="6"/>
    <x v="2"/>
    <s v="Single"/>
    <n v="1675"/>
    <n v="1"/>
    <x v="0"/>
    <n v="4"/>
    <n v="0"/>
    <n v="2"/>
    <n v="0"/>
    <n v="0"/>
    <n v="0"/>
    <n v="0"/>
    <x v="12"/>
    <n v="1"/>
    <x v="2"/>
    <x v="1"/>
    <s v="Early"/>
    <x v="1"/>
  </r>
  <r>
    <n v="22"/>
    <x v="128"/>
    <x v="1"/>
    <x v="1"/>
    <n v="2"/>
    <n v="1"/>
    <x v="4"/>
    <n v="3"/>
    <x v="1"/>
    <n v="3"/>
    <n v="1"/>
    <x v="2"/>
    <x v="0"/>
    <s v="Married"/>
    <n v="2523"/>
    <n v="0"/>
    <x v="1"/>
    <n v="3"/>
    <n v="3"/>
    <n v="3"/>
    <n v="2"/>
    <n v="1"/>
    <n v="2"/>
    <n v="1"/>
    <x v="9"/>
    <n v="0"/>
    <x v="2"/>
    <x v="1"/>
    <s v="Early"/>
    <x v="2"/>
  </r>
  <r>
    <n v="49"/>
    <x v="129"/>
    <x v="1"/>
    <x v="1"/>
    <n v="20"/>
    <n v="4"/>
    <x v="2"/>
    <n v="3"/>
    <x v="0"/>
    <n v="3"/>
    <n v="2"/>
    <x v="3"/>
    <x v="3"/>
    <s v="Married"/>
    <n v="6567"/>
    <n v="1"/>
    <x v="1"/>
    <n v="3"/>
    <n v="16"/>
    <n v="2"/>
    <n v="15"/>
    <n v="11"/>
    <n v="5"/>
    <n v="11"/>
    <x v="9"/>
    <n v="0"/>
    <x v="1"/>
    <x v="0"/>
    <s v="Long"/>
    <x v="2"/>
  </r>
  <r>
    <n v="43"/>
    <x v="130"/>
    <x v="1"/>
    <x v="1"/>
    <n v="28"/>
    <n v="3"/>
    <x v="2"/>
    <n v="2"/>
    <x v="0"/>
    <n v="4"/>
    <n v="1"/>
    <x v="1"/>
    <x v="2"/>
    <s v="Single"/>
    <n v="4739"/>
    <n v="4"/>
    <x v="1"/>
    <n v="4"/>
    <n v="18"/>
    <n v="3"/>
    <n v="3"/>
    <n v="2"/>
    <n v="1"/>
    <n v="2"/>
    <x v="3"/>
    <n v="0"/>
    <x v="0"/>
    <x v="1"/>
    <s v="Mid"/>
    <x v="0"/>
  </r>
  <r>
    <n v="50"/>
    <x v="131"/>
    <x v="1"/>
    <x v="0"/>
    <n v="12"/>
    <n v="3"/>
    <x v="3"/>
    <n v="3"/>
    <x v="0"/>
    <n v="3"/>
    <n v="3"/>
    <x v="0"/>
    <x v="0"/>
    <s v="Single"/>
    <n v="9208"/>
    <n v="4"/>
    <x v="1"/>
    <n v="4"/>
    <n v="16"/>
    <n v="3"/>
    <n v="2"/>
    <n v="2"/>
    <n v="2"/>
    <n v="1"/>
    <x v="0"/>
    <n v="0"/>
    <x v="1"/>
    <x v="0"/>
    <s v="Early"/>
    <x v="0"/>
  </r>
  <r>
    <n v="31"/>
    <x v="132"/>
    <x v="0"/>
    <x v="0"/>
    <n v="20"/>
    <n v="3"/>
    <x v="0"/>
    <n v="2"/>
    <x v="0"/>
    <n v="1"/>
    <n v="2"/>
    <x v="0"/>
    <x v="2"/>
    <s v="Married"/>
    <n v="4559"/>
    <n v="3"/>
    <x v="0"/>
    <n v="3"/>
    <n v="4"/>
    <n v="3"/>
    <n v="2"/>
    <n v="2"/>
    <n v="2"/>
    <n v="2"/>
    <x v="0"/>
    <n v="1"/>
    <x v="0"/>
    <x v="1"/>
    <s v="Early"/>
    <x v="0"/>
  </r>
  <r>
    <n v="41"/>
    <x v="133"/>
    <x v="1"/>
    <x v="0"/>
    <n v="9"/>
    <n v="1"/>
    <x v="0"/>
    <n v="3"/>
    <x v="1"/>
    <n v="3"/>
    <n v="3"/>
    <x v="0"/>
    <x v="2"/>
    <s v="Divorced"/>
    <n v="8189"/>
    <n v="3"/>
    <x v="0"/>
    <n v="3"/>
    <n v="12"/>
    <n v="3"/>
    <n v="9"/>
    <n v="7"/>
    <n v="0"/>
    <n v="7"/>
    <x v="4"/>
    <n v="0"/>
    <x v="0"/>
    <x v="0"/>
    <s v="Long"/>
    <x v="2"/>
  </r>
  <r>
    <n v="26"/>
    <x v="134"/>
    <x v="1"/>
    <x v="2"/>
    <n v="25"/>
    <n v="1"/>
    <x v="0"/>
    <n v="3"/>
    <x v="0"/>
    <n v="3"/>
    <n v="1"/>
    <x v="8"/>
    <x v="2"/>
    <s v="Married"/>
    <n v="2942"/>
    <n v="1"/>
    <x v="1"/>
    <n v="4"/>
    <n v="8"/>
    <n v="3"/>
    <n v="8"/>
    <n v="7"/>
    <n v="5"/>
    <n v="7"/>
    <x v="1"/>
    <n v="0"/>
    <x v="2"/>
    <x v="1"/>
    <s v="Long"/>
    <x v="1"/>
  </r>
  <r>
    <n v="36"/>
    <x v="135"/>
    <x v="1"/>
    <x v="1"/>
    <n v="6"/>
    <n v="2"/>
    <x v="2"/>
    <n v="2"/>
    <x v="1"/>
    <n v="3"/>
    <n v="2"/>
    <x v="3"/>
    <x v="1"/>
    <s v="Divorced"/>
    <n v="4941"/>
    <n v="6"/>
    <x v="1"/>
    <n v="4"/>
    <n v="7"/>
    <n v="3"/>
    <n v="3"/>
    <n v="2"/>
    <n v="0"/>
    <n v="1"/>
    <x v="5"/>
    <n v="0"/>
    <x v="0"/>
    <x v="1"/>
    <s v="Mid"/>
    <x v="1"/>
  </r>
  <r>
    <n v="51"/>
    <x v="136"/>
    <x v="0"/>
    <x v="1"/>
    <n v="8"/>
    <n v="4"/>
    <x v="0"/>
    <n v="1"/>
    <x v="1"/>
    <n v="1"/>
    <n v="3"/>
    <x v="3"/>
    <x v="0"/>
    <s v="Single"/>
    <n v="10650"/>
    <n v="2"/>
    <x v="1"/>
    <n v="4"/>
    <n v="18"/>
    <n v="3"/>
    <n v="4"/>
    <n v="2"/>
    <n v="0"/>
    <n v="3"/>
    <x v="2"/>
    <n v="1"/>
    <x v="1"/>
    <x v="2"/>
    <s v="Mid"/>
    <x v="2"/>
  </r>
  <r>
    <n v="39"/>
    <x v="137"/>
    <x v="1"/>
    <x v="0"/>
    <n v="4"/>
    <n v="4"/>
    <x v="0"/>
    <n v="4"/>
    <x v="0"/>
    <n v="2"/>
    <n v="2"/>
    <x v="0"/>
    <x v="2"/>
    <s v="Married"/>
    <n v="5902"/>
    <n v="4"/>
    <x v="1"/>
    <n v="3"/>
    <n v="17"/>
    <n v="4"/>
    <n v="15"/>
    <n v="11"/>
    <n v="5"/>
    <n v="9"/>
    <x v="9"/>
    <n v="0"/>
    <x v="0"/>
    <x v="0"/>
    <s v="Long"/>
    <x v="2"/>
  </r>
  <r>
    <n v="25"/>
    <x v="138"/>
    <x v="1"/>
    <x v="0"/>
    <n v="28"/>
    <n v="3"/>
    <x v="0"/>
    <n v="1"/>
    <x v="1"/>
    <n v="2"/>
    <n v="2"/>
    <x v="0"/>
    <x v="2"/>
    <s v="Married"/>
    <n v="8639"/>
    <n v="2"/>
    <x v="1"/>
    <n v="4"/>
    <n v="6"/>
    <n v="3"/>
    <n v="2"/>
    <n v="2"/>
    <n v="2"/>
    <n v="2"/>
    <x v="11"/>
    <n v="0"/>
    <x v="2"/>
    <x v="0"/>
    <s v="Early"/>
    <x v="1"/>
  </r>
  <r>
    <n v="30"/>
    <x v="139"/>
    <x v="1"/>
    <x v="2"/>
    <n v="9"/>
    <n v="3"/>
    <x v="5"/>
    <n v="3"/>
    <x v="1"/>
    <n v="3"/>
    <n v="2"/>
    <x v="8"/>
    <x v="0"/>
    <s v="Married"/>
    <n v="6347"/>
    <n v="0"/>
    <x v="0"/>
    <n v="4"/>
    <n v="12"/>
    <n v="1"/>
    <n v="11"/>
    <n v="9"/>
    <n v="4"/>
    <n v="7"/>
    <x v="12"/>
    <n v="0"/>
    <x v="0"/>
    <x v="0"/>
    <s v="Long"/>
    <x v="1"/>
  </r>
  <r>
    <n v="32"/>
    <x v="140"/>
    <x v="0"/>
    <x v="1"/>
    <n v="9"/>
    <n v="3"/>
    <x v="2"/>
    <n v="1"/>
    <x v="0"/>
    <n v="3"/>
    <n v="1"/>
    <x v="2"/>
    <x v="3"/>
    <s v="Single"/>
    <n v="4200"/>
    <n v="7"/>
    <x v="1"/>
    <n v="1"/>
    <n v="10"/>
    <n v="4"/>
    <n v="5"/>
    <n v="4"/>
    <n v="0"/>
    <n v="4"/>
    <x v="6"/>
    <n v="1"/>
    <x v="0"/>
    <x v="1"/>
    <s v="Mid"/>
    <x v="1"/>
  </r>
  <r>
    <n v="45"/>
    <x v="141"/>
    <x v="1"/>
    <x v="1"/>
    <n v="29"/>
    <n v="3"/>
    <x v="2"/>
    <n v="3"/>
    <x v="1"/>
    <n v="3"/>
    <n v="1"/>
    <x v="1"/>
    <x v="0"/>
    <s v="Single"/>
    <n v="3452"/>
    <n v="5"/>
    <x v="1"/>
    <n v="2"/>
    <n v="9"/>
    <n v="2"/>
    <n v="6"/>
    <n v="5"/>
    <n v="0"/>
    <n v="3"/>
    <x v="4"/>
    <n v="0"/>
    <x v="1"/>
    <x v="1"/>
    <s v="Mid"/>
    <x v="2"/>
  </r>
  <r>
    <n v="38"/>
    <x v="142"/>
    <x v="1"/>
    <x v="1"/>
    <n v="3"/>
    <n v="5"/>
    <x v="4"/>
    <n v="4"/>
    <x v="0"/>
    <n v="3"/>
    <n v="2"/>
    <x v="1"/>
    <x v="2"/>
    <s v="Single"/>
    <n v="4317"/>
    <n v="3"/>
    <x v="0"/>
    <n v="2"/>
    <n v="19"/>
    <n v="3"/>
    <n v="3"/>
    <n v="2"/>
    <n v="2"/>
    <n v="2"/>
    <x v="5"/>
    <n v="0"/>
    <x v="0"/>
    <x v="1"/>
    <s v="Mid"/>
    <x v="1"/>
  </r>
  <r>
    <n v="30"/>
    <x v="143"/>
    <x v="1"/>
    <x v="1"/>
    <n v="18"/>
    <n v="3"/>
    <x v="0"/>
    <n v="1"/>
    <x v="0"/>
    <n v="3"/>
    <n v="1"/>
    <x v="1"/>
    <x v="2"/>
    <s v="Single"/>
    <n v="2632"/>
    <n v="1"/>
    <x v="1"/>
    <n v="3"/>
    <n v="5"/>
    <n v="2"/>
    <n v="5"/>
    <n v="4"/>
    <n v="0"/>
    <n v="4"/>
    <x v="9"/>
    <n v="0"/>
    <x v="0"/>
    <x v="1"/>
    <s v="Mid"/>
    <x v="2"/>
  </r>
  <r>
    <n v="32"/>
    <x v="144"/>
    <x v="1"/>
    <x v="0"/>
    <n v="9"/>
    <n v="2"/>
    <x v="2"/>
    <n v="4"/>
    <x v="1"/>
    <n v="1"/>
    <n v="2"/>
    <x v="0"/>
    <x v="0"/>
    <s v="Divorced"/>
    <n v="4668"/>
    <n v="0"/>
    <x v="1"/>
    <n v="4"/>
    <n v="9"/>
    <n v="4"/>
    <n v="8"/>
    <n v="7"/>
    <n v="0"/>
    <n v="7"/>
    <x v="8"/>
    <n v="0"/>
    <x v="0"/>
    <x v="1"/>
    <s v="Long"/>
    <x v="2"/>
  </r>
  <r>
    <n v="30"/>
    <x v="145"/>
    <x v="1"/>
    <x v="1"/>
    <n v="5"/>
    <n v="3"/>
    <x v="4"/>
    <n v="4"/>
    <x v="0"/>
    <n v="3"/>
    <n v="1"/>
    <x v="1"/>
    <x v="3"/>
    <s v="Divorced"/>
    <n v="3204"/>
    <n v="5"/>
    <x v="1"/>
    <n v="4"/>
    <n v="8"/>
    <n v="3"/>
    <n v="3"/>
    <n v="2"/>
    <n v="2"/>
    <n v="2"/>
    <x v="9"/>
    <n v="0"/>
    <x v="0"/>
    <x v="1"/>
    <s v="Mid"/>
    <x v="2"/>
  </r>
  <r>
    <n v="30"/>
    <x v="146"/>
    <x v="1"/>
    <x v="1"/>
    <n v="2"/>
    <n v="1"/>
    <x v="2"/>
    <n v="2"/>
    <x v="1"/>
    <n v="2"/>
    <n v="1"/>
    <x v="2"/>
    <x v="0"/>
    <s v="Single"/>
    <n v="2720"/>
    <n v="0"/>
    <x v="1"/>
    <n v="4"/>
    <n v="6"/>
    <n v="3"/>
    <n v="5"/>
    <n v="3"/>
    <n v="1"/>
    <n v="2"/>
    <x v="4"/>
    <n v="0"/>
    <x v="0"/>
    <x v="1"/>
    <s v="Mid"/>
    <x v="2"/>
  </r>
  <r>
    <n v="41"/>
    <x v="147"/>
    <x v="1"/>
    <x v="1"/>
    <n v="10"/>
    <n v="3"/>
    <x v="0"/>
    <n v="4"/>
    <x v="1"/>
    <n v="2"/>
    <n v="4"/>
    <x v="5"/>
    <x v="3"/>
    <s v="Divorced"/>
    <n v="17181"/>
    <n v="4"/>
    <x v="1"/>
    <n v="2"/>
    <n v="21"/>
    <n v="2"/>
    <n v="7"/>
    <n v="6"/>
    <n v="7"/>
    <n v="7"/>
    <x v="4"/>
    <n v="0"/>
    <x v="0"/>
    <x v="2"/>
    <s v="Long"/>
    <x v="2"/>
  </r>
  <r>
    <n v="41"/>
    <x v="148"/>
    <x v="1"/>
    <x v="1"/>
    <n v="9"/>
    <n v="4"/>
    <x v="0"/>
    <n v="3"/>
    <x v="1"/>
    <n v="3"/>
    <n v="1"/>
    <x v="2"/>
    <x v="3"/>
    <s v="Married"/>
    <n v="2238"/>
    <n v="2"/>
    <x v="1"/>
    <n v="4"/>
    <n v="7"/>
    <n v="3"/>
    <n v="5"/>
    <n v="0"/>
    <n v="1"/>
    <n v="4"/>
    <x v="7"/>
    <n v="0"/>
    <x v="0"/>
    <x v="1"/>
    <s v="Mid"/>
    <x v="1"/>
  </r>
  <r>
    <n v="19"/>
    <x v="149"/>
    <x v="1"/>
    <x v="1"/>
    <n v="3"/>
    <n v="1"/>
    <x v="2"/>
    <n v="2"/>
    <x v="0"/>
    <n v="3"/>
    <n v="1"/>
    <x v="2"/>
    <x v="1"/>
    <s v="Single"/>
    <n v="1483"/>
    <n v="1"/>
    <x v="1"/>
    <n v="4"/>
    <n v="1"/>
    <n v="3"/>
    <n v="1"/>
    <n v="0"/>
    <n v="0"/>
    <n v="0"/>
    <x v="9"/>
    <n v="0"/>
    <x v="2"/>
    <x v="1"/>
    <s v="Early"/>
    <x v="2"/>
  </r>
  <r>
    <n v="40"/>
    <x v="150"/>
    <x v="1"/>
    <x v="1"/>
    <n v="26"/>
    <n v="3"/>
    <x v="2"/>
    <n v="2"/>
    <x v="0"/>
    <n v="3"/>
    <n v="2"/>
    <x v="1"/>
    <x v="1"/>
    <s v="Divorced"/>
    <n v="5605"/>
    <n v="1"/>
    <x v="1"/>
    <n v="1"/>
    <n v="20"/>
    <n v="3"/>
    <n v="20"/>
    <n v="7"/>
    <n v="2"/>
    <n v="13"/>
    <x v="0"/>
    <n v="0"/>
    <x v="0"/>
    <x v="0"/>
    <s v="Long"/>
    <x v="0"/>
  </r>
  <r>
    <n v="35"/>
    <x v="151"/>
    <x v="1"/>
    <x v="0"/>
    <n v="1"/>
    <n v="5"/>
    <x v="3"/>
    <n v="3"/>
    <x v="1"/>
    <n v="3"/>
    <n v="3"/>
    <x v="0"/>
    <x v="1"/>
    <s v="Married"/>
    <n v="7295"/>
    <n v="1"/>
    <x v="1"/>
    <n v="1"/>
    <n v="10"/>
    <n v="3"/>
    <n v="10"/>
    <n v="8"/>
    <n v="0"/>
    <n v="6"/>
    <x v="4"/>
    <n v="0"/>
    <x v="0"/>
    <x v="0"/>
    <s v="Long"/>
    <x v="2"/>
  </r>
  <r>
    <n v="53"/>
    <x v="152"/>
    <x v="1"/>
    <x v="0"/>
    <n v="6"/>
    <n v="2"/>
    <x v="3"/>
    <n v="2"/>
    <x v="1"/>
    <n v="3"/>
    <n v="2"/>
    <x v="6"/>
    <x v="2"/>
    <s v="Married"/>
    <n v="2306"/>
    <n v="2"/>
    <x v="0"/>
    <n v="4"/>
    <n v="13"/>
    <n v="1"/>
    <n v="7"/>
    <n v="7"/>
    <n v="4"/>
    <n v="5"/>
    <x v="5"/>
    <n v="0"/>
    <x v="1"/>
    <x v="1"/>
    <s v="Long"/>
    <x v="1"/>
  </r>
  <r>
    <n v="45"/>
    <x v="153"/>
    <x v="1"/>
    <x v="1"/>
    <n v="9"/>
    <n v="3"/>
    <x v="0"/>
    <n v="2"/>
    <x v="1"/>
    <n v="3"/>
    <n v="2"/>
    <x v="2"/>
    <x v="1"/>
    <s v="Divorced"/>
    <n v="2348"/>
    <n v="8"/>
    <x v="1"/>
    <n v="3"/>
    <n v="20"/>
    <n v="1"/>
    <n v="17"/>
    <n v="9"/>
    <n v="0"/>
    <n v="15"/>
    <x v="11"/>
    <n v="0"/>
    <x v="1"/>
    <x v="1"/>
    <s v="Long"/>
    <x v="1"/>
  </r>
  <r>
    <n v="32"/>
    <x v="154"/>
    <x v="1"/>
    <x v="0"/>
    <n v="8"/>
    <n v="3"/>
    <x v="3"/>
    <n v="2"/>
    <x v="0"/>
    <n v="3"/>
    <n v="3"/>
    <x v="0"/>
    <x v="0"/>
    <s v="Single"/>
    <n v="8998"/>
    <n v="1"/>
    <x v="1"/>
    <n v="4"/>
    <n v="9"/>
    <n v="3"/>
    <n v="9"/>
    <n v="8"/>
    <n v="3"/>
    <n v="7"/>
    <x v="9"/>
    <n v="0"/>
    <x v="0"/>
    <x v="0"/>
    <s v="Long"/>
    <x v="2"/>
  </r>
  <r>
    <n v="29"/>
    <x v="155"/>
    <x v="1"/>
    <x v="1"/>
    <n v="1"/>
    <n v="1"/>
    <x v="4"/>
    <n v="4"/>
    <x v="1"/>
    <n v="3"/>
    <n v="2"/>
    <x v="3"/>
    <x v="2"/>
    <s v="Married"/>
    <n v="4319"/>
    <n v="1"/>
    <x v="1"/>
    <n v="1"/>
    <n v="10"/>
    <n v="3"/>
    <n v="10"/>
    <n v="7"/>
    <n v="0"/>
    <n v="9"/>
    <x v="4"/>
    <n v="0"/>
    <x v="2"/>
    <x v="1"/>
    <s v="Long"/>
    <x v="2"/>
  </r>
  <r>
    <n v="51"/>
    <x v="156"/>
    <x v="1"/>
    <x v="1"/>
    <n v="7"/>
    <m/>
    <x v="2"/>
    <n v="2"/>
    <x v="1"/>
    <n v="2"/>
    <n v="2"/>
    <x v="3"/>
    <x v="2"/>
    <s v="Married"/>
    <n v="6132"/>
    <n v="2"/>
    <x v="1"/>
    <n v="3"/>
    <n v="10"/>
    <n v="3"/>
    <n v="1"/>
    <n v="0"/>
    <n v="0"/>
    <n v="0"/>
    <x v="8"/>
    <n v="0"/>
    <x v="1"/>
    <x v="0"/>
    <s v="Early"/>
    <x v="2"/>
  </r>
  <r>
    <n v="58"/>
    <x v="157"/>
    <x v="1"/>
    <x v="1"/>
    <n v="9"/>
    <n v="3"/>
    <x v="2"/>
    <n v="2"/>
    <x v="0"/>
    <n v="2"/>
    <n v="1"/>
    <x v="1"/>
    <x v="1"/>
    <s v="Married"/>
    <n v="3346"/>
    <n v="4"/>
    <x v="0"/>
    <n v="2"/>
    <n v="9"/>
    <n v="2"/>
    <n v="1"/>
    <n v="0"/>
    <n v="0"/>
    <n v="0"/>
    <x v="5"/>
    <n v="0"/>
    <x v="1"/>
    <x v="1"/>
    <s v="Early"/>
    <x v="1"/>
  </r>
  <r>
    <n v="40"/>
    <x v="158"/>
    <x v="1"/>
    <x v="0"/>
    <n v="4"/>
    <n v="4"/>
    <x v="3"/>
    <n v="3"/>
    <x v="1"/>
    <n v="2"/>
    <n v="3"/>
    <x v="0"/>
    <x v="0"/>
    <s v="Married"/>
    <n v="10855"/>
    <n v="7"/>
    <x v="1"/>
    <n v="1"/>
    <n v="15"/>
    <n v="2"/>
    <n v="12"/>
    <n v="11"/>
    <n v="2"/>
    <n v="11"/>
    <x v="0"/>
    <n v="0"/>
    <x v="0"/>
    <x v="2"/>
    <s v="Long"/>
    <x v="0"/>
  </r>
  <r>
    <n v="34"/>
    <x v="159"/>
    <x v="1"/>
    <x v="0"/>
    <n v="2"/>
    <n v="4"/>
    <x v="3"/>
    <n v="3"/>
    <x v="0"/>
    <n v="3"/>
    <n v="1"/>
    <x v="6"/>
    <x v="2"/>
    <s v="Married"/>
    <n v="2231"/>
    <n v="6"/>
    <x v="1"/>
    <n v="4"/>
    <n v="6"/>
    <n v="3"/>
    <n v="4"/>
    <n v="3"/>
    <n v="1"/>
    <n v="2"/>
    <x v="11"/>
    <n v="0"/>
    <x v="0"/>
    <x v="1"/>
    <s v="Mid"/>
    <x v="1"/>
  </r>
  <r>
    <n v="22"/>
    <x v="160"/>
    <x v="1"/>
    <x v="1"/>
    <n v="19"/>
    <n v="1"/>
    <x v="2"/>
    <n v="3"/>
    <x v="1"/>
    <n v="3"/>
    <n v="1"/>
    <x v="1"/>
    <x v="0"/>
    <s v="Married"/>
    <n v="2323"/>
    <n v="1"/>
    <x v="1"/>
    <n v="1"/>
    <n v="2"/>
    <n v="3"/>
    <n v="2"/>
    <n v="2"/>
    <n v="2"/>
    <n v="2"/>
    <x v="13"/>
    <n v="0"/>
    <x v="2"/>
    <x v="1"/>
    <s v="Early"/>
    <x v="1"/>
  </r>
  <r>
    <n v="27"/>
    <x v="161"/>
    <x v="1"/>
    <x v="1"/>
    <n v="9"/>
    <n v="3"/>
    <x v="2"/>
    <n v="4"/>
    <x v="1"/>
    <n v="3"/>
    <n v="1"/>
    <x v="1"/>
    <x v="1"/>
    <s v="Divorced"/>
    <n v="2024"/>
    <n v="6"/>
    <x v="1"/>
    <n v="4"/>
    <n v="6"/>
    <n v="1"/>
    <n v="2"/>
    <n v="2"/>
    <n v="2"/>
    <n v="2"/>
    <x v="11"/>
    <n v="0"/>
    <x v="2"/>
    <x v="1"/>
    <s v="Early"/>
    <x v="1"/>
  </r>
  <r>
    <n v="28"/>
    <x v="162"/>
    <x v="1"/>
    <x v="1"/>
    <n v="21"/>
    <n v="3"/>
    <x v="2"/>
    <n v="3"/>
    <x v="1"/>
    <n v="3"/>
    <n v="1"/>
    <x v="1"/>
    <x v="0"/>
    <s v="Married"/>
    <n v="2713"/>
    <n v="1"/>
    <x v="1"/>
    <n v="3"/>
    <n v="5"/>
    <n v="1"/>
    <n v="5"/>
    <n v="2"/>
    <n v="0"/>
    <n v="2"/>
    <x v="0"/>
    <n v="0"/>
    <x v="2"/>
    <x v="1"/>
    <s v="Mid"/>
    <x v="0"/>
  </r>
  <r>
    <n v="57"/>
    <x v="163"/>
    <x v="1"/>
    <x v="1"/>
    <n v="24"/>
    <n v="2"/>
    <x v="0"/>
    <n v="3"/>
    <x v="1"/>
    <n v="4"/>
    <n v="3"/>
    <x v="4"/>
    <x v="0"/>
    <s v="Divorced"/>
    <n v="9439"/>
    <n v="3"/>
    <x v="0"/>
    <n v="2"/>
    <n v="12"/>
    <n v="1"/>
    <n v="5"/>
    <n v="3"/>
    <n v="1"/>
    <n v="4"/>
    <x v="10"/>
    <n v="0"/>
    <x v="1"/>
    <x v="0"/>
    <s v="Mid"/>
    <x v="2"/>
  </r>
  <r>
    <n v="27"/>
    <x v="164"/>
    <x v="1"/>
    <x v="1"/>
    <n v="3"/>
    <n v="3"/>
    <x v="2"/>
    <n v="3"/>
    <x v="1"/>
    <n v="2"/>
    <n v="1"/>
    <x v="1"/>
    <x v="2"/>
    <s v="Divorced"/>
    <n v="2566"/>
    <n v="1"/>
    <x v="0"/>
    <n v="4"/>
    <n v="1"/>
    <n v="2"/>
    <n v="1"/>
    <n v="1"/>
    <n v="0"/>
    <n v="1"/>
    <x v="2"/>
    <n v="0"/>
    <x v="2"/>
    <x v="1"/>
    <s v="Early"/>
    <x v="2"/>
  </r>
  <r>
    <n v="50"/>
    <x v="165"/>
    <x v="1"/>
    <x v="1"/>
    <n v="11"/>
    <n v="3"/>
    <x v="0"/>
    <n v="3"/>
    <x v="0"/>
    <n v="3"/>
    <n v="5"/>
    <x v="5"/>
    <x v="1"/>
    <s v="Single"/>
    <n v="19926"/>
    <n v="3"/>
    <x v="1"/>
    <n v="2"/>
    <n v="21"/>
    <n v="3"/>
    <n v="5"/>
    <n v="4"/>
    <n v="4"/>
    <n v="4"/>
    <x v="2"/>
    <n v="0"/>
    <x v="1"/>
    <x v="2"/>
    <s v="Mid"/>
    <x v="2"/>
  </r>
  <r>
    <n v="41"/>
    <x v="166"/>
    <x v="1"/>
    <x v="1"/>
    <n v="14"/>
    <n v="3"/>
    <x v="0"/>
    <n v="1"/>
    <x v="1"/>
    <n v="3"/>
    <n v="1"/>
    <x v="1"/>
    <x v="2"/>
    <s v="Divorced"/>
    <n v="2451"/>
    <n v="4"/>
    <x v="1"/>
    <n v="1"/>
    <n v="13"/>
    <n v="3"/>
    <n v="9"/>
    <n v="8"/>
    <n v="1"/>
    <n v="8"/>
    <x v="3"/>
    <n v="0"/>
    <x v="0"/>
    <x v="1"/>
    <s v="Long"/>
    <x v="0"/>
  </r>
  <r>
    <n v="30"/>
    <x v="167"/>
    <x v="1"/>
    <x v="0"/>
    <n v="5"/>
    <n v="3"/>
    <x v="0"/>
    <n v="2"/>
    <x v="0"/>
    <n v="3"/>
    <n v="3"/>
    <x v="0"/>
    <x v="0"/>
    <s v="Married"/>
    <n v="9419"/>
    <n v="2"/>
    <x v="1"/>
    <n v="3"/>
    <n v="12"/>
    <n v="3"/>
    <n v="10"/>
    <n v="9"/>
    <n v="7"/>
    <n v="4"/>
    <x v="3"/>
    <n v="0"/>
    <x v="0"/>
    <x v="0"/>
    <s v="Long"/>
    <x v="0"/>
  </r>
  <r>
    <n v="38"/>
    <x v="168"/>
    <x v="1"/>
    <x v="0"/>
    <n v="1"/>
    <n v="4"/>
    <x v="0"/>
    <n v="1"/>
    <x v="0"/>
    <n v="2"/>
    <n v="2"/>
    <x v="0"/>
    <x v="0"/>
    <s v="Single"/>
    <n v="8686"/>
    <n v="4"/>
    <x v="1"/>
    <n v="3"/>
    <n v="12"/>
    <n v="4"/>
    <n v="8"/>
    <n v="3"/>
    <n v="0"/>
    <n v="7"/>
    <x v="6"/>
    <n v="0"/>
    <x v="0"/>
    <x v="0"/>
    <s v="Long"/>
    <x v="1"/>
  </r>
  <r>
    <n v="32"/>
    <x v="169"/>
    <x v="1"/>
    <x v="1"/>
    <n v="6"/>
    <n v="5"/>
    <x v="0"/>
    <n v="3"/>
    <x v="1"/>
    <n v="3"/>
    <n v="1"/>
    <x v="1"/>
    <x v="2"/>
    <s v="Single"/>
    <n v="3038"/>
    <n v="3"/>
    <x v="1"/>
    <n v="1"/>
    <n v="8"/>
    <n v="3"/>
    <n v="5"/>
    <n v="4"/>
    <n v="1"/>
    <n v="4"/>
    <x v="5"/>
    <n v="0"/>
    <x v="0"/>
    <x v="1"/>
    <s v="Mid"/>
    <x v="1"/>
  </r>
  <r>
    <n v="27"/>
    <x v="170"/>
    <x v="1"/>
    <x v="1"/>
    <n v="17"/>
    <n v="3"/>
    <x v="4"/>
    <n v="3"/>
    <x v="1"/>
    <n v="3"/>
    <n v="1"/>
    <x v="1"/>
    <x v="1"/>
    <s v="Married"/>
    <n v="3058"/>
    <n v="0"/>
    <x v="0"/>
    <n v="4"/>
    <n v="6"/>
    <n v="2"/>
    <n v="5"/>
    <n v="2"/>
    <n v="1"/>
    <n v="1"/>
    <x v="10"/>
    <n v="0"/>
    <x v="2"/>
    <x v="1"/>
    <s v="Mid"/>
    <x v="2"/>
  </r>
  <r>
    <n v="19"/>
    <x v="171"/>
    <x v="0"/>
    <x v="0"/>
    <n v="1"/>
    <n v="1"/>
    <x v="4"/>
    <n v="3"/>
    <x v="0"/>
    <n v="1"/>
    <n v="1"/>
    <x v="6"/>
    <x v="3"/>
    <s v="Single"/>
    <n v="2325"/>
    <n v="0"/>
    <x v="1"/>
    <n v="1"/>
    <n v="1"/>
    <n v="4"/>
    <n v="0"/>
    <n v="0"/>
    <n v="0"/>
    <n v="0"/>
    <x v="7"/>
    <n v="1"/>
    <x v="2"/>
    <x v="1"/>
    <s v="Early"/>
    <x v="1"/>
  </r>
  <r>
    <n v="36"/>
    <x v="172"/>
    <x v="1"/>
    <x v="1"/>
    <n v="3"/>
    <n v="2"/>
    <x v="2"/>
    <n v="4"/>
    <x v="1"/>
    <n v="3"/>
    <n v="1"/>
    <x v="2"/>
    <x v="1"/>
    <s v="Single"/>
    <n v="2088"/>
    <n v="4"/>
    <x v="1"/>
    <n v="3"/>
    <n v="13"/>
    <n v="2"/>
    <n v="8"/>
    <n v="7"/>
    <n v="7"/>
    <n v="2"/>
    <x v="3"/>
    <n v="0"/>
    <x v="0"/>
    <x v="1"/>
    <s v="Long"/>
    <x v="0"/>
  </r>
  <r>
    <n v="30"/>
    <x v="173"/>
    <x v="1"/>
    <x v="1"/>
    <n v="9"/>
    <n v="3"/>
    <x v="2"/>
    <n v="3"/>
    <x v="1"/>
    <n v="3"/>
    <n v="2"/>
    <x v="2"/>
    <x v="3"/>
    <s v="Divorced"/>
    <n v="3072"/>
    <n v="1"/>
    <x v="1"/>
    <n v="3"/>
    <n v="12"/>
    <n v="3"/>
    <n v="12"/>
    <n v="9"/>
    <n v="6"/>
    <n v="10"/>
    <x v="0"/>
    <n v="0"/>
    <x v="0"/>
    <x v="1"/>
    <s v="Long"/>
    <x v="0"/>
  </r>
  <r>
    <n v="45"/>
    <x v="174"/>
    <x v="1"/>
    <x v="0"/>
    <n v="4"/>
    <n v="2"/>
    <x v="0"/>
    <n v="3"/>
    <x v="0"/>
    <n v="3"/>
    <n v="2"/>
    <x v="0"/>
    <x v="3"/>
    <s v="Divorced"/>
    <n v="5006"/>
    <n v="4"/>
    <x v="0"/>
    <n v="1"/>
    <n v="9"/>
    <n v="4"/>
    <n v="5"/>
    <n v="4"/>
    <n v="0"/>
    <n v="3"/>
    <x v="0"/>
    <n v="0"/>
    <x v="1"/>
    <x v="0"/>
    <s v="Mid"/>
    <x v="0"/>
  </r>
  <r>
    <n v="56"/>
    <x v="175"/>
    <x v="1"/>
    <x v="1"/>
    <n v="8"/>
    <n v="3"/>
    <x v="0"/>
    <n v="3"/>
    <x v="0"/>
    <n v="3"/>
    <n v="1"/>
    <x v="1"/>
    <x v="3"/>
    <s v="Divorced"/>
    <n v="4257"/>
    <n v="4"/>
    <x v="0"/>
    <n v="3"/>
    <n v="19"/>
    <n v="3"/>
    <n v="2"/>
    <n v="2"/>
    <n v="2"/>
    <n v="2"/>
    <x v="11"/>
    <n v="0"/>
    <x v="1"/>
    <x v="1"/>
    <s v="Early"/>
    <x v="1"/>
  </r>
  <r>
    <n v="33"/>
    <x v="176"/>
    <x v="1"/>
    <x v="1"/>
    <n v="2"/>
    <n v="3"/>
    <x v="0"/>
    <n v="3"/>
    <x v="1"/>
    <n v="3"/>
    <n v="1"/>
    <x v="1"/>
    <x v="0"/>
    <s v="Single"/>
    <n v="2500"/>
    <n v="0"/>
    <x v="1"/>
    <n v="1"/>
    <n v="4"/>
    <n v="4"/>
    <n v="3"/>
    <n v="1"/>
    <n v="0"/>
    <n v="2"/>
    <x v="9"/>
    <n v="0"/>
    <x v="0"/>
    <x v="1"/>
    <s v="Mid"/>
    <x v="2"/>
  </r>
  <r>
    <n v="19"/>
    <x v="177"/>
    <x v="0"/>
    <x v="1"/>
    <n v="2"/>
    <n v="3"/>
    <x v="0"/>
    <n v="2"/>
    <x v="1"/>
    <n v="2"/>
    <n v="1"/>
    <x v="2"/>
    <x v="0"/>
    <s v="Single"/>
    <n v="1102"/>
    <n v="1"/>
    <x v="1"/>
    <n v="3"/>
    <n v="1"/>
    <n v="2"/>
    <n v="1"/>
    <n v="0"/>
    <n v="1"/>
    <n v="0"/>
    <x v="6"/>
    <n v="1"/>
    <x v="2"/>
    <x v="1"/>
    <s v="Early"/>
    <x v="1"/>
  </r>
  <r>
    <n v="46"/>
    <x v="178"/>
    <x v="1"/>
    <x v="0"/>
    <n v="1"/>
    <n v="2"/>
    <x v="3"/>
    <n v="2"/>
    <x v="0"/>
    <n v="3"/>
    <n v="3"/>
    <x v="0"/>
    <x v="3"/>
    <s v="Divorced"/>
    <n v="10453"/>
    <n v="1"/>
    <x v="1"/>
    <n v="3"/>
    <n v="24"/>
    <n v="3"/>
    <n v="24"/>
    <n v="13"/>
    <n v="15"/>
    <n v="7"/>
    <x v="14"/>
    <n v="0"/>
    <x v="1"/>
    <x v="2"/>
    <s v="Long"/>
    <x v="1"/>
  </r>
  <r>
    <n v="38"/>
    <x v="179"/>
    <x v="1"/>
    <x v="1"/>
    <n v="9"/>
    <n v="2"/>
    <x v="0"/>
    <n v="3"/>
    <x v="0"/>
    <n v="3"/>
    <n v="1"/>
    <x v="2"/>
    <x v="0"/>
    <s v="Single"/>
    <n v="2288"/>
    <n v="1"/>
    <x v="1"/>
    <n v="3"/>
    <n v="2"/>
    <n v="3"/>
    <n v="2"/>
    <n v="2"/>
    <n v="2"/>
    <n v="1"/>
    <x v="3"/>
    <n v="0"/>
    <x v="0"/>
    <x v="1"/>
    <s v="Early"/>
    <x v="0"/>
  </r>
  <r>
    <n v="31"/>
    <x v="180"/>
    <x v="1"/>
    <x v="1"/>
    <n v="12"/>
    <n v="1"/>
    <x v="2"/>
    <n v="3"/>
    <x v="0"/>
    <n v="3"/>
    <n v="1"/>
    <x v="1"/>
    <x v="0"/>
    <s v="Married"/>
    <n v="3929"/>
    <n v="8"/>
    <x v="0"/>
    <n v="3"/>
    <n v="7"/>
    <n v="3"/>
    <n v="4"/>
    <n v="2"/>
    <n v="0"/>
    <n v="2"/>
    <x v="1"/>
    <n v="0"/>
    <x v="0"/>
    <x v="1"/>
    <s v="Mid"/>
    <x v="1"/>
  </r>
  <r>
    <n v="34"/>
    <x v="181"/>
    <x v="1"/>
    <x v="1"/>
    <n v="27"/>
    <n v="2"/>
    <x v="2"/>
    <n v="4"/>
    <x v="0"/>
    <n v="3"/>
    <n v="1"/>
    <x v="1"/>
    <x v="1"/>
    <s v="Single"/>
    <n v="2311"/>
    <n v="2"/>
    <x v="1"/>
    <n v="4"/>
    <n v="9"/>
    <n v="3"/>
    <n v="3"/>
    <n v="2"/>
    <n v="1"/>
    <n v="2"/>
    <x v="2"/>
    <n v="0"/>
    <x v="0"/>
    <x v="1"/>
    <s v="Mid"/>
    <x v="2"/>
  </r>
  <r>
    <n v="41"/>
    <x v="182"/>
    <x v="0"/>
    <x v="0"/>
    <n v="20"/>
    <n v="2"/>
    <x v="3"/>
    <n v="2"/>
    <x v="0"/>
    <n v="3"/>
    <n v="1"/>
    <x v="6"/>
    <x v="1"/>
    <s v="Single"/>
    <n v="3140"/>
    <n v="1"/>
    <x v="0"/>
    <n v="4"/>
    <n v="4"/>
    <n v="2"/>
    <n v="4"/>
    <n v="3"/>
    <n v="0"/>
    <n v="2"/>
    <x v="6"/>
    <n v="1"/>
    <x v="0"/>
    <x v="1"/>
    <s v="Mid"/>
    <x v="1"/>
  </r>
  <r>
    <n v="50"/>
    <x v="183"/>
    <x v="1"/>
    <x v="1"/>
    <n v="1"/>
    <n v="3"/>
    <x v="2"/>
    <n v="3"/>
    <x v="1"/>
    <n v="2"/>
    <n v="1"/>
    <x v="2"/>
    <x v="2"/>
    <s v="Married"/>
    <n v="3690"/>
    <n v="2"/>
    <x v="1"/>
    <n v="4"/>
    <n v="5"/>
    <n v="2"/>
    <n v="3"/>
    <n v="2"/>
    <n v="0"/>
    <n v="2"/>
    <x v="2"/>
    <n v="0"/>
    <x v="1"/>
    <x v="1"/>
    <s v="Mid"/>
    <x v="2"/>
  </r>
  <r>
    <n v="53"/>
    <x v="184"/>
    <x v="1"/>
    <x v="1"/>
    <n v="13"/>
    <n v="2"/>
    <x v="2"/>
    <n v="4"/>
    <x v="0"/>
    <n v="4"/>
    <n v="2"/>
    <x v="3"/>
    <x v="3"/>
    <s v="Divorced"/>
    <n v="4450"/>
    <n v="1"/>
    <x v="1"/>
    <n v="3"/>
    <n v="5"/>
    <n v="3"/>
    <n v="4"/>
    <n v="2"/>
    <n v="1"/>
    <n v="3"/>
    <x v="0"/>
    <n v="0"/>
    <x v="1"/>
    <x v="1"/>
    <s v="Mid"/>
    <x v="0"/>
  </r>
  <r>
    <n v="33"/>
    <x v="185"/>
    <x v="1"/>
    <x v="1"/>
    <n v="14"/>
    <n v="3"/>
    <x v="2"/>
    <n v="4"/>
    <x v="0"/>
    <n v="3"/>
    <n v="1"/>
    <x v="1"/>
    <x v="1"/>
    <s v="Married"/>
    <n v="2756"/>
    <n v="1"/>
    <x v="1"/>
    <n v="4"/>
    <n v="8"/>
    <n v="3"/>
    <n v="8"/>
    <n v="7"/>
    <n v="1"/>
    <n v="6"/>
    <x v="4"/>
    <n v="0"/>
    <x v="0"/>
    <x v="1"/>
    <s v="Long"/>
    <x v="2"/>
  </r>
  <r>
    <n v="40"/>
    <x v="186"/>
    <x v="1"/>
    <x v="1"/>
    <n v="4"/>
    <n v="1"/>
    <x v="2"/>
    <n v="4"/>
    <x v="0"/>
    <n v="3"/>
    <n v="5"/>
    <x v="5"/>
    <x v="2"/>
    <s v="Married"/>
    <n v="19033"/>
    <n v="1"/>
    <x v="1"/>
    <n v="2"/>
    <n v="21"/>
    <n v="3"/>
    <n v="20"/>
    <n v="8"/>
    <n v="9"/>
    <n v="9"/>
    <x v="9"/>
    <n v="0"/>
    <x v="0"/>
    <x v="2"/>
    <s v="Long"/>
    <x v="2"/>
  </r>
  <r>
    <n v="55"/>
    <x v="187"/>
    <x v="1"/>
    <x v="1"/>
    <n v="14"/>
    <n v="4"/>
    <x v="2"/>
    <n v="3"/>
    <x v="1"/>
    <n v="4"/>
    <n v="5"/>
    <x v="7"/>
    <x v="1"/>
    <s v="Single"/>
    <n v="18722"/>
    <n v="8"/>
    <x v="1"/>
    <n v="4"/>
    <n v="36"/>
    <n v="3"/>
    <n v="24"/>
    <n v="15"/>
    <n v="2"/>
    <n v="15"/>
    <x v="0"/>
    <n v="0"/>
    <x v="1"/>
    <x v="2"/>
    <s v="Long"/>
    <x v="0"/>
  </r>
  <r>
    <n v="34"/>
    <x v="188"/>
    <x v="1"/>
    <x v="1"/>
    <n v="2"/>
    <n v="1"/>
    <x v="0"/>
    <n v="4"/>
    <x v="1"/>
    <n v="2"/>
    <n v="2"/>
    <x v="3"/>
    <x v="2"/>
    <s v="Married"/>
    <n v="9547"/>
    <n v="1"/>
    <x v="1"/>
    <n v="3"/>
    <n v="10"/>
    <n v="2"/>
    <n v="10"/>
    <n v="9"/>
    <n v="1"/>
    <n v="9"/>
    <x v="8"/>
    <n v="0"/>
    <x v="0"/>
    <x v="0"/>
    <s v="Long"/>
    <x v="2"/>
  </r>
  <r>
    <n v="51"/>
    <x v="189"/>
    <x v="1"/>
    <x v="1"/>
    <n v="3"/>
    <n v="3"/>
    <x v="2"/>
    <n v="4"/>
    <x v="0"/>
    <n v="3"/>
    <n v="4"/>
    <x v="4"/>
    <x v="1"/>
    <s v="Single"/>
    <n v="13734"/>
    <n v="3"/>
    <x v="1"/>
    <n v="3"/>
    <n v="21"/>
    <n v="3"/>
    <n v="7"/>
    <n v="7"/>
    <n v="1"/>
    <n v="0"/>
    <x v="11"/>
    <n v="0"/>
    <x v="1"/>
    <x v="2"/>
    <s v="Long"/>
    <x v="1"/>
  </r>
  <r>
    <n v="52"/>
    <x v="190"/>
    <x v="1"/>
    <x v="1"/>
    <n v="1"/>
    <n v="4"/>
    <x v="0"/>
    <n v="3"/>
    <x v="1"/>
    <n v="2"/>
    <n v="5"/>
    <x v="5"/>
    <x v="2"/>
    <s v="Married"/>
    <n v="19999"/>
    <n v="0"/>
    <x v="1"/>
    <n v="1"/>
    <n v="34"/>
    <n v="3"/>
    <n v="33"/>
    <n v="18"/>
    <n v="11"/>
    <n v="9"/>
    <x v="9"/>
    <n v="0"/>
    <x v="1"/>
    <x v="2"/>
    <s v="Long"/>
    <x v="2"/>
  </r>
  <r>
    <n v="27"/>
    <x v="191"/>
    <x v="1"/>
    <x v="1"/>
    <n v="9"/>
    <n v="3"/>
    <x v="2"/>
    <n v="4"/>
    <x v="0"/>
    <n v="3"/>
    <n v="1"/>
    <x v="1"/>
    <x v="1"/>
    <s v="Single"/>
    <n v="2279"/>
    <n v="1"/>
    <x v="1"/>
    <n v="4"/>
    <n v="7"/>
    <n v="2"/>
    <n v="7"/>
    <n v="7"/>
    <n v="0"/>
    <n v="3"/>
    <x v="10"/>
    <n v="0"/>
    <x v="2"/>
    <x v="1"/>
    <s v="Long"/>
    <x v="2"/>
  </r>
  <r>
    <n v="35"/>
    <x v="192"/>
    <x v="0"/>
    <x v="1"/>
    <n v="23"/>
    <n v="2"/>
    <x v="0"/>
    <n v="2"/>
    <x v="1"/>
    <n v="2"/>
    <n v="2"/>
    <x v="3"/>
    <x v="2"/>
    <s v="Married"/>
    <n v="5916"/>
    <n v="3"/>
    <x v="0"/>
    <n v="1"/>
    <n v="8"/>
    <n v="3"/>
    <n v="1"/>
    <n v="0"/>
    <n v="0"/>
    <n v="1"/>
    <x v="4"/>
    <n v="1"/>
    <x v="0"/>
    <x v="0"/>
    <s v="Early"/>
    <x v="2"/>
  </r>
  <r>
    <n v="43"/>
    <x v="193"/>
    <x v="1"/>
    <x v="1"/>
    <n v="7"/>
    <n v="3"/>
    <x v="2"/>
    <n v="4"/>
    <x v="1"/>
    <n v="4"/>
    <n v="1"/>
    <x v="1"/>
    <x v="0"/>
    <s v="Divorced"/>
    <n v="2089"/>
    <n v="4"/>
    <x v="1"/>
    <n v="4"/>
    <n v="7"/>
    <n v="4"/>
    <n v="5"/>
    <n v="4"/>
    <n v="2"/>
    <n v="2"/>
    <x v="9"/>
    <n v="0"/>
    <x v="0"/>
    <x v="1"/>
    <s v="Mid"/>
    <x v="2"/>
  </r>
  <r>
    <n v="45"/>
    <x v="194"/>
    <x v="1"/>
    <x v="1"/>
    <n v="2"/>
    <n v="2"/>
    <x v="2"/>
    <n v="1"/>
    <x v="1"/>
    <n v="2"/>
    <n v="4"/>
    <x v="5"/>
    <x v="0"/>
    <s v="Married"/>
    <n v="16792"/>
    <n v="9"/>
    <x v="1"/>
    <n v="4"/>
    <n v="22"/>
    <n v="3"/>
    <n v="20"/>
    <n v="8"/>
    <n v="11"/>
    <n v="8"/>
    <x v="1"/>
    <n v="0"/>
    <x v="1"/>
    <x v="2"/>
    <s v="Long"/>
    <x v="1"/>
  </r>
  <r>
    <n v="37"/>
    <x v="195"/>
    <x v="1"/>
    <x v="1"/>
    <n v="21"/>
    <n v="3"/>
    <x v="0"/>
    <n v="2"/>
    <x v="1"/>
    <n v="4"/>
    <n v="1"/>
    <x v="1"/>
    <x v="3"/>
    <s v="Married"/>
    <n v="3564"/>
    <n v="1"/>
    <x v="0"/>
    <n v="1"/>
    <n v="8"/>
    <n v="2"/>
    <n v="8"/>
    <n v="7"/>
    <n v="1"/>
    <n v="7"/>
    <x v="3"/>
    <n v="0"/>
    <x v="0"/>
    <x v="1"/>
    <s v="Long"/>
    <x v="0"/>
  </r>
  <r>
    <n v="35"/>
    <x v="196"/>
    <x v="1"/>
    <x v="1"/>
    <n v="2"/>
    <n v="3"/>
    <x v="2"/>
    <n v="2"/>
    <x v="0"/>
    <n v="3"/>
    <n v="2"/>
    <x v="2"/>
    <x v="1"/>
    <s v="Single"/>
    <n v="4425"/>
    <n v="5"/>
    <x v="1"/>
    <n v="4"/>
    <n v="10"/>
    <n v="3"/>
    <n v="6"/>
    <n v="2"/>
    <n v="1"/>
    <n v="2"/>
    <x v="0"/>
    <n v="0"/>
    <x v="0"/>
    <x v="1"/>
    <s v="Mid"/>
    <x v="0"/>
  </r>
  <r>
    <n v="42"/>
    <x v="197"/>
    <x v="1"/>
    <x v="1"/>
    <n v="21"/>
    <n v="2"/>
    <x v="2"/>
    <n v="3"/>
    <x v="0"/>
    <n v="3"/>
    <n v="2"/>
    <x v="3"/>
    <x v="2"/>
    <s v="Divorced"/>
    <n v="5265"/>
    <n v="2"/>
    <x v="1"/>
    <n v="2"/>
    <n v="11"/>
    <n v="3"/>
    <n v="5"/>
    <n v="3"/>
    <n v="0"/>
    <n v="2"/>
    <x v="10"/>
    <n v="0"/>
    <x v="0"/>
    <x v="0"/>
    <s v="Mid"/>
    <x v="2"/>
  </r>
  <r>
    <n v="38"/>
    <x v="198"/>
    <x v="1"/>
    <x v="1"/>
    <n v="2"/>
    <n v="4"/>
    <x v="0"/>
    <n v="4"/>
    <x v="1"/>
    <n v="3"/>
    <n v="2"/>
    <x v="3"/>
    <x v="2"/>
    <s v="Married"/>
    <n v="6553"/>
    <n v="9"/>
    <x v="1"/>
    <n v="2"/>
    <n v="14"/>
    <n v="3"/>
    <n v="1"/>
    <n v="0"/>
    <n v="0"/>
    <n v="0"/>
    <x v="9"/>
    <n v="0"/>
    <x v="0"/>
    <x v="0"/>
    <s v="Early"/>
    <x v="2"/>
  </r>
  <r>
    <n v="38"/>
    <x v="199"/>
    <x v="1"/>
    <x v="1"/>
    <n v="29"/>
    <n v="3"/>
    <x v="4"/>
    <n v="4"/>
    <x v="1"/>
    <n v="3"/>
    <n v="2"/>
    <x v="3"/>
    <x v="0"/>
    <s v="Married"/>
    <n v="6261"/>
    <n v="3"/>
    <x v="1"/>
    <n v="1"/>
    <n v="9"/>
    <n v="1"/>
    <n v="7"/>
    <n v="7"/>
    <n v="1"/>
    <n v="7"/>
    <x v="11"/>
    <n v="0"/>
    <x v="0"/>
    <x v="0"/>
    <s v="Long"/>
    <x v="1"/>
  </r>
  <r>
    <n v="27"/>
    <x v="200"/>
    <x v="1"/>
    <x v="1"/>
    <n v="1"/>
    <n v="1"/>
    <x v="4"/>
    <n v="3"/>
    <x v="1"/>
    <n v="2"/>
    <n v="2"/>
    <x v="3"/>
    <x v="3"/>
    <s v="Married"/>
    <n v="4298"/>
    <n v="5"/>
    <x v="1"/>
    <n v="3"/>
    <n v="6"/>
    <n v="3"/>
    <n v="2"/>
    <n v="2"/>
    <n v="2"/>
    <n v="0"/>
    <x v="12"/>
    <n v="0"/>
    <x v="2"/>
    <x v="1"/>
    <s v="Early"/>
    <x v="1"/>
  </r>
  <r>
    <n v="49"/>
    <x v="201"/>
    <x v="1"/>
    <x v="1"/>
    <n v="18"/>
    <n v="4"/>
    <x v="0"/>
    <n v="4"/>
    <x v="1"/>
    <n v="3"/>
    <n v="2"/>
    <x v="3"/>
    <x v="0"/>
    <s v="Divorced"/>
    <n v="6804"/>
    <n v="1"/>
    <x v="0"/>
    <n v="1"/>
    <n v="7"/>
    <n v="3"/>
    <n v="7"/>
    <n v="7"/>
    <n v="1"/>
    <n v="7"/>
    <x v="2"/>
    <n v="0"/>
    <x v="1"/>
    <x v="0"/>
    <s v="Long"/>
    <x v="2"/>
  </r>
  <r>
    <n v="34"/>
    <x v="202"/>
    <x v="1"/>
    <x v="1"/>
    <n v="10"/>
    <n v="4"/>
    <x v="2"/>
    <n v="4"/>
    <x v="1"/>
    <n v="3"/>
    <n v="1"/>
    <x v="1"/>
    <x v="2"/>
    <s v="Divorced"/>
    <n v="3815"/>
    <n v="1"/>
    <x v="0"/>
    <n v="4"/>
    <n v="5"/>
    <n v="4"/>
    <n v="5"/>
    <n v="3"/>
    <n v="2"/>
    <n v="0"/>
    <x v="8"/>
    <n v="0"/>
    <x v="0"/>
    <x v="1"/>
    <s v="Mid"/>
    <x v="2"/>
  </r>
  <r>
    <n v="40"/>
    <x v="203"/>
    <x v="1"/>
    <x v="1"/>
    <n v="19"/>
    <n v="2"/>
    <x v="2"/>
    <n v="3"/>
    <x v="1"/>
    <n v="3"/>
    <n v="2"/>
    <x v="2"/>
    <x v="0"/>
    <s v="Married"/>
    <n v="2741"/>
    <n v="8"/>
    <x v="0"/>
    <n v="3"/>
    <n v="15"/>
    <n v="4"/>
    <n v="7"/>
    <n v="2"/>
    <n v="3"/>
    <n v="7"/>
    <x v="2"/>
    <n v="0"/>
    <x v="0"/>
    <x v="1"/>
    <s v="Long"/>
    <x v="2"/>
  </r>
  <r>
    <n v="38"/>
    <x v="204"/>
    <x v="0"/>
    <x v="1"/>
    <n v="29"/>
    <n v="1"/>
    <x v="2"/>
    <n v="2"/>
    <x v="1"/>
    <n v="3"/>
    <n v="2"/>
    <x v="4"/>
    <x v="3"/>
    <s v="Married"/>
    <n v="6673"/>
    <n v="7"/>
    <x v="0"/>
    <n v="2"/>
    <n v="17"/>
    <n v="3"/>
    <n v="1"/>
    <n v="0"/>
    <n v="0"/>
    <n v="0"/>
    <x v="12"/>
    <n v="1"/>
    <x v="0"/>
    <x v="0"/>
    <s v="Early"/>
    <x v="1"/>
  </r>
  <r>
    <n v="29"/>
    <x v="205"/>
    <x v="0"/>
    <x v="0"/>
    <n v="27"/>
    <n v="3"/>
    <x v="3"/>
    <n v="2"/>
    <x v="0"/>
    <n v="3"/>
    <n v="3"/>
    <x v="0"/>
    <x v="0"/>
    <s v="Married"/>
    <n v="7639"/>
    <n v="1"/>
    <x v="1"/>
    <n v="4"/>
    <n v="10"/>
    <n v="2"/>
    <n v="10"/>
    <n v="4"/>
    <n v="1"/>
    <n v="9"/>
    <x v="6"/>
    <n v="1"/>
    <x v="2"/>
    <x v="0"/>
    <s v="Long"/>
    <x v="1"/>
  </r>
  <r>
    <n v="22"/>
    <x v="206"/>
    <x v="1"/>
    <x v="1"/>
    <n v="5"/>
    <n v="3"/>
    <x v="0"/>
    <n v="4"/>
    <x v="1"/>
    <n v="4"/>
    <n v="1"/>
    <x v="1"/>
    <x v="1"/>
    <s v="Divorced"/>
    <n v="2328"/>
    <n v="1"/>
    <x v="0"/>
    <n v="1"/>
    <n v="4"/>
    <n v="2"/>
    <n v="4"/>
    <n v="2"/>
    <n v="2"/>
    <n v="2"/>
    <x v="10"/>
    <n v="0"/>
    <x v="2"/>
    <x v="1"/>
    <s v="Mid"/>
    <x v="2"/>
  </r>
  <r>
    <n v="36"/>
    <x v="207"/>
    <x v="1"/>
    <x v="1"/>
    <n v="18"/>
    <n v="1"/>
    <x v="2"/>
    <n v="2"/>
    <x v="0"/>
    <n v="3"/>
    <n v="1"/>
    <x v="2"/>
    <x v="0"/>
    <s v="Single"/>
    <n v="2153"/>
    <n v="1"/>
    <x v="1"/>
    <n v="1"/>
    <n v="8"/>
    <n v="3"/>
    <n v="8"/>
    <n v="1"/>
    <n v="1"/>
    <n v="7"/>
    <x v="4"/>
    <n v="0"/>
    <x v="0"/>
    <x v="1"/>
    <s v="Long"/>
    <x v="2"/>
  </r>
  <r>
    <n v="40"/>
    <x v="208"/>
    <x v="1"/>
    <x v="1"/>
    <n v="9"/>
    <n v="5"/>
    <x v="0"/>
    <n v="4"/>
    <x v="1"/>
    <n v="2"/>
    <n v="2"/>
    <x v="4"/>
    <x v="0"/>
    <s v="Married"/>
    <n v="4876"/>
    <n v="9"/>
    <x v="1"/>
    <n v="4"/>
    <n v="5"/>
    <n v="1"/>
    <n v="3"/>
    <n v="2"/>
    <n v="0"/>
    <n v="2"/>
    <x v="9"/>
    <n v="0"/>
    <x v="0"/>
    <x v="1"/>
    <s v="Mid"/>
    <x v="2"/>
  </r>
  <r>
    <n v="46"/>
    <x v="209"/>
    <x v="1"/>
    <x v="1"/>
    <n v="1"/>
    <n v="4"/>
    <x v="2"/>
    <n v="4"/>
    <x v="1"/>
    <n v="3"/>
    <n v="3"/>
    <x v="4"/>
    <x v="3"/>
    <s v="Divorced"/>
    <n v="9396"/>
    <n v="7"/>
    <x v="1"/>
    <n v="3"/>
    <n v="17"/>
    <n v="3"/>
    <n v="4"/>
    <n v="2"/>
    <n v="0"/>
    <n v="3"/>
    <x v="10"/>
    <n v="0"/>
    <x v="1"/>
    <x v="0"/>
    <s v="Mid"/>
    <x v="2"/>
  </r>
  <r>
    <n v="32"/>
    <x v="210"/>
    <x v="0"/>
    <x v="0"/>
    <n v="4"/>
    <n v="4"/>
    <x v="2"/>
    <n v="4"/>
    <x v="1"/>
    <n v="1"/>
    <n v="3"/>
    <x v="0"/>
    <x v="0"/>
    <s v="Married"/>
    <n v="10400"/>
    <n v="1"/>
    <x v="1"/>
    <n v="3"/>
    <n v="14"/>
    <n v="2"/>
    <n v="14"/>
    <n v="8"/>
    <n v="9"/>
    <n v="8"/>
    <x v="0"/>
    <n v="1"/>
    <x v="0"/>
    <x v="2"/>
    <s v="Long"/>
    <x v="0"/>
  </r>
  <r>
    <n v="30"/>
    <x v="211"/>
    <x v="1"/>
    <x v="1"/>
    <n v="1"/>
    <n v="1"/>
    <x v="0"/>
    <n v="3"/>
    <x v="1"/>
    <n v="2"/>
    <n v="3"/>
    <x v="3"/>
    <x v="2"/>
    <s v="Single"/>
    <n v="8474"/>
    <n v="1"/>
    <x v="1"/>
    <n v="3"/>
    <n v="12"/>
    <n v="3"/>
    <n v="11"/>
    <n v="8"/>
    <n v="5"/>
    <n v="8"/>
    <x v="6"/>
    <n v="0"/>
    <x v="0"/>
    <x v="0"/>
    <s v="Long"/>
    <x v="1"/>
  </r>
  <r>
    <n v="27"/>
    <x v="212"/>
    <x v="1"/>
    <x v="0"/>
    <n v="20"/>
    <n v="3"/>
    <x v="0"/>
    <n v="4"/>
    <x v="0"/>
    <n v="3"/>
    <n v="2"/>
    <x v="0"/>
    <x v="2"/>
    <s v="Single"/>
    <n v="9981"/>
    <n v="1"/>
    <x v="1"/>
    <n v="4"/>
    <n v="7"/>
    <n v="3"/>
    <n v="7"/>
    <n v="7"/>
    <n v="0"/>
    <n v="7"/>
    <x v="9"/>
    <n v="0"/>
    <x v="2"/>
    <x v="0"/>
    <s v="Long"/>
    <x v="2"/>
  </r>
  <r>
    <n v="51"/>
    <x v="213"/>
    <x v="1"/>
    <x v="1"/>
    <n v="8"/>
    <n v="4"/>
    <x v="0"/>
    <n v="2"/>
    <x v="1"/>
    <n v="2"/>
    <n v="3"/>
    <x v="7"/>
    <x v="1"/>
    <s v="Married"/>
    <n v="12490"/>
    <n v="5"/>
    <x v="1"/>
    <n v="4"/>
    <n v="16"/>
    <n v="1"/>
    <n v="10"/>
    <n v="9"/>
    <n v="4"/>
    <n v="7"/>
    <x v="10"/>
    <n v="0"/>
    <x v="1"/>
    <x v="2"/>
    <s v="Long"/>
    <x v="2"/>
  </r>
  <r>
    <n v="30"/>
    <x v="214"/>
    <x v="0"/>
    <x v="1"/>
    <n v="3"/>
    <n v="3"/>
    <x v="4"/>
    <n v="4"/>
    <x v="0"/>
    <n v="3"/>
    <n v="1"/>
    <x v="1"/>
    <x v="3"/>
    <s v="Single"/>
    <n v="2657"/>
    <n v="5"/>
    <x v="0"/>
    <n v="3"/>
    <n v="8"/>
    <n v="3"/>
    <n v="5"/>
    <n v="2"/>
    <n v="0"/>
    <n v="4"/>
    <x v="0"/>
    <n v="1"/>
    <x v="0"/>
    <x v="1"/>
    <s v="Mid"/>
    <x v="0"/>
  </r>
  <r>
    <n v="41"/>
    <x v="215"/>
    <x v="1"/>
    <x v="0"/>
    <n v="6"/>
    <n v="3"/>
    <x v="0"/>
    <n v="4"/>
    <x v="0"/>
    <n v="3"/>
    <n v="3"/>
    <x v="5"/>
    <x v="0"/>
    <s v="Single"/>
    <n v="13591"/>
    <n v="3"/>
    <x v="0"/>
    <n v="3"/>
    <n v="16"/>
    <n v="3"/>
    <n v="1"/>
    <n v="0"/>
    <n v="0"/>
    <n v="0"/>
    <x v="11"/>
    <n v="0"/>
    <x v="0"/>
    <x v="2"/>
    <s v="Early"/>
    <x v="1"/>
  </r>
  <r>
    <n v="30"/>
    <x v="216"/>
    <x v="0"/>
    <x v="0"/>
    <n v="26"/>
    <n v="4"/>
    <x v="3"/>
    <n v="3"/>
    <x v="0"/>
    <n v="2"/>
    <n v="2"/>
    <x v="0"/>
    <x v="3"/>
    <s v="Single"/>
    <n v="6696"/>
    <n v="5"/>
    <x v="1"/>
    <n v="3"/>
    <n v="9"/>
    <n v="2"/>
    <n v="6"/>
    <n v="3"/>
    <n v="0"/>
    <n v="1"/>
    <x v="2"/>
    <n v="1"/>
    <x v="0"/>
    <x v="0"/>
    <s v="Mid"/>
    <x v="2"/>
  </r>
  <r>
    <n v="29"/>
    <x v="217"/>
    <x v="0"/>
    <x v="1"/>
    <n v="1"/>
    <n v="3"/>
    <x v="4"/>
    <n v="3"/>
    <x v="1"/>
    <n v="3"/>
    <n v="1"/>
    <x v="1"/>
    <x v="2"/>
    <s v="Single"/>
    <n v="2058"/>
    <n v="0"/>
    <x v="1"/>
    <n v="4"/>
    <n v="7"/>
    <n v="2"/>
    <n v="6"/>
    <n v="2"/>
    <n v="1"/>
    <n v="5"/>
    <x v="9"/>
    <n v="1"/>
    <x v="2"/>
    <x v="1"/>
    <s v="Mid"/>
    <x v="2"/>
  </r>
  <r>
    <n v="45"/>
    <x v="218"/>
    <x v="1"/>
    <x v="0"/>
    <n v="6"/>
    <n v="3"/>
    <x v="2"/>
    <n v="4"/>
    <x v="0"/>
    <n v="2"/>
    <n v="3"/>
    <x v="0"/>
    <x v="0"/>
    <s v="Single"/>
    <n v="8865"/>
    <n v="6"/>
    <x v="1"/>
    <n v="4"/>
    <n v="23"/>
    <n v="3"/>
    <n v="19"/>
    <n v="7"/>
    <n v="12"/>
    <n v="8"/>
    <x v="3"/>
    <n v="0"/>
    <x v="1"/>
    <x v="0"/>
    <s v="Long"/>
    <x v="0"/>
  </r>
  <r>
    <n v="54"/>
    <x v="219"/>
    <x v="1"/>
    <x v="0"/>
    <n v="3"/>
    <n v="3"/>
    <x v="3"/>
    <n v="4"/>
    <x v="0"/>
    <n v="3"/>
    <n v="2"/>
    <x v="0"/>
    <x v="3"/>
    <s v="Married"/>
    <n v="5940"/>
    <n v="2"/>
    <x v="1"/>
    <n v="4"/>
    <n v="16"/>
    <n v="3"/>
    <n v="6"/>
    <n v="2"/>
    <n v="0"/>
    <n v="5"/>
    <x v="9"/>
    <n v="0"/>
    <x v="1"/>
    <x v="0"/>
    <s v="Mid"/>
    <x v="2"/>
  </r>
  <r>
    <n v="36"/>
    <x v="220"/>
    <x v="1"/>
    <x v="1"/>
    <n v="5"/>
    <n v="2"/>
    <x v="0"/>
    <n v="4"/>
    <x v="1"/>
    <n v="3"/>
    <n v="2"/>
    <x v="2"/>
    <x v="1"/>
    <s v="Single"/>
    <n v="5914"/>
    <n v="8"/>
    <x v="1"/>
    <n v="4"/>
    <n v="16"/>
    <n v="4"/>
    <n v="13"/>
    <n v="11"/>
    <n v="3"/>
    <n v="7"/>
    <x v="10"/>
    <n v="0"/>
    <x v="0"/>
    <x v="0"/>
    <s v="Long"/>
    <x v="2"/>
  </r>
  <r>
    <n v="33"/>
    <x v="221"/>
    <x v="1"/>
    <x v="1"/>
    <n v="4"/>
    <n v="4"/>
    <x v="2"/>
    <n v="3"/>
    <x v="0"/>
    <n v="2"/>
    <n v="1"/>
    <x v="1"/>
    <x v="1"/>
    <s v="Married"/>
    <n v="2622"/>
    <n v="6"/>
    <x v="1"/>
    <n v="4"/>
    <n v="7"/>
    <n v="3"/>
    <n v="3"/>
    <n v="2"/>
    <n v="1"/>
    <n v="1"/>
    <x v="7"/>
    <n v="0"/>
    <x v="0"/>
    <x v="1"/>
    <s v="Mid"/>
    <x v="1"/>
  </r>
  <r>
    <n v="37"/>
    <x v="222"/>
    <x v="1"/>
    <x v="1"/>
    <n v="11"/>
    <n v="3"/>
    <x v="1"/>
    <n v="2"/>
    <x v="1"/>
    <n v="3"/>
    <n v="3"/>
    <x v="7"/>
    <x v="0"/>
    <s v="Divorced"/>
    <n v="12185"/>
    <n v="1"/>
    <x v="0"/>
    <n v="3"/>
    <n v="10"/>
    <n v="3"/>
    <n v="10"/>
    <n v="8"/>
    <n v="0"/>
    <n v="7"/>
    <x v="9"/>
    <n v="0"/>
    <x v="0"/>
    <x v="2"/>
    <s v="Long"/>
    <x v="2"/>
  </r>
  <r>
    <n v="38"/>
    <x v="223"/>
    <x v="1"/>
    <x v="0"/>
    <n v="3"/>
    <n v="3"/>
    <x v="0"/>
    <n v="1"/>
    <x v="1"/>
    <n v="3"/>
    <n v="3"/>
    <x v="0"/>
    <x v="2"/>
    <s v="Divorced"/>
    <n v="10609"/>
    <n v="0"/>
    <x v="1"/>
    <n v="3"/>
    <n v="17"/>
    <n v="2"/>
    <n v="16"/>
    <n v="10"/>
    <n v="5"/>
    <n v="13"/>
    <x v="3"/>
    <n v="0"/>
    <x v="0"/>
    <x v="2"/>
    <s v="Long"/>
    <x v="0"/>
  </r>
  <r>
    <n v="31"/>
    <x v="224"/>
    <x v="1"/>
    <x v="1"/>
    <n v="1"/>
    <n v="4"/>
    <x v="2"/>
    <n v="3"/>
    <x v="1"/>
    <n v="1"/>
    <n v="2"/>
    <x v="3"/>
    <x v="2"/>
    <s v="Married"/>
    <n v="4345"/>
    <n v="0"/>
    <x v="1"/>
    <n v="4"/>
    <n v="6"/>
    <n v="3"/>
    <n v="5"/>
    <n v="4"/>
    <n v="1"/>
    <n v="4"/>
    <x v="3"/>
    <n v="0"/>
    <x v="0"/>
    <x v="1"/>
    <s v="Mid"/>
    <x v="0"/>
  </r>
  <r>
    <n v="59"/>
    <x v="225"/>
    <x v="1"/>
    <x v="1"/>
    <n v="3"/>
    <n v="3"/>
    <x v="0"/>
    <n v="3"/>
    <x v="1"/>
    <n v="2"/>
    <n v="1"/>
    <x v="1"/>
    <x v="0"/>
    <s v="Married"/>
    <n v="2177"/>
    <n v="3"/>
    <x v="1"/>
    <n v="1"/>
    <n v="7"/>
    <n v="3"/>
    <n v="1"/>
    <n v="0"/>
    <n v="0"/>
    <n v="0"/>
    <x v="8"/>
    <n v="0"/>
    <x v="1"/>
    <x v="1"/>
    <s v="Early"/>
    <x v="2"/>
  </r>
  <r>
    <n v="37"/>
    <x v="226"/>
    <x v="1"/>
    <x v="0"/>
    <n v="4"/>
    <n v="4"/>
    <x v="3"/>
    <n v="1"/>
    <x v="1"/>
    <n v="3"/>
    <n v="1"/>
    <x v="6"/>
    <x v="0"/>
    <s v="Divorced"/>
    <n v="2793"/>
    <n v="4"/>
    <x v="1"/>
    <n v="3"/>
    <n v="13"/>
    <n v="3"/>
    <n v="9"/>
    <n v="8"/>
    <n v="5"/>
    <n v="8"/>
    <x v="8"/>
    <n v="0"/>
    <x v="0"/>
    <x v="1"/>
    <s v="Long"/>
    <x v="2"/>
  </r>
  <r>
    <n v="29"/>
    <x v="227"/>
    <x v="1"/>
    <x v="0"/>
    <n v="1"/>
    <n v="1"/>
    <x v="2"/>
    <n v="2"/>
    <x v="0"/>
    <n v="3"/>
    <n v="3"/>
    <x v="0"/>
    <x v="0"/>
    <s v="Married"/>
    <n v="7918"/>
    <n v="1"/>
    <x v="1"/>
    <n v="4"/>
    <n v="11"/>
    <n v="3"/>
    <n v="11"/>
    <n v="10"/>
    <n v="4"/>
    <n v="1"/>
    <x v="9"/>
    <n v="0"/>
    <x v="2"/>
    <x v="0"/>
    <s v="Long"/>
    <x v="2"/>
  </r>
  <r>
    <n v="35"/>
    <x v="228"/>
    <x v="1"/>
    <x v="0"/>
    <n v="1"/>
    <n v="3"/>
    <x v="3"/>
    <n v="3"/>
    <x v="0"/>
    <n v="3"/>
    <n v="3"/>
    <x v="0"/>
    <x v="2"/>
    <s v="Single"/>
    <n v="8789"/>
    <n v="1"/>
    <x v="1"/>
    <n v="1"/>
    <n v="10"/>
    <n v="4"/>
    <n v="10"/>
    <n v="7"/>
    <n v="0"/>
    <n v="8"/>
    <x v="9"/>
    <n v="0"/>
    <x v="0"/>
    <x v="0"/>
    <s v="Long"/>
    <x v="2"/>
  </r>
  <r>
    <n v="29"/>
    <x v="229"/>
    <x v="0"/>
    <x v="1"/>
    <n v="18"/>
    <n v="1"/>
    <x v="2"/>
    <n v="3"/>
    <x v="1"/>
    <n v="2"/>
    <n v="1"/>
    <x v="1"/>
    <x v="0"/>
    <s v="Single"/>
    <n v="2389"/>
    <n v="1"/>
    <x v="0"/>
    <n v="3"/>
    <n v="4"/>
    <n v="2"/>
    <n v="4"/>
    <n v="3"/>
    <n v="0"/>
    <n v="1"/>
    <x v="4"/>
    <n v="1"/>
    <x v="2"/>
    <x v="1"/>
    <s v="Mid"/>
    <x v="2"/>
  </r>
  <r>
    <n v="52"/>
    <x v="230"/>
    <x v="1"/>
    <x v="1"/>
    <n v="2"/>
    <n v="3"/>
    <x v="0"/>
    <n v="3"/>
    <x v="0"/>
    <n v="2"/>
    <n v="1"/>
    <x v="2"/>
    <x v="0"/>
    <s v="Single"/>
    <n v="3212"/>
    <n v="7"/>
    <x v="1"/>
    <n v="2"/>
    <n v="6"/>
    <n v="2"/>
    <n v="2"/>
    <n v="2"/>
    <n v="2"/>
    <n v="2"/>
    <x v="2"/>
    <n v="0"/>
    <x v="1"/>
    <x v="1"/>
    <s v="Early"/>
    <x v="2"/>
  </r>
  <r>
    <n v="42"/>
    <x v="231"/>
    <x v="1"/>
    <x v="1"/>
    <n v="4"/>
    <n v="2"/>
    <x v="4"/>
    <n v="3"/>
    <x v="1"/>
    <n v="3"/>
    <n v="5"/>
    <x v="5"/>
    <x v="0"/>
    <s v="Married"/>
    <n v="19232"/>
    <n v="1"/>
    <x v="1"/>
    <n v="4"/>
    <n v="22"/>
    <n v="3"/>
    <n v="22"/>
    <n v="17"/>
    <n v="11"/>
    <n v="15"/>
    <x v="0"/>
    <n v="0"/>
    <x v="0"/>
    <x v="2"/>
    <s v="Long"/>
    <x v="0"/>
  </r>
  <r>
    <n v="59"/>
    <x v="232"/>
    <x v="1"/>
    <x v="2"/>
    <n v="6"/>
    <n v="2"/>
    <x v="2"/>
    <n v="2"/>
    <x v="1"/>
    <n v="3"/>
    <n v="1"/>
    <x v="8"/>
    <x v="2"/>
    <s v="Married"/>
    <n v="2267"/>
    <n v="8"/>
    <x v="1"/>
    <n v="4"/>
    <n v="7"/>
    <n v="2"/>
    <n v="2"/>
    <n v="2"/>
    <n v="2"/>
    <n v="2"/>
    <x v="8"/>
    <n v="0"/>
    <x v="1"/>
    <x v="1"/>
    <s v="Early"/>
    <x v="2"/>
  </r>
  <r>
    <n v="50"/>
    <x v="233"/>
    <x v="1"/>
    <x v="0"/>
    <n v="1"/>
    <n v="4"/>
    <x v="2"/>
    <n v="4"/>
    <x v="0"/>
    <n v="3"/>
    <n v="5"/>
    <x v="5"/>
    <x v="0"/>
    <s v="Divorced"/>
    <n v="19517"/>
    <n v="3"/>
    <x v="1"/>
    <n v="3"/>
    <n v="32"/>
    <n v="2"/>
    <n v="7"/>
    <n v="0"/>
    <n v="0"/>
    <n v="6"/>
    <x v="0"/>
    <n v="0"/>
    <x v="1"/>
    <x v="2"/>
    <s v="Long"/>
    <x v="0"/>
  </r>
  <r>
    <n v="33"/>
    <x v="234"/>
    <x v="0"/>
    <x v="1"/>
    <n v="14"/>
    <n v="3"/>
    <x v="2"/>
    <n v="3"/>
    <x v="1"/>
    <n v="3"/>
    <n v="1"/>
    <x v="2"/>
    <x v="0"/>
    <s v="Married"/>
    <n v="2436"/>
    <n v="5"/>
    <x v="0"/>
    <n v="3"/>
    <n v="8"/>
    <n v="1"/>
    <n v="5"/>
    <n v="4"/>
    <n v="0"/>
    <n v="4"/>
    <x v="4"/>
    <n v="1"/>
    <x v="0"/>
    <x v="1"/>
    <s v="Mid"/>
    <x v="2"/>
  </r>
  <r>
    <n v="43"/>
    <x v="235"/>
    <x v="1"/>
    <x v="0"/>
    <n v="16"/>
    <n v="3"/>
    <x v="3"/>
    <n v="4"/>
    <x v="0"/>
    <n v="3"/>
    <n v="4"/>
    <x v="5"/>
    <x v="0"/>
    <s v="Married"/>
    <n v="16064"/>
    <n v="5"/>
    <x v="0"/>
    <n v="3"/>
    <n v="22"/>
    <n v="3"/>
    <n v="17"/>
    <n v="13"/>
    <n v="1"/>
    <n v="9"/>
    <x v="6"/>
    <n v="0"/>
    <x v="0"/>
    <x v="2"/>
    <s v="Long"/>
    <x v="1"/>
  </r>
  <r>
    <n v="33"/>
    <x v="236"/>
    <x v="0"/>
    <x v="1"/>
    <n v="2"/>
    <n v="2"/>
    <x v="0"/>
    <n v="1"/>
    <x v="0"/>
    <n v="3"/>
    <n v="1"/>
    <x v="2"/>
    <x v="3"/>
    <s v="Married"/>
    <n v="2707"/>
    <n v="7"/>
    <x v="1"/>
    <n v="1"/>
    <n v="13"/>
    <n v="4"/>
    <n v="9"/>
    <n v="7"/>
    <n v="1"/>
    <n v="7"/>
    <x v="5"/>
    <n v="1"/>
    <x v="0"/>
    <x v="1"/>
    <s v="Long"/>
    <x v="1"/>
  </r>
  <r>
    <n v="52"/>
    <x v="237"/>
    <x v="1"/>
    <x v="0"/>
    <n v="2"/>
    <n v="4"/>
    <x v="0"/>
    <n v="1"/>
    <x v="1"/>
    <n v="2"/>
    <n v="5"/>
    <x v="5"/>
    <x v="2"/>
    <s v="Single"/>
    <n v="19068"/>
    <n v="1"/>
    <x v="0"/>
    <n v="4"/>
    <n v="33"/>
    <n v="4"/>
    <n v="33"/>
    <n v="7"/>
    <n v="15"/>
    <n v="12"/>
    <x v="11"/>
    <n v="0"/>
    <x v="1"/>
    <x v="2"/>
    <s v="Long"/>
    <x v="1"/>
  </r>
  <r>
    <n v="32"/>
    <x v="238"/>
    <x v="1"/>
    <x v="0"/>
    <n v="4"/>
    <n v="2"/>
    <x v="0"/>
    <n v="3"/>
    <x v="0"/>
    <n v="3"/>
    <n v="1"/>
    <x v="6"/>
    <x v="1"/>
    <s v="Married"/>
    <n v="3931"/>
    <n v="2"/>
    <x v="1"/>
    <n v="1"/>
    <n v="6"/>
    <n v="3"/>
    <n v="4"/>
    <n v="3"/>
    <n v="1"/>
    <n v="2"/>
    <x v="0"/>
    <n v="0"/>
    <x v="0"/>
    <x v="1"/>
    <s v="Mid"/>
    <x v="0"/>
  </r>
  <r>
    <n v="32"/>
    <x v="239"/>
    <x v="0"/>
    <x v="1"/>
    <n v="1"/>
    <n v="3"/>
    <x v="0"/>
    <n v="4"/>
    <x v="1"/>
    <n v="2"/>
    <n v="1"/>
    <x v="2"/>
    <x v="2"/>
    <s v="Single"/>
    <n v="3730"/>
    <n v="0"/>
    <x v="0"/>
    <n v="4"/>
    <n v="4"/>
    <n v="1"/>
    <n v="3"/>
    <n v="2"/>
    <n v="1"/>
    <n v="2"/>
    <x v="9"/>
    <n v="1"/>
    <x v="0"/>
    <x v="1"/>
    <s v="Mid"/>
    <x v="2"/>
  </r>
  <r>
    <n v="39"/>
    <x v="240"/>
    <x v="1"/>
    <x v="1"/>
    <n v="1"/>
    <n v="4"/>
    <x v="2"/>
    <n v="3"/>
    <x v="0"/>
    <n v="3"/>
    <n v="1"/>
    <x v="2"/>
    <x v="2"/>
    <s v="Divorced"/>
    <n v="2232"/>
    <n v="7"/>
    <x v="1"/>
    <n v="3"/>
    <n v="7"/>
    <n v="3"/>
    <n v="3"/>
    <n v="2"/>
    <n v="1"/>
    <n v="2"/>
    <x v="9"/>
    <n v="0"/>
    <x v="0"/>
    <x v="1"/>
    <s v="Mid"/>
    <x v="2"/>
  </r>
  <r>
    <n v="32"/>
    <x v="241"/>
    <x v="1"/>
    <x v="0"/>
    <n v="26"/>
    <n v="4"/>
    <x v="3"/>
    <n v="3"/>
    <x v="1"/>
    <n v="3"/>
    <n v="2"/>
    <x v="0"/>
    <x v="0"/>
    <s v="Married"/>
    <n v="4465"/>
    <n v="0"/>
    <x v="1"/>
    <n v="1"/>
    <n v="4"/>
    <n v="3"/>
    <n v="3"/>
    <n v="2"/>
    <n v="2"/>
    <n v="2"/>
    <x v="11"/>
    <n v="0"/>
    <x v="0"/>
    <x v="1"/>
    <s v="Mid"/>
    <x v="1"/>
  </r>
  <r>
    <n v="41"/>
    <x v="242"/>
    <x v="1"/>
    <x v="1"/>
    <n v="19"/>
    <n v="2"/>
    <x v="0"/>
    <n v="3"/>
    <x v="1"/>
    <n v="3"/>
    <n v="2"/>
    <x v="1"/>
    <x v="3"/>
    <s v="Divorced"/>
    <n v="3072"/>
    <n v="2"/>
    <x v="1"/>
    <n v="1"/>
    <n v="17"/>
    <n v="2"/>
    <n v="1"/>
    <n v="0"/>
    <n v="0"/>
    <n v="0"/>
    <x v="10"/>
    <n v="0"/>
    <x v="0"/>
    <x v="1"/>
    <s v="Early"/>
    <x v="2"/>
  </r>
  <r>
    <n v="40"/>
    <x v="243"/>
    <x v="1"/>
    <x v="1"/>
    <n v="24"/>
    <n v="2"/>
    <x v="4"/>
    <n v="1"/>
    <x v="1"/>
    <n v="3"/>
    <n v="2"/>
    <x v="1"/>
    <x v="0"/>
    <s v="Divorced"/>
    <n v="3319"/>
    <n v="1"/>
    <x v="1"/>
    <n v="1"/>
    <n v="9"/>
    <n v="3"/>
    <n v="9"/>
    <n v="8"/>
    <n v="4"/>
    <n v="7"/>
    <x v="8"/>
    <n v="0"/>
    <x v="0"/>
    <x v="1"/>
    <s v="Long"/>
    <x v="2"/>
  </r>
  <r>
    <n v="45"/>
    <x v="244"/>
    <x v="1"/>
    <x v="1"/>
    <n v="1"/>
    <n v="3"/>
    <x v="1"/>
    <n v="3"/>
    <x v="1"/>
    <n v="4"/>
    <n v="5"/>
    <x v="5"/>
    <x v="0"/>
    <s v="Married"/>
    <n v="19202"/>
    <n v="0"/>
    <x v="1"/>
    <n v="3"/>
    <n v="25"/>
    <n v="3"/>
    <n v="24"/>
    <n v="0"/>
    <n v="1"/>
    <n v="7"/>
    <x v="0"/>
    <n v="0"/>
    <x v="1"/>
    <x v="2"/>
    <s v="Long"/>
    <x v="0"/>
  </r>
  <r>
    <n v="31"/>
    <x v="245"/>
    <x v="1"/>
    <x v="1"/>
    <n v="3"/>
    <n v="4"/>
    <x v="2"/>
    <n v="2"/>
    <x v="1"/>
    <n v="3"/>
    <n v="3"/>
    <x v="7"/>
    <x v="2"/>
    <s v="Divorced"/>
    <n v="13675"/>
    <n v="9"/>
    <x v="1"/>
    <n v="1"/>
    <n v="9"/>
    <n v="3"/>
    <n v="2"/>
    <n v="2"/>
    <n v="2"/>
    <n v="2"/>
    <x v="3"/>
    <n v="0"/>
    <x v="0"/>
    <x v="2"/>
    <s v="Early"/>
    <x v="0"/>
  </r>
  <r>
    <n v="33"/>
    <x v="246"/>
    <x v="1"/>
    <x v="1"/>
    <n v="5"/>
    <n v="4"/>
    <x v="0"/>
    <n v="3"/>
    <x v="0"/>
    <n v="2"/>
    <n v="1"/>
    <x v="1"/>
    <x v="0"/>
    <s v="Married"/>
    <n v="2911"/>
    <n v="1"/>
    <x v="1"/>
    <n v="3"/>
    <n v="2"/>
    <n v="2"/>
    <n v="2"/>
    <n v="2"/>
    <n v="0"/>
    <n v="2"/>
    <x v="4"/>
    <n v="0"/>
    <x v="0"/>
    <x v="1"/>
    <s v="Early"/>
    <x v="2"/>
  </r>
  <r>
    <n v="34"/>
    <x v="247"/>
    <x v="1"/>
    <x v="1"/>
    <n v="2"/>
    <n v="4"/>
    <x v="0"/>
    <n v="4"/>
    <x v="1"/>
    <n v="2"/>
    <n v="2"/>
    <x v="3"/>
    <x v="3"/>
    <s v="Married"/>
    <n v="5957"/>
    <n v="6"/>
    <x v="1"/>
    <n v="2"/>
    <n v="13"/>
    <n v="3"/>
    <n v="11"/>
    <n v="9"/>
    <n v="5"/>
    <n v="9"/>
    <x v="4"/>
    <n v="0"/>
    <x v="0"/>
    <x v="0"/>
    <s v="Long"/>
    <x v="2"/>
  </r>
  <r>
    <n v="37"/>
    <x v="248"/>
    <x v="1"/>
    <x v="1"/>
    <n v="1"/>
    <n v="2"/>
    <x v="2"/>
    <n v="3"/>
    <x v="0"/>
    <n v="2"/>
    <n v="1"/>
    <x v="1"/>
    <x v="3"/>
    <s v="Married"/>
    <n v="3920"/>
    <n v="2"/>
    <x v="1"/>
    <n v="1"/>
    <n v="17"/>
    <n v="2"/>
    <n v="3"/>
    <n v="1"/>
    <n v="0"/>
    <n v="2"/>
    <x v="9"/>
    <n v="0"/>
    <x v="0"/>
    <x v="1"/>
    <s v="Mid"/>
    <x v="2"/>
  </r>
  <r>
    <n v="45"/>
    <x v="249"/>
    <x v="1"/>
    <x v="1"/>
    <n v="7"/>
    <n v="4"/>
    <x v="0"/>
    <n v="1"/>
    <x v="1"/>
    <n v="4"/>
    <n v="2"/>
    <x v="3"/>
    <x v="2"/>
    <s v="Married"/>
    <n v="6434"/>
    <n v="4"/>
    <x v="1"/>
    <n v="4"/>
    <n v="9"/>
    <n v="3"/>
    <n v="3"/>
    <n v="2"/>
    <n v="0"/>
    <n v="2"/>
    <x v="8"/>
    <n v="0"/>
    <x v="1"/>
    <x v="0"/>
    <s v="Mid"/>
    <x v="2"/>
  </r>
  <r>
    <n v="37"/>
    <x v="250"/>
    <x v="0"/>
    <x v="1"/>
    <n v="10"/>
    <n v="3"/>
    <x v="2"/>
    <n v="1"/>
    <x v="1"/>
    <n v="3"/>
    <n v="3"/>
    <x v="3"/>
    <x v="2"/>
    <s v="Divorced"/>
    <n v="10048"/>
    <n v="6"/>
    <x v="1"/>
    <n v="2"/>
    <n v="17"/>
    <n v="3"/>
    <n v="1"/>
    <n v="0"/>
    <n v="0"/>
    <n v="0"/>
    <x v="0"/>
    <n v="1"/>
    <x v="0"/>
    <x v="2"/>
    <s v="Early"/>
    <x v="0"/>
  </r>
  <r>
    <n v="39"/>
    <x v="251"/>
    <x v="1"/>
    <x v="1"/>
    <n v="2"/>
    <n v="4"/>
    <x v="4"/>
    <n v="3"/>
    <x v="0"/>
    <n v="3"/>
    <n v="3"/>
    <x v="4"/>
    <x v="2"/>
    <s v="Single"/>
    <n v="10938"/>
    <n v="0"/>
    <x v="1"/>
    <n v="4"/>
    <n v="20"/>
    <n v="3"/>
    <n v="19"/>
    <n v="6"/>
    <n v="11"/>
    <n v="8"/>
    <x v="14"/>
    <n v="0"/>
    <x v="0"/>
    <x v="2"/>
    <s v="Long"/>
    <x v="1"/>
  </r>
  <r>
    <n v="29"/>
    <x v="252"/>
    <x v="1"/>
    <x v="1"/>
    <n v="15"/>
    <n v="3"/>
    <x v="0"/>
    <n v="3"/>
    <x v="1"/>
    <n v="3"/>
    <n v="1"/>
    <x v="1"/>
    <x v="0"/>
    <s v="Single"/>
    <n v="2340"/>
    <n v="1"/>
    <x v="1"/>
    <n v="1"/>
    <n v="6"/>
    <n v="3"/>
    <n v="6"/>
    <n v="5"/>
    <n v="1"/>
    <n v="5"/>
    <x v="12"/>
    <n v="0"/>
    <x v="2"/>
    <x v="1"/>
    <s v="Mid"/>
    <x v="1"/>
  </r>
  <r>
    <n v="42"/>
    <x v="253"/>
    <x v="1"/>
    <x v="1"/>
    <n v="17"/>
    <n v="2"/>
    <x v="0"/>
    <n v="4"/>
    <x v="0"/>
    <n v="4"/>
    <n v="2"/>
    <x v="1"/>
    <x v="3"/>
    <s v="Single"/>
    <n v="6545"/>
    <n v="3"/>
    <x v="0"/>
    <n v="3"/>
    <n v="10"/>
    <n v="3"/>
    <n v="3"/>
    <n v="2"/>
    <n v="0"/>
    <n v="2"/>
    <x v="4"/>
    <n v="0"/>
    <x v="0"/>
    <x v="0"/>
    <s v="Mid"/>
    <x v="2"/>
  </r>
  <r>
    <n v="29"/>
    <x v="254"/>
    <x v="1"/>
    <x v="0"/>
    <n v="20"/>
    <n v="2"/>
    <x v="3"/>
    <n v="4"/>
    <x v="1"/>
    <n v="3"/>
    <n v="2"/>
    <x v="0"/>
    <x v="0"/>
    <s v="Divorced"/>
    <n v="6931"/>
    <n v="2"/>
    <x v="1"/>
    <n v="4"/>
    <n v="10"/>
    <n v="3"/>
    <n v="3"/>
    <n v="2"/>
    <n v="0"/>
    <n v="2"/>
    <x v="9"/>
    <n v="0"/>
    <x v="2"/>
    <x v="0"/>
    <s v="Mid"/>
    <x v="2"/>
  </r>
  <r>
    <n v="25"/>
    <x v="255"/>
    <x v="1"/>
    <x v="1"/>
    <n v="1"/>
    <n v="3"/>
    <x v="0"/>
    <n v="1"/>
    <x v="0"/>
    <n v="3"/>
    <n v="2"/>
    <x v="3"/>
    <x v="2"/>
    <s v="Married"/>
    <n v="4898"/>
    <n v="0"/>
    <x v="1"/>
    <n v="4"/>
    <n v="5"/>
    <n v="3"/>
    <n v="4"/>
    <n v="2"/>
    <n v="1"/>
    <n v="2"/>
    <x v="3"/>
    <n v="0"/>
    <x v="2"/>
    <x v="1"/>
    <s v="Mid"/>
    <x v="0"/>
  </r>
  <r>
    <n v="42"/>
    <x v="256"/>
    <x v="1"/>
    <x v="1"/>
    <n v="2"/>
    <n v="3"/>
    <x v="2"/>
    <n v="4"/>
    <x v="0"/>
    <n v="2"/>
    <n v="1"/>
    <x v="2"/>
    <x v="3"/>
    <s v="Divorced"/>
    <n v="2593"/>
    <n v="0"/>
    <x v="0"/>
    <n v="3"/>
    <n v="10"/>
    <n v="3"/>
    <n v="9"/>
    <n v="6"/>
    <n v="7"/>
    <n v="8"/>
    <x v="0"/>
    <n v="0"/>
    <x v="0"/>
    <x v="1"/>
    <s v="Long"/>
    <x v="0"/>
  </r>
  <r>
    <n v="40"/>
    <x v="257"/>
    <x v="1"/>
    <x v="1"/>
    <n v="2"/>
    <n v="2"/>
    <x v="2"/>
    <n v="1"/>
    <x v="1"/>
    <n v="3"/>
    <n v="5"/>
    <x v="7"/>
    <x v="2"/>
    <s v="Divorced"/>
    <n v="19436"/>
    <n v="0"/>
    <x v="1"/>
    <n v="4"/>
    <n v="22"/>
    <n v="3"/>
    <n v="21"/>
    <n v="7"/>
    <n v="3"/>
    <n v="9"/>
    <x v="12"/>
    <n v="0"/>
    <x v="0"/>
    <x v="2"/>
    <s v="Long"/>
    <x v="1"/>
  </r>
  <r>
    <n v="51"/>
    <x v="258"/>
    <x v="1"/>
    <x v="1"/>
    <n v="1"/>
    <n v="3"/>
    <x v="0"/>
    <n v="3"/>
    <x v="1"/>
    <n v="3"/>
    <n v="1"/>
    <x v="1"/>
    <x v="0"/>
    <s v="Married"/>
    <n v="2723"/>
    <n v="1"/>
    <x v="1"/>
    <n v="2"/>
    <n v="1"/>
    <n v="2"/>
    <n v="1"/>
    <n v="0"/>
    <n v="0"/>
    <n v="0"/>
    <x v="0"/>
    <n v="0"/>
    <x v="1"/>
    <x v="1"/>
    <s v="Early"/>
    <x v="0"/>
  </r>
  <r>
    <n v="31"/>
    <x v="259"/>
    <x v="0"/>
    <x v="1"/>
    <n v="29"/>
    <n v="2"/>
    <x v="2"/>
    <n v="3"/>
    <x v="1"/>
    <n v="2"/>
    <n v="1"/>
    <x v="2"/>
    <x v="1"/>
    <s v="Single"/>
    <n v="3479"/>
    <n v="0"/>
    <x v="1"/>
    <n v="2"/>
    <n v="6"/>
    <n v="4"/>
    <n v="5"/>
    <n v="4"/>
    <n v="1"/>
    <n v="4"/>
    <x v="0"/>
    <n v="1"/>
    <x v="0"/>
    <x v="1"/>
    <s v="Mid"/>
    <x v="0"/>
  </r>
  <r>
    <n v="32"/>
    <x v="260"/>
    <x v="1"/>
    <x v="1"/>
    <n v="7"/>
    <n v="3"/>
    <x v="0"/>
    <n v="2"/>
    <x v="1"/>
    <n v="4"/>
    <n v="1"/>
    <x v="2"/>
    <x v="1"/>
    <s v="Married"/>
    <n v="2794"/>
    <n v="1"/>
    <x v="1"/>
    <n v="3"/>
    <n v="5"/>
    <n v="1"/>
    <n v="5"/>
    <n v="1"/>
    <n v="0"/>
    <n v="3"/>
    <x v="5"/>
    <n v="0"/>
    <x v="0"/>
    <x v="1"/>
    <s v="Mid"/>
    <x v="1"/>
  </r>
  <r>
    <n v="38"/>
    <x v="261"/>
    <x v="1"/>
    <x v="0"/>
    <n v="2"/>
    <n v="2"/>
    <x v="0"/>
    <n v="4"/>
    <x v="1"/>
    <n v="2"/>
    <n v="2"/>
    <x v="0"/>
    <x v="0"/>
    <s v="Married"/>
    <n v="5249"/>
    <n v="3"/>
    <x v="1"/>
    <n v="4"/>
    <n v="13"/>
    <n v="3"/>
    <n v="8"/>
    <n v="7"/>
    <n v="7"/>
    <n v="5"/>
    <x v="11"/>
    <n v="0"/>
    <x v="0"/>
    <x v="0"/>
    <s v="Long"/>
    <x v="1"/>
  </r>
  <r>
    <n v="32"/>
    <x v="262"/>
    <x v="1"/>
    <x v="1"/>
    <n v="2"/>
    <n v="1"/>
    <x v="4"/>
    <n v="4"/>
    <x v="1"/>
    <n v="2"/>
    <n v="2"/>
    <x v="2"/>
    <x v="3"/>
    <s v="Single"/>
    <n v="2176"/>
    <n v="4"/>
    <x v="1"/>
    <n v="4"/>
    <n v="9"/>
    <n v="3"/>
    <n v="6"/>
    <n v="2"/>
    <n v="0"/>
    <n v="4"/>
    <x v="4"/>
    <n v="0"/>
    <x v="0"/>
    <x v="1"/>
    <s v="Mid"/>
    <x v="2"/>
  </r>
  <r>
    <n v="46"/>
    <x v="263"/>
    <x v="1"/>
    <x v="0"/>
    <n v="2"/>
    <n v="3"/>
    <x v="4"/>
    <n v="3"/>
    <x v="0"/>
    <n v="1"/>
    <n v="4"/>
    <x v="5"/>
    <x v="1"/>
    <s v="Married"/>
    <n v="16872"/>
    <n v="3"/>
    <x v="0"/>
    <n v="2"/>
    <n v="28"/>
    <n v="2"/>
    <n v="7"/>
    <n v="7"/>
    <n v="7"/>
    <n v="7"/>
    <x v="3"/>
    <n v="0"/>
    <x v="1"/>
    <x v="2"/>
    <s v="Long"/>
    <x v="0"/>
  </r>
  <r>
    <n v="28"/>
    <x v="264"/>
    <x v="0"/>
    <x v="1"/>
    <n v="2"/>
    <n v="4"/>
    <x v="0"/>
    <n v="1"/>
    <x v="1"/>
    <n v="3"/>
    <n v="1"/>
    <x v="2"/>
    <x v="2"/>
    <s v="Single"/>
    <n v="3485"/>
    <n v="2"/>
    <x v="1"/>
    <n v="3"/>
    <n v="5"/>
    <n v="1"/>
    <n v="0"/>
    <n v="0"/>
    <n v="0"/>
    <n v="0"/>
    <x v="0"/>
    <n v="1"/>
    <x v="2"/>
    <x v="1"/>
    <s v="Early"/>
    <x v="0"/>
  </r>
  <r>
    <n v="29"/>
    <x v="265"/>
    <x v="1"/>
    <x v="0"/>
    <n v="2"/>
    <n v="3"/>
    <x v="2"/>
    <n v="1"/>
    <x v="1"/>
    <n v="2"/>
    <n v="2"/>
    <x v="0"/>
    <x v="1"/>
    <s v="Married"/>
    <n v="6644"/>
    <n v="2"/>
    <x v="1"/>
    <n v="2"/>
    <n v="10"/>
    <n v="3"/>
    <n v="0"/>
    <n v="0"/>
    <n v="0"/>
    <n v="0"/>
    <x v="12"/>
    <n v="0"/>
    <x v="2"/>
    <x v="0"/>
    <s v="Early"/>
    <x v="1"/>
  </r>
  <r>
    <n v="31"/>
    <x v="266"/>
    <x v="1"/>
    <x v="1"/>
    <n v="23"/>
    <n v="3"/>
    <x v="2"/>
    <n v="2"/>
    <x v="1"/>
    <n v="2"/>
    <n v="2"/>
    <x v="4"/>
    <x v="0"/>
    <s v="Married"/>
    <n v="5582"/>
    <n v="0"/>
    <x v="1"/>
    <n v="2"/>
    <n v="10"/>
    <n v="3"/>
    <n v="9"/>
    <n v="0"/>
    <n v="7"/>
    <n v="8"/>
    <x v="7"/>
    <n v="0"/>
    <x v="0"/>
    <x v="0"/>
    <s v="Long"/>
    <x v="1"/>
  </r>
  <r>
    <n v="25"/>
    <x v="267"/>
    <x v="1"/>
    <x v="1"/>
    <n v="5"/>
    <n v="2"/>
    <x v="0"/>
    <n v="2"/>
    <x v="1"/>
    <n v="4"/>
    <n v="2"/>
    <x v="4"/>
    <x v="3"/>
    <s v="Divorced"/>
    <n v="4000"/>
    <n v="1"/>
    <x v="1"/>
    <n v="4"/>
    <n v="6"/>
    <n v="3"/>
    <n v="6"/>
    <n v="3"/>
    <n v="1"/>
    <n v="5"/>
    <x v="3"/>
    <n v="0"/>
    <x v="2"/>
    <x v="1"/>
    <s v="Mid"/>
    <x v="0"/>
  </r>
  <r>
    <n v="45"/>
    <x v="268"/>
    <x v="1"/>
    <x v="1"/>
    <n v="20"/>
    <n v="2"/>
    <x v="2"/>
    <n v="3"/>
    <x v="1"/>
    <n v="3"/>
    <n v="4"/>
    <x v="4"/>
    <x v="0"/>
    <s v="Married"/>
    <n v="13496"/>
    <n v="0"/>
    <x v="0"/>
    <n v="2"/>
    <n v="21"/>
    <n v="3"/>
    <n v="20"/>
    <n v="7"/>
    <n v="4"/>
    <n v="10"/>
    <x v="9"/>
    <n v="0"/>
    <x v="1"/>
    <x v="2"/>
    <s v="Long"/>
    <x v="2"/>
  </r>
  <r>
    <n v="36"/>
    <x v="269"/>
    <x v="1"/>
    <x v="1"/>
    <n v="6"/>
    <n v="3"/>
    <x v="0"/>
    <n v="4"/>
    <x v="1"/>
    <n v="3"/>
    <n v="1"/>
    <x v="2"/>
    <x v="0"/>
    <s v="Married"/>
    <n v="3210"/>
    <n v="0"/>
    <x v="1"/>
    <n v="3"/>
    <n v="16"/>
    <n v="3"/>
    <n v="15"/>
    <n v="13"/>
    <n v="10"/>
    <n v="11"/>
    <x v="0"/>
    <n v="0"/>
    <x v="0"/>
    <x v="1"/>
    <s v="Long"/>
    <x v="0"/>
  </r>
  <r>
    <n v="55"/>
    <x v="270"/>
    <x v="1"/>
    <x v="1"/>
    <n v="1"/>
    <n v="3"/>
    <x v="2"/>
    <n v="4"/>
    <x v="1"/>
    <n v="3"/>
    <n v="5"/>
    <x v="5"/>
    <x v="3"/>
    <s v="Single"/>
    <n v="19045"/>
    <n v="0"/>
    <x v="0"/>
    <n v="3"/>
    <n v="37"/>
    <n v="3"/>
    <n v="36"/>
    <n v="10"/>
    <n v="4"/>
    <n v="13"/>
    <x v="9"/>
    <n v="0"/>
    <x v="1"/>
    <x v="2"/>
    <s v="Long"/>
    <x v="2"/>
  </r>
  <r>
    <n v="47"/>
    <x v="271"/>
    <x v="0"/>
    <x v="1"/>
    <n v="29"/>
    <n v="4"/>
    <x v="0"/>
    <n v="1"/>
    <x v="1"/>
    <n v="3"/>
    <n v="3"/>
    <x v="5"/>
    <x v="1"/>
    <s v="Married"/>
    <n v="11849"/>
    <n v="1"/>
    <x v="0"/>
    <n v="4"/>
    <n v="10"/>
    <n v="2"/>
    <n v="10"/>
    <n v="7"/>
    <n v="9"/>
    <n v="9"/>
    <x v="3"/>
    <n v="1"/>
    <x v="1"/>
    <x v="2"/>
    <s v="Long"/>
    <x v="0"/>
  </r>
  <r>
    <n v="28"/>
    <x v="272"/>
    <x v="1"/>
    <x v="1"/>
    <n v="9"/>
    <n v="3"/>
    <x v="2"/>
    <n v="4"/>
    <x v="1"/>
    <n v="3"/>
    <n v="1"/>
    <x v="1"/>
    <x v="0"/>
    <s v="Married"/>
    <n v="2070"/>
    <n v="1"/>
    <x v="1"/>
    <n v="4"/>
    <n v="5"/>
    <n v="2"/>
    <n v="5"/>
    <n v="2"/>
    <n v="0"/>
    <n v="4"/>
    <x v="1"/>
    <n v="0"/>
    <x v="2"/>
    <x v="1"/>
    <s v="Mid"/>
    <x v="1"/>
  </r>
  <r>
    <n v="37"/>
    <x v="273"/>
    <x v="1"/>
    <x v="0"/>
    <n v="6"/>
    <n v="4"/>
    <x v="2"/>
    <n v="3"/>
    <x v="1"/>
    <n v="3"/>
    <n v="2"/>
    <x v="0"/>
    <x v="0"/>
    <s v="Married"/>
    <n v="6502"/>
    <n v="4"/>
    <x v="1"/>
    <n v="2"/>
    <n v="7"/>
    <n v="4"/>
    <n v="5"/>
    <n v="4"/>
    <n v="0"/>
    <n v="1"/>
    <x v="9"/>
    <n v="0"/>
    <x v="0"/>
    <x v="0"/>
    <s v="Mid"/>
    <x v="2"/>
  </r>
  <r>
    <n v="21"/>
    <x v="274"/>
    <x v="1"/>
    <x v="1"/>
    <n v="3"/>
    <n v="2"/>
    <x v="2"/>
    <n v="4"/>
    <x v="1"/>
    <n v="2"/>
    <n v="1"/>
    <x v="1"/>
    <x v="2"/>
    <s v="Single"/>
    <n v="3230"/>
    <n v="1"/>
    <x v="1"/>
    <n v="1"/>
    <n v="3"/>
    <n v="4"/>
    <n v="3"/>
    <n v="2"/>
    <n v="1"/>
    <n v="0"/>
    <x v="8"/>
    <n v="0"/>
    <x v="2"/>
    <x v="1"/>
    <s v="Mid"/>
    <x v="2"/>
  </r>
  <r>
    <n v="37"/>
    <x v="275"/>
    <x v="1"/>
    <x v="1"/>
    <n v="1"/>
    <n v="4"/>
    <x v="2"/>
    <n v="1"/>
    <x v="0"/>
    <n v="3"/>
    <n v="3"/>
    <x v="7"/>
    <x v="0"/>
    <s v="Divorced"/>
    <n v="13603"/>
    <n v="2"/>
    <x v="0"/>
    <n v="1"/>
    <n v="15"/>
    <n v="3"/>
    <n v="5"/>
    <n v="2"/>
    <n v="0"/>
    <n v="2"/>
    <x v="11"/>
    <n v="0"/>
    <x v="0"/>
    <x v="2"/>
    <s v="Mid"/>
    <x v="1"/>
  </r>
  <r>
    <n v="35"/>
    <x v="276"/>
    <x v="1"/>
    <x v="1"/>
    <n v="22"/>
    <n v="3"/>
    <x v="0"/>
    <n v="2"/>
    <x v="0"/>
    <n v="4"/>
    <n v="3"/>
    <x v="5"/>
    <x v="1"/>
    <s v="Divorced"/>
    <n v="11996"/>
    <n v="7"/>
    <x v="1"/>
    <n v="2"/>
    <n v="10"/>
    <n v="2"/>
    <n v="7"/>
    <n v="7"/>
    <n v="6"/>
    <n v="2"/>
    <x v="11"/>
    <n v="0"/>
    <x v="0"/>
    <x v="2"/>
    <s v="Long"/>
    <x v="1"/>
  </r>
  <r>
    <n v="38"/>
    <x v="277"/>
    <x v="1"/>
    <x v="0"/>
    <n v="7"/>
    <n v="2"/>
    <x v="2"/>
    <n v="1"/>
    <x v="0"/>
    <n v="4"/>
    <n v="2"/>
    <x v="0"/>
    <x v="3"/>
    <s v="Divorced"/>
    <n v="5605"/>
    <n v="1"/>
    <x v="0"/>
    <n v="3"/>
    <n v="8"/>
    <n v="3"/>
    <n v="8"/>
    <n v="0"/>
    <n v="7"/>
    <n v="7"/>
    <x v="13"/>
    <n v="0"/>
    <x v="0"/>
    <x v="0"/>
    <s v="Long"/>
    <x v="1"/>
  </r>
  <r>
    <n v="26"/>
    <x v="278"/>
    <x v="1"/>
    <x v="1"/>
    <n v="1"/>
    <n v="3"/>
    <x v="0"/>
    <n v="3"/>
    <x v="0"/>
    <n v="3"/>
    <n v="2"/>
    <x v="3"/>
    <x v="1"/>
    <s v="Divorced"/>
    <n v="6397"/>
    <n v="1"/>
    <x v="1"/>
    <n v="1"/>
    <n v="6"/>
    <n v="1"/>
    <n v="6"/>
    <n v="5"/>
    <n v="1"/>
    <n v="4"/>
    <x v="5"/>
    <n v="0"/>
    <x v="2"/>
    <x v="0"/>
    <s v="Mid"/>
    <x v="1"/>
  </r>
  <r>
    <n v="50"/>
    <x v="279"/>
    <x v="1"/>
    <x v="1"/>
    <n v="4"/>
    <n v="1"/>
    <x v="0"/>
    <n v="1"/>
    <x v="1"/>
    <n v="3"/>
    <n v="5"/>
    <x v="7"/>
    <x v="1"/>
    <s v="Divorced"/>
    <n v="19144"/>
    <n v="3"/>
    <x v="1"/>
    <n v="1"/>
    <n v="28"/>
    <n v="2"/>
    <n v="10"/>
    <n v="4"/>
    <n v="1"/>
    <n v="6"/>
    <x v="9"/>
    <n v="0"/>
    <x v="1"/>
    <x v="2"/>
    <s v="Long"/>
    <x v="2"/>
  </r>
  <r>
    <n v="53"/>
    <x v="280"/>
    <x v="1"/>
    <x v="1"/>
    <n v="3"/>
    <n v="4"/>
    <x v="2"/>
    <n v="3"/>
    <x v="1"/>
    <n v="3"/>
    <n v="4"/>
    <x v="7"/>
    <x v="2"/>
    <s v="Married"/>
    <n v="17584"/>
    <n v="3"/>
    <x v="0"/>
    <n v="4"/>
    <n v="21"/>
    <n v="2"/>
    <n v="5"/>
    <n v="3"/>
    <n v="1"/>
    <n v="3"/>
    <x v="10"/>
    <n v="0"/>
    <x v="1"/>
    <x v="2"/>
    <s v="Mid"/>
    <x v="2"/>
  </r>
  <r>
    <n v="42"/>
    <x v="281"/>
    <x v="1"/>
    <x v="0"/>
    <n v="1"/>
    <n v="1"/>
    <x v="0"/>
    <n v="2"/>
    <x v="1"/>
    <n v="3"/>
    <n v="2"/>
    <x v="0"/>
    <x v="2"/>
    <s v="Married"/>
    <n v="4907"/>
    <n v="1"/>
    <x v="1"/>
    <n v="3"/>
    <n v="20"/>
    <n v="3"/>
    <n v="20"/>
    <n v="16"/>
    <n v="11"/>
    <n v="6"/>
    <x v="14"/>
    <n v="0"/>
    <x v="0"/>
    <x v="1"/>
    <s v="Long"/>
    <x v="1"/>
  </r>
  <r>
    <n v="29"/>
    <x v="282"/>
    <x v="1"/>
    <x v="0"/>
    <n v="2"/>
    <n v="2"/>
    <x v="0"/>
    <n v="2"/>
    <x v="1"/>
    <n v="3"/>
    <n v="2"/>
    <x v="0"/>
    <x v="0"/>
    <s v="Single"/>
    <n v="4554"/>
    <n v="1"/>
    <x v="1"/>
    <n v="1"/>
    <n v="10"/>
    <n v="2"/>
    <n v="10"/>
    <n v="7"/>
    <n v="0"/>
    <n v="9"/>
    <x v="11"/>
    <n v="0"/>
    <x v="2"/>
    <x v="1"/>
    <s v="Long"/>
    <x v="1"/>
  </r>
  <r>
    <n v="55"/>
    <x v="283"/>
    <x v="1"/>
    <x v="1"/>
    <n v="20"/>
    <n v="2"/>
    <x v="4"/>
    <n v="2"/>
    <x v="1"/>
    <n v="3"/>
    <n v="2"/>
    <x v="2"/>
    <x v="0"/>
    <s v="Married"/>
    <n v="5415"/>
    <n v="3"/>
    <x v="0"/>
    <n v="4"/>
    <n v="12"/>
    <n v="3"/>
    <n v="10"/>
    <n v="7"/>
    <n v="0"/>
    <n v="8"/>
    <x v="12"/>
    <n v="0"/>
    <x v="1"/>
    <x v="0"/>
    <s v="Long"/>
    <x v="1"/>
  </r>
  <r>
    <n v="26"/>
    <x v="284"/>
    <x v="1"/>
    <x v="1"/>
    <n v="11"/>
    <n v="2"/>
    <x v="2"/>
    <n v="1"/>
    <x v="1"/>
    <n v="3"/>
    <n v="2"/>
    <x v="4"/>
    <x v="3"/>
    <s v="Married"/>
    <n v="4741"/>
    <n v="1"/>
    <x v="0"/>
    <n v="3"/>
    <n v="5"/>
    <n v="3"/>
    <n v="5"/>
    <n v="3"/>
    <n v="3"/>
    <n v="3"/>
    <x v="4"/>
    <n v="0"/>
    <x v="2"/>
    <x v="1"/>
    <s v="Mid"/>
    <x v="2"/>
  </r>
  <r>
    <n v="37"/>
    <x v="285"/>
    <x v="1"/>
    <x v="1"/>
    <n v="1"/>
    <n v="3"/>
    <x v="0"/>
    <n v="4"/>
    <x v="0"/>
    <n v="3"/>
    <n v="1"/>
    <x v="1"/>
    <x v="0"/>
    <s v="Single"/>
    <n v="2115"/>
    <n v="1"/>
    <x v="1"/>
    <n v="2"/>
    <n v="17"/>
    <n v="3"/>
    <n v="17"/>
    <n v="12"/>
    <n v="5"/>
    <n v="7"/>
    <x v="3"/>
    <n v="0"/>
    <x v="0"/>
    <x v="1"/>
    <s v="Long"/>
    <x v="0"/>
  </r>
  <r>
    <n v="44"/>
    <x v="286"/>
    <x v="0"/>
    <x v="1"/>
    <n v="24"/>
    <n v="3"/>
    <x v="0"/>
    <n v="4"/>
    <x v="1"/>
    <n v="3"/>
    <n v="1"/>
    <x v="2"/>
    <x v="2"/>
    <s v="Divorced"/>
    <n v="3161"/>
    <n v="3"/>
    <x v="0"/>
    <n v="4"/>
    <n v="19"/>
    <n v="1"/>
    <n v="1"/>
    <n v="0"/>
    <n v="0"/>
    <n v="0"/>
    <x v="6"/>
    <n v="1"/>
    <x v="0"/>
    <x v="1"/>
    <s v="Early"/>
    <x v="1"/>
  </r>
  <r>
    <n v="38"/>
    <x v="287"/>
    <x v="1"/>
    <x v="1"/>
    <n v="23"/>
    <n v="4"/>
    <x v="0"/>
    <n v="4"/>
    <x v="1"/>
    <n v="3"/>
    <n v="2"/>
    <x v="4"/>
    <x v="0"/>
    <s v="Divorced"/>
    <n v="5745"/>
    <n v="9"/>
    <x v="1"/>
    <n v="2"/>
    <n v="10"/>
    <n v="3"/>
    <n v="2"/>
    <n v="2"/>
    <n v="1"/>
    <n v="2"/>
    <x v="9"/>
    <n v="0"/>
    <x v="0"/>
    <x v="0"/>
    <s v="Early"/>
    <x v="2"/>
  </r>
  <r>
    <n v="26"/>
    <x v="288"/>
    <x v="0"/>
    <x v="1"/>
    <n v="16"/>
    <n v="4"/>
    <x v="2"/>
    <n v="1"/>
    <x v="1"/>
    <n v="3"/>
    <n v="1"/>
    <x v="2"/>
    <x v="1"/>
    <s v="Divorced"/>
    <n v="2373"/>
    <n v="2"/>
    <x v="0"/>
    <n v="4"/>
    <n v="5"/>
    <n v="3"/>
    <n v="3"/>
    <n v="2"/>
    <n v="0"/>
    <n v="2"/>
    <x v="4"/>
    <n v="1"/>
    <x v="2"/>
    <x v="1"/>
    <s v="Mid"/>
    <x v="2"/>
  </r>
  <r>
    <n v="28"/>
    <x v="289"/>
    <x v="1"/>
    <x v="1"/>
    <n v="8"/>
    <n v="2"/>
    <x v="0"/>
    <n v="4"/>
    <x v="0"/>
    <n v="3"/>
    <n v="1"/>
    <x v="1"/>
    <x v="0"/>
    <s v="Single"/>
    <n v="3310"/>
    <n v="1"/>
    <x v="1"/>
    <n v="4"/>
    <n v="5"/>
    <n v="3"/>
    <n v="5"/>
    <n v="3"/>
    <n v="0"/>
    <n v="2"/>
    <x v="7"/>
    <n v="0"/>
    <x v="2"/>
    <x v="1"/>
    <s v="Mid"/>
    <x v="1"/>
  </r>
  <r>
    <n v="49"/>
    <x v="290"/>
    <x v="1"/>
    <x v="1"/>
    <n v="10"/>
    <n v="4"/>
    <x v="0"/>
    <n v="3"/>
    <x v="0"/>
    <n v="3"/>
    <n v="5"/>
    <x v="7"/>
    <x v="3"/>
    <s v="Single"/>
    <n v="18665"/>
    <n v="9"/>
    <x v="0"/>
    <n v="4"/>
    <n v="22"/>
    <n v="3"/>
    <n v="3"/>
    <n v="2"/>
    <n v="1"/>
    <n v="2"/>
    <x v="0"/>
    <n v="0"/>
    <x v="1"/>
    <x v="2"/>
    <s v="Mid"/>
    <x v="0"/>
  </r>
  <r>
    <n v="36"/>
    <x v="291"/>
    <x v="1"/>
    <x v="1"/>
    <n v="3"/>
    <n v="3"/>
    <x v="4"/>
    <n v="3"/>
    <x v="1"/>
    <n v="3"/>
    <n v="2"/>
    <x v="1"/>
    <x v="1"/>
    <s v="Single"/>
    <n v="4485"/>
    <n v="4"/>
    <x v="1"/>
    <n v="4"/>
    <n v="10"/>
    <n v="3"/>
    <n v="8"/>
    <n v="0"/>
    <n v="7"/>
    <n v="7"/>
    <x v="3"/>
    <n v="0"/>
    <x v="0"/>
    <x v="1"/>
    <s v="Long"/>
    <x v="0"/>
  </r>
  <r>
    <n v="31"/>
    <x v="292"/>
    <x v="1"/>
    <x v="0"/>
    <n v="5"/>
    <n v="3"/>
    <x v="3"/>
    <n v="4"/>
    <x v="0"/>
    <n v="3"/>
    <n v="1"/>
    <x v="6"/>
    <x v="1"/>
    <s v="Divorced"/>
    <n v="2789"/>
    <n v="1"/>
    <x v="1"/>
    <n v="3"/>
    <n v="2"/>
    <n v="2"/>
    <n v="2"/>
    <n v="2"/>
    <n v="2"/>
    <n v="2"/>
    <x v="0"/>
    <n v="0"/>
    <x v="0"/>
    <x v="1"/>
    <s v="Early"/>
    <x v="0"/>
  </r>
  <r>
    <n v="26"/>
    <x v="293"/>
    <x v="0"/>
    <x v="0"/>
    <n v="4"/>
    <n v="4"/>
    <x v="3"/>
    <n v="4"/>
    <x v="1"/>
    <n v="2"/>
    <n v="2"/>
    <x v="0"/>
    <x v="0"/>
    <s v="Single"/>
    <n v="5828"/>
    <n v="1"/>
    <x v="0"/>
    <n v="2"/>
    <n v="8"/>
    <n v="3"/>
    <n v="8"/>
    <n v="7"/>
    <n v="7"/>
    <n v="4"/>
    <x v="3"/>
    <n v="1"/>
    <x v="2"/>
    <x v="0"/>
    <s v="Long"/>
    <x v="0"/>
  </r>
  <r>
    <n v="37"/>
    <x v="294"/>
    <x v="1"/>
    <x v="1"/>
    <n v="9"/>
    <n v="3"/>
    <x v="2"/>
    <n v="2"/>
    <x v="1"/>
    <n v="3"/>
    <n v="1"/>
    <x v="1"/>
    <x v="0"/>
    <s v="Married"/>
    <n v="2326"/>
    <n v="1"/>
    <x v="0"/>
    <n v="3"/>
    <n v="4"/>
    <n v="2"/>
    <n v="4"/>
    <n v="2"/>
    <n v="1"/>
    <n v="2"/>
    <x v="3"/>
    <n v="0"/>
    <x v="0"/>
    <x v="1"/>
    <s v="Mid"/>
    <x v="0"/>
  </r>
  <r>
    <n v="42"/>
    <x v="295"/>
    <x v="1"/>
    <x v="0"/>
    <n v="26"/>
    <n v="3"/>
    <x v="3"/>
    <n v="3"/>
    <x v="0"/>
    <n v="3"/>
    <n v="4"/>
    <x v="0"/>
    <x v="1"/>
    <s v="Married"/>
    <n v="13525"/>
    <n v="5"/>
    <x v="1"/>
    <n v="4"/>
    <n v="23"/>
    <n v="4"/>
    <n v="20"/>
    <n v="4"/>
    <n v="4"/>
    <n v="8"/>
    <x v="9"/>
    <n v="0"/>
    <x v="0"/>
    <x v="2"/>
    <s v="Long"/>
    <x v="2"/>
  </r>
  <r>
    <n v="18"/>
    <x v="296"/>
    <x v="0"/>
    <x v="1"/>
    <n v="3"/>
    <n v="3"/>
    <x v="0"/>
    <n v="3"/>
    <x v="1"/>
    <n v="3"/>
    <n v="1"/>
    <x v="2"/>
    <x v="2"/>
    <s v="Single"/>
    <n v="1420"/>
    <n v="1"/>
    <x v="1"/>
    <n v="3"/>
    <n v="0"/>
    <n v="3"/>
    <n v="0"/>
    <n v="0"/>
    <n v="0"/>
    <n v="0"/>
    <x v="4"/>
    <n v="1"/>
    <x v="2"/>
    <x v="1"/>
    <s v="Early"/>
    <x v="2"/>
  </r>
  <r>
    <n v="35"/>
    <x v="297"/>
    <x v="1"/>
    <x v="0"/>
    <n v="16"/>
    <n v="3"/>
    <x v="3"/>
    <n v="3"/>
    <x v="1"/>
    <n v="3"/>
    <n v="3"/>
    <x v="0"/>
    <x v="1"/>
    <s v="Married"/>
    <n v="8020"/>
    <n v="0"/>
    <x v="1"/>
    <n v="3"/>
    <n v="12"/>
    <n v="2"/>
    <n v="11"/>
    <n v="9"/>
    <n v="6"/>
    <n v="9"/>
    <x v="2"/>
    <n v="0"/>
    <x v="0"/>
    <x v="0"/>
    <s v="Long"/>
    <x v="2"/>
  </r>
  <r>
    <n v="36"/>
    <x v="298"/>
    <x v="1"/>
    <x v="1"/>
    <n v="18"/>
    <n v="4"/>
    <x v="0"/>
    <n v="3"/>
    <x v="1"/>
    <n v="4"/>
    <n v="1"/>
    <x v="2"/>
    <x v="0"/>
    <s v="Married"/>
    <n v="3688"/>
    <n v="4"/>
    <x v="1"/>
    <n v="4"/>
    <n v="4"/>
    <n v="3"/>
    <n v="1"/>
    <n v="0"/>
    <n v="0"/>
    <n v="0"/>
    <x v="11"/>
    <n v="0"/>
    <x v="0"/>
    <x v="1"/>
    <s v="Early"/>
    <x v="1"/>
  </r>
  <r>
    <n v="51"/>
    <x v="299"/>
    <x v="1"/>
    <x v="1"/>
    <n v="2"/>
    <n v="3"/>
    <x v="2"/>
    <n v="4"/>
    <x v="1"/>
    <n v="1"/>
    <n v="2"/>
    <x v="3"/>
    <x v="1"/>
    <s v="Divorced"/>
    <n v="5482"/>
    <n v="5"/>
    <x v="1"/>
    <n v="4"/>
    <n v="13"/>
    <n v="3"/>
    <n v="4"/>
    <n v="1"/>
    <n v="1"/>
    <n v="2"/>
    <x v="11"/>
    <n v="0"/>
    <x v="1"/>
    <x v="0"/>
    <s v="Mid"/>
    <x v="1"/>
  </r>
  <r>
    <n v="41"/>
    <x v="300"/>
    <x v="1"/>
    <x v="0"/>
    <n v="2"/>
    <n v="4"/>
    <x v="0"/>
    <n v="4"/>
    <x v="1"/>
    <n v="3"/>
    <n v="4"/>
    <x v="5"/>
    <x v="1"/>
    <s v="Single"/>
    <n v="16015"/>
    <n v="1"/>
    <x v="1"/>
    <n v="2"/>
    <n v="22"/>
    <n v="3"/>
    <n v="22"/>
    <n v="10"/>
    <n v="0"/>
    <n v="4"/>
    <x v="12"/>
    <n v="0"/>
    <x v="0"/>
    <x v="2"/>
    <s v="Long"/>
    <x v="1"/>
  </r>
  <r>
    <n v="18"/>
    <x v="301"/>
    <x v="1"/>
    <x v="0"/>
    <n v="10"/>
    <n v="3"/>
    <x v="2"/>
    <n v="4"/>
    <x v="0"/>
    <n v="2"/>
    <n v="1"/>
    <x v="6"/>
    <x v="2"/>
    <s v="Single"/>
    <n v="1200"/>
    <n v="1"/>
    <x v="1"/>
    <n v="1"/>
    <n v="0"/>
    <n v="3"/>
    <n v="0"/>
    <n v="0"/>
    <n v="0"/>
    <n v="0"/>
    <x v="3"/>
    <n v="0"/>
    <x v="2"/>
    <x v="1"/>
    <s v="Early"/>
    <x v="0"/>
  </r>
  <r>
    <n v="28"/>
    <x v="302"/>
    <x v="1"/>
    <x v="1"/>
    <n v="16"/>
    <n v="2"/>
    <x v="2"/>
    <n v="2"/>
    <x v="1"/>
    <n v="4"/>
    <n v="2"/>
    <x v="4"/>
    <x v="3"/>
    <s v="Single"/>
    <n v="5661"/>
    <n v="0"/>
    <x v="1"/>
    <n v="3"/>
    <n v="9"/>
    <n v="3"/>
    <n v="8"/>
    <n v="3"/>
    <n v="0"/>
    <n v="7"/>
    <x v="12"/>
    <n v="0"/>
    <x v="2"/>
    <x v="0"/>
    <s v="Long"/>
    <x v="1"/>
  </r>
  <r>
    <n v="31"/>
    <x v="303"/>
    <x v="1"/>
    <x v="0"/>
    <n v="7"/>
    <n v="3"/>
    <x v="4"/>
    <n v="2"/>
    <x v="1"/>
    <n v="4"/>
    <n v="2"/>
    <x v="0"/>
    <x v="0"/>
    <s v="Married"/>
    <n v="6929"/>
    <n v="4"/>
    <x v="1"/>
    <n v="2"/>
    <n v="10"/>
    <n v="2"/>
    <n v="8"/>
    <n v="7"/>
    <n v="7"/>
    <n v="7"/>
    <x v="0"/>
    <n v="0"/>
    <x v="0"/>
    <x v="0"/>
    <s v="Long"/>
    <x v="0"/>
  </r>
  <r>
    <n v="39"/>
    <x v="304"/>
    <x v="1"/>
    <x v="1"/>
    <n v="1"/>
    <n v="3"/>
    <x v="2"/>
    <n v="3"/>
    <x v="1"/>
    <n v="4"/>
    <n v="3"/>
    <x v="4"/>
    <x v="0"/>
    <s v="Divorced"/>
    <n v="9613"/>
    <n v="0"/>
    <x v="1"/>
    <n v="1"/>
    <n v="19"/>
    <n v="2"/>
    <n v="18"/>
    <n v="10"/>
    <n v="3"/>
    <n v="7"/>
    <x v="8"/>
    <n v="0"/>
    <x v="0"/>
    <x v="0"/>
    <s v="Long"/>
    <x v="2"/>
  </r>
  <r>
    <n v="36"/>
    <x v="305"/>
    <x v="1"/>
    <x v="1"/>
    <n v="24"/>
    <n v="4"/>
    <x v="0"/>
    <n v="2"/>
    <x v="0"/>
    <n v="3"/>
    <n v="2"/>
    <x v="2"/>
    <x v="1"/>
    <s v="Married"/>
    <n v="5674"/>
    <n v="7"/>
    <x v="1"/>
    <n v="3"/>
    <n v="11"/>
    <n v="3"/>
    <n v="9"/>
    <n v="8"/>
    <n v="0"/>
    <n v="8"/>
    <x v="2"/>
    <n v="0"/>
    <x v="0"/>
    <x v="0"/>
    <s v="Long"/>
    <x v="2"/>
  </r>
  <r>
    <n v="32"/>
    <x v="306"/>
    <x v="1"/>
    <x v="0"/>
    <n v="7"/>
    <n v="3"/>
    <x v="0"/>
    <n v="4"/>
    <x v="1"/>
    <n v="2"/>
    <n v="2"/>
    <x v="0"/>
    <x v="2"/>
    <s v="Married"/>
    <n v="5484"/>
    <n v="1"/>
    <x v="1"/>
    <n v="3"/>
    <n v="13"/>
    <n v="2"/>
    <n v="13"/>
    <n v="8"/>
    <n v="4"/>
    <n v="8"/>
    <x v="9"/>
    <n v="0"/>
    <x v="0"/>
    <x v="0"/>
    <s v="Long"/>
    <x v="2"/>
  </r>
  <r>
    <n v="38"/>
    <x v="307"/>
    <x v="1"/>
    <x v="1"/>
    <n v="25"/>
    <n v="2"/>
    <x v="0"/>
    <n v="1"/>
    <x v="0"/>
    <n v="2"/>
    <n v="3"/>
    <x v="7"/>
    <x v="1"/>
    <s v="Married"/>
    <n v="12061"/>
    <n v="3"/>
    <x v="1"/>
    <n v="3"/>
    <n v="19"/>
    <n v="3"/>
    <n v="10"/>
    <n v="8"/>
    <n v="0"/>
    <n v="1"/>
    <x v="8"/>
    <n v="0"/>
    <x v="0"/>
    <x v="2"/>
    <s v="Long"/>
    <x v="2"/>
  </r>
  <r>
    <n v="58"/>
    <x v="308"/>
    <x v="1"/>
    <x v="1"/>
    <n v="1"/>
    <n v="4"/>
    <x v="0"/>
    <n v="4"/>
    <x v="1"/>
    <n v="1"/>
    <n v="2"/>
    <x v="4"/>
    <x v="2"/>
    <s v="Divorced"/>
    <n v="5660"/>
    <n v="2"/>
    <x v="0"/>
    <n v="4"/>
    <n v="12"/>
    <n v="3"/>
    <n v="5"/>
    <n v="3"/>
    <n v="1"/>
    <n v="2"/>
    <x v="4"/>
    <n v="0"/>
    <x v="1"/>
    <x v="0"/>
    <s v="Mid"/>
    <x v="2"/>
  </r>
  <r>
    <n v="31"/>
    <x v="309"/>
    <x v="1"/>
    <x v="1"/>
    <n v="5"/>
    <n v="4"/>
    <x v="4"/>
    <n v="3"/>
    <x v="1"/>
    <n v="3"/>
    <n v="1"/>
    <x v="1"/>
    <x v="0"/>
    <s v="Married"/>
    <n v="4821"/>
    <n v="0"/>
    <x v="0"/>
    <n v="3"/>
    <n v="6"/>
    <n v="3"/>
    <n v="5"/>
    <n v="2"/>
    <n v="0"/>
    <n v="3"/>
    <x v="3"/>
    <n v="0"/>
    <x v="0"/>
    <x v="1"/>
    <s v="Mid"/>
    <x v="0"/>
  </r>
  <r>
    <n v="31"/>
    <x v="310"/>
    <x v="1"/>
    <x v="2"/>
    <n v="2"/>
    <n v="3"/>
    <x v="5"/>
    <n v="1"/>
    <x v="1"/>
    <n v="2"/>
    <n v="2"/>
    <x v="8"/>
    <x v="3"/>
    <s v="Married"/>
    <n v="6410"/>
    <n v="3"/>
    <x v="1"/>
    <n v="4"/>
    <n v="9"/>
    <n v="3"/>
    <n v="2"/>
    <n v="2"/>
    <n v="1"/>
    <n v="0"/>
    <x v="3"/>
    <n v="0"/>
    <x v="0"/>
    <x v="0"/>
    <s v="Early"/>
    <x v="0"/>
  </r>
  <r>
    <n v="45"/>
    <x v="311"/>
    <x v="1"/>
    <x v="1"/>
    <n v="7"/>
    <n v="3"/>
    <x v="0"/>
    <n v="1"/>
    <x v="1"/>
    <n v="3"/>
    <n v="3"/>
    <x v="2"/>
    <x v="3"/>
    <s v="Divorced"/>
    <n v="5210"/>
    <n v="1"/>
    <x v="1"/>
    <n v="1"/>
    <n v="24"/>
    <n v="3"/>
    <n v="24"/>
    <n v="9"/>
    <n v="9"/>
    <n v="11"/>
    <x v="11"/>
    <n v="0"/>
    <x v="1"/>
    <x v="0"/>
    <s v="Long"/>
    <x v="1"/>
  </r>
  <r>
    <n v="31"/>
    <x v="312"/>
    <x v="1"/>
    <x v="1"/>
    <n v="2"/>
    <n v="4"/>
    <x v="0"/>
    <n v="3"/>
    <x v="1"/>
    <n v="3"/>
    <n v="1"/>
    <x v="1"/>
    <x v="0"/>
    <s v="Divorced"/>
    <n v="2695"/>
    <n v="0"/>
    <x v="0"/>
    <n v="2"/>
    <n v="3"/>
    <n v="1"/>
    <n v="2"/>
    <n v="2"/>
    <n v="2"/>
    <n v="2"/>
    <x v="11"/>
    <n v="0"/>
    <x v="0"/>
    <x v="1"/>
    <s v="Early"/>
    <x v="1"/>
  </r>
  <r>
    <n v="33"/>
    <x v="313"/>
    <x v="1"/>
    <x v="1"/>
    <n v="5"/>
    <n v="4"/>
    <x v="0"/>
    <n v="4"/>
    <x v="0"/>
    <n v="3"/>
    <n v="3"/>
    <x v="5"/>
    <x v="1"/>
    <s v="Married"/>
    <n v="11878"/>
    <n v="6"/>
    <x v="1"/>
    <n v="2"/>
    <n v="12"/>
    <n v="3"/>
    <n v="10"/>
    <n v="6"/>
    <n v="8"/>
    <n v="8"/>
    <x v="0"/>
    <n v="0"/>
    <x v="0"/>
    <x v="2"/>
    <s v="Long"/>
    <x v="0"/>
  </r>
  <r>
    <n v="39"/>
    <x v="314"/>
    <x v="1"/>
    <x v="1"/>
    <n v="10"/>
    <n v="1"/>
    <x v="2"/>
    <n v="3"/>
    <x v="1"/>
    <n v="3"/>
    <n v="4"/>
    <x v="5"/>
    <x v="3"/>
    <s v="Married"/>
    <n v="17068"/>
    <n v="1"/>
    <x v="0"/>
    <n v="4"/>
    <n v="21"/>
    <n v="3"/>
    <n v="21"/>
    <n v="9"/>
    <n v="11"/>
    <n v="10"/>
    <x v="9"/>
    <n v="0"/>
    <x v="0"/>
    <x v="2"/>
    <s v="Long"/>
    <x v="2"/>
  </r>
  <r>
    <n v="43"/>
    <x v="315"/>
    <x v="1"/>
    <x v="1"/>
    <n v="10"/>
    <n v="4"/>
    <x v="0"/>
    <n v="3"/>
    <x v="0"/>
    <n v="3"/>
    <n v="1"/>
    <x v="2"/>
    <x v="0"/>
    <s v="Single"/>
    <n v="2455"/>
    <n v="0"/>
    <x v="1"/>
    <n v="1"/>
    <n v="9"/>
    <n v="3"/>
    <n v="8"/>
    <n v="7"/>
    <n v="1"/>
    <n v="7"/>
    <x v="12"/>
    <n v="0"/>
    <x v="0"/>
    <x v="1"/>
    <s v="Long"/>
    <x v="1"/>
  </r>
  <r>
    <n v="49"/>
    <x v="316"/>
    <x v="1"/>
    <x v="1"/>
    <n v="1"/>
    <n v="2"/>
    <x v="4"/>
    <n v="3"/>
    <x v="0"/>
    <n v="2"/>
    <n v="4"/>
    <x v="4"/>
    <x v="2"/>
    <s v="Single"/>
    <n v="13964"/>
    <n v="7"/>
    <x v="0"/>
    <n v="4"/>
    <n v="25"/>
    <n v="3"/>
    <n v="7"/>
    <n v="1"/>
    <n v="0"/>
    <n v="7"/>
    <x v="3"/>
    <n v="0"/>
    <x v="1"/>
    <x v="2"/>
    <s v="Long"/>
    <x v="0"/>
  </r>
  <r>
    <n v="52"/>
    <x v="317"/>
    <x v="0"/>
    <x v="1"/>
    <n v="8"/>
    <n v="4"/>
    <x v="2"/>
    <n v="3"/>
    <x v="1"/>
    <n v="2"/>
    <n v="2"/>
    <x v="1"/>
    <x v="1"/>
    <s v="Married"/>
    <n v="4941"/>
    <n v="2"/>
    <x v="1"/>
    <n v="1"/>
    <n v="11"/>
    <n v="2"/>
    <n v="8"/>
    <n v="2"/>
    <n v="7"/>
    <n v="7"/>
    <x v="2"/>
    <n v="1"/>
    <x v="1"/>
    <x v="1"/>
    <s v="Long"/>
    <x v="2"/>
  </r>
  <r>
    <n v="27"/>
    <x v="318"/>
    <x v="1"/>
    <x v="1"/>
    <n v="5"/>
    <n v="3"/>
    <x v="0"/>
    <n v="3"/>
    <x v="0"/>
    <n v="3"/>
    <n v="1"/>
    <x v="1"/>
    <x v="1"/>
    <s v="Single"/>
    <n v="2478"/>
    <n v="1"/>
    <x v="0"/>
    <n v="2"/>
    <n v="4"/>
    <n v="2"/>
    <n v="4"/>
    <n v="3"/>
    <n v="1"/>
    <n v="2"/>
    <x v="3"/>
    <n v="0"/>
    <x v="2"/>
    <x v="1"/>
    <s v="Mid"/>
    <x v="0"/>
  </r>
  <r>
    <n v="32"/>
    <x v="319"/>
    <x v="1"/>
    <x v="0"/>
    <n v="8"/>
    <n v="2"/>
    <x v="4"/>
    <n v="3"/>
    <x v="0"/>
    <n v="2"/>
    <n v="2"/>
    <x v="0"/>
    <x v="1"/>
    <s v="Married"/>
    <n v="5228"/>
    <n v="1"/>
    <x v="0"/>
    <n v="4"/>
    <n v="13"/>
    <n v="3"/>
    <n v="13"/>
    <n v="12"/>
    <n v="11"/>
    <n v="9"/>
    <x v="0"/>
    <n v="0"/>
    <x v="0"/>
    <x v="0"/>
    <s v="Long"/>
    <x v="0"/>
  </r>
  <r>
    <n v="27"/>
    <x v="320"/>
    <x v="1"/>
    <x v="0"/>
    <n v="2"/>
    <n v="3"/>
    <x v="0"/>
    <n v="4"/>
    <x v="1"/>
    <n v="3"/>
    <n v="2"/>
    <x v="0"/>
    <x v="2"/>
    <s v="Single"/>
    <n v="4478"/>
    <n v="1"/>
    <x v="0"/>
    <n v="1"/>
    <n v="5"/>
    <n v="3"/>
    <n v="5"/>
    <n v="4"/>
    <n v="0"/>
    <n v="4"/>
    <x v="0"/>
    <n v="0"/>
    <x v="2"/>
    <x v="1"/>
    <s v="Mid"/>
    <x v="0"/>
  </r>
  <r>
    <n v="31"/>
    <x v="321"/>
    <x v="1"/>
    <x v="0"/>
    <n v="7"/>
    <n v="3"/>
    <x v="3"/>
    <n v="4"/>
    <x v="1"/>
    <n v="3"/>
    <n v="2"/>
    <x v="0"/>
    <x v="0"/>
    <s v="Divorced"/>
    <n v="7547"/>
    <n v="4"/>
    <x v="1"/>
    <n v="4"/>
    <n v="13"/>
    <n v="3"/>
    <n v="7"/>
    <n v="7"/>
    <n v="1"/>
    <n v="7"/>
    <x v="3"/>
    <n v="0"/>
    <x v="0"/>
    <x v="0"/>
    <s v="Long"/>
    <x v="0"/>
  </r>
  <r>
    <n v="32"/>
    <x v="322"/>
    <x v="1"/>
    <x v="1"/>
    <n v="2"/>
    <n v="4"/>
    <x v="2"/>
    <n v="1"/>
    <x v="0"/>
    <n v="4"/>
    <n v="2"/>
    <x v="1"/>
    <x v="0"/>
    <s v="Single"/>
    <n v="5055"/>
    <n v="7"/>
    <x v="1"/>
    <n v="3"/>
    <n v="10"/>
    <n v="2"/>
    <n v="7"/>
    <n v="7"/>
    <n v="0"/>
    <n v="7"/>
    <x v="10"/>
    <n v="0"/>
    <x v="0"/>
    <x v="0"/>
    <s v="Long"/>
    <x v="2"/>
  </r>
  <r>
    <n v="28"/>
    <x v="323"/>
    <x v="0"/>
    <x v="1"/>
    <n v="2"/>
    <n v="4"/>
    <x v="2"/>
    <n v="1"/>
    <x v="1"/>
    <n v="1"/>
    <n v="1"/>
    <x v="1"/>
    <x v="0"/>
    <s v="Married"/>
    <n v="3464"/>
    <n v="5"/>
    <x v="0"/>
    <n v="4"/>
    <n v="5"/>
    <n v="2"/>
    <n v="3"/>
    <n v="2"/>
    <n v="2"/>
    <n v="2"/>
    <x v="4"/>
    <n v="1"/>
    <x v="2"/>
    <x v="1"/>
    <s v="Mid"/>
    <x v="2"/>
  </r>
  <r>
    <n v="30"/>
    <x v="324"/>
    <x v="1"/>
    <x v="1"/>
    <n v="28"/>
    <n v="2"/>
    <x v="2"/>
    <n v="4"/>
    <x v="0"/>
    <n v="3"/>
    <n v="2"/>
    <x v="1"/>
    <x v="0"/>
    <s v="Married"/>
    <n v="5775"/>
    <n v="1"/>
    <x v="1"/>
    <n v="4"/>
    <n v="11"/>
    <n v="3"/>
    <n v="10"/>
    <n v="8"/>
    <n v="1"/>
    <n v="9"/>
    <x v="4"/>
    <n v="0"/>
    <x v="0"/>
    <x v="0"/>
    <s v="Long"/>
    <x v="2"/>
  </r>
  <r>
    <n v="31"/>
    <x v="325"/>
    <x v="1"/>
    <x v="1"/>
    <n v="7"/>
    <n v="2"/>
    <x v="0"/>
    <n v="3"/>
    <x v="0"/>
    <n v="2"/>
    <n v="3"/>
    <x v="3"/>
    <x v="2"/>
    <s v="Married"/>
    <n v="8943"/>
    <n v="1"/>
    <x v="1"/>
    <n v="1"/>
    <n v="10"/>
    <n v="3"/>
    <n v="10"/>
    <n v="9"/>
    <n v="8"/>
    <n v="9"/>
    <x v="13"/>
    <n v="0"/>
    <x v="0"/>
    <x v="0"/>
    <s v="Long"/>
    <x v="1"/>
  </r>
  <r>
    <n v="39"/>
    <x v="326"/>
    <x v="1"/>
    <x v="1"/>
    <n v="7"/>
    <n v="2"/>
    <x v="2"/>
    <n v="3"/>
    <x v="1"/>
    <n v="2"/>
    <n v="5"/>
    <x v="5"/>
    <x v="0"/>
    <s v="Married"/>
    <n v="19272"/>
    <n v="1"/>
    <x v="1"/>
    <n v="1"/>
    <n v="21"/>
    <n v="3"/>
    <n v="21"/>
    <n v="9"/>
    <n v="13"/>
    <n v="3"/>
    <x v="2"/>
    <n v="0"/>
    <x v="0"/>
    <x v="2"/>
    <s v="Long"/>
    <x v="2"/>
  </r>
  <r>
    <n v="39"/>
    <x v="327"/>
    <x v="0"/>
    <x v="0"/>
    <n v="3"/>
    <n v="2"/>
    <x v="2"/>
    <n v="4"/>
    <x v="0"/>
    <n v="3"/>
    <n v="2"/>
    <x v="0"/>
    <x v="2"/>
    <s v="Married"/>
    <n v="5238"/>
    <n v="4"/>
    <x v="0"/>
    <n v="1"/>
    <n v="12"/>
    <n v="2"/>
    <n v="1"/>
    <n v="0"/>
    <n v="0"/>
    <n v="0"/>
    <x v="11"/>
    <n v="1"/>
    <x v="0"/>
    <x v="0"/>
    <s v="Early"/>
    <x v="1"/>
  </r>
  <r>
    <n v="33"/>
    <x v="328"/>
    <x v="1"/>
    <x v="0"/>
    <n v="10"/>
    <n v="3"/>
    <x v="3"/>
    <n v="2"/>
    <x v="1"/>
    <n v="2"/>
    <n v="2"/>
    <x v="0"/>
    <x v="0"/>
    <s v="Single"/>
    <n v="4682"/>
    <n v="3"/>
    <x v="1"/>
    <n v="3"/>
    <n v="9"/>
    <n v="2"/>
    <n v="7"/>
    <n v="7"/>
    <n v="0"/>
    <n v="1"/>
    <x v="9"/>
    <n v="0"/>
    <x v="0"/>
    <x v="1"/>
    <s v="Long"/>
    <x v="2"/>
  </r>
  <r>
    <n v="47"/>
    <x v="329"/>
    <x v="1"/>
    <x v="1"/>
    <n v="5"/>
    <n v="5"/>
    <x v="0"/>
    <n v="4"/>
    <x v="1"/>
    <n v="3"/>
    <n v="5"/>
    <x v="7"/>
    <x v="2"/>
    <s v="Married"/>
    <n v="18300"/>
    <n v="4"/>
    <x v="1"/>
    <n v="2"/>
    <n v="21"/>
    <n v="3"/>
    <n v="3"/>
    <n v="2"/>
    <n v="1"/>
    <n v="1"/>
    <x v="0"/>
    <n v="0"/>
    <x v="1"/>
    <x v="2"/>
    <s v="Mid"/>
    <x v="0"/>
  </r>
  <r>
    <n v="43"/>
    <x v="330"/>
    <x v="1"/>
    <x v="1"/>
    <n v="10"/>
    <n v="4"/>
    <x v="0"/>
    <n v="3"/>
    <x v="0"/>
    <n v="2"/>
    <n v="2"/>
    <x v="2"/>
    <x v="2"/>
    <s v="Divorced"/>
    <n v="5257"/>
    <n v="1"/>
    <x v="1"/>
    <n v="2"/>
    <n v="9"/>
    <n v="4"/>
    <n v="9"/>
    <n v="7"/>
    <n v="0"/>
    <n v="0"/>
    <x v="0"/>
    <n v="0"/>
    <x v="0"/>
    <x v="0"/>
    <s v="Long"/>
    <x v="0"/>
  </r>
  <r>
    <n v="27"/>
    <x v="331"/>
    <x v="1"/>
    <x v="0"/>
    <n v="1"/>
    <n v="1"/>
    <x v="3"/>
    <n v="3"/>
    <x v="1"/>
    <n v="3"/>
    <n v="2"/>
    <x v="0"/>
    <x v="1"/>
    <s v="Married"/>
    <n v="6349"/>
    <n v="0"/>
    <x v="0"/>
    <n v="4"/>
    <n v="6"/>
    <n v="3"/>
    <n v="5"/>
    <n v="4"/>
    <n v="1"/>
    <n v="4"/>
    <x v="4"/>
    <n v="0"/>
    <x v="2"/>
    <x v="0"/>
    <s v="Mid"/>
    <x v="2"/>
  </r>
  <r>
    <n v="54"/>
    <x v="332"/>
    <x v="1"/>
    <x v="1"/>
    <n v="20"/>
    <n v="4"/>
    <x v="0"/>
    <n v="4"/>
    <x v="0"/>
    <n v="3"/>
    <n v="2"/>
    <x v="1"/>
    <x v="2"/>
    <s v="Single"/>
    <n v="4869"/>
    <n v="3"/>
    <x v="1"/>
    <n v="4"/>
    <n v="20"/>
    <n v="2"/>
    <n v="4"/>
    <n v="3"/>
    <n v="0"/>
    <n v="3"/>
    <x v="3"/>
    <n v="0"/>
    <x v="1"/>
    <x v="1"/>
    <s v="Mid"/>
    <x v="0"/>
  </r>
  <r>
    <n v="43"/>
    <x v="333"/>
    <x v="1"/>
    <x v="1"/>
    <n v="7"/>
    <n v="3"/>
    <x v="0"/>
    <n v="3"/>
    <x v="0"/>
    <n v="3"/>
    <n v="3"/>
    <x v="4"/>
    <x v="3"/>
    <s v="Married"/>
    <n v="9985"/>
    <n v="8"/>
    <x v="1"/>
    <n v="1"/>
    <n v="10"/>
    <n v="2"/>
    <n v="1"/>
    <n v="0"/>
    <n v="0"/>
    <n v="0"/>
    <x v="10"/>
    <n v="0"/>
    <x v="0"/>
    <x v="0"/>
    <s v="Early"/>
    <x v="2"/>
  </r>
  <r>
    <n v="45"/>
    <x v="334"/>
    <x v="1"/>
    <x v="1"/>
    <n v="8"/>
    <n v="4"/>
    <x v="1"/>
    <n v="4"/>
    <x v="1"/>
    <n v="3"/>
    <n v="2"/>
    <x v="1"/>
    <x v="0"/>
    <s v="Married"/>
    <n v="3697"/>
    <n v="9"/>
    <x v="1"/>
    <n v="1"/>
    <n v="12"/>
    <n v="3"/>
    <n v="10"/>
    <n v="9"/>
    <n v="9"/>
    <n v="8"/>
    <x v="9"/>
    <n v="0"/>
    <x v="1"/>
    <x v="1"/>
    <s v="Long"/>
    <x v="2"/>
  </r>
  <r>
    <n v="40"/>
    <x v="335"/>
    <x v="1"/>
    <x v="0"/>
    <n v="1"/>
    <n v="2"/>
    <x v="2"/>
    <n v="2"/>
    <x v="1"/>
    <n v="1"/>
    <n v="2"/>
    <x v="0"/>
    <x v="0"/>
    <s v="Married"/>
    <n v="7457"/>
    <n v="2"/>
    <x v="0"/>
    <n v="3"/>
    <n v="6"/>
    <n v="2"/>
    <n v="4"/>
    <n v="3"/>
    <n v="0"/>
    <n v="2"/>
    <x v="6"/>
    <n v="0"/>
    <x v="0"/>
    <x v="0"/>
    <s v="Mid"/>
    <x v="1"/>
  </r>
  <r>
    <n v="29"/>
    <x v="336"/>
    <x v="0"/>
    <x v="1"/>
    <n v="8"/>
    <n v="4"/>
    <x v="1"/>
    <n v="2"/>
    <x v="1"/>
    <n v="1"/>
    <n v="1"/>
    <x v="2"/>
    <x v="3"/>
    <s v="Married"/>
    <n v="2119"/>
    <n v="1"/>
    <x v="0"/>
    <n v="4"/>
    <n v="7"/>
    <n v="2"/>
    <n v="7"/>
    <n v="7"/>
    <n v="0"/>
    <n v="7"/>
    <x v="0"/>
    <n v="1"/>
    <x v="2"/>
    <x v="1"/>
    <s v="Long"/>
    <x v="0"/>
  </r>
  <r>
    <n v="29"/>
    <x v="337"/>
    <x v="1"/>
    <x v="1"/>
    <n v="9"/>
    <n v="5"/>
    <x v="1"/>
    <n v="2"/>
    <x v="1"/>
    <n v="2"/>
    <n v="1"/>
    <x v="2"/>
    <x v="0"/>
    <s v="Single"/>
    <n v="3983"/>
    <n v="0"/>
    <x v="1"/>
    <n v="3"/>
    <n v="4"/>
    <n v="3"/>
    <n v="3"/>
    <n v="2"/>
    <n v="2"/>
    <n v="2"/>
    <x v="8"/>
    <n v="0"/>
    <x v="2"/>
    <x v="1"/>
    <s v="Mid"/>
    <x v="2"/>
  </r>
  <r>
    <n v="30"/>
    <x v="338"/>
    <x v="1"/>
    <x v="0"/>
    <n v="5"/>
    <n v="3"/>
    <x v="3"/>
    <n v="4"/>
    <x v="0"/>
    <n v="2"/>
    <n v="2"/>
    <x v="0"/>
    <x v="2"/>
    <s v="Divorced"/>
    <n v="6118"/>
    <n v="1"/>
    <x v="1"/>
    <n v="3"/>
    <n v="10"/>
    <n v="3"/>
    <n v="10"/>
    <n v="9"/>
    <n v="1"/>
    <n v="2"/>
    <x v="4"/>
    <n v="0"/>
    <x v="0"/>
    <x v="0"/>
    <s v="Long"/>
    <x v="2"/>
  </r>
  <r>
    <n v="27"/>
    <x v="339"/>
    <x v="1"/>
    <x v="0"/>
    <n v="8"/>
    <n v="4"/>
    <x v="3"/>
    <n v="2"/>
    <x v="0"/>
    <n v="3"/>
    <n v="2"/>
    <x v="0"/>
    <x v="1"/>
    <s v="Married"/>
    <n v="6214"/>
    <n v="1"/>
    <x v="1"/>
    <n v="1"/>
    <n v="8"/>
    <n v="3"/>
    <n v="8"/>
    <n v="7"/>
    <n v="0"/>
    <n v="7"/>
    <x v="11"/>
    <n v="0"/>
    <x v="2"/>
    <x v="0"/>
    <s v="Long"/>
    <x v="1"/>
  </r>
  <r>
    <n v="37"/>
    <x v="340"/>
    <x v="1"/>
    <x v="1"/>
    <n v="5"/>
    <n v="2"/>
    <x v="2"/>
    <n v="4"/>
    <x v="1"/>
    <n v="3"/>
    <n v="2"/>
    <x v="3"/>
    <x v="0"/>
    <s v="Divorced"/>
    <n v="6347"/>
    <n v="7"/>
    <x v="1"/>
    <n v="3"/>
    <n v="8"/>
    <n v="2"/>
    <n v="6"/>
    <n v="2"/>
    <n v="0"/>
    <n v="4"/>
    <x v="10"/>
    <n v="0"/>
    <x v="0"/>
    <x v="0"/>
    <s v="Mid"/>
    <x v="2"/>
  </r>
  <r>
    <n v="38"/>
    <x v="341"/>
    <x v="1"/>
    <x v="1"/>
    <n v="15"/>
    <n v="2"/>
    <x v="0"/>
    <n v="3"/>
    <x v="1"/>
    <n v="2"/>
    <n v="3"/>
    <x v="7"/>
    <x v="0"/>
    <s v="Divorced"/>
    <n v="11510"/>
    <n v="0"/>
    <x v="0"/>
    <n v="2"/>
    <n v="12"/>
    <n v="3"/>
    <n v="11"/>
    <n v="10"/>
    <n v="2"/>
    <n v="9"/>
    <x v="9"/>
    <n v="0"/>
    <x v="0"/>
    <x v="2"/>
    <s v="Long"/>
    <x v="2"/>
  </r>
  <r>
    <n v="31"/>
    <x v="342"/>
    <x v="1"/>
    <x v="1"/>
    <n v="7"/>
    <n v="4"/>
    <x v="2"/>
    <n v="3"/>
    <x v="0"/>
    <n v="3"/>
    <n v="3"/>
    <x v="3"/>
    <x v="0"/>
    <s v="Single"/>
    <n v="7143"/>
    <n v="1"/>
    <x v="0"/>
    <n v="3"/>
    <n v="11"/>
    <n v="2"/>
    <n v="11"/>
    <n v="9"/>
    <n v="4"/>
    <n v="10"/>
    <x v="9"/>
    <n v="0"/>
    <x v="0"/>
    <x v="0"/>
    <s v="Long"/>
    <x v="2"/>
  </r>
  <r>
    <n v="29"/>
    <x v="343"/>
    <x v="1"/>
    <x v="0"/>
    <n v="10"/>
    <n v="1"/>
    <x v="3"/>
    <n v="4"/>
    <x v="0"/>
    <n v="2"/>
    <n v="2"/>
    <x v="0"/>
    <x v="1"/>
    <s v="Divorced"/>
    <n v="8268"/>
    <n v="1"/>
    <x v="0"/>
    <n v="1"/>
    <n v="7"/>
    <n v="3"/>
    <n v="7"/>
    <n v="7"/>
    <n v="1"/>
    <n v="7"/>
    <x v="9"/>
    <n v="0"/>
    <x v="2"/>
    <x v="0"/>
    <s v="Long"/>
    <x v="2"/>
  </r>
  <r>
    <n v="35"/>
    <x v="344"/>
    <x v="1"/>
    <x v="1"/>
    <n v="5"/>
    <n v="4"/>
    <x v="4"/>
    <n v="3"/>
    <x v="1"/>
    <n v="3"/>
    <n v="3"/>
    <x v="3"/>
    <x v="1"/>
    <s v="Single"/>
    <n v="8095"/>
    <n v="0"/>
    <x v="1"/>
    <n v="4"/>
    <n v="17"/>
    <n v="3"/>
    <n v="16"/>
    <n v="6"/>
    <n v="0"/>
    <n v="13"/>
    <x v="4"/>
    <n v="0"/>
    <x v="0"/>
    <x v="0"/>
    <s v="Long"/>
    <x v="2"/>
  </r>
  <r>
    <n v="23"/>
    <x v="345"/>
    <x v="1"/>
    <x v="1"/>
    <n v="26"/>
    <n v="1"/>
    <x v="0"/>
    <n v="3"/>
    <x v="1"/>
    <n v="3"/>
    <n v="1"/>
    <x v="1"/>
    <x v="0"/>
    <s v="Divorced"/>
    <n v="2904"/>
    <n v="1"/>
    <x v="1"/>
    <n v="3"/>
    <n v="4"/>
    <n v="2"/>
    <n v="4"/>
    <n v="2"/>
    <n v="0"/>
    <n v="2"/>
    <x v="3"/>
    <n v="0"/>
    <x v="2"/>
    <x v="1"/>
    <s v="Mid"/>
    <x v="0"/>
  </r>
  <r>
    <n v="41"/>
    <x v="346"/>
    <x v="1"/>
    <x v="1"/>
    <n v="6"/>
    <n v="3"/>
    <x v="2"/>
    <n v="4"/>
    <x v="1"/>
    <n v="2"/>
    <n v="2"/>
    <x v="3"/>
    <x v="1"/>
    <s v="Single"/>
    <n v="6032"/>
    <n v="6"/>
    <x v="0"/>
    <n v="4"/>
    <n v="8"/>
    <n v="3"/>
    <n v="5"/>
    <n v="4"/>
    <n v="1"/>
    <n v="2"/>
    <x v="2"/>
    <n v="0"/>
    <x v="0"/>
    <x v="0"/>
    <s v="Mid"/>
    <x v="2"/>
  </r>
  <r>
    <n v="47"/>
    <x v="347"/>
    <x v="1"/>
    <x v="0"/>
    <n v="4"/>
    <n v="1"/>
    <x v="2"/>
    <n v="2"/>
    <x v="1"/>
    <n v="3"/>
    <n v="2"/>
    <x v="6"/>
    <x v="2"/>
    <s v="Single"/>
    <n v="2976"/>
    <n v="3"/>
    <x v="1"/>
    <n v="1"/>
    <n v="5"/>
    <n v="3"/>
    <n v="0"/>
    <n v="0"/>
    <n v="0"/>
    <n v="0"/>
    <x v="12"/>
    <n v="0"/>
    <x v="1"/>
    <x v="1"/>
    <s v="Early"/>
    <x v="1"/>
  </r>
  <r>
    <n v="42"/>
    <x v="348"/>
    <x v="1"/>
    <x v="1"/>
    <n v="23"/>
    <n v="5"/>
    <x v="0"/>
    <n v="1"/>
    <x v="0"/>
    <n v="3"/>
    <n v="4"/>
    <x v="7"/>
    <x v="0"/>
    <s v="Single"/>
    <n v="15992"/>
    <n v="2"/>
    <x v="1"/>
    <n v="2"/>
    <n v="16"/>
    <n v="3"/>
    <n v="1"/>
    <n v="0"/>
    <n v="0"/>
    <n v="0"/>
    <x v="9"/>
    <n v="0"/>
    <x v="0"/>
    <x v="2"/>
    <s v="Early"/>
    <x v="2"/>
  </r>
  <r>
    <n v="29"/>
    <x v="349"/>
    <x v="1"/>
    <x v="0"/>
    <n v="2"/>
    <n v="3"/>
    <x v="0"/>
    <n v="4"/>
    <x v="1"/>
    <n v="3"/>
    <n v="2"/>
    <x v="0"/>
    <x v="2"/>
    <s v="Married"/>
    <n v="4649"/>
    <n v="1"/>
    <x v="1"/>
    <n v="1"/>
    <n v="4"/>
    <n v="2"/>
    <n v="4"/>
    <n v="3"/>
    <n v="0"/>
    <n v="2"/>
    <x v="9"/>
    <n v="0"/>
    <x v="2"/>
    <x v="1"/>
    <s v="Mid"/>
    <x v="2"/>
  </r>
  <r>
    <n v="42"/>
    <x v="350"/>
    <x v="1"/>
    <x v="2"/>
    <n v="2"/>
    <n v="1"/>
    <x v="4"/>
    <n v="3"/>
    <x v="1"/>
    <n v="3"/>
    <n v="1"/>
    <x v="8"/>
    <x v="2"/>
    <s v="Divorced"/>
    <n v="2696"/>
    <n v="0"/>
    <x v="0"/>
    <n v="3"/>
    <n v="4"/>
    <n v="3"/>
    <n v="3"/>
    <n v="2"/>
    <n v="1"/>
    <n v="0"/>
    <x v="0"/>
    <n v="0"/>
    <x v="0"/>
    <x v="1"/>
    <s v="Mid"/>
    <x v="0"/>
  </r>
  <r>
    <n v="32"/>
    <x v="351"/>
    <x v="1"/>
    <x v="1"/>
    <n v="2"/>
    <n v="3"/>
    <x v="2"/>
    <n v="3"/>
    <x v="0"/>
    <n v="3"/>
    <n v="1"/>
    <x v="2"/>
    <x v="1"/>
    <s v="Married"/>
    <n v="2370"/>
    <n v="1"/>
    <x v="1"/>
    <n v="3"/>
    <n v="8"/>
    <n v="3"/>
    <n v="8"/>
    <n v="0"/>
    <n v="0"/>
    <n v="7"/>
    <x v="4"/>
    <n v="0"/>
    <x v="0"/>
    <x v="1"/>
    <s v="Long"/>
    <x v="2"/>
  </r>
  <r>
    <n v="48"/>
    <x v="352"/>
    <x v="1"/>
    <x v="0"/>
    <n v="29"/>
    <n v="1"/>
    <x v="2"/>
    <n v="1"/>
    <x v="0"/>
    <n v="3"/>
    <n v="3"/>
    <x v="5"/>
    <x v="2"/>
    <s v="Married"/>
    <n v="12504"/>
    <n v="3"/>
    <x v="1"/>
    <n v="2"/>
    <n v="15"/>
    <n v="1"/>
    <n v="0"/>
    <n v="0"/>
    <n v="0"/>
    <n v="0"/>
    <x v="7"/>
    <n v="0"/>
    <x v="1"/>
    <x v="2"/>
    <s v="Early"/>
    <x v="1"/>
  </r>
  <r>
    <n v="37"/>
    <x v="353"/>
    <x v="1"/>
    <x v="1"/>
    <n v="6"/>
    <n v="3"/>
    <x v="2"/>
    <n v="3"/>
    <x v="1"/>
    <n v="4"/>
    <n v="2"/>
    <x v="1"/>
    <x v="3"/>
    <s v="Divorced"/>
    <n v="5974"/>
    <n v="4"/>
    <x v="0"/>
    <n v="1"/>
    <n v="13"/>
    <n v="3"/>
    <n v="7"/>
    <n v="7"/>
    <n v="6"/>
    <n v="7"/>
    <x v="4"/>
    <n v="0"/>
    <x v="0"/>
    <x v="0"/>
    <s v="Long"/>
    <x v="2"/>
  </r>
  <r>
    <n v="30"/>
    <x v="354"/>
    <x v="1"/>
    <x v="0"/>
    <n v="25"/>
    <n v="2"/>
    <x v="4"/>
    <n v="4"/>
    <x v="0"/>
    <n v="3"/>
    <n v="2"/>
    <x v="0"/>
    <x v="2"/>
    <s v="Married"/>
    <n v="4736"/>
    <n v="7"/>
    <x v="0"/>
    <n v="2"/>
    <n v="4"/>
    <n v="4"/>
    <n v="2"/>
    <n v="2"/>
    <n v="2"/>
    <n v="2"/>
    <x v="3"/>
    <n v="0"/>
    <x v="0"/>
    <x v="1"/>
    <s v="Early"/>
    <x v="0"/>
  </r>
  <r>
    <n v="26"/>
    <x v="355"/>
    <x v="1"/>
    <x v="0"/>
    <n v="1"/>
    <n v="3"/>
    <x v="0"/>
    <n v="3"/>
    <x v="1"/>
    <n v="3"/>
    <n v="2"/>
    <x v="0"/>
    <x v="2"/>
    <s v="Married"/>
    <n v="5296"/>
    <n v="1"/>
    <x v="1"/>
    <n v="2"/>
    <n v="8"/>
    <n v="3"/>
    <n v="8"/>
    <n v="7"/>
    <n v="7"/>
    <n v="7"/>
    <x v="8"/>
    <n v="0"/>
    <x v="2"/>
    <x v="0"/>
    <s v="Long"/>
    <x v="2"/>
  </r>
  <r>
    <n v="42"/>
    <x v="356"/>
    <x v="1"/>
    <x v="1"/>
    <n v="2"/>
    <n v="4"/>
    <x v="1"/>
    <n v="1"/>
    <x v="1"/>
    <n v="2"/>
    <n v="2"/>
    <x v="4"/>
    <x v="0"/>
    <s v="Single"/>
    <n v="6781"/>
    <n v="3"/>
    <x v="1"/>
    <n v="2"/>
    <n v="14"/>
    <n v="3"/>
    <n v="1"/>
    <n v="0"/>
    <n v="0"/>
    <n v="0"/>
    <x v="1"/>
    <n v="0"/>
    <x v="0"/>
    <x v="0"/>
    <s v="Early"/>
    <x v="1"/>
  </r>
  <r>
    <n v="21"/>
    <x v="357"/>
    <x v="0"/>
    <x v="0"/>
    <n v="1"/>
    <n v="1"/>
    <x v="4"/>
    <n v="1"/>
    <x v="0"/>
    <n v="2"/>
    <n v="1"/>
    <x v="6"/>
    <x v="1"/>
    <s v="Single"/>
    <n v="2174"/>
    <n v="1"/>
    <x v="0"/>
    <n v="3"/>
    <n v="3"/>
    <n v="3"/>
    <n v="3"/>
    <n v="2"/>
    <n v="1"/>
    <n v="2"/>
    <x v="0"/>
    <n v="1"/>
    <x v="2"/>
    <x v="1"/>
    <s v="Mid"/>
    <x v="0"/>
  </r>
  <r>
    <n v="36"/>
    <x v="358"/>
    <x v="1"/>
    <x v="0"/>
    <n v="1"/>
    <n v="5"/>
    <x v="2"/>
    <n v="4"/>
    <x v="0"/>
    <n v="3"/>
    <n v="2"/>
    <x v="0"/>
    <x v="0"/>
    <s v="Single"/>
    <n v="6653"/>
    <n v="4"/>
    <x v="1"/>
    <n v="2"/>
    <n v="7"/>
    <n v="3"/>
    <n v="1"/>
    <n v="0"/>
    <n v="0"/>
    <n v="0"/>
    <x v="2"/>
    <n v="0"/>
    <x v="0"/>
    <x v="0"/>
    <s v="Early"/>
    <x v="2"/>
  </r>
  <r>
    <n v="36"/>
    <x v="359"/>
    <x v="1"/>
    <x v="0"/>
    <n v="3"/>
    <n v="4"/>
    <x v="2"/>
    <n v="1"/>
    <x v="1"/>
    <n v="2"/>
    <n v="3"/>
    <x v="0"/>
    <x v="0"/>
    <s v="Married"/>
    <n v="9699"/>
    <n v="4"/>
    <x v="1"/>
    <n v="1"/>
    <n v="16"/>
    <n v="3"/>
    <n v="13"/>
    <n v="9"/>
    <n v="1"/>
    <n v="12"/>
    <x v="0"/>
    <n v="0"/>
    <x v="0"/>
    <x v="0"/>
    <s v="Long"/>
    <x v="0"/>
  </r>
  <r>
    <n v="57"/>
    <x v="360"/>
    <x v="1"/>
    <x v="1"/>
    <n v="1"/>
    <n v="4"/>
    <x v="2"/>
    <n v="4"/>
    <x v="1"/>
    <n v="3"/>
    <n v="2"/>
    <x v="4"/>
    <x v="2"/>
    <s v="Married"/>
    <n v="6755"/>
    <n v="2"/>
    <x v="1"/>
    <n v="3"/>
    <n v="15"/>
    <n v="3"/>
    <n v="3"/>
    <n v="2"/>
    <n v="1"/>
    <n v="2"/>
    <x v="0"/>
    <n v="0"/>
    <x v="1"/>
    <x v="0"/>
    <s v="Mid"/>
    <x v="0"/>
  </r>
  <r>
    <n v="40"/>
    <x v="361"/>
    <x v="1"/>
    <x v="1"/>
    <n v="10"/>
    <n v="4"/>
    <x v="0"/>
    <n v="4"/>
    <x v="0"/>
    <n v="4"/>
    <n v="1"/>
    <x v="2"/>
    <x v="2"/>
    <s v="Married"/>
    <n v="2213"/>
    <n v="3"/>
    <x v="0"/>
    <n v="3"/>
    <n v="10"/>
    <n v="3"/>
    <n v="7"/>
    <n v="7"/>
    <n v="1"/>
    <n v="7"/>
    <x v="4"/>
    <n v="0"/>
    <x v="0"/>
    <x v="1"/>
    <s v="Long"/>
    <x v="2"/>
  </r>
  <r>
    <n v="21"/>
    <x v="362"/>
    <x v="1"/>
    <x v="0"/>
    <n v="9"/>
    <n v="2"/>
    <x v="2"/>
    <n v="1"/>
    <x v="1"/>
    <n v="3"/>
    <n v="1"/>
    <x v="6"/>
    <x v="0"/>
    <s v="Single"/>
    <n v="2610"/>
    <n v="1"/>
    <x v="1"/>
    <n v="3"/>
    <n v="3"/>
    <n v="2"/>
    <n v="3"/>
    <n v="2"/>
    <n v="2"/>
    <n v="2"/>
    <x v="13"/>
    <n v="0"/>
    <x v="2"/>
    <x v="1"/>
    <s v="Mid"/>
    <x v="1"/>
  </r>
  <r>
    <n v="33"/>
    <x v="363"/>
    <x v="0"/>
    <x v="0"/>
    <n v="5"/>
    <n v="3"/>
    <x v="3"/>
    <n v="4"/>
    <x v="0"/>
    <n v="3"/>
    <n v="1"/>
    <x v="6"/>
    <x v="2"/>
    <s v="Single"/>
    <n v="2851"/>
    <n v="1"/>
    <x v="0"/>
    <n v="2"/>
    <n v="1"/>
    <n v="3"/>
    <n v="1"/>
    <n v="0"/>
    <n v="0"/>
    <n v="0"/>
    <x v="4"/>
    <n v="1"/>
    <x v="0"/>
    <x v="1"/>
    <s v="Early"/>
    <x v="2"/>
  </r>
  <r>
    <n v="37"/>
    <x v="364"/>
    <x v="1"/>
    <x v="1"/>
    <n v="10"/>
    <n v="3"/>
    <x v="2"/>
    <n v="3"/>
    <x v="0"/>
    <n v="3"/>
    <n v="1"/>
    <x v="2"/>
    <x v="3"/>
    <s v="Married"/>
    <n v="3452"/>
    <n v="6"/>
    <x v="1"/>
    <n v="2"/>
    <n v="17"/>
    <n v="3"/>
    <n v="5"/>
    <n v="4"/>
    <n v="0"/>
    <n v="3"/>
    <x v="5"/>
    <n v="0"/>
    <x v="0"/>
    <x v="1"/>
    <s v="Mid"/>
    <x v="1"/>
  </r>
  <r>
    <n v="46"/>
    <x v="365"/>
    <x v="1"/>
    <x v="1"/>
    <n v="7"/>
    <n v="4"/>
    <x v="2"/>
    <n v="3"/>
    <x v="0"/>
    <n v="3"/>
    <n v="2"/>
    <x v="3"/>
    <x v="2"/>
    <s v="Married"/>
    <n v="5258"/>
    <n v="2"/>
    <x v="1"/>
    <n v="3"/>
    <n v="7"/>
    <n v="4"/>
    <n v="1"/>
    <n v="0"/>
    <n v="0"/>
    <n v="0"/>
    <x v="9"/>
    <n v="0"/>
    <x v="1"/>
    <x v="0"/>
    <s v="Early"/>
    <x v="2"/>
  </r>
  <r>
    <n v="41"/>
    <x v="366"/>
    <x v="0"/>
    <x v="0"/>
    <n v="4"/>
    <n v="3"/>
    <x v="3"/>
    <n v="1"/>
    <x v="1"/>
    <n v="3"/>
    <n v="2"/>
    <x v="0"/>
    <x v="1"/>
    <s v="Single"/>
    <n v="9355"/>
    <n v="1"/>
    <x v="1"/>
    <n v="3"/>
    <n v="8"/>
    <n v="3"/>
    <n v="8"/>
    <n v="7"/>
    <n v="7"/>
    <n v="7"/>
    <x v="11"/>
    <n v="1"/>
    <x v="0"/>
    <x v="0"/>
    <s v="Long"/>
    <x v="1"/>
  </r>
  <r>
    <n v="50"/>
    <x v="367"/>
    <x v="1"/>
    <x v="1"/>
    <n v="10"/>
    <n v="3"/>
    <x v="4"/>
    <n v="4"/>
    <x v="1"/>
    <n v="2"/>
    <n v="3"/>
    <x v="4"/>
    <x v="0"/>
    <s v="Single"/>
    <n v="10496"/>
    <n v="6"/>
    <x v="1"/>
    <n v="4"/>
    <n v="20"/>
    <n v="3"/>
    <n v="4"/>
    <n v="3"/>
    <n v="1"/>
    <n v="3"/>
    <x v="2"/>
    <n v="0"/>
    <x v="1"/>
    <x v="2"/>
    <s v="Mid"/>
    <x v="2"/>
  </r>
  <r>
    <n v="40"/>
    <x v="368"/>
    <x v="0"/>
    <x v="0"/>
    <n v="22"/>
    <n v="2"/>
    <x v="3"/>
    <n v="3"/>
    <x v="1"/>
    <n v="2"/>
    <n v="2"/>
    <x v="0"/>
    <x v="2"/>
    <s v="Married"/>
    <n v="6380"/>
    <n v="2"/>
    <x v="0"/>
    <n v="1"/>
    <n v="8"/>
    <n v="3"/>
    <n v="6"/>
    <n v="4"/>
    <n v="1"/>
    <n v="0"/>
    <x v="3"/>
    <n v="1"/>
    <x v="0"/>
    <x v="0"/>
    <s v="Mid"/>
    <x v="0"/>
  </r>
  <r>
    <n v="31"/>
    <x v="369"/>
    <x v="1"/>
    <x v="1"/>
    <n v="9"/>
    <n v="4"/>
    <x v="0"/>
    <n v="3"/>
    <x v="1"/>
    <n v="2"/>
    <n v="1"/>
    <x v="1"/>
    <x v="1"/>
    <s v="Single"/>
    <n v="2657"/>
    <n v="0"/>
    <x v="0"/>
    <n v="4"/>
    <n v="3"/>
    <n v="3"/>
    <n v="2"/>
    <n v="2"/>
    <n v="2"/>
    <n v="2"/>
    <x v="10"/>
    <n v="0"/>
    <x v="0"/>
    <x v="1"/>
    <s v="Early"/>
    <x v="2"/>
  </r>
  <r>
    <n v="21"/>
    <x v="370"/>
    <x v="0"/>
    <x v="0"/>
    <n v="12"/>
    <n v="3"/>
    <x v="0"/>
    <n v="3"/>
    <x v="0"/>
    <n v="4"/>
    <n v="1"/>
    <x v="6"/>
    <x v="1"/>
    <s v="Single"/>
    <n v="2716"/>
    <n v="1"/>
    <x v="1"/>
    <n v="4"/>
    <n v="1"/>
    <n v="3"/>
    <n v="1"/>
    <n v="0"/>
    <n v="0"/>
    <n v="0"/>
    <x v="2"/>
    <n v="1"/>
    <x v="2"/>
    <x v="1"/>
    <s v="Early"/>
    <x v="2"/>
  </r>
  <r>
    <n v="29"/>
    <x v="371"/>
    <x v="1"/>
    <x v="1"/>
    <n v="23"/>
    <n v="3"/>
    <x v="0"/>
    <n v="4"/>
    <x v="1"/>
    <n v="3"/>
    <n v="1"/>
    <x v="1"/>
    <x v="0"/>
    <s v="Single"/>
    <n v="2201"/>
    <n v="9"/>
    <x v="1"/>
    <n v="4"/>
    <n v="6"/>
    <n v="3"/>
    <n v="3"/>
    <n v="2"/>
    <n v="1"/>
    <n v="2"/>
    <x v="10"/>
    <n v="0"/>
    <x v="2"/>
    <x v="1"/>
    <s v="Mid"/>
    <x v="2"/>
  </r>
  <r>
    <n v="35"/>
    <x v="372"/>
    <x v="1"/>
    <x v="1"/>
    <n v="9"/>
    <n v="4"/>
    <x v="0"/>
    <n v="3"/>
    <x v="1"/>
    <n v="2"/>
    <n v="2"/>
    <x v="4"/>
    <x v="1"/>
    <s v="Single"/>
    <n v="6540"/>
    <n v="9"/>
    <x v="1"/>
    <n v="3"/>
    <n v="10"/>
    <n v="3"/>
    <n v="1"/>
    <n v="1"/>
    <n v="0"/>
    <n v="0"/>
    <x v="12"/>
    <n v="0"/>
    <x v="0"/>
    <x v="0"/>
    <s v="Early"/>
    <x v="1"/>
  </r>
  <r>
    <n v="27"/>
    <x v="373"/>
    <x v="1"/>
    <x v="1"/>
    <n v="1"/>
    <n v="2"/>
    <x v="2"/>
    <n v="4"/>
    <x v="1"/>
    <n v="3"/>
    <n v="1"/>
    <x v="2"/>
    <x v="1"/>
    <s v="Divorced"/>
    <n v="3816"/>
    <n v="1"/>
    <x v="1"/>
    <n v="2"/>
    <n v="5"/>
    <n v="3"/>
    <n v="5"/>
    <n v="2"/>
    <n v="0"/>
    <n v="4"/>
    <x v="0"/>
    <n v="0"/>
    <x v="2"/>
    <x v="1"/>
    <s v="Mid"/>
    <x v="0"/>
  </r>
  <r>
    <n v="28"/>
    <x v="374"/>
    <x v="1"/>
    <x v="0"/>
    <n v="9"/>
    <n v="4"/>
    <x v="0"/>
    <n v="2"/>
    <x v="1"/>
    <n v="3"/>
    <n v="2"/>
    <x v="0"/>
    <x v="0"/>
    <s v="Single"/>
    <n v="5253"/>
    <n v="1"/>
    <x v="1"/>
    <n v="4"/>
    <n v="7"/>
    <n v="3"/>
    <n v="7"/>
    <n v="5"/>
    <n v="0"/>
    <n v="7"/>
    <x v="10"/>
    <n v="0"/>
    <x v="2"/>
    <x v="0"/>
    <s v="Long"/>
    <x v="2"/>
  </r>
  <r>
    <n v="49"/>
    <x v="375"/>
    <x v="1"/>
    <x v="1"/>
    <n v="7"/>
    <n v="3"/>
    <x v="1"/>
    <n v="2"/>
    <x v="1"/>
    <n v="2"/>
    <n v="3"/>
    <x v="4"/>
    <x v="2"/>
    <s v="Single"/>
    <n v="10965"/>
    <n v="8"/>
    <x v="1"/>
    <n v="3"/>
    <n v="26"/>
    <n v="3"/>
    <n v="5"/>
    <n v="2"/>
    <n v="0"/>
    <n v="0"/>
    <x v="13"/>
    <n v="0"/>
    <x v="1"/>
    <x v="2"/>
    <s v="Mid"/>
    <x v="1"/>
  </r>
  <r>
    <n v="51"/>
    <x v="376"/>
    <x v="1"/>
    <x v="0"/>
    <n v="14"/>
    <n v="2"/>
    <x v="0"/>
    <n v="3"/>
    <x v="0"/>
    <n v="3"/>
    <n v="2"/>
    <x v="0"/>
    <x v="0"/>
    <s v="Married"/>
    <n v="4936"/>
    <n v="4"/>
    <x v="1"/>
    <n v="3"/>
    <n v="18"/>
    <n v="2"/>
    <n v="7"/>
    <n v="7"/>
    <n v="0"/>
    <n v="7"/>
    <x v="0"/>
    <n v="0"/>
    <x v="1"/>
    <x v="1"/>
    <s v="Long"/>
    <x v="0"/>
  </r>
  <r>
    <n v="36"/>
    <x v="377"/>
    <x v="1"/>
    <x v="1"/>
    <n v="2"/>
    <n v="3"/>
    <x v="0"/>
    <n v="4"/>
    <x v="0"/>
    <n v="3"/>
    <n v="1"/>
    <x v="1"/>
    <x v="2"/>
    <s v="Married"/>
    <n v="2543"/>
    <n v="4"/>
    <x v="1"/>
    <n v="2"/>
    <n v="6"/>
    <n v="3"/>
    <n v="2"/>
    <n v="2"/>
    <n v="2"/>
    <n v="2"/>
    <x v="4"/>
    <n v="0"/>
    <x v="0"/>
    <x v="1"/>
    <s v="Early"/>
    <x v="2"/>
  </r>
  <r>
    <n v="34"/>
    <x v="378"/>
    <x v="0"/>
    <x v="0"/>
    <n v="19"/>
    <n v="3"/>
    <x v="3"/>
    <n v="1"/>
    <x v="1"/>
    <n v="4"/>
    <n v="2"/>
    <x v="0"/>
    <x v="0"/>
    <s v="Single"/>
    <n v="5304"/>
    <n v="8"/>
    <x v="0"/>
    <n v="2"/>
    <n v="9"/>
    <n v="2"/>
    <n v="5"/>
    <n v="2"/>
    <n v="0"/>
    <n v="4"/>
    <x v="4"/>
    <n v="1"/>
    <x v="0"/>
    <x v="0"/>
    <s v="Mid"/>
    <x v="2"/>
  </r>
  <r>
    <n v="55"/>
    <x v="379"/>
    <x v="1"/>
    <x v="1"/>
    <n v="2"/>
    <n v="3"/>
    <x v="0"/>
    <n v="3"/>
    <x v="0"/>
    <n v="3"/>
    <n v="4"/>
    <x v="5"/>
    <x v="0"/>
    <s v="Single"/>
    <n v="16659"/>
    <n v="2"/>
    <x v="0"/>
    <n v="3"/>
    <n v="30"/>
    <n v="3"/>
    <n v="5"/>
    <n v="4"/>
    <n v="1"/>
    <n v="2"/>
    <x v="4"/>
    <n v="0"/>
    <x v="1"/>
    <x v="2"/>
    <s v="Mid"/>
    <x v="2"/>
  </r>
  <r>
    <n v="24"/>
    <x v="380"/>
    <x v="1"/>
    <x v="0"/>
    <n v="10"/>
    <n v="4"/>
    <x v="3"/>
    <n v="4"/>
    <x v="0"/>
    <n v="3"/>
    <n v="2"/>
    <x v="0"/>
    <x v="2"/>
    <s v="Divorced"/>
    <n v="4260"/>
    <n v="1"/>
    <x v="0"/>
    <n v="4"/>
    <n v="5"/>
    <n v="4"/>
    <n v="5"/>
    <n v="2"/>
    <n v="0"/>
    <n v="3"/>
    <x v="3"/>
    <n v="0"/>
    <x v="2"/>
    <x v="1"/>
    <s v="Mid"/>
    <x v="0"/>
  </r>
  <r>
    <n v="30"/>
    <x v="381"/>
    <x v="1"/>
    <x v="0"/>
    <n v="2"/>
    <n v="1"/>
    <x v="4"/>
    <n v="3"/>
    <x v="1"/>
    <n v="3"/>
    <n v="1"/>
    <x v="6"/>
    <x v="1"/>
    <s v="Married"/>
    <n v="2476"/>
    <n v="1"/>
    <x v="1"/>
    <n v="1"/>
    <n v="1"/>
    <n v="3"/>
    <n v="1"/>
    <n v="0"/>
    <n v="0"/>
    <n v="0"/>
    <x v="11"/>
    <n v="0"/>
    <x v="0"/>
    <x v="1"/>
    <s v="Early"/>
    <x v="1"/>
  </r>
  <r>
    <n v="26"/>
    <x v="382"/>
    <x v="0"/>
    <x v="1"/>
    <n v="3"/>
    <n v="1"/>
    <x v="4"/>
    <n v="3"/>
    <x v="1"/>
    <n v="3"/>
    <n v="1"/>
    <x v="1"/>
    <x v="3"/>
    <s v="Single"/>
    <n v="3102"/>
    <n v="0"/>
    <x v="1"/>
    <n v="3"/>
    <n v="7"/>
    <n v="3"/>
    <n v="6"/>
    <n v="4"/>
    <n v="0"/>
    <n v="4"/>
    <x v="6"/>
    <n v="1"/>
    <x v="2"/>
    <x v="1"/>
    <s v="Mid"/>
    <x v="1"/>
  </r>
  <r>
    <n v="22"/>
    <x v="383"/>
    <x v="1"/>
    <x v="1"/>
    <n v="11"/>
    <n v="3"/>
    <x v="2"/>
    <n v="1"/>
    <x v="0"/>
    <n v="3"/>
    <n v="1"/>
    <x v="1"/>
    <x v="1"/>
    <s v="Married"/>
    <n v="2244"/>
    <n v="1"/>
    <x v="1"/>
    <n v="4"/>
    <n v="2"/>
    <n v="3"/>
    <n v="2"/>
    <n v="1"/>
    <n v="1"/>
    <n v="2"/>
    <x v="4"/>
    <n v="0"/>
    <x v="2"/>
    <x v="1"/>
    <s v="Early"/>
    <x v="2"/>
  </r>
  <r>
    <n v="36"/>
    <x v="384"/>
    <x v="1"/>
    <x v="0"/>
    <n v="2"/>
    <n v="2"/>
    <x v="2"/>
    <n v="2"/>
    <x v="1"/>
    <n v="2"/>
    <n v="3"/>
    <x v="0"/>
    <x v="2"/>
    <s v="Married"/>
    <n v="7596"/>
    <n v="1"/>
    <x v="1"/>
    <n v="2"/>
    <n v="10"/>
    <n v="3"/>
    <n v="10"/>
    <n v="9"/>
    <n v="9"/>
    <n v="0"/>
    <x v="4"/>
    <n v="0"/>
    <x v="0"/>
    <x v="0"/>
    <s v="Long"/>
    <x v="2"/>
  </r>
  <r>
    <n v="30"/>
    <x v="385"/>
    <x v="0"/>
    <x v="1"/>
    <n v="4"/>
    <n v="3"/>
    <x v="4"/>
    <n v="3"/>
    <x v="1"/>
    <n v="3"/>
    <n v="1"/>
    <x v="1"/>
    <x v="0"/>
    <s v="Single"/>
    <n v="2285"/>
    <n v="9"/>
    <x v="0"/>
    <n v="3"/>
    <n v="3"/>
    <n v="3"/>
    <n v="1"/>
    <n v="0"/>
    <n v="0"/>
    <n v="0"/>
    <x v="1"/>
    <n v="1"/>
    <x v="0"/>
    <x v="1"/>
    <s v="Early"/>
    <x v="1"/>
  </r>
  <r>
    <n v="37"/>
    <x v="386"/>
    <x v="1"/>
    <x v="1"/>
    <n v="14"/>
    <n v="3"/>
    <x v="0"/>
    <n v="4"/>
    <x v="0"/>
    <n v="3"/>
    <n v="1"/>
    <x v="2"/>
    <x v="3"/>
    <s v="Divorced"/>
    <n v="3034"/>
    <n v="1"/>
    <x v="1"/>
    <n v="3"/>
    <n v="18"/>
    <n v="2"/>
    <n v="18"/>
    <n v="7"/>
    <n v="12"/>
    <n v="17"/>
    <x v="3"/>
    <n v="0"/>
    <x v="0"/>
    <x v="1"/>
    <s v="Long"/>
    <x v="0"/>
  </r>
  <r>
    <n v="40"/>
    <x v="387"/>
    <x v="1"/>
    <x v="0"/>
    <n v="2"/>
    <n v="2"/>
    <x v="3"/>
    <n v="4"/>
    <x v="0"/>
    <n v="3"/>
    <n v="2"/>
    <x v="0"/>
    <x v="1"/>
    <s v="Divorced"/>
    <n v="5715"/>
    <n v="7"/>
    <x v="1"/>
    <n v="3"/>
    <n v="8"/>
    <n v="3"/>
    <n v="5"/>
    <n v="4"/>
    <n v="1"/>
    <n v="3"/>
    <x v="3"/>
    <n v="0"/>
    <x v="0"/>
    <x v="0"/>
    <s v="Mid"/>
    <x v="0"/>
  </r>
  <r>
    <n v="42"/>
    <x v="388"/>
    <x v="1"/>
    <x v="1"/>
    <n v="1"/>
    <n v="4"/>
    <x v="0"/>
    <n v="2"/>
    <x v="0"/>
    <n v="3"/>
    <n v="1"/>
    <x v="2"/>
    <x v="3"/>
    <s v="Divorced"/>
    <n v="2576"/>
    <n v="3"/>
    <x v="1"/>
    <n v="2"/>
    <n v="8"/>
    <n v="3"/>
    <n v="5"/>
    <n v="2"/>
    <n v="1"/>
    <n v="2"/>
    <x v="10"/>
    <n v="0"/>
    <x v="0"/>
    <x v="1"/>
    <s v="Mid"/>
    <x v="2"/>
  </r>
  <r>
    <n v="37"/>
    <x v="389"/>
    <x v="1"/>
    <x v="1"/>
    <n v="10"/>
    <n v="4"/>
    <x v="0"/>
    <n v="3"/>
    <x v="1"/>
    <n v="3"/>
    <n v="2"/>
    <x v="3"/>
    <x v="1"/>
    <s v="Single"/>
    <n v="4197"/>
    <n v="2"/>
    <x v="0"/>
    <n v="4"/>
    <n v="18"/>
    <n v="2"/>
    <n v="1"/>
    <n v="0"/>
    <n v="0"/>
    <n v="1"/>
    <x v="3"/>
    <n v="0"/>
    <x v="0"/>
    <x v="1"/>
    <s v="Early"/>
    <x v="0"/>
  </r>
  <r>
    <n v="43"/>
    <x v="390"/>
    <x v="1"/>
    <x v="1"/>
    <n v="12"/>
    <n v="3"/>
    <x v="0"/>
    <n v="1"/>
    <x v="1"/>
    <n v="2"/>
    <n v="4"/>
    <x v="7"/>
    <x v="1"/>
    <s v="Divorced"/>
    <n v="14336"/>
    <n v="1"/>
    <x v="1"/>
    <n v="3"/>
    <n v="25"/>
    <n v="3"/>
    <n v="25"/>
    <n v="10"/>
    <n v="3"/>
    <n v="9"/>
    <x v="0"/>
    <n v="0"/>
    <x v="0"/>
    <x v="2"/>
    <s v="Long"/>
    <x v="0"/>
  </r>
  <r>
    <n v="40"/>
    <x v="391"/>
    <x v="1"/>
    <x v="1"/>
    <n v="2"/>
    <n v="3"/>
    <x v="2"/>
    <n v="2"/>
    <x v="0"/>
    <n v="2"/>
    <n v="2"/>
    <x v="2"/>
    <x v="2"/>
    <s v="Married"/>
    <n v="3448"/>
    <n v="6"/>
    <x v="1"/>
    <n v="2"/>
    <n v="20"/>
    <n v="3"/>
    <n v="1"/>
    <n v="0"/>
    <n v="0"/>
    <n v="0"/>
    <x v="6"/>
    <n v="0"/>
    <x v="0"/>
    <x v="1"/>
    <s v="Early"/>
    <x v="1"/>
  </r>
  <r>
    <n v="54"/>
    <x v="392"/>
    <x v="1"/>
    <x v="1"/>
    <n v="5"/>
    <n v="2"/>
    <x v="2"/>
    <n v="1"/>
    <x v="1"/>
    <n v="3"/>
    <n v="5"/>
    <x v="7"/>
    <x v="3"/>
    <s v="Married"/>
    <n v="19406"/>
    <n v="4"/>
    <x v="1"/>
    <n v="3"/>
    <n v="24"/>
    <n v="2"/>
    <n v="4"/>
    <n v="2"/>
    <n v="1"/>
    <n v="2"/>
    <x v="0"/>
    <n v="0"/>
    <x v="1"/>
    <x v="2"/>
    <s v="Mid"/>
    <x v="0"/>
  </r>
  <r>
    <n v="34"/>
    <x v="393"/>
    <x v="1"/>
    <x v="0"/>
    <n v="4"/>
    <n v="4"/>
    <x v="3"/>
    <n v="3"/>
    <x v="0"/>
    <n v="3"/>
    <n v="2"/>
    <x v="0"/>
    <x v="2"/>
    <s v="Married"/>
    <n v="6538"/>
    <n v="9"/>
    <x v="1"/>
    <n v="1"/>
    <n v="6"/>
    <n v="3"/>
    <n v="3"/>
    <n v="2"/>
    <n v="1"/>
    <n v="2"/>
    <x v="2"/>
    <n v="0"/>
    <x v="0"/>
    <x v="0"/>
    <s v="Mid"/>
    <x v="2"/>
  </r>
  <r>
    <n v="31"/>
    <x v="394"/>
    <x v="1"/>
    <x v="1"/>
    <n v="7"/>
    <n v="2"/>
    <x v="2"/>
    <n v="2"/>
    <x v="0"/>
    <n v="3"/>
    <n v="2"/>
    <x v="3"/>
    <x v="3"/>
    <s v="Married"/>
    <n v="4306"/>
    <n v="1"/>
    <x v="1"/>
    <n v="2"/>
    <n v="13"/>
    <n v="1"/>
    <n v="13"/>
    <n v="10"/>
    <n v="3"/>
    <n v="12"/>
    <x v="3"/>
    <n v="0"/>
    <x v="0"/>
    <x v="1"/>
    <s v="Long"/>
    <x v="0"/>
  </r>
  <r>
    <n v="43"/>
    <x v="395"/>
    <x v="1"/>
    <x v="1"/>
    <n v="21"/>
    <n v="3"/>
    <x v="2"/>
    <n v="4"/>
    <x v="1"/>
    <n v="3"/>
    <n v="1"/>
    <x v="2"/>
    <x v="0"/>
    <s v="Married"/>
    <n v="2258"/>
    <n v="7"/>
    <x v="1"/>
    <n v="1"/>
    <n v="8"/>
    <n v="3"/>
    <n v="3"/>
    <n v="2"/>
    <n v="1"/>
    <n v="2"/>
    <x v="5"/>
    <n v="0"/>
    <x v="0"/>
    <x v="1"/>
    <s v="Mid"/>
    <x v="1"/>
  </r>
  <r>
    <n v="43"/>
    <x v="396"/>
    <x v="1"/>
    <x v="1"/>
    <n v="8"/>
    <n v="4"/>
    <x v="1"/>
    <n v="3"/>
    <x v="0"/>
    <n v="3"/>
    <n v="2"/>
    <x v="4"/>
    <x v="2"/>
    <s v="Divorced"/>
    <n v="4522"/>
    <n v="4"/>
    <x v="0"/>
    <n v="4"/>
    <n v="8"/>
    <n v="3"/>
    <n v="5"/>
    <n v="2"/>
    <n v="0"/>
    <n v="2"/>
    <x v="9"/>
    <n v="0"/>
    <x v="0"/>
    <x v="1"/>
    <s v="Mid"/>
    <x v="2"/>
  </r>
  <r>
    <n v="25"/>
    <x v="397"/>
    <x v="1"/>
    <x v="0"/>
    <n v="4"/>
    <n v="2"/>
    <x v="0"/>
    <n v="2"/>
    <x v="0"/>
    <n v="2"/>
    <n v="2"/>
    <x v="0"/>
    <x v="0"/>
    <s v="Single"/>
    <n v="4487"/>
    <n v="1"/>
    <x v="0"/>
    <n v="2"/>
    <n v="5"/>
    <n v="3"/>
    <n v="5"/>
    <n v="4"/>
    <n v="1"/>
    <n v="3"/>
    <x v="0"/>
    <n v="0"/>
    <x v="2"/>
    <x v="1"/>
    <s v="Mid"/>
    <x v="0"/>
  </r>
  <r>
    <n v="37"/>
    <x v="398"/>
    <x v="1"/>
    <x v="1"/>
    <n v="25"/>
    <n v="5"/>
    <x v="2"/>
    <n v="2"/>
    <x v="0"/>
    <n v="3"/>
    <n v="2"/>
    <x v="1"/>
    <x v="2"/>
    <s v="Married"/>
    <n v="4449"/>
    <n v="3"/>
    <x v="0"/>
    <n v="1"/>
    <n v="15"/>
    <n v="3"/>
    <n v="13"/>
    <n v="11"/>
    <n v="10"/>
    <n v="7"/>
    <x v="2"/>
    <n v="0"/>
    <x v="0"/>
    <x v="1"/>
    <s v="Long"/>
    <x v="2"/>
  </r>
  <r>
    <n v="31"/>
    <x v="399"/>
    <x v="1"/>
    <x v="1"/>
    <n v="1"/>
    <n v="2"/>
    <x v="0"/>
    <n v="4"/>
    <x v="1"/>
    <n v="2"/>
    <n v="1"/>
    <x v="2"/>
    <x v="3"/>
    <s v="Married"/>
    <n v="2218"/>
    <n v="1"/>
    <x v="1"/>
    <n v="3"/>
    <n v="4"/>
    <n v="3"/>
    <n v="4"/>
    <n v="2"/>
    <n v="3"/>
    <n v="2"/>
    <x v="3"/>
    <n v="0"/>
    <x v="0"/>
    <x v="1"/>
    <s v="Mid"/>
    <x v="0"/>
  </r>
  <r>
    <n v="39"/>
    <x v="400"/>
    <x v="1"/>
    <x v="1"/>
    <n v="1"/>
    <n v="1"/>
    <x v="0"/>
    <n v="2"/>
    <x v="1"/>
    <n v="3"/>
    <n v="5"/>
    <x v="5"/>
    <x v="2"/>
    <s v="Divorced"/>
    <n v="19197"/>
    <n v="1"/>
    <x v="0"/>
    <n v="3"/>
    <n v="21"/>
    <n v="3"/>
    <n v="21"/>
    <n v="8"/>
    <n v="1"/>
    <n v="6"/>
    <x v="9"/>
    <n v="0"/>
    <x v="0"/>
    <x v="2"/>
    <s v="Long"/>
    <x v="2"/>
  </r>
  <r>
    <n v="56"/>
    <x v="401"/>
    <x v="1"/>
    <x v="0"/>
    <n v="6"/>
    <n v="3"/>
    <x v="0"/>
    <n v="3"/>
    <x v="0"/>
    <n v="4"/>
    <n v="4"/>
    <x v="0"/>
    <x v="3"/>
    <s v="Married"/>
    <n v="13212"/>
    <n v="9"/>
    <x v="1"/>
    <n v="4"/>
    <n v="36"/>
    <n v="2"/>
    <n v="7"/>
    <n v="7"/>
    <n v="7"/>
    <n v="7"/>
    <x v="0"/>
    <n v="0"/>
    <x v="1"/>
    <x v="2"/>
    <s v="Long"/>
    <x v="0"/>
  </r>
  <r>
    <n v="30"/>
    <x v="402"/>
    <x v="1"/>
    <x v="0"/>
    <n v="12"/>
    <n v="3"/>
    <x v="4"/>
    <n v="2"/>
    <x v="0"/>
    <n v="3"/>
    <n v="2"/>
    <x v="0"/>
    <x v="2"/>
    <s v="Single"/>
    <n v="6577"/>
    <n v="0"/>
    <x v="1"/>
    <n v="2"/>
    <n v="6"/>
    <n v="3"/>
    <n v="5"/>
    <n v="4"/>
    <n v="4"/>
    <n v="4"/>
    <x v="0"/>
    <n v="0"/>
    <x v="0"/>
    <x v="0"/>
    <s v="Mid"/>
    <x v="0"/>
  </r>
  <r>
    <n v="41"/>
    <x v="403"/>
    <x v="1"/>
    <x v="0"/>
    <n v="1"/>
    <n v="3"/>
    <x v="3"/>
    <n v="2"/>
    <x v="1"/>
    <n v="4"/>
    <n v="3"/>
    <x v="0"/>
    <x v="3"/>
    <s v="Married"/>
    <n v="8392"/>
    <n v="1"/>
    <x v="1"/>
    <n v="3"/>
    <n v="10"/>
    <n v="3"/>
    <n v="10"/>
    <n v="7"/>
    <n v="0"/>
    <n v="7"/>
    <x v="10"/>
    <n v="0"/>
    <x v="0"/>
    <x v="0"/>
    <s v="Long"/>
    <x v="2"/>
  </r>
  <r>
    <n v="28"/>
    <x v="404"/>
    <x v="1"/>
    <x v="1"/>
    <n v="17"/>
    <n v="2"/>
    <x v="2"/>
    <n v="3"/>
    <x v="1"/>
    <n v="3"/>
    <n v="2"/>
    <x v="2"/>
    <x v="3"/>
    <s v="Divorced"/>
    <n v="4558"/>
    <n v="1"/>
    <x v="1"/>
    <n v="4"/>
    <n v="10"/>
    <n v="3"/>
    <n v="10"/>
    <n v="0"/>
    <n v="1"/>
    <n v="8"/>
    <x v="3"/>
    <n v="0"/>
    <x v="2"/>
    <x v="1"/>
    <s v="Long"/>
    <x v="0"/>
  </r>
  <r>
    <n v="25"/>
    <x v="405"/>
    <x v="0"/>
    <x v="1"/>
    <n v="3"/>
    <n v="3"/>
    <x v="2"/>
    <n v="1"/>
    <x v="1"/>
    <n v="3"/>
    <n v="1"/>
    <x v="2"/>
    <x v="3"/>
    <s v="Married"/>
    <n v="4031"/>
    <n v="5"/>
    <x v="1"/>
    <n v="3"/>
    <n v="6"/>
    <n v="3"/>
    <n v="2"/>
    <n v="2"/>
    <n v="0"/>
    <n v="2"/>
    <x v="4"/>
    <n v="1"/>
    <x v="2"/>
    <x v="1"/>
    <s v="Early"/>
    <x v="2"/>
  </r>
  <r>
    <n v="52"/>
    <x v="406"/>
    <x v="1"/>
    <x v="1"/>
    <n v="3"/>
    <n v="3"/>
    <x v="2"/>
    <n v="4"/>
    <x v="1"/>
    <n v="2"/>
    <n v="3"/>
    <x v="3"/>
    <x v="2"/>
    <s v="Married"/>
    <n v="7969"/>
    <n v="2"/>
    <x v="0"/>
    <n v="3"/>
    <n v="28"/>
    <n v="3"/>
    <n v="5"/>
    <n v="4"/>
    <n v="0"/>
    <n v="4"/>
    <x v="9"/>
    <n v="0"/>
    <x v="1"/>
    <x v="0"/>
    <s v="Mid"/>
    <x v="2"/>
  </r>
  <r>
    <n v="45"/>
    <x v="407"/>
    <x v="1"/>
    <x v="1"/>
    <n v="10"/>
    <n v="2"/>
    <x v="0"/>
    <n v="1"/>
    <x v="1"/>
    <n v="3"/>
    <n v="1"/>
    <x v="1"/>
    <x v="0"/>
    <s v="Married"/>
    <n v="2654"/>
    <n v="3"/>
    <x v="1"/>
    <n v="4"/>
    <n v="8"/>
    <n v="2"/>
    <n v="2"/>
    <n v="2"/>
    <n v="0"/>
    <n v="2"/>
    <x v="7"/>
    <n v="0"/>
    <x v="1"/>
    <x v="1"/>
    <s v="Early"/>
    <x v="1"/>
  </r>
  <r>
    <n v="52"/>
    <x v="408"/>
    <x v="1"/>
    <x v="1"/>
    <n v="4"/>
    <n v="2"/>
    <x v="0"/>
    <n v="4"/>
    <x v="0"/>
    <n v="3"/>
    <n v="4"/>
    <x v="5"/>
    <x v="0"/>
    <s v="Married"/>
    <n v="16555"/>
    <n v="2"/>
    <x v="1"/>
    <n v="4"/>
    <n v="31"/>
    <n v="1"/>
    <n v="5"/>
    <n v="2"/>
    <n v="1"/>
    <n v="4"/>
    <x v="4"/>
    <n v="0"/>
    <x v="1"/>
    <x v="2"/>
    <s v="Mid"/>
    <x v="2"/>
  </r>
  <r>
    <n v="42"/>
    <x v="409"/>
    <x v="1"/>
    <x v="1"/>
    <n v="29"/>
    <n v="2"/>
    <x v="0"/>
    <n v="1"/>
    <x v="0"/>
    <n v="3"/>
    <n v="2"/>
    <x v="1"/>
    <x v="2"/>
    <s v="Divorced"/>
    <n v="4556"/>
    <n v="2"/>
    <x v="1"/>
    <n v="2"/>
    <n v="19"/>
    <n v="3"/>
    <n v="5"/>
    <n v="4"/>
    <n v="0"/>
    <n v="2"/>
    <x v="0"/>
    <n v="0"/>
    <x v="0"/>
    <x v="1"/>
    <s v="Mid"/>
    <x v="0"/>
  </r>
  <r>
    <n v="30"/>
    <x v="410"/>
    <x v="1"/>
    <x v="1"/>
    <n v="2"/>
    <n v="3"/>
    <x v="0"/>
    <n v="3"/>
    <x v="0"/>
    <n v="1"/>
    <n v="2"/>
    <x v="3"/>
    <x v="0"/>
    <s v="Single"/>
    <n v="6091"/>
    <n v="2"/>
    <x v="1"/>
    <n v="3"/>
    <n v="11"/>
    <n v="3"/>
    <n v="5"/>
    <n v="4"/>
    <n v="0"/>
    <n v="2"/>
    <x v="5"/>
    <n v="0"/>
    <x v="0"/>
    <x v="0"/>
    <s v="Mid"/>
    <x v="1"/>
  </r>
  <r>
    <n v="60"/>
    <x v="411"/>
    <x v="1"/>
    <x v="1"/>
    <n v="7"/>
    <n v="3"/>
    <x v="0"/>
    <n v="1"/>
    <x v="0"/>
    <n v="3"/>
    <n v="5"/>
    <x v="5"/>
    <x v="3"/>
    <s v="Married"/>
    <n v="19566"/>
    <n v="5"/>
    <x v="1"/>
    <n v="4"/>
    <n v="33"/>
    <n v="1"/>
    <n v="29"/>
    <n v="8"/>
    <n v="11"/>
    <n v="10"/>
    <x v="0"/>
    <n v="0"/>
    <x v="1"/>
    <x v="2"/>
    <s v="Long"/>
    <x v="0"/>
  </r>
  <r>
    <n v="46"/>
    <x v="412"/>
    <x v="1"/>
    <x v="1"/>
    <n v="18"/>
    <n v="3"/>
    <x v="2"/>
    <n v="3"/>
    <x v="0"/>
    <n v="3"/>
    <n v="2"/>
    <x v="3"/>
    <x v="2"/>
    <s v="Divorced"/>
    <n v="4810"/>
    <n v="2"/>
    <x v="1"/>
    <n v="3"/>
    <n v="19"/>
    <n v="2"/>
    <n v="10"/>
    <n v="7"/>
    <n v="0"/>
    <n v="8"/>
    <x v="9"/>
    <n v="0"/>
    <x v="1"/>
    <x v="1"/>
    <s v="Long"/>
    <x v="2"/>
  </r>
  <r>
    <n v="42"/>
    <x v="413"/>
    <x v="1"/>
    <x v="1"/>
    <n v="28"/>
    <n v="4"/>
    <x v="4"/>
    <n v="4"/>
    <x v="0"/>
    <n v="2"/>
    <n v="2"/>
    <x v="4"/>
    <x v="0"/>
    <s v="Married"/>
    <n v="4523"/>
    <n v="0"/>
    <x v="1"/>
    <n v="4"/>
    <n v="7"/>
    <n v="4"/>
    <n v="6"/>
    <n v="5"/>
    <n v="0"/>
    <n v="4"/>
    <x v="0"/>
    <n v="0"/>
    <x v="0"/>
    <x v="1"/>
    <s v="Mid"/>
    <x v="0"/>
  </r>
  <r>
    <n v="24"/>
    <x v="414"/>
    <x v="0"/>
    <x v="0"/>
    <n v="1"/>
    <n v="1"/>
    <x v="4"/>
    <n v="1"/>
    <x v="0"/>
    <n v="3"/>
    <n v="1"/>
    <x v="6"/>
    <x v="1"/>
    <s v="Single"/>
    <n v="3202"/>
    <n v="1"/>
    <x v="0"/>
    <n v="2"/>
    <n v="6"/>
    <n v="3"/>
    <n v="5"/>
    <n v="3"/>
    <n v="1"/>
    <n v="4"/>
    <x v="10"/>
    <n v="1"/>
    <x v="2"/>
    <x v="1"/>
    <s v="Mid"/>
    <x v="2"/>
  </r>
  <r>
    <n v="34"/>
    <x v="415"/>
    <x v="0"/>
    <x v="0"/>
    <n v="6"/>
    <n v="2"/>
    <x v="3"/>
    <n v="4"/>
    <x v="0"/>
    <n v="1"/>
    <n v="1"/>
    <x v="6"/>
    <x v="2"/>
    <s v="Divorced"/>
    <n v="2351"/>
    <n v="0"/>
    <x v="1"/>
    <n v="4"/>
    <n v="3"/>
    <n v="2"/>
    <n v="2"/>
    <n v="2"/>
    <n v="1"/>
    <n v="0"/>
    <x v="10"/>
    <n v="1"/>
    <x v="0"/>
    <x v="1"/>
    <s v="Early"/>
    <x v="2"/>
  </r>
  <r>
    <n v="38"/>
    <x v="416"/>
    <x v="1"/>
    <x v="1"/>
    <n v="2"/>
    <n v="2"/>
    <x v="0"/>
    <n v="4"/>
    <x v="1"/>
    <n v="3"/>
    <n v="1"/>
    <x v="2"/>
    <x v="0"/>
    <s v="Married"/>
    <n v="1702"/>
    <n v="1"/>
    <x v="0"/>
    <n v="3"/>
    <n v="1"/>
    <n v="3"/>
    <n v="1"/>
    <n v="0"/>
    <n v="0"/>
    <n v="0"/>
    <x v="1"/>
    <n v="0"/>
    <x v="0"/>
    <x v="1"/>
    <s v="Early"/>
    <x v="1"/>
  </r>
  <r>
    <n v="40"/>
    <x v="417"/>
    <x v="1"/>
    <x v="0"/>
    <n v="2"/>
    <n v="4"/>
    <x v="0"/>
    <n v="3"/>
    <x v="0"/>
    <n v="3"/>
    <n v="5"/>
    <x v="5"/>
    <x v="2"/>
    <s v="Married"/>
    <n v="18041"/>
    <n v="0"/>
    <x v="1"/>
    <n v="4"/>
    <n v="21"/>
    <n v="3"/>
    <n v="20"/>
    <n v="15"/>
    <n v="1"/>
    <n v="12"/>
    <x v="9"/>
    <n v="0"/>
    <x v="0"/>
    <x v="2"/>
    <s v="Long"/>
    <x v="2"/>
  </r>
  <r>
    <n v="26"/>
    <x v="418"/>
    <x v="1"/>
    <x v="1"/>
    <n v="23"/>
    <n v="3"/>
    <x v="0"/>
    <n v="1"/>
    <x v="0"/>
    <n v="3"/>
    <n v="1"/>
    <x v="1"/>
    <x v="0"/>
    <s v="Divorced"/>
    <n v="2886"/>
    <n v="1"/>
    <x v="1"/>
    <n v="2"/>
    <n v="3"/>
    <n v="1"/>
    <n v="3"/>
    <n v="2"/>
    <n v="0"/>
    <n v="2"/>
    <x v="6"/>
    <n v="0"/>
    <x v="2"/>
    <x v="1"/>
    <s v="Mid"/>
    <x v="1"/>
  </r>
  <r>
    <n v="30"/>
    <x v="419"/>
    <x v="1"/>
    <x v="1"/>
    <n v="3"/>
    <n v="3"/>
    <x v="0"/>
    <n v="3"/>
    <x v="1"/>
    <n v="3"/>
    <n v="1"/>
    <x v="2"/>
    <x v="0"/>
    <s v="Married"/>
    <n v="2097"/>
    <n v="4"/>
    <x v="1"/>
    <n v="3"/>
    <n v="9"/>
    <n v="1"/>
    <n v="5"/>
    <n v="3"/>
    <n v="1"/>
    <n v="4"/>
    <x v="2"/>
    <n v="0"/>
    <x v="0"/>
    <x v="1"/>
    <s v="Mid"/>
    <x v="2"/>
  </r>
  <r>
    <n v="29"/>
    <x v="420"/>
    <x v="1"/>
    <x v="1"/>
    <n v="3"/>
    <n v="4"/>
    <x v="2"/>
    <n v="2"/>
    <x v="1"/>
    <n v="2"/>
    <n v="3"/>
    <x v="7"/>
    <x v="2"/>
    <s v="Married"/>
    <n v="11935"/>
    <n v="1"/>
    <x v="1"/>
    <n v="3"/>
    <n v="10"/>
    <n v="3"/>
    <n v="10"/>
    <n v="2"/>
    <n v="0"/>
    <n v="7"/>
    <x v="11"/>
    <n v="0"/>
    <x v="2"/>
    <x v="2"/>
    <s v="Long"/>
    <x v="1"/>
  </r>
  <r>
    <n v="29"/>
    <x v="421"/>
    <x v="0"/>
    <x v="1"/>
    <n v="25"/>
    <n v="5"/>
    <x v="4"/>
    <n v="3"/>
    <x v="0"/>
    <n v="2"/>
    <n v="1"/>
    <x v="1"/>
    <x v="1"/>
    <s v="Married"/>
    <n v="2546"/>
    <n v="5"/>
    <x v="1"/>
    <n v="2"/>
    <n v="6"/>
    <n v="4"/>
    <n v="2"/>
    <n v="2"/>
    <n v="1"/>
    <n v="1"/>
    <x v="10"/>
    <n v="1"/>
    <x v="2"/>
    <x v="1"/>
    <s v="Early"/>
    <x v="2"/>
  </r>
  <r>
    <n v="19"/>
    <x v="422"/>
    <x v="0"/>
    <x v="2"/>
    <n v="2"/>
    <n v="2"/>
    <x v="4"/>
    <n v="1"/>
    <x v="1"/>
    <n v="2"/>
    <n v="1"/>
    <x v="8"/>
    <x v="0"/>
    <s v="Single"/>
    <n v="2564"/>
    <n v="1"/>
    <x v="1"/>
    <n v="3"/>
    <n v="1"/>
    <n v="4"/>
    <n v="1"/>
    <n v="0"/>
    <n v="0"/>
    <n v="0"/>
    <x v="3"/>
    <n v="1"/>
    <x v="2"/>
    <x v="1"/>
    <s v="Early"/>
    <x v="0"/>
  </r>
  <r>
    <n v="30"/>
    <x v="423"/>
    <x v="1"/>
    <x v="0"/>
    <n v="22"/>
    <n v="4"/>
    <x v="1"/>
    <n v="3"/>
    <x v="0"/>
    <n v="3"/>
    <n v="3"/>
    <x v="0"/>
    <x v="3"/>
    <s v="Married"/>
    <n v="8412"/>
    <n v="0"/>
    <x v="1"/>
    <n v="3"/>
    <n v="10"/>
    <n v="3"/>
    <n v="9"/>
    <n v="8"/>
    <n v="7"/>
    <n v="8"/>
    <x v="0"/>
    <n v="0"/>
    <x v="0"/>
    <x v="0"/>
    <s v="Long"/>
    <x v="0"/>
  </r>
  <r>
    <n v="57"/>
    <x v="424"/>
    <x v="1"/>
    <x v="0"/>
    <n v="29"/>
    <n v="3"/>
    <x v="3"/>
    <n v="1"/>
    <x v="1"/>
    <n v="2"/>
    <n v="4"/>
    <x v="5"/>
    <x v="0"/>
    <s v="Divorced"/>
    <n v="14118"/>
    <n v="3"/>
    <x v="1"/>
    <n v="3"/>
    <n v="32"/>
    <n v="2"/>
    <n v="1"/>
    <n v="0"/>
    <n v="0"/>
    <n v="0"/>
    <x v="3"/>
    <n v="0"/>
    <x v="1"/>
    <x v="2"/>
    <s v="Early"/>
    <x v="0"/>
  </r>
  <r>
    <n v="50"/>
    <x v="425"/>
    <x v="1"/>
    <x v="1"/>
    <n v="29"/>
    <n v="4"/>
    <x v="0"/>
    <n v="2"/>
    <x v="1"/>
    <n v="2"/>
    <n v="4"/>
    <x v="5"/>
    <x v="2"/>
    <s v="Married"/>
    <n v="17046"/>
    <n v="0"/>
    <x v="1"/>
    <n v="2"/>
    <n v="28"/>
    <n v="3"/>
    <n v="27"/>
    <n v="10"/>
    <n v="15"/>
    <n v="7"/>
    <x v="2"/>
    <n v="0"/>
    <x v="1"/>
    <x v="2"/>
    <s v="Long"/>
    <x v="2"/>
  </r>
  <r>
    <n v="30"/>
    <x v="426"/>
    <x v="1"/>
    <x v="1"/>
    <n v="2"/>
    <n v="3"/>
    <x v="2"/>
    <n v="3"/>
    <x v="0"/>
    <n v="3"/>
    <n v="1"/>
    <x v="2"/>
    <x v="0"/>
    <s v="Single"/>
    <n v="2564"/>
    <n v="0"/>
    <x v="1"/>
    <n v="3"/>
    <n v="12"/>
    <n v="2"/>
    <n v="11"/>
    <n v="7"/>
    <n v="6"/>
    <n v="7"/>
    <x v="9"/>
    <n v="0"/>
    <x v="0"/>
    <x v="1"/>
    <s v="Long"/>
    <x v="2"/>
  </r>
  <r>
    <n v="60"/>
    <x v="427"/>
    <x v="1"/>
    <x v="0"/>
    <n v="28"/>
    <n v="3"/>
    <x v="3"/>
    <n v="3"/>
    <x v="0"/>
    <n v="2"/>
    <n v="3"/>
    <x v="0"/>
    <x v="3"/>
    <s v="Married"/>
    <n v="10266"/>
    <n v="4"/>
    <x v="1"/>
    <n v="4"/>
    <n v="22"/>
    <n v="4"/>
    <n v="18"/>
    <n v="13"/>
    <n v="13"/>
    <n v="11"/>
    <x v="12"/>
    <n v="0"/>
    <x v="1"/>
    <x v="2"/>
    <s v="Long"/>
    <x v="1"/>
  </r>
  <r>
    <n v="47"/>
    <x v="428"/>
    <x v="1"/>
    <x v="1"/>
    <n v="2"/>
    <n v="2"/>
    <x v="2"/>
    <n v="1"/>
    <x v="0"/>
    <n v="3"/>
    <n v="2"/>
    <x v="3"/>
    <x v="0"/>
    <s v="Divorced"/>
    <n v="5070"/>
    <n v="5"/>
    <x v="1"/>
    <n v="3"/>
    <n v="20"/>
    <n v="3"/>
    <n v="5"/>
    <n v="0"/>
    <n v="0"/>
    <n v="4"/>
    <x v="4"/>
    <n v="0"/>
    <x v="1"/>
    <x v="0"/>
    <s v="Mid"/>
    <x v="2"/>
  </r>
  <r>
    <n v="46"/>
    <x v="429"/>
    <x v="1"/>
    <x v="1"/>
    <n v="2"/>
    <n v="3"/>
    <x v="0"/>
    <n v="1"/>
    <x v="1"/>
    <n v="3"/>
    <n v="4"/>
    <x v="7"/>
    <x v="2"/>
    <s v="Married"/>
    <n v="17861"/>
    <n v="6"/>
    <x v="1"/>
    <n v="3"/>
    <n v="26"/>
    <n v="1"/>
    <n v="3"/>
    <n v="2"/>
    <n v="0"/>
    <n v="1"/>
    <x v="4"/>
    <n v="0"/>
    <x v="1"/>
    <x v="2"/>
    <s v="Mid"/>
    <x v="2"/>
  </r>
  <r>
    <n v="35"/>
    <x v="430"/>
    <x v="1"/>
    <x v="1"/>
    <n v="22"/>
    <n v="3"/>
    <x v="0"/>
    <n v="4"/>
    <x v="1"/>
    <n v="1"/>
    <n v="1"/>
    <x v="2"/>
    <x v="2"/>
    <s v="Single"/>
    <n v="4230"/>
    <n v="0"/>
    <x v="1"/>
    <n v="3"/>
    <n v="6"/>
    <n v="3"/>
    <n v="5"/>
    <n v="4"/>
    <n v="4"/>
    <n v="3"/>
    <x v="2"/>
    <n v="0"/>
    <x v="0"/>
    <x v="1"/>
    <s v="Mid"/>
    <x v="2"/>
  </r>
  <r>
    <n v="54"/>
    <x v="431"/>
    <x v="1"/>
    <x v="1"/>
    <n v="8"/>
    <n v="4"/>
    <x v="0"/>
    <n v="3"/>
    <x v="0"/>
    <n v="3"/>
    <n v="2"/>
    <x v="2"/>
    <x v="2"/>
    <s v="Single"/>
    <n v="3780"/>
    <n v="7"/>
    <x v="1"/>
    <n v="3"/>
    <n v="19"/>
    <n v="3"/>
    <n v="1"/>
    <n v="0"/>
    <n v="0"/>
    <n v="0"/>
    <x v="0"/>
    <n v="0"/>
    <x v="1"/>
    <x v="1"/>
    <s v="Early"/>
    <x v="0"/>
  </r>
  <r>
    <n v="34"/>
    <x v="432"/>
    <x v="1"/>
    <x v="1"/>
    <n v="2"/>
    <n v="4"/>
    <x v="0"/>
    <n v="4"/>
    <x v="1"/>
    <n v="2"/>
    <n v="1"/>
    <x v="1"/>
    <x v="2"/>
    <s v="Divorced"/>
    <n v="2768"/>
    <n v="3"/>
    <x v="1"/>
    <n v="3"/>
    <n v="14"/>
    <n v="3"/>
    <n v="7"/>
    <n v="3"/>
    <n v="5"/>
    <n v="7"/>
    <x v="3"/>
    <n v="0"/>
    <x v="0"/>
    <x v="1"/>
    <s v="Long"/>
    <x v="0"/>
  </r>
  <r>
    <n v="46"/>
    <x v="433"/>
    <x v="1"/>
    <x v="0"/>
    <n v="10"/>
    <n v="3"/>
    <x v="3"/>
    <n v="3"/>
    <x v="0"/>
    <n v="2"/>
    <n v="3"/>
    <x v="0"/>
    <x v="0"/>
    <s v="Married"/>
    <n v="9071"/>
    <n v="2"/>
    <x v="0"/>
    <n v="3"/>
    <n v="15"/>
    <n v="3"/>
    <n v="3"/>
    <n v="2"/>
    <n v="1"/>
    <n v="2"/>
    <x v="12"/>
    <n v="0"/>
    <x v="1"/>
    <x v="0"/>
    <s v="Mid"/>
    <x v="1"/>
  </r>
  <r>
    <n v="31"/>
    <x v="434"/>
    <x v="1"/>
    <x v="1"/>
    <n v="9"/>
    <n v="1"/>
    <x v="0"/>
    <n v="3"/>
    <x v="1"/>
    <n v="3"/>
    <n v="3"/>
    <x v="3"/>
    <x v="1"/>
    <s v="Divorced"/>
    <n v="10648"/>
    <n v="1"/>
    <x v="1"/>
    <n v="4"/>
    <n v="13"/>
    <n v="4"/>
    <n v="13"/>
    <n v="8"/>
    <n v="0"/>
    <n v="8"/>
    <x v="14"/>
    <n v="0"/>
    <x v="0"/>
    <x v="2"/>
    <s v="Long"/>
    <x v="1"/>
  </r>
  <r>
    <n v="33"/>
    <x v="435"/>
    <x v="0"/>
    <x v="1"/>
    <n v="15"/>
    <n v="1"/>
    <x v="2"/>
    <n v="2"/>
    <x v="1"/>
    <n v="3"/>
    <n v="3"/>
    <x v="5"/>
    <x v="2"/>
    <s v="Married"/>
    <n v="13610"/>
    <n v="7"/>
    <x v="0"/>
    <n v="4"/>
    <n v="15"/>
    <n v="4"/>
    <n v="7"/>
    <n v="6"/>
    <n v="7"/>
    <n v="7"/>
    <x v="3"/>
    <n v="1"/>
    <x v="0"/>
    <x v="2"/>
    <s v="Long"/>
    <x v="0"/>
  </r>
  <r>
    <n v="33"/>
    <x v="436"/>
    <x v="0"/>
    <x v="1"/>
    <n v="10"/>
    <n v="1"/>
    <x v="2"/>
    <n v="1"/>
    <x v="1"/>
    <n v="1"/>
    <n v="1"/>
    <x v="2"/>
    <x v="0"/>
    <s v="Divorced"/>
    <n v="3408"/>
    <n v="7"/>
    <x v="1"/>
    <n v="1"/>
    <n v="8"/>
    <n v="3"/>
    <n v="4"/>
    <n v="3"/>
    <n v="1"/>
    <n v="3"/>
    <x v="4"/>
    <n v="1"/>
    <x v="0"/>
    <x v="1"/>
    <s v="Mid"/>
    <x v="2"/>
  </r>
  <r>
    <n v="30"/>
    <x v="437"/>
    <x v="1"/>
    <x v="0"/>
    <n v="7"/>
    <n v="1"/>
    <x v="3"/>
    <n v="4"/>
    <x v="1"/>
    <n v="3"/>
    <n v="1"/>
    <x v="6"/>
    <x v="1"/>
    <s v="Single"/>
    <n v="2983"/>
    <n v="0"/>
    <x v="1"/>
    <n v="1"/>
    <n v="4"/>
    <n v="3"/>
    <n v="3"/>
    <n v="2"/>
    <n v="1"/>
    <n v="2"/>
    <x v="9"/>
    <n v="0"/>
    <x v="0"/>
    <x v="1"/>
    <s v="Mid"/>
    <x v="2"/>
  </r>
  <r>
    <n v="35"/>
    <x v="438"/>
    <x v="1"/>
    <x v="1"/>
    <n v="16"/>
    <n v="3"/>
    <x v="0"/>
    <n v="4"/>
    <x v="1"/>
    <n v="3"/>
    <n v="3"/>
    <x v="4"/>
    <x v="2"/>
    <s v="Married"/>
    <n v="7632"/>
    <n v="4"/>
    <x v="0"/>
    <n v="3"/>
    <n v="10"/>
    <n v="3"/>
    <n v="8"/>
    <n v="7"/>
    <n v="0"/>
    <n v="0"/>
    <x v="3"/>
    <n v="0"/>
    <x v="0"/>
    <x v="0"/>
    <s v="Long"/>
    <x v="0"/>
  </r>
  <r>
    <n v="31"/>
    <x v="439"/>
    <x v="0"/>
    <x v="1"/>
    <n v="20"/>
    <n v="3"/>
    <x v="0"/>
    <n v="1"/>
    <x v="1"/>
    <n v="3"/>
    <n v="3"/>
    <x v="4"/>
    <x v="2"/>
    <s v="Married"/>
    <n v="9824"/>
    <n v="3"/>
    <x v="1"/>
    <n v="1"/>
    <n v="12"/>
    <n v="3"/>
    <n v="1"/>
    <n v="0"/>
    <n v="0"/>
    <n v="0"/>
    <x v="3"/>
    <n v="1"/>
    <x v="0"/>
    <x v="0"/>
    <s v="Early"/>
    <x v="0"/>
  </r>
  <r>
    <n v="34"/>
    <x v="440"/>
    <x v="0"/>
    <x v="2"/>
    <n v="23"/>
    <n v="3"/>
    <x v="5"/>
    <n v="2"/>
    <x v="0"/>
    <n v="3"/>
    <n v="3"/>
    <x v="8"/>
    <x v="3"/>
    <s v="Divorced"/>
    <n v="9950"/>
    <n v="9"/>
    <x v="0"/>
    <n v="3"/>
    <n v="11"/>
    <n v="3"/>
    <n v="3"/>
    <n v="2"/>
    <n v="0"/>
    <n v="2"/>
    <x v="2"/>
    <n v="1"/>
    <x v="0"/>
    <x v="0"/>
    <s v="Mid"/>
    <x v="2"/>
  </r>
  <r>
    <n v="42"/>
    <x v="441"/>
    <x v="1"/>
    <x v="1"/>
    <n v="5"/>
    <n v="2"/>
    <x v="1"/>
    <n v="2"/>
    <x v="1"/>
    <n v="3"/>
    <n v="1"/>
    <x v="2"/>
    <x v="2"/>
    <s v="Married"/>
    <n v="2093"/>
    <n v="4"/>
    <x v="1"/>
    <n v="4"/>
    <n v="8"/>
    <n v="3"/>
    <n v="2"/>
    <n v="2"/>
    <n v="2"/>
    <n v="0"/>
    <x v="8"/>
    <n v="0"/>
    <x v="0"/>
    <x v="1"/>
    <s v="Early"/>
    <x v="2"/>
  </r>
  <r>
    <n v="36"/>
    <x v="442"/>
    <x v="1"/>
    <x v="0"/>
    <n v="10"/>
    <n v="4"/>
    <x v="2"/>
    <n v="2"/>
    <x v="1"/>
    <n v="3"/>
    <n v="3"/>
    <x v="0"/>
    <x v="0"/>
    <s v="Single"/>
    <n v="9980"/>
    <n v="1"/>
    <x v="1"/>
    <n v="4"/>
    <n v="10"/>
    <n v="2"/>
    <n v="10"/>
    <n v="3"/>
    <n v="9"/>
    <n v="7"/>
    <x v="9"/>
    <n v="0"/>
    <x v="0"/>
    <x v="0"/>
    <s v="Long"/>
    <x v="2"/>
  </r>
  <r>
    <n v="22"/>
    <x v="443"/>
    <x v="0"/>
    <x v="1"/>
    <n v="4"/>
    <n v="1"/>
    <x v="4"/>
    <n v="3"/>
    <x v="1"/>
    <n v="2"/>
    <n v="1"/>
    <x v="2"/>
    <x v="2"/>
    <s v="Single"/>
    <n v="3894"/>
    <n v="5"/>
    <x v="1"/>
    <n v="3"/>
    <n v="4"/>
    <n v="3"/>
    <n v="2"/>
    <n v="2"/>
    <n v="1"/>
    <n v="2"/>
    <x v="10"/>
    <n v="1"/>
    <x v="2"/>
    <x v="1"/>
    <s v="Early"/>
    <x v="2"/>
  </r>
  <r>
    <n v="48"/>
    <x v="444"/>
    <x v="1"/>
    <x v="0"/>
    <n v="2"/>
    <n v="5"/>
    <x v="3"/>
    <n v="2"/>
    <x v="0"/>
    <n v="3"/>
    <n v="2"/>
    <x v="0"/>
    <x v="0"/>
    <s v="Married"/>
    <n v="4051"/>
    <n v="2"/>
    <x v="1"/>
    <n v="1"/>
    <n v="14"/>
    <n v="3"/>
    <n v="9"/>
    <n v="7"/>
    <n v="6"/>
    <n v="7"/>
    <x v="9"/>
    <n v="0"/>
    <x v="1"/>
    <x v="1"/>
    <s v="Long"/>
    <x v="2"/>
  </r>
  <r>
    <n v="55"/>
    <x v="445"/>
    <x v="1"/>
    <x v="0"/>
    <n v="18"/>
    <n v="5"/>
    <x v="0"/>
    <n v="1"/>
    <x v="0"/>
    <n v="3"/>
    <n v="4"/>
    <x v="5"/>
    <x v="1"/>
    <s v="Single"/>
    <n v="16835"/>
    <n v="3"/>
    <x v="1"/>
    <n v="4"/>
    <n v="37"/>
    <n v="3"/>
    <n v="10"/>
    <n v="9"/>
    <n v="7"/>
    <n v="7"/>
    <x v="1"/>
    <n v="0"/>
    <x v="1"/>
    <x v="2"/>
    <s v="Long"/>
    <x v="1"/>
  </r>
  <r>
    <n v="41"/>
    <x v="446"/>
    <x v="1"/>
    <x v="0"/>
    <n v="10"/>
    <n v="2"/>
    <x v="0"/>
    <n v="4"/>
    <x v="1"/>
    <n v="3"/>
    <n v="2"/>
    <x v="0"/>
    <x v="0"/>
    <s v="Single"/>
    <n v="6230"/>
    <n v="7"/>
    <x v="1"/>
    <n v="4"/>
    <n v="16"/>
    <n v="3"/>
    <n v="14"/>
    <n v="3"/>
    <n v="1"/>
    <n v="10"/>
    <x v="9"/>
    <n v="0"/>
    <x v="0"/>
    <x v="0"/>
    <s v="Long"/>
    <x v="2"/>
  </r>
  <r>
    <n v="35"/>
    <x v="447"/>
    <x v="1"/>
    <x v="0"/>
    <n v="1"/>
    <n v="3"/>
    <x v="3"/>
    <n v="2"/>
    <x v="1"/>
    <n v="3"/>
    <n v="2"/>
    <x v="0"/>
    <x v="2"/>
    <s v="Married"/>
    <n v="4717"/>
    <n v="9"/>
    <x v="1"/>
    <n v="3"/>
    <n v="15"/>
    <n v="3"/>
    <n v="11"/>
    <n v="9"/>
    <n v="6"/>
    <n v="9"/>
    <x v="0"/>
    <n v="0"/>
    <x v="0"/>
    <x v="1"/>
    <s v="Long"/>
    <x v="0"/>
  </r>
  <r>
    <n v="40"/>
    <x v="448"/>
    <x v="1"/>
    <x v="1"/>
    <n v="6"/>
    <n v="3"/>
    <x v="0"/>
    <n v="2"/>
    <x v="0"/>
    <n v="3"/>
    <n v="4"/>
    <x v="3"/>
    <x v="2"/>
    <s v="Single"/>
    <n v="13237"/>
    <n v="7"/>
    <x v="1"/>
    <n v="3"/>
    <n v="22"/>
    <n v="3"/>
    <n v="20"/>
    <n v="6"/>
    <n v="5"/>
    <n v="13"/>
    <x v="2"/>
    <n v="0"/>
    <x v="0"/>
    <x v="2"/>
    <s v="Long"/>
    <x v="2"/>
  </r>
  <r>
    <n v="39"/>
    <x v="449"/>
    <x v="1"/>
    <x v="1"/>
    <n v="8"/>
    <n v="1"/>
    <x v="0"/>
    <n v="3"/>
    <x v="0"/>
    <n v="3"/>
    <n v="1"/>
    <x v="2"/>
    <x v="2"/>
    <s v="Married"/>
    <n v="3755"/>
    <n v="1"/>
    <x v="1"/>
    <n v="1"/>
    <n v="8"/>
    <n v="3"/>
    <n v="8"/>
    <n v="3"/>
    <n v="0"/>
    <n v="7"/>
    <x v="0"/>
    <n v="0"/>
    <x v="0"/>
    <x v="1"/>
    <s v="Long"/>
    <x v="0"/>
  </r>
  <r>
    <n v="31"/>
    <x v="450"/>
    <x v="1"/>
    <x v="0"/>
    <n v="2"/>
    <n v="1"/>
    <x v="0"/>
    <n v="2"/>
    <x v="1"/>
    <n v="3"/>
    <n v="2"/>
    <x v="0"/>
    <x v="0"/>
    <s v="Single"/>
    <n v="6582"/>
    <n v="4"/>
    <x v="0"/>
    <n v="3"/>
    <n v="10"/>
    <n v="4"/>
    <n v="6"/>
    <n v="5"/>
    <n v="0"/>
    <n v="5"/>
    <x v="4"/>
    <n v="0"/>
    <x v="0"/>
    <x v="0"/>
    <s v="Mid"/>
    <x v="2"/>
  </r>
  <r>
    <n v="42"/>
    <x v="451"/>
    <x v="1"/>
    <x v="1"/>
    <n v="24"/>
    <n v="3"/>
    <x v="2"/>
    <n v="4"/>
    <x v="1"/>
    <n v="3"/>
    <n v="3"/>
    <x v="3"/>
    <x v="3"/>
    <s v="Married"/>
    <n v="7406"/>
    <n v="1"/>
    <x v="0"/>
    <n v="4"/>
    <n v="10"/>
    <n v="2"/>
    <n v="10"/>
    <n v="9"/>
    <n v="5"/>
    <n v="8"/>
    <x v="7"/>
    <n v="0"/>
    <x v="0"/>
    <x v="0"/>
    <s v="Long"/>
    <x v="1"/>
  </r>
  <r>
    <n v="45"/>
    <x v="452"/>
    <x v="1"/>
    <x v="0"/>
    <n v="2"/>
    <n v="3"/>
    <x v="1"/>
    <n v="4"/>
    <x v="1"/>
    <n v="3"/>
    <n v="2"/>
    <x v="0"/>
    <x v="1"/>
    <s v="Married"/>
    <n v="4805"/>
    <n v="0"/>
    <x v="1"/>
    <n v="2"/>
    <n v="9"/>
    <n v="4"/>
    <n v="8"/>
    <n v="7"/>
    <n v="3"/>
    <n v="7"/>
    <x v="12"/>
    <n v="0"/>
    <x v="1"/>
    <x v="1"/>
    <s v="Long"/>
    <x v="1"/>
  </r>
  <r>
    <n v="26"/>
    <x v="453"/>
    <x v="0"/>
    <x v="2"/>
    <n v="17"/>
    <n v="4"/>
    <x v="0"/>
    <n v="2"/>
    <x v="0"/>
    <n v="3"/>
    <n v="1"/>
    <x v="8"/>
    <x v="2"/>
    <s v="Divorced"/>
    <n v="2741"/>
    <n v="0"/>
    <x v="0"/>
    <n v="2"/>
    <n v="8"/>
    <n v="2"/>
    <n v="7"/>
    <n v="7"/>
    <n v="1"/>
    <n v="0"/>
    <x v="0"/>
    <n v="1"/>
    <x v="2"/>
    <x v="1"/>
    <s v="Long"/>
    <x v="0"/>
  </r>
  <r>
    <n v="29"/>
    <x v="454"/>
    <x v="1"/>
    <x v="1"/>
    <n v="19"/>
    <n v="3"/>
    <x v="4"/>
    <n v="4"/>
    <x v="1"/>
    <n v="3"/>
    <n v="2"/>
    <x v="3"/>
    <x v="0"/>
    <s v="Divorced"/>
    <n v="4262"/>
    <n v="4"/>
    <x v="1"/>
    <n v="2"/>
    <n v="8"/>
    <n v="4"/>
    <n v="3"/>
    <n v="2"/>
    <n v="1"/>
    <n v="2"/>
    <x v="3"/>
    <n v="0"/>
    <x v="2"/>
    <x v="1"/>
    <s v="Mid"/>
    <x v="0"/>
  </r>
  <r>
    <n v="33"/>
    <x v="455"/>
    <x v="1"/>
    <x v="1"/>
    <n v="1"/>
    <n v="5"/>
    <x v="2"/>
    <n v="1"/>
    <x v="0"/>
    <n v="4"/>
    <n v="4"/>
    <x v="7"/>
    <x v="2"/>
    <s v="Divorced"/>
    <n v="16184"/>
    <n v="4"/>
    <x v="1"/>
    <n v="3"/>
    <n v="10"/>
    <n v="3"/>
    <n v="6"/>
    <n v="1"/>
    <n v="0"/>
    <n v="5"/>
    <x v="12"/>
    <n v="0"/>
    <x v="0"/>
    <x v="2"/>
    <s v="Mid"/>
    <x v="1"/>
  </r>
  <r>
    <n v="31"/>
    <x v="456"/>
    <x v="1"/>
    <x v="0"/>
    <n v="7"/>
    <n v="3"/>
    <x v="0"/>
    <n v="3"/>
    <x v="1"/>
    <n v="2"/>
    <n v="3"/>
    <x v="5"/>
    <x v="0"/>
    <s v="Divorced"/>
    <n v="11557"/>
    <n v="9"/>
    <x v="1"/>
    <n v="3"/>
    <n v="10"/>
    <n v="2"/>
    <n v="5"/>
    <n v="4"/>
    <n v="0"/>
    <n v="1"/>
    <x v="7"/>
    <n v="0"/>
    <x v="0"/>
    <x v="2"/>
    <s v="Mid"/>
    <x v="1"/>
  </r>
  <r>
    <n v="18"/>
    <x v="457"/>
    <x v="0"/>
    <x v="0"/>
    <n v="5"/>
    <n v="3"/>
    <x v="3"/>
    <n v="2"/>
    <x v="1"/>
    <n v="3"/>
    <n v="1"/>
    <x v="6"/>
    <x v="1"/>
    <s v="Single"/>
    <n v="1878"/>
    <n v="1"/>
    <x v="0"/>
    <n v="4"/>
    <n v="0"/>
    <n v="3"/>
    <n v="0"/>
    <n v="0"/>
    <n v="0"/>
    <n v="0"/>
    <x v="9"/>
    <n v="1"/>
    <x v="2"/>
    <x v="1"/>
    <s v="Early"/>
    <x v="2"/>
  </r>
  <r>
    <n v="40"/>
    <x v="458"/>
    <x v="1"/>
    <x v="0"/>
    <n v="28"/>
    <n v="3"/>
    <x v="1"/>
    <n v="3"/>
    <x v="1"/>
    <n v="1"/>
    <n v="3"/>
    <x v="0"/>
    <x v="3"/>
    <s v="Divorced"/>
    <n v="10932"/>
    <n v="3"/>
    <x v="1"/>
    <n v="3"/>
    <n v="20"/>
    <n v="3"/>
    <n v="1"/>
    <n v="0"/>
    <n v="0"/>
    <n v="1"/>
    <x v="2"/>
    <n v="0"/>
    <x v="0"/>
    <x v="2"/>
    <s v="Early"/>
    <x v="2"/>
  </r>
  <r>
    <n v="41"/>
    <x v="459"/>
    <x v="1"/>
    <x v="1"/>
    <n v="2"/>
    <n v="4"/>
    <x v="1"/>
    <n v="1"/>
    <x v="0"/>
    <n v="2"/>
    <n v="2"/>
    <x v="4"/>
    <x v="2"/>
    <s v="Single"/>
    <n v="6811"/>
    <n v="2"/>
    <x v="0"/>
    <n v="1"/>
    <n v="10"/>
    <n v="3"/>
    <n v="8"/>
    <n v="7"/>
    <n v="0"/>
    <n v="7"/>
    <x v="8"/>
    <n v="0"/>
    <x v="0"/>
    <x v="0"/>
    <s v="Long"/>
    <x v="2"/>
  </r>
  <r>
    <n v="26"/>
    <x v="460"/>
    <x v="1"/>
    <x v="0"/>
    <n v="29"/>
    <n v="2"/>
    <x v="2"/>
    <n v="1"/>
    <x v="1"/>
    <n v="3"/>
    <n v="2"/>
    <x v="0"/>
    <x v="2"/>
    <s v="Divorced"/>
    <n v="4306"/>
    <n v="5"/>
    <x v="1"/>
    <n v="1"/>
    <n v="8"/>
    <n v="3"/>
    <n v="0"/>
    <n v="0"/>
    <n v="0"/>
    <n v="0"/>
    <x v="3"/>
    <n v="0"/>
    <x v="2"/>
    <x v="1"/>
    <s v="Early"/>
    <x v="0"/>
  </r>
  <r>
    <n v="35"/>
    <x v="461"/>
    <x v="1"/>
    <x v="0"/>
    <n v="1"/>
    <n v="3"/>
    <x v="2"/>
    <n v="1"/>
    <x v="0"/>
    <n v="3"/>
    <n v="2"/>
    <x v="0"/>
    <x v="2"/>
    <s v="Single"/>
    <n v="4859"/>
    <n v="1"/>
    <x v="1"/>
    <n v="4"/>
    <n v="5"/>
    <n v="3"/>
    <n v="5"/>
    <n v="4"/>
    <n v="0"/>
    <n v="3"/>
    <x v="10"/>
    <n v="0"/>
    <x v="0"/>
    <x v="1"/>
    <s v="Mid"/>
    <x v="2"/>
  </r>
  <r>
    <n v="34"/>
    <x v="462"/>
    <x v="1"/>
    <x v="0"/>
    <n v="21"/>
    <n v="4"/>
    <x v="0"/>
    <n v="4"/>
    <x v="1"/>
    <n v="4"/>
    <n v="2"/>
    <x v="0"/>
    <x v="0"/>
    <s v="Single"/>
    <n v="5337"/>
    <n v="1"/>
    <x v="1"/>
    <n v="4"/>
    <n v="10"/>
    <n v="3"/>
    <n v="10"/>
    <n v="7"/>
    <n v="5"/>
    <n v="7"/>
    <x v="3"/>
    <n v="0"/>
    <x v="0"/>
    <x v="0"/>
    <s v="Long"/>
    <x v="0"/>
  </r>
  <r>
    <n v="26"/>
    <x v="463"/>
    <x v="0"/>
    <x v="1"/>
    <n v="24"/>
    <n v="3"/>
    <x v="4"/>
    <n v="3"/>
    <x v="1"/>
    <n v="1"/>
    <n v="1"/>
    <x v="2"/>
    <x v="0"/>
    <s v="Single"/>
    <n v="2340"/>
    <n v="1"/>
    <x v="0"/>
    <n v="2"/>
    <n v="1"/>
    <n v="1"/>
    <n v="1"/>
    <n v="0"/>
    <n v="0"/>
    <n v="0"/>
    <x v="11"/>
    <n v="1"/>
    <x v="2"/>
    <x v="1"/>
    <s v="Early"/>
    <x v="1"/>
  </r>
  <r>
    <n v="37"/>
    <x v="464"/>
    <x v="1"/>
    <x v="1"/>
    <n v="1"/>
    <n v="3"/>
    <x v="4"/>
    <n v="2"/>
    <x v="0"/>
    <n v="3"/>
    <n v="3"/>
    <x v="3"/>
    <x v="0"/>
    <s v="Single"/>
    <n v="7491"/>
    <n v="4"/>
    <x v="1"/>
    <n v="4"/>
    <n v="12"/>
    <n v="4"/>
    <n v="6"/>
    <n v="5"/>
    <n v="1"/>
    <n v="2"/>
    <x v="8"/>
    <n v="0"/>
    <x v="0"/>
    <x v="0"/>
    <s v="Mid"/>
    <x v="2"/>
  </r>
  <r>
    <n v="46"/>
    <x v="465"/>
    <x v="1"/>
    <x v="1"/>
    <n v="18"/>
    <n v="1"/>
    <x v="2"/>
    <n v="1"/>
    <x v="0"/>
    <n v="3"/>
    <n v="3"/>
    <x v="4"/>
    <x v="2"/>
    <s v="Married"/>
    <n v="10527"/>
    <n v="5"/>
    <x v="1"/>
    <n v="4"/>
    <n v="28"/>
    <n v="2"/>
    <n v="2"/>
    <n v="2"/>
    <n v="1"/>
    <n v="2"/>
    <x v="0"/>
    <n v="0"/>
    <x v="1"/>
    <x v="2"/>
    <s v="Early"/>
    <x v="0"/>
  </r>
  <r>
    <n v="41"/>
    <x v="466"/>
    <x v="1"/>
    <x v="0"/>
    <n v="2"/>
    <n v="5"/>
    <x v="0"/>
    <n v="2"/>
    <x v="0"/>
    <n v="3"/>
    <n v="4"/>
    <x v="5"/>
    <x v="3"/>
    <s v="Married"/>
    <n v="16595"/>
    <n v="7"/>
    <x v="1"/>
    <n v="2"/>
    <n v="22"/>
    <n v="3"/>
    <n v="18"/>
    <n v="16"/>
    <n v="11"/>
    <n v="8"/>
    <x v="10"/>
    <n v="0"/>
    <x v="0"/>
    <x v="2"/>
    <s v="Long"/>
    <x v="2"/>
  </r>
  <r>
    <n v="37"/>
    <x v="467"/>
    <x v="1"/>
    <x v="0"/>
    <n v="9"/>
    <n v="4"/>
    <x v="2"/>
    <n v="1"/>
    <x v="1"/>
    <n v="3"/>
    <n v="3"/>
    <x v="0"/>
    <x v="1"/>
    <s v="Divorced"/>
    <n v="8834"/>
    <n v="1"/>
    <x v="1"/>
    <n v="4"/>
    <n v="9"/>
    <n v="3"/>
    <n v="9"/>
    <n v="5"/>
    <n v="7"/>
    <n v="7"/>
    <x v="4"/>
    <n v="0"/>
    <x v="0"/>
    <x v="0"/>
    <s v="Long"/>
    <x v="2"/>
  </r>
  <r>
    <n v="52"/>
    <x v="468"/>
    <x v="1"/>
    <x v="1"/>
    <n v="6"/>
    <n v="2"/>
    <x v="4"/>
    <n v="4"/>
    <x v="1"/>
    <n v="3"/>
    <n v="2"/>
    <x v="1"/>
    <x v="3"/>
    <s v="Divorced"/>
    <n v="5577"/>
    <n v="3"/>
    <x v="0"/>
    <n v="2"/>
    <n v="18"/>
    <n v="3"/>
    <n v="10"/>
    <n v="9"/>
    <n v="6"/>
    <n v="9"/>
    <x v="3"/>
    <n v="0"/>
    <x v="1"/>
    <x v="0"/>
    <s v="Long"/>
    <x v="0"/>
  </r>
  <r>
    <n v="32"/>
    <x v="469"/>
    <x v="0"/>
    <x v="0"/>
    <n v="11"/>
    <n v="4"/>
    <x v="1"/>
    <n v="4"/>
    <x v="1"/>
    <n v="4"/>
    <n v="2"/>
    <x v="0"/>
    <x v="2"/>
    <s v="Married"/>
    <n v="4707"/>
    <n v="8"/>
    <x v="1"/>
    <n v="4"/>
    <n v="6"/>
    <n v="3"/>
    <n v="4"/>
    <n v="2"/>
    <n v="1"/>
    <n v="2"/>
    <x v="3"/>
    <n v="1"/>
    <x v="0"/>
    <x v="1"/>
    <s v="Mid"/>
    <x v="0"/>
  </r>
  <r>
    <n v="24"/>
    <x v="470"/>
    <x v="1"/>
    <x v="0"/>
    <n v="24"/>
    <n v="3"/>
    <x v="2"/>
    <n v="4"/>
    <x v="1"/>
    <n v="3"/>
    <n v="1"/>
    <x v="6"/>
    <x v="0"/>
    <s v="Married"/>
    <n v="2400"/>
    <n v="0"/>
    <x v="1"/>
    <n v="3"/>
    <n v="3"/>
    <n v="3"/>
    <n v="2"/>
    <n v="2"/>
    <n v="2"/>
    <n v="1"/>
    <x v="4"/>
    <n v="0"/>
    <x v="2"/>
    <x v="1"/>
    <s v="Early"/>
    <x v="2"/>
  </r>
  <r>
    <n v="38"/>
    <x v="471"/>
    <x v="1"/>
    <x v="1"/>
    <n v="10"/>
    <n v="3"/>
    <x v="2"/>
    <n v="3"/>
    <x v="0"/>
    <n v="3"/>
    <n v="2"/>
    <x v="4"/>
    <x v="2"/>
    <s v="Married"/>
    <n v="9824"/>
    <n v="3"/>
    <x v="1"/>
    <n v="3"/>
    <n v="18"/>
    <n v="3"/>
    <n v="1"/>
    <n v="0"/>
    <n v="0"/>
    <n v="0"/>
    <x v="12"/>
    <n v="0"/>
    <x v="0"/>
    <x v="0"/>
    <s v="Early"/>
    <x v="1"/>
  </r>
  <r>
    <n v="37"/>
    <x v="472"/>
    <x v="1"/>
    <x v="1"/>
    <n v="1"/>
    <n v="4"/>
    <x v="0"/>
    <n v="2"/>
    <x v="0"/>
    <n v="3"/>
    <n v="2"/>
    <x v="3"/>
    <x v="1"/>
    <s v="Married"/>
    <n v="6447"/>
    <n v="6"/>
    <x v="1"/>
    <n v="2"/>
    <n v="8"/>
    <n v="2"/>
    <n v="6"/>
    <n v="5"/>
    <n v="4"/>
    <n v="3"/>
    <x v="3"/>
    <n v="0"/>
    <x v="0"/>
    <x v="0"/>
    <s v="Mid"/>
    <x v="0"/>
  </r>
  <r>
    <n v="49"/>
    <x v="473"/>
    <x v="1"/>
    <x v="1"/>
    <n v="18"/>
    <n v="4"/>
    <x v="0"/>
    <n v="4"/>
    <x v="1"/>
    <n v="2"/>
    <n v="5"/>
    <x v="7"/>
    <x v="2"/>
    <s v="Divorced"/>
    <n v="19502"/>
    <n v="1"/>
    <x v="0"/>
    <n v="3"/>
    <n v="31"/>
    <n v="3"/>
    <n v="31"/>
    <n v="9"/>
    <n v="0"/>
    <n v="9"/>
    <x v="8"/>
    <n v="0"/>
    <x v="1"/>
    <x v="2"/>
    <s v="Long"/>
    <x v="2"/>
  </r>
  <r>
    <n v="24"/>
    <x v="474"/>
    <x v="1"/>
    <x v="1"/>
    <n v="23"/>
    <n v="3"/>
    <x v="2"/>
    <n v="2"/>
    <x v="1"/>
    <n v="4"/>
    <n v="1"/>
    <x v="1"/>
    <x v="0"/>
    <s v="Married"/>
    <n v="2725"/>
    <n v="1"/>
    <x v="0"/>
    <n v="2"/>
    <n v="6"/>
    <n v="3"/>
    <n v="6"/>
    <n v="5"/>
    <n v="1"/>
    <n v="4"/>
    <x v="0"/>
    <n v="0"/>
    <x v="2"/>
    <x v="1"/>
    <s v="Mid"/>
    <x v="0"/>
  </r>
  <r>
    <n v="26"/>
    <x v="475"/>
    <x v="1"/>
    <x v="0"/>
    <n v="28"/>
    <n v="2"/>
    <x v="3"/>
    <n v="1"/>
    <x v="1"/>
    <n v="3"/>
    <n v="2"/>
    <x v="0"/>
    <x v="1"/>
    <s v="Married"/>
    <n v="6272"/>
    <n v="1"/>
    <x v="1"/>
    <n v="4"/>
    <n v="6"/>
    <n v="4"/>
    <n v="5"/>
    <n v="3"/>
    <n v="1"/>
    <n v="4"/>
    <x v="5"/>
    <n v="0"/>
    <x v="2"/>
    <x v="0"/>
    <s v="Mid"/>
    <x v="1"/>
  </r>
  <r>
    <n v="24"/>
    <x v="476"/>
    <x v="1"/>
    <x v="1"/>
    <n v="17"/>
    <n v="2"/>
    <x v="1"/>
    <n v="4"/>
    <x v="1"/>
    <n v="2"/>
    <n v="1"/>
    <x v="2"/>
    <x v="1"/>
    <s v="Married"/>
    <n v="2127"/>
    <n v="1"/>
    <x v="1"/>
    <n v="4"/>
    <n v="1"/>
    <n v="3"/>
    <n v="1"/>
    <n v="0"/>
    <n v="0"/>
    <n v="0"/>
    <x v="7"/>
    <n v="0"/>
    <x v="2"/>
    <x v="1"/>
    <s v="Early"/>
    <x v="1"/>
  </r>
  <r>
    <n v="50"/>
    <x v="477"/>
    <x v="1"/>
    <x v="2"/>
    <n v="3"/>
    <n v="3"/>
    <x v="2"/>
    <n v="1"/>
    <x v="1"/>
    <n v="3"/>
    <n v="5"/>
    <x v="5"/>
    <x v="1"/>
    <s v="Married"/>
    <n v="18200"/>
    <n v="1"/>
    <x v="1"/>
    <n v="3"/>
    <n v="32"/>
    <n v="3"/>
    <n v="32"/>
    <n v="5"/>
    <n v="10"/>
    <n v="7"/>
    <x v="0"/>
    <n v="0"/>
    <x v="1"/>
    <x v="2"/>
    <s v="Long"/>
    <x v="0"/>
  </r>
  <r>
    <n v="25"/>
    <x v="478"/>
    <x v="1"/>
    <x v="0"/>
    <n v="13"/>
    <n v="1"/>
    <x v="2"/>
    <n v="2"/>
    <x v="1"/>
    <n v="3"/>
    <n v="1"/>
    <x v="6"/>
    <x v="2"/>
    <s v="Married"/>
    <n v="2096"/>
    <n v="1"/>
    <x v="1"/>
    <n v="3"/>
    <n v="7"/>
    <n v="3"/>
    <n v="7"/>
    <n v="4"/>
    <n v="0"/>
    <n v="6"/>
    <x v="0"/>
    <n v="0"/>
    <x v="2"/>
    <x v="1"/>
    <s v="Long"/>
    <x v="0"/>
  </r>
  <r>
    <n v="24"/>
    <x v="479"/>
    <x v="0"/>
    <x v="1"/>
    <n v="7"/>
    <n v="3"/>
    <x v="0"/>
    <n v="1"/>
    <x v="0"/>
    <n v="3"/>
    <n v="1"/>
    <x v="2"/>
    <x v="2"/>
    <s v="Married"/>
    <n v="2886"/>
    <n v="1"/>
    <x v="0"/>
    <n v="4"/>
    <n v="6"/>
    <n v="3"/>
    <n v="6"/>
    <n v="3"/>
    <n v="1"/>
    <n v="2"/>
    <x v="10"/>
    <n v="1"/>
    <x v="2"/>
    <x v="1"/>
    <s v="Mid"/>
    <x v="2"/>
  </r>
  <r>
    <n v="30"/>
    <x v="480"/>
    <x v="0"/>
    <x v="0"/>
    <n v="12"/>
    <n v="4"/>
    <x v="0"/>
    <n v="2"/>
    <x v="1"/>
    <n v="2"/>
    <n v="1"/>
    <x v="6"/>
    <x v="3"/>
    <s v="Married"/>
    <n v="2033"/>
    <n v="1"/>
    <x v="1"/>
    <n v="3"/>
    <n v="1"/>
    <n v="4"/>
    <n v="1"/>
    <n v="0"/>
    <n v="0"/>
    <n v="0"/>
    <x v="11"/>
    <n v="1"/>
    <x v="0"/>
    <x v="1"/>
    <s v="Early"/>
    <x v="1"/>
  </r>
  <r>
    <n v="34"/>
    <x v="481"/>
    <x v="1"/>
    <x v="1"/>
    <n v="1"/>
    <n v="2"/>
    <x v="0"/>
    <n v="2"/>
    <x v="1"/>
    <n v="2"/>
    <n v="1"/>
    <x v="1"/>
    <x v="0"/>
    <s v="Married"/>
    <n v="3622"/>
    <n v="1"/>
    <x v="0"/>
    <n v="4"/>
    <n v="6"/>
    <n v="3"/>
    <n v="6"/>
    <n v="5"/>
    <n v="1"/>
    <n v="3"/>
    <x v="4"/>
    <n v="0"/>
    <x v="0"/>
    <x v="1"/>
    <s v="Mid"/>
    <x v="2"/>
  </r>
  <r>
    <n v="31"/>
    <x v="482"/>
    <x v="0"/>
    <x v="0"/>
    <n v="13"/>
    <n v="4"/>
    <x v="2"/>
    <n v="2"/>
    <x v="1"/>
    <n v="3"/>
    <n v="2"/>
    <x v="0"/>
    <x v="3"/>
    <s v="Divorced"/>
    <n v="4233"/>
    <n v="2"/>
    <x v="1"/>
    <n v="3"/>
    <n v="9"/>
    <n v="1"/>
    <n v="3"/>
    <n v="1"/>
    <n v="1"/>
    <n v="2"/>
    <x v="8"/>
    <n v="1"/>
    <x v="0"/>
    <x v="1"/>
    <s v="Mid"/>
    <x v="2"/>
  </r>
  <r>
    <n v="35"/>
    <x v="483"/>
    <x v="1"/>
    <x v="1"/>
    <n v="25"/>
    <n v="2"/>
    <x v="1"/>
    <n v="1"/>
    <x v="1"/>
    <n v="2"/>
    <n v="2"/>
    <x v="2"/>
    <x v="0"/>
    <s v="Single"/>
    <n v="3681"/>
    <n v="4"/>
    <x v="1"/>
    <n v="4"/>
    <n v="9"/>
    <n v="3"/>
    <n v="3"/>
    <n v="2"/>
    <n v="0"/>
    <n v="2"/>
    <x v="9"/>
    <n v="0"/>
    <x v="0"/>
    <x v="1"/>
    <s v="Mid"/>
    <x v="2"/>
  </r>
  <r>
    <n v="31"/>
    <x v="484"/>
    <x v="1"/>
    <x v="0"/>
    <n v="6"/>
    <n v="4"/>
    <x v="2"/>
    <n v="1"/>
    <x v="1"/>
    <n v="4"/>
    <n v="2"/>
    <x v="0"/>
    <x v="0"/>
    <s v="Divorced"/>
    <n v="5460"/>
    <n v="4"/>
    <x v="1"/>
    <n v="4"/>
    <n v="13"/>
    <n v="4"/>
    <n v="7"/>
    <n v="7"/>
    <n v="5"/>
    <n v="7"/>
    <x v="6"/>
    <n v="0"/>
    <x v="0"/>
    <x v="0"/>
    <s v="Long"/>
    <x v="1"/>
  </r>
  <r>
    <n v="27"/>
    <x v="485"/>
    <x v="1"/>
    <x v="1"/>
    <n v="6"/>
    <n v="4"/>
    <x v="2"/>
    <n v="1"/>
    <x v="0"/>
    <n v="2"/>
    <n v="1"/>
    <x v="1"/>
    <x v="2"/>
    <s v="Divorced"/>
    <n v="2187"/>
    <n v="0"/>
    <x v="1"/>
    <n v="3"/>
    <n v="6"/>
    <n v="2"/>
    <n v="5"/>
    <n v="3"/>
    <n v="0"/>
    <n v="3"/>
    <x v="3"/>
    <n v="0"/>
    <x v="2"/>
    <x v="1"/>
    <s v="Mid"/>
    <x v="0"/>
  </r>
  <r>
    <n v="37"/>
    <x v="486"/>
    <x v="1"/>
    <x v="0"/>
    <n v="2"/>
    <n v="3"/>
    <x v="3"/>
    <n v="4"/>
    <x v="1"/>
    <n v="3"/>
    <n v="2"/>
    <x v="0"/>
    <x v="2"/>
    <s v="Married"/>
    <n v="9602"/>
    <n v="4"/>
    <x v="0"/>
    <n v="3"/>
    <n v="17"/>
    <n v="2"/>
    <n v="3"/>
    <n v="0"/>
    <n v="1"/>
    <n v="0"/>
    <x v="0"/>
    <n v="0"/>
    <x v="0"/>
    <x v="0"/>
    <s v="Mid"/>
    <x v="0"/>
  </r>
  <r>
    <n v="20"/>
    <x v="487"/>
    <x v="1"/>
    <x v="1"/>
    <n v="1"/>
    <n v="3"/>
    <x v="0"/>
    <n v="4"/>
    <x v="0"/>
    <n v="2"/>
    <n v="1"/>
    <x v="1"/>
    <x v="1"/>
    <s v="Single"/>
    <n v="2836"/>
    <n v="1"/>
    <x v="1"/>
    <n v="4"/>
    <n v="1"/>
    <n v="4"/>
    <n v="1"/>
    <n v="0"/>
    <n v="0"/>
    <n v="0"/>
    <x v="4"/>
    <n v="0"/>
    <x v="2"/>
    <x v="1"/>
    <s v="Early"/>
    <x v="2"/>
  </r>
  <r>
    <n v="42"/>
    <x v="488"/>
    <x v="1"/>
    <x v="1"/>
    <n v="2"/>
    <n v="4"/>
    <x v="0"/>
    <n v="3"/>
    <x v="0"/>
    <n v="3"/>
    <n v="2"/>
    <x v="4"/>
    <x v="0"/>
    <s v="Married"/>
    <n v="4089"/>
    <n v="1"/>
    <x v="1"/>
    <n v="2"/>
    <n v="10"/>
    <n v="3"/>
    <n v="10"/>
    <n v="2"/>
    <n v="2"/>
    <n v="2"/>
    <x v="4"/>
    <n v="0"/>
    <x v="0"/>
    <x v="1"/>
    <s v="Long"/>
    <x v="2"/>
  </r>
  <r>
    <n v="43"/>
    <x v="489"/>
    <x v="1"/>
    <x v="1"/>
    <n v="6"/>
    <n v="4"/>
    <x v="1"/>
    <n v="2"/>
    <x v="1"/>
    <n v="2"/>
    <n v="4"/>
    <x v="7"/>
    <x v="0"/>
    <s v="Divorced"/>
    <n v="16627"/>
    <n v="4"/>
    <x v="0"/>
    <n v="3"/>
    <n v="21"/>
    <n v="2"/>
    <n v="1"/>
    <n v="0"/>
    <n v="0"/>
    <n v="0"/>
    <x v="9"/>
    <n v="0"/>
    <x v="0"/>
    <x v="2"/>
    <s v="Early"/>
    <x v="2"/>
  </r>
  <r>
    <n v="38"/>
    <x v="490"/>
    <x v="1"/>
    <x v="1"/>
    <n v="1"/>
    <n v="1"/>
    <x v="0"/>
    <n v="3"/>
    <x v="0"/>
    <n v="3"/>
    <n v="1"/>
    <x v="1"/>
    <x v="3"/>
    <s v="Single"/>
    <n v="2619"/>
    <n v="3"/>
    <x v="1"/>
    <n v="4"/>
    <n v="8"/>
    <n v="2"/>
    <n v="0"/>
    <n v="0"/>
    <n v="0"/>
    <n v="0"/>
    <x v="8"/>
    <n v="0"/>
    <x v="0"/>
    <x v="1"/>
    <s v="Early"/>
    <x v="2"/>
  </r>
  <r>
    <n v="43"/>
    <x v="491"/>
    <x v="1"/>
    <x v="1"/>
    <n v="9"/>
    <n v="5"/>
    <x v="2"/>
    <n v="4"/>
    <x v="1"/>
    <n v="3"/>
    <n v="2"/>
    <x v="2"/>
    <x v="2"/>
    <s v="Divorced"/>
    <n v="5679"/>
    <n v="3"/>
    <x v="0"/>
    <n v="2"/>
    <n v="10"/>
    <n v="3"/>
    <n v="8"/>
    <n v="7"/>
    <n v="4"/>
    <n v="7"/>
    <x v="4"/>
    <n v="0"/>
    <x v="0"/>
    <x v="0"/>
    <s v="Long"/>
    <x v="2"/>
  </r>
  <r>
    <n v="48"/>
    <x v="492"/>
    <x v="1"/>
    <x v="1"/>
    <n v="1"/>
    <n v="4"/>
    <x v="0"/>
    <n v="4"/>
    <x v="0"/>
    <n v="2"/>
    <n v="4"/>
    <x v="5"/>
    <x v="3"/>
    <s v="Married"/>
    <n v="15402"/>
    <n v="7"/>
    <x v="1"/>
    <n v="1"/>
    <n v="21"/>
    <n v="1"/>
    <n v="3"/>
    <n v="2"/>
    <n v="0"/>
    <n v="2"/>
    <x v="0"/>
    <n v="0"/>
    <x v="1"/>
    <x v="2"/>
    <s v="Mid"/>
    <x v="0"/>
  </r>
  <r>
    <n v="44"/>
    <x v="493"/>
    <x v="1"/>
    <x v="2"/>
    <n v="1"/>
    <n v="4"/>
    <x v="0"/>
    <n v="1"/>
    <x v="0"/>
    <n v="2"/>
    <n v="2"/>
    <x v="8"/>
    <x v="2"/>
    <s v="Single"/>
    <n v="5985"/>
    <n v="4"/>
    <x v="1"/>
    <n v="2"/>
    <n v="10"/>
    <n v="4"/>
    <n v="2"/>
    <n v="2"/>
    <n v="0"/>
    <n v="2"/>
    <x v="0"/>
    <n v="0"/>
    <x v="0"/>
    <x v="0"/>
    <s v="Early"/>
    <x v="0"/>
  </r>
  <r>
    <n v="34"/>
    <x v="494"/>
    <x v="1"/>
    <x v="0"/>
    <n v="14"/>
    <n v="3"/>
    <x v="4"/>
    <n v="3"/>
    <x v="0"/>
    <n v="3"/>
    <n v="1"/>
    <x v="6"/>
    <x v="2"/>
    <s v="Divorced"/>
    <n v="2579"/>
    <n v="1"/>
    <x v="0"/>
    <n v="4"/>
    <n v="8"/>
    <n v="3"/>
    <n v="8"/>
    <n v="2"/>
    <n v="0"/>
    <n v="6"/>
    <x v="11"/>
    <n v="0"/>
    <x v="0"/>
    <x v="1"/>
    <s v="Long"/>
    <x v="1"/>
  </r>
  <r>
    <n v="27"/>
    <x v="495"/>
    <x v="0"/>
    <x v="0"/>
    <n v="2"/>
    <n v="1"/>
    <x v="3"/>
    <n v="3"/>
    <x v="1"/>
    <n v="3"/>
    <n v="1"/>
    <x v="6"/>
    <x v="3"/>
    <s v="Divorced"/>
    <n v="3041"/>
    <n v="0"/>
    <x v="1"/>
    <n v="2"/>
    <n v="5"/>
    <n v="3"/>
    <n v="4"/>
    <n v="3"/>
    <n v="0"/>
    <n v="2"/>
    <x v="0"/>
    <n v="1"/>
    <x v="2"/>
    <x v="1"/>
    <s v="Mid"/>
    <x v="0"/>
  </r>
  <r>
    <n v="21"/>
    <x v="496"/>
    <x v="1"/>
    <x v="0"/>
    <n v="22"/>
    <n v="1"/>
    <x v="4"/>
    <n v="3"/>
    <x v="1"/>
    <n v="3"/>
    <n v="1"/>
    <x v="6"/>
    <x v="2"/>
    <s v="Single"/>
    <n v="3447"/>
    <n v="1"/>
    <x v="1"/>
    <n v="3"/>
    <n v="3"/>
    <n v="3"/>
    <n v="3"/>
    <n v="2"/>
    <n v="1"/>
    <n v="2"/>
    <x v="0"/>
    <n v="0"/>
    <x v="2"/>
    <x v="1"/>
    <s v="Mid"/>
    <x v="0"/>
  </r>
  <r>
    <n v="44"/>
    <x v="497"/>
    <x v="1"/>
    <x v="1"/>
    <n v="3"/>
    <n v="4"/>
    <x v="1"/>
    <n v="4"/>
    <x v="1"/>
    <n v="3"/>
    <n v="5"/>
    <x v="5"/>
    <x v="0"/>
    <s v="Married"/>
    <n v="19513"/>
    <n v="4"/>
    <x v="0"/>
    <n v="1"/>
    <n v="26"/>
    <n v="4"/>
    <n v="2"/>
    <n v="2"/>
    <n v="0"/>
    <n v="1"/>
    <x v="3"/>
    <n v="0"/>
    <x v="0"/>
    <x v="2"/>
    <s v="Early"/>
    <x v="0"/>
  </r>
  <r>
    <n v="22"/>
    <x v="498"/>
    <x v="1"/>
    <x v="1"/>
    <n v="6"/>
    <n v="1"/>
    <x v="2"/>
    <n v="1"/>
    <x v="1"/>
    <n v="3"/>
    <n v="1"/>
    <x v="1"/>
    <x v="2"/>
    <s v="Married"/>
    <n v="2773"/>
    <n v="0"/>
    <x v="1"/>
    <n v="4"/>
    <n v="3"/>
    <n v="3"/>
    <n v="2"/>
    <n v="2"/>
    <n v="2"/>
    <n v="2"/>
    <x v="5"/>
    <n v="0"/>
    <x v="2"/>
    <x v="1"/>
    <s v="Early"/>
    <x v="1"/>
  </r>
  <r>
    <n v="33"/>
    <x v="499"/>
    <x v="1"/>
    <x v="0"/>
    <n v="8"/>
    <n v="4"/>
    <x v="3"/>
    <n v="3"/>
    <x v="1"/>
    <n v="3"/>
    <n v="2"/>
    <x v="0"/>
    <x v="2"/>
    <s v="Divorced"/>
    <n v="7104"/>
    <n v="0"/>
    <x v="1"/>
    <n v="4"/>
    <n v="6"/>
    <n v="3"/>
    <n v="5"/>
    <n v="0"/>
    <n v="1"/>
    <n v="2"/>
    <x v="3"/>
    <n v="0"/>
    <x v="0"/>
    <x v="0"/>
    <s v="Mid"/>
    <x v="0"/>
  </r>
  <r>
    <n v="32"/>
    <x v="500"/>
    <x v="1"/>
    <x v="1"/>
    <n v="9"/>
    <n v="4"/>
    <x v="0"/>
    <n v="1"/>
    <x v="0"/>
    <n v="3"/>
    <n v="2"/>
    <x v="1"/>
    <x v="0"/>
    <s v="Married"/>
    <n v="6322"/>
    <n v="1"/>
    <x v="0"/>
    <n v="4"/>
    <n v="6"/>
    <n v="2"/>
    <n v="6"/>
    <n v="4"/>
    <n v="0"/>
    <n v="5"/>
    <x v="3"/>
    <n v="0"/>
    <x v="0"/>
    <x v="0"/>
    <s v="Mid"/>
    <x v="0"/>
  </r>
  <r>
    <n v="30"/>
    <x v="501"/>
    <x v="1"/>
    <x v="1"/>
    <n v="3"/>
    <n v="3"/>
    <x v="2"/>
    <n v="3"/>
    <x v="0"/>
    <n v="3"/>
    <n v="1"/>
    <x v="1"/>
    <x v="2"/>
    <s v="Divorced"/>
    <n v="2083"/>
    <n v="1"/>
    <x v="1"/>
    <n v="3"/>
    <n v="1"/>
    <n v="3"/>
    <n v="1"/>
    <n v="0"/>
    <n v="0"/>
    <n v="0"/>
    <x v="5"/>
    <n v="0"/>
    <x v="0"/>
    <x v="1"/>
    <s v="Early"/>
    <x v="1"/>
  </r>
  <r>
    <n v="53"/>
    <x v="502"/>
    <x v="1"/>
    <x v="0"/>
    <n v="1"/>
    <n v="1"/>
    <x v="2"/>
    <n v="4"/>
    <x v="0"/>
    <n v="3"/>
    <n v="2"/>
    <x v="0"/>
    <x v="3"/>
    <s v="Single"/>
    <n v="8381"/>
    <n v="7"/>
    <x v="1"/>
    <n v="4"/>
    <n v="18"/>
    <n v="4"/>
    <n v="14"/>
    <n v="7"/>
    <n v="8"/>
    <n v="10"/>
    <x v="5"/>
    <n v="0"/>
    <x v="1"/>
    <x v="0"/>
    <s v="Long"/>
    <x v="1"/>
  </r>
  <r>
    <n v="34"/>
    <x v="503"/>
    <x v="1"/>
    <x v="1"/>
    <n v="1"/>
    <n v="5"/>
    <x v="0"/>
    <n v="2"/>
    <x v="1"/>
    <n v="3"/>
    <n v="1"/>
    <x v="1"/>
    <x v="0"/>
    <s v="Married"/>
    <n v="2691"/>
    <n v="1"/>
    <x v="1"/>
    <n v="4"/>
    <n v="10"/>
    <n v="2"/>
    <n v="10"/>
    <n v="9"/>
    <n v="8"/>
    <n v="8"/>
    <x v="3"/>
    <n v="0"/>
    <x v="0"/>
    <x v="1"/>
    <s v="Long"/>
    <x v="0"/>
  </r>
  <r>
    <n v="45"/>
    <x v="504"/>
    <x v="0"/>
    <x v="0"/>
    <n v="26"/>
    <n v="4"/>
    <x v="0"/>
    <n v="1"/>
    <x v="0"/>
    <n v="3"/>
    <n v="2"/>
    <x v="0"/>
    <x v="3"/>
    <s v="Married"/>
    <n v="4286"/>
    <n v="2"/>
    <x v="1"/>
    <n v="4"/>
    <n v="5"/>
    <n v="3"/>
    <n v="1"/>
    <n v="1"/>
    <n v="0"/>
    <n v="0"/>
    <x v="9"/>
    <n v="1"/>
    <x v="1"/>
    <x v="1"/>
    <s v="Early"/>
    <x v="2"/>
  </r>
  <r>
    <n v="26"/>
    <x v="505"/>
    <x v="1"/>
    <x v="1"/>
    <n v="6"/>
    <n v="3"/>
    <x v="0"/>
    <n v="3"/>
    <x v="0"/>
    <n v="3"/>
    <n v="1"/>
    <x v="2"/>
    <x v="0"/>
    <s v="Married"/>
    <n v="2659"/>
    <n v="1"/>
    <x v="0"/>
    <n v="3"/>
    <n v="3"/>
    <n v="3"/>
    <n v="3"/>
    <n v="2"/>
    <n v="0"/>
    <n v="2"/>
    <x v="4"/>
    <n v="0"/>
    <x v="2"/>
    <x v="1"/>
    <s v="Mid"/>
    <x v="2"/>
  </r>
  <r>
    <n v="37"/>
    <x v="506"/>
    <x v="1"/>
    <x v="1"/>
    <n v="3"/>
    <n v="3"/>
    <x v="1"/>
    <n v="3"/>
    <x v="1"/>
    <n v="3"/>
    <n v="3"/>
    <x v="3"/>
    <x v="2"/>
    <s v="Married"/>
    <n v="9434"/>
    <n v="1"/>
    <x v="1"/>
    <n v="3"/>
    <n v="10"/>
    <n v="3"/>
    <n v="10"/>
    <n v="7"/>
    <n v="7"/>
    <n v="8"/>
    <x v="2"/>
    <n v="0"/>
    <x v="0"/>
    <x v="0"/>
    <s v="Long"/>
    <x v="2"/>
  </r>
  <r>
    <n v="29"/>
    <x v="507"/>
    <x v="1"/>
    <x v="0"/>
    <n v="3"/>
    <n v="2"/>
    <x v="2"/>
    <n v="2"/>
    <x v="0"/>
    <n v="3"/>
    <n v="2"/>
    <x v="0"/>
    <x v="2"/>
    <s v="Married"/>
    <n v="5561"/>
    <n v="1"/>
    <x v="1"/>
    <n v="1"/>
    <n v="6"/>
    <n v="2"/>
    <n v="6"/>
    <n v="0"/>
    <n v="1"/>
    <n v="2"/>
    <x v="9"/>
    <n v="0"/>
    <x v="2"/>
    <x v="0"/>
    <s v="Mid"/>
    <x v="2"/>
  </r>
  <r>
    <n v="35"/>
    <x v="508"/>
    <x v="1"/>
    <x v="1"/>
    <n v="6"/>
    <n v="4"/>
    <x v="0"/>
    <n v="2"/>
    <x v="1"/>
    <n v="1"/>
    <n v="2"/>
    <x v="1"/>
    <x v="0"/>
    <s v="Single"/>
    <n v="6646"/>
    <n v="1"/>
    <x v="1"/>
    <n v="2"/>
    <n v="17"/>
    <n v="3"/>
    <n v="17"/>
    <n v="11"/>
    <n v="11"/>
    <n v="8"/>
    <x v="4"/>
    <n v="0"/>
    <x v="0"/>
    <x v="0"/>
    <s v="Long"/>
    <x v="2"/>
  </r>
  <r>
    <n v="33"/>
    <x v="509"/>
    <x v="1"/>
    <x v="1"/>
    <n v="6"/>
    <n v="3"/>
    <x v="0"/>
    <n v="3"/>
    <x v="1"/>
    <n v="3"/>
    <n v="2"/>
    <x v="4"/>
    <x v="0"/>
    <s v="Divorced"/>
    <n v="7725"/>
    <n v="3"/>
    <x v="1"/>
    <n v="3"/>
    <n v="15"/>
    <n v="1"/>
    <n v="13"/>
    <n v="11"/>
    <n v="4"/>
    <n v="7"/>
    <x v="1"/>
    <n v="0"/>
    <x v="0"/>
    <x v="0"/>
    <s v="Long"/>
    <x v="1"/>
  </r>
  <r>
    <n v="54"/>
    <x v="510"/>
    <x v="1"/>
    <x v="2"/>
    <n v="19"/>
    <n v="4"/>
    <x v="2"/>
    <n v="3"/>
    <x v="1"/>
    <n v="3"/>
    <n v="3"/>
    <x v="8"/>
    <x v="1"/>
    <s v="Married"/>
    <n v="10725"/>
    <n v="2"/>
    <x v="1"/>
    <n v="3"/>
    <n v="16"/>
    <n v="4"/>
    <n v="9"/>
    <n v="7"/>
    <n v="7"/>
    <n v="1"/>
    <x v="2"/>
    <n v="0"/>
    <x v="1"/>
    <x v="2"/>
    <s v="Long"/>
    <x v="2"/>
  </r>
  <r>
    <n v="36"/>
    <x v="511"/>
    <x v="1"/>
    <x v="1"/>
    <n v="9"/>
    <n v="2"/>
    <x v="2"/>
    <n v="2"/>
    <x v="1"/>
    <n v="2"/>
    <n v="2"/>
    <x v="3"/>
    <x v="1"/>
    <s v="Divorced"/>
    <n v="8847"/>
    <n v="2"/>
    <x v="0"/>
    <n v="3"/>
    <n v="13"/>
    <n v="3"/>
    <n v="3"/>
    <n v="2"/>
    <n v="0"/>
    <n v="2"/>
    <x v="0"/>
    <n v="0"/>
    <x v="0"/>
    <x v="0"/>
    <s v="Mid"/>
    <x v="0"/>
  </r>
  <r>
    <n v="27"/>
    <x v="512"/>
    <x v="1"/>
    <x v="1"/>
    <n v="3"/>
    <n v="4"/>
    <x v="2"/>
    <n v="1"/>
    <x v="1"/>
    <n v="2"/>
    <n v="1"/>
    <x v="1"/>
    <x v="0"/>
    <s v="Single"/>
    <n v="2045"/>
    <n v="0"/>
    <x v="1"/>
    <n v="4"/>
    <n v="5"/>
    <n v="3"/>
    <n v="4"/>
    <n v="2"/>
    <n v="1"/>
    <n v="1"/>
    <x v="4"/>
    <n v="0"/>
    <x v="2"/>
    <x v="1"/>
    <s v="Mid"/>
    <x v="2"/>
  </r>
  <r>
    <n v="20"/>
    <x v="513"/>
    <x v="0"/>
    <x v="1"/>
    <n v="10"/>
    <n v="1"/>
    <x v="2"/>
    <n v="4"/>
    <x v="1"/>
    <n v="3"/>
    <n v="1"/>
    <x v="1"/>
    <x v="2"/>
    <s v="Single"/>
    <n v="1009"/>
    <n v="1"/>
    <x v="0"/>
    <n v="4"/>
    <n v="1"/>
    <n v="3"/>
    <n v="1"/>
    <n v="0"/>
    <n v="1"/>
    <n v="1"/>
    <x v="0"/>
    <n v="1"/>
    <x v="2"/>
    <x v="1"/>
    <s v="Early"/>
    <x v="0"/>
  </r>
  <r>
    <n v="33"/>
    <x v="514"/>
    <x v="0"/>
    <x v="1"/>
    <n v="3"/>
    <n v="3"/>
    <x v="0"/>
    <n v="1"/>
    <x v="1"/>
    <n v="3"/>
    <n v="1"/>
    <x v="1"/>
    <x v="3"/>
    <s v="Single"/>
    <n v="3348"/>
    <n v="1"/>
    <x v="0"/>
    <n v="1"/>
    <n v="10"/>
    <n v="3"/>
    <n v="10"/>
    <n v="8"/>
    <n v="9"/>
    <n v="7"/>
    <x v="0"/>
    <n v="1"/>
    <x v="0"/>
    <x v="1"/>
    <s v="Long"/>
    <x v="0"/>
  </r>
  <r>
    <n v="35"/>
    <x v="515"/>
    <x v="1"/>
    <x v="1"/>
    <n v="3"/>
    <n v="3"/>
    <x v="0"/>
    <n v="3"/>
    <x v="1"/>
    <n v="2"/>
    <n v="1"/>
    <x v="2"/>
    <x v="2"/>
    <s v="Married"/>
    <n v="1281"/>
    <n v="1"/>
    <x v="1"/>
    <n v="3"/>
    <n v="1"/>
    <n v="3"/>
    <n v="1"/>
    <n v="0"/>
    <n v="0"/>
    <n v="0"/>
    <x v="11"/>
    <n v="0"/>
    <x v="0"/>
    <x v="1"/>
    <s v="Early"/>
    <x v="1"/>
  </r>
  <r>
    <n v="23"/>
    <x v="516"/>
    <x v="1"/>
    <x v="1"/>
    <n v="4"/>
    <n v="3"/>
    <x v="2"/>
    <n v="1"/>
    <x v="1"/>
    <n v="4"/>
    <n v="1"/>
    <x v="1"/>
    <x v="3"/>
    <s v="Married"/>
    <n v="2819"/>
    <n v="2"/>
    <x v="1"/>
    <n v="1"/>
    <n v="5"/>
    <n v="4"/>
    <n v="3"/>
    <n v="2"/>
    <n v="0"/>
    <n v="2"/>
    <x v="10"/>
    <n v="0"/>
    <x v="2"/>
    <x v="1"/>
    <s v="Mid"/>
    <x v="2"/>
  </r>
  <r>
    <n v="25"/>
    <x v="517"/>
    <x v="1"/>
    <x v="0"/>
    <n v="8"/>
    <n v="3"/>
    <x v="0"/>
    <n v="4"/>
    <x v="1"/>
    <n v="4"/>
    <n v="2"/>
    <x v="0"/>
    <x v="1"/>
    <s v="Married"/>
    <n v="4851"/>
    <n v="0"/>
    <x v="1"/>
    <n v="3"/>
    <n v="4"/>
    <n v="3"/>
    <n v="3"/>
    <n v="2"/>
    <n v="1"/>
    <n v="2"/>
    <x v="6"/>
    <n v="0"/>
    <x v="2"/>
    <x v="1"/>
    <s v="Mid"/>
    <x v="1"/>
  </r>
  <r>
    <n v="38"/>
    <x v="518"/>
    <x v="1"/>
    <x v="0"/>
    <n v="7"/>
    <n v="4"/>
    <x v="3"/>
    <n v="4"/>
    <x v="0"/>
    <n v="2"/>
    <n v="2"/>
    <x v="0"/>
    <x v="0"/>
    <s v="Single"/>
    <n v="4028"/>
    <n v="0"/>
    <x v="1"/>
    <n v="1"/>
    <n v="8"/>
    <n v="3"/>
    <n v="7"/>
    <n v="7"/>
    <n v="0"/>
    <n v="5"/>
    <x v="5"/>
    <n v="0"/>
    <x v="0"/>
    <x v="1"/>
    <s v="Long"/>
    <x v="1"/>
  </r>
  <r>
    <n v="29"/>
    <x v="519"/>
    <x v="1"/>
    <x v="1"/>
    <n v="1"/>
    <n v="4"/>
    <x v="0"/>
    <n v="2"/>
    <x v="1"/>
    <n v="1"/>
    <n v="1"/>
    <x v="1"/>
    <x v="0"/>
    <s v="Divorced"/>
    <n v="2720"/>
    <n v="1"/>
    <x v="1"/>
    <n v="4"/>
    <n v="10"/>
    <n v="3"/>
    <n v="10"/>
    <n v="7"/>
    <n v="2"/>
    <n v="8"/>
    <x v="11"/>
    <n v="0"/>
    <x v="2"/>
    <x v="1"/>
    <s v="Long"/>
    <x v="1"/>
  </r>
  <r>
    <n v="48"/>
    <x v="520"/>
    <x v="1"/>
    <x v="0"/>
    <n v="2"/>
    <n v="1"/>
    <x v="3"/>
    <n v="2"/>
    <x v="1"/>
    <n v="4"/>
    <n v="2"/>
    <x v="0"/>
    <x v="1"/>
    <s v="Married"/>
    <n v="8120"/>
    <n v="3"/>
    <x v="1"/>
    <n v="4"/>
    <n v="12"/>
    <n v="3"/>
    <n v="2"/>
    <n v="2"/>
    <n v="2"/>
    <n v="2"/>
    <x v="3"/>
    <n v="0"/>
    <x v="1"/>
    <x v="0"/>
    <s v="Early"/>
    <x v="0"/>
  </r>
  <r>
    <n v="27"/>
    <x v="521"/>
    <x v="1"/>
    <x v="0"/>
    <n v="3"/>
    <n v="1"/>
    <x v="2"/>
    <n v="4"/>
    <x v="0"/>
    <n v="4"/>
    <n v="2"/>
    <x v="0"/>
    <x v="0"/>
    <s v="Divorced"/>
    <n v="4647"/>
    <n v="1"/>
    <x v="0"/>
    <n v="2"/>
    <n v="6"/>
    <n v="3"/>
    <n v="6"/>
    <n v="5"/>
    <n v="0"/>
    <n v="4"/>
    <x v="5"/>
    <n v="0"/>
    <x v="2"/>
    <x v="1"/>
    <s v="Mid"/>
    <x v="1"/>
  </r>
  <r>
    <n v="37"/>
    <x v="522"/>
    <x v="1"/>
    <x v="1"/>
    <n v="10"/>
    <n v="2"/>
    <x v="0"/>
    <n v="4"/>
    <x v="1"/>
    <n v="4"/>
    <n v="1"/>
    <x v="1"/>
    <x v="0"/>
    <s v="Single"/>
    <n v="4680"/>
    <n v="3"/>
    <x v="1"/>
    <n v="1"/>
    <n v="4"/>
    <n v="3"/>
    <n v="1"/>
    <n v="0"/>
    <n v="0"/>
    <n v="0"/>
    <x v="8"/>
    <n v="0"/>
    <x v="0"/>
    <x v="1"/>
    <s v="Early"/>
    <x v="2"/>
  </r>
  <r>
    <n v="50"/>
    <x v="523"/>
    <x v="1"/>
    <x v="1"/>
    <n v="28"/>
    <n v="1"/>
    <x v="2"/>
    <n v="4"/>
    <x v="1"/>
    <n v="4"/>
    <n v="1"/>
    <x v="2"/>
    <x v="2"/>
    <s v="Married"/>
    <n v="3221"/>
    <n v="1"/>
    <x v="0"/>
    <n v="3"/>
    <n v="20"/>
    <n v="3"/>
    <n v="20"/>
    <n v="8"/>
    <n v="3"/>
    <n v="8"/>
    <x v="0"/>
    <n v="0"/>
    <x v="1"/>
    <x v="1"/>
    <s v="Long"/>
    <x v="0"/>
  </r>
  <r>
    <n v="34"/>
    <x v="524"/>
    <x v="1"/>
    <x v="1"/>
    <n v="9"/>
    <n v="3"/>
    <x v="2"/>
    <n v="4"/>
    <x v="0"/>
    <n v="2"/>
    <n v="3"/>
    <x v="4"/>
    <x v="1"/>
    <s v="Single"/>
    <n v="8621"/>
    <n v="1"/>
    <x v="1"/>
    <n v="2"/>
    <n v="9"/>
    <n v="4"/>
    <n v="8"/>
    <n v="7"/>
    <n v="7"/>
    <n v="7"/>
    <x v="9"/>
    <n v="0"/>
    <x v="0"/>
    <x v="0"/>
    <s v="Long"/>
    <x v="2"/>
  </r>
  <r>
    <n v="24"/>
    <x v="525"/>
    <x v="0"/>
    <x v="0"/>
    <n v="3"/>
    <n v="2"/>
    <x v="0"/>
    <n v="1"/>
    <x v="0"/>
    <n v="3"/>
    <n v="2"/>
    <x v="0"/>
    <x v="2"/>
    <s v="Single"/>
    <n v="4577"/>
    <n v="9"/>
    <x v="1"/>
    <n v="1"/>
    <n v="4"/>
    <n v="3"/>
    <n v="2"/>
    <n v="2"/>
    <n v="2"/>
    <n v="0"/>
    <x v="9"/>
    <n v="1"/>
    <x v="2"/>
    <x v="1"/>
    <s v="Early"/>
    <x v="2"/>
  </r>
  <r>
    <n v="39"/>
    <x v="526"/>
    <x v="1"/>
    <x v="1"/>
    <n v="2"/>
    <n v="4"/>
    <x v="4"/>
    <n v="4"/>
    <x v="0"/>
    <n v="2"/>
    <n v="2"/>
    <x v="4"/>
    <x v="2"/>
    <s v="Single"/>
    <n v="4553"/>
    <n v="1"/>
    <x v="1"/>
    <n v="1"/>
    <n v="20"/>
    <n v="3"/>
    <n v="20"/>
    <n v="7"/>
    <n v="11"/>
    <n v="10"/>
    <x v="0"/>
    <n v="0"/>
    <x v="0"/>
    <x v="1"/>
    <s v="Long"/>
    <x v="0"/>
  </r>
  <r>
    <n v="32"/>
    <x v="527"/>
    <x v="1"/>
    <x v="0"/>
    <n v="10"/>
    <n v="3"/>
    <x v="3"/>
    <n v="4"/>
    <x v="1"/>
    <n v="3"/>
    <n v="2"/>
    <x v="0"/>
    <x v="0"/>
    <s v="Single"/>
    <n v="5396"/>
    <n v="1"/>
    <x v="1"/>
    <n v="4"/>
    <n v="10"/>
    <n v="2"/>
    <n v="10"/>
    <n v="7"/>
    <n v="0"/>
    <n v="8"/>
    <x v="3"/>
    <n v="0"/>
    <x v="0"/>
    <x v="0"/>
    <s v="Long"/>
    <x v="0"/>
  </r>
  <r>
    <n v="50"/>
    <x v="528"/>
    <x v="0"/>
    <x v="0"/>
    <n v="8"/>
    <n v="2"/>
    <x v="4"/>
    <n v="2"/>
    <x v="1"/>
    <n v="3"/>
    <n v="2"/>
    <x v="0"/>
    <x v="2"/>
    <s v="Married"/>
    <n v="6796"/>
    <n v="3"/>
    <x v="0"/>
    <n v="1"/>
    <n v="18"/>
    <n v="3"/>
    <n v="4"/>
    <n v="3"/>
    <n v="1"/>
    <n v="3"/>
    <x v="9"/>
    <n v="1"/>
    <x v="1"/>
    <x v="0"/>
    <s v="Mid"/>
    <x v="2"/>
  </r>
  <r>
    <n v="38"/>
    <x v="529"/>
    <x v="1"/>
    <x v="1"/>
    <n v="1"/>
    <n v="4"/>
    <x v="0"/>
    <n v="2"/>
    <x v="0"/>
    <n v="4"/>
    <n v="2"/>
    <x v="4"/>
    <x v="0"/>
    <s v="Single"/>
    <n v="7625"/>
    <n v="0"/>
    <x v="1"/>
    <n v="3"/>
    <n v="10"/>
    <n v="2"/>
    <n v="9"/>
    <n v="7"/>
    <n v="1"/>
    <n v="8"/>
    <x v="4"/>
    <n v="0"/>
    <x v="0"/>
    <x v="0"/>
    <s v="Long"/>
    <x v="2"/>
  </r>
  <r>
    <n v="27"/>
    <x v="530"/>
    <x v="1"/>
    <x v="1"/>
    <n v="1"/>
    <n v="2"/>
    <x v="0"/>
    <n v="3"/>
    <x v="0"/>
    <n v="3"/>
    <n v="3"/>
    <x v="3"/>
    <x v="3"/>
    <s v="Married"/>
    <n v="7412"/>
    <n v="1"/>
    <x v="1"/>
    <n v="4"/>
    <n v="9"/>
    <n v="3"/>
    <n v="9"/>
    <n v="7"/>
    <n v="0"/>
    <n v="7"/>
    <x v="0"/>
    <n v="0"/>
    <x v="2"/>
    <x v="0"/>
    <s v="Long"/>
    <x v="0"/>
  </r>
  <r>
    <n v="32"/>
    <x v="531"/>
    <x v="1"/>
    <x v="1"/>
    <n v="3"/>
    <n v="2"/>
    <x v="0"/>
    <n v="3"/>
    <x v="0"/>
    <n v="3"/>
    <n v="3"/>
    <x v="7"/>
    <x v="0"/>
    <s v="Single"/>
    <n v="11159"/>
    <n v="3"/>
    <x v="1"/>
    <n v="4"/>
    <n v="10"/>
    <n v="3"/>
    <n v="7"/>
    <n v="7"/>
    <n v="7"/>
    <n v="7"/>
    <x v="2"/>
    <n v="0"/>
    <x v="0"/>
    <x v="2"/>
    <s v="Long"/>
    <x v="2"/>
  </r>
  <r>
    <n v="47"/>
    <x v="532"/>
    <x v="1"/>
    <x v="0"/>
    <n v="14"/>
    <n v="4"/>
    <x v="3"/>
    <n v="4"/>
    <x v="1"/>
    <n v="3"/>
    <n v="2"/>
    <x v="0"/>
    <x v="3"/>
    <s v="Single"/>
    <n v="4960"/>
    <n v="2"/>
    <x v="1"/>
    <n v="4"/>
    <n v="20"/>
    <n v="3"/>
    <n v="7"/>
    <n v="7"/>
    <n v="1"/>
    <n v="7"/>
    <x v="3"/>
    <n v="0"/>
    <x v="1"/>
    <x v="1"/>
    <s v="Long"/>
    <x v="0"/>
  </r>
  <r>
    <n v="40"/>
    <x v="533"/>
    <x v="1"/>
    <x v="0"/>
    <n v="5"/>
    <n v="4"/>
    <x v="0"/>
    <n v="4"/>
    <x v="1"/>
    <n v="2"/>
    <n v="3"/>
    <x v="0"/>
    <x v="3"/>
    <s v="Married"/>
    <n v="10475"/>
    <n v="5"/>
    <x v="0"/>
    <n v="3"/>
    <n v="20"/>
    <n v="3"/>
    <n v="18"/>
    <n v="13"/>
    <n v="1"/>
    <n v="12"/>
    <x v="7"/>
    <n v="0"/>
    <x v="0"/>
    <x v="2"/>
    <s v="Long"/>
    <x v="1"/>
  </r>
  <r>
    <n v="53"/>
    <x v="534"/>
    <x v="1"/>
    <x v="1"/>
    <n v="7"/>
    <n v="3"/>
    <x v="0"/>
    <n v="3"/>
    <x v="1"/>
    <n v="4"/>
    <n v="4"/>
    <x v="7"/>
    <x v="2"/>
    <s v="Married"/>
    <n v="14814"/>
    <n v="3"/>
    <x v="1"/>
    <n v="3"/>
    <n v="32"/>
    <n v="3"/>
    <n v="5"/>
    <n v="1"/>
    <n v="1"/>
    <n v="3"/>
    <x v="12"/>
    <n v="0"/>
    <x v="1"/>
    <x v="2"/>
    <s v="Mid"/>
    <x v="1"/>
  </r>
  <r>
    <n v="41"/>
    <x v="535"/>
    <x v="1"/>
    <x v="2"/>
    <n v="10"/>
    <n v="4"/>
    <x v="5"/>
    <n v="2"/>
    <x v="1"/>
    <n v="2"/>
    <n v="5"/>
    <x v="5"/>
    <x v="0"/>
    <s v="Divorced"/>
    <n v="19141"/>
    <n v="3"/>
    <x v="1"/>
    <n v="2"/>
    <n v="23"/>
    <n v="2"/>
    <n v="21"/>
    <n v="6"/>
    <n v="12"/>
    <n v="6"/>
    <x v="2"/>
    <n v="0"/>
    <x v="0"/>
    <x v="2"/>
    <s v="Long"/>
    <x v="2"/>
  </r>
  <r>
    <n v="60"/>
    <x v="536"/>
    <x v="1"/>
    <x v="0"/>
    <n v="16"/>
    <n v="4"/>
    <x v="3"/>
    <n v="1"/>
    <x v="1"/>
    <n v="3"/>
    <n v="2"/>
    <x v="0"/>
    <x v="3"/>
    <s v="Single"/>
    <n v="5405"/>
    <n v="8"/>
    <x v="1"/>
    <n v="4"/>
    <n v="10"/>
    <n v="3"/>
    <n v="2"/>
    <n v="2"/>
    <n v="2"/>
    <n v="2"/>
    <x v="9"/>
    <n v="0"/>
    <x v="1"/>
    <x v="0"/>
    <s v="Early"/>
    <x v="2"/>
  </r>
  <r>
    <n v="27"/>
    <x v="537"/>
    <x v="1"/>
    <x v="1"/>
    <n v="10"/>
    <n v="2"/>
    <x v="0"/>
    <n v="4"/>
    <x v="1"/>
    <n v="3"/>
    <n v="3"/>
    <x v="3"/>
    <x v="3"/>
    <s v="Divorced"/>
    <n v="8793"/>
    <n v="1"/>
    <x v="1"/>
    <n v="3"/>
    <n v="9"/>
    <n v="2"/>
    <n v="9"/>
    <n v="7"/>
    <n v="1"/>
    <n v="7"/>
    <x v="7"/>
    <n v="0"/>
    <x v="2"/>
    <x v="0"/>
    <s v="Long"/>
    <x v="1"/>
  </r>
  <r>
    <n v="41"/>
    <x v="538"/>
    <x v="1"/>
    <x v="2"/>
    <n v="1"/>
    <n v="3"/>
    <x v="5"/>
    <n v="4"/>
    <x v="1"/>
    <n v="2"/>
    <n v="5"/>
    <x v="5"/>
    <x v="2"/>
    <s v="Married"/>
    <n v="19189"/>
    <n v="1"/>
    <x v="1"/>
    <n v="2"/>
    <n v="22"/>
    <n v="3"/>
    <n v="22"/>
    <n v="7"/>
    <n v="2"/>
    <n v="10"/>
    <x v="3"/>
    <n v="0"/>
    <x v="0"/>
    <x v="2"/>
    <s v="Long"/>
    <x v="0"/>
  </r>
  <r>
    <n v="50"/>
    <x v="539"/>
    <x v="1"/>
    <x v="0"/>
    <n v="8"/>
    <n v="4"/>
    <x v="3"/>
    <n v="4"/>
    <x v="1"/>
    <n v="3"/>
    <n v="1"/>
    <x v="6"/>
    <x v="1"/>
    <s v="Married"/>
    <n v="3875"/>
    <n v="7"/>
    <x v="1"/>
    <n v="4"/>
    <n v="4"/>
    <n v="3"/>
    <n v="2"/>
    <n v="2"/>
    <n v="2"/>
    <n v="2"/>
    <x v="2"/>
    <n v="0"/>
    <x v="1"/>
    <x v="1"/>
    <s v="Early"/>
    <x v="2"/>
  </r>
  <r>
    <n v="28"/>
    <x v="540"/>
    <x v="0"/>
    <x v="1"/>
    <n v="1"/>
    <n v="2"/>
    <x v="0"/>
    <n v="1"/>
    <x v="0"/>
    <n v="1"/>
    <n v="1"/>
    <x v="1"/>
    <x v="1"/>
    <s v="Single"/>
    <n v="2216"/>
    <n v="7"/>
    <x v="0"/>
    <n v="4"/>
    <n v="10"/>
    <n v="3"/>
    <n v="7"/>
    <n v="7"/>
    <n v="3"/>
    <n v="7"/>
    <x v="4"/>
    <n v="1"/>
    <x v="2"/>
    <x v="1"/>
    <s v="Long"/>
    <x v="2"/>
  </r>
  <r>
    <n v="36"/>
    <x v="541"/>
    <x v="1"/>
    <x v="1"/>
    <n v="8"/>
    <n v="3"/>
    <x v="0"/>
    <n v="1"/>
    <x v="0"/>
    <n v="4"/>
    <n v="3"/>
    <x v="7"/>
    <x v="3"/>
    <s v="Married"/>
    <n v="11713"/>
    <n v="9"/>
    <x v="1"/>
    <n v="1"/>
    <n v="10"/>
    <n v="3"/>
    <n v="8"/>
    <n v="7"/>
    <n v="0"/>
    <n v="5"/>
    <x v="9"/>
    <n v="0"/>
    <x v="0"/>
    <x v="2"/>
    <s v="Long"/>
    <x v="2"/>
  </r>
  <r>
    <n v="38"/>
    <x v="542"/>
    <x v="1"/>
    <x v="1"/>
    <n v="1"/>
    <n v="3"/>
    <x v="0"/>
    <n v="3"/>
    <x v="0"/>
    <n v="3"/>
    <n v="3"/>
    <x v="3"/>
    <x v="2"/>
    <s v="Single"/>
    <n v="7861"/>
    <n v="4"/>
    <x v="0"/>
    <n v="4"/>
    <n v="10"/>
    <n v="4"/>
    <n v="1"/>
    <n v="0"/>
    <n v="0"/>
    <n v="0"/>
    <x v="9"/>
    <n v="0"/>
    <x v="0"/>
    <x v="0"/>
    <s v="Early"/>
    <x v="2"/>
  </r>
  <r>
    <n v="44"/>
    <x v="543"/>
    <x v="1"/>
    <x v="1"/>
    <n v="24"/>
    <n v="3"/>
    <x v="2"/>
    <n v="1"/>
    <x v="1"/>
    <n v="1"/>
    <n v="1"/>
    <x v="2"/>
    <x v="2"/>
    <s v="Single"/>
    <n v="3708"/>
    <n v="2"/>
    <x v="1"/>
    <n v="3"/>
    <n v="9"/>
    <n v="3"/>
    <n v="5"/>
    <n v="2"/>
    <n v="1"/>
    <n v="4"/>
    <x v="9"/>
    <n v="0"/>
    <x v="0"/>
    <x v="1"/>
    <s v="Mid"/>
    <x v="2"/>
  </r>
  <r>
    <n v="47"/>
    <x v="544"/>
    <x v="1"/>
    <x v="0"/>
    <n v="3"/>
    <n v="3"/>
    <x v="2"/>
    <n v="4"/>
    <x v="0"/>
    <n v="3"/>
    <n v="4"/>
    <x v="0"/>
    <x v="2"/>
    <s v="Divorced"/>
    <n v="13770"/>
    <n v="9"/>
    <x v="0"/>
    <n v="4"/>
    <n v="28"/>
    <n v="2"/>
    <n v="22"/>
    <n v="2"/>
    <n v="11"/>
    <n v="13"/>
    <x v="3"/>
    <n v="0"/>
    <x v="1"/>
    <x v="2"/>
    <s v="Long"/>
    <x v="0"/>
  </r>
  <r>
    <n v="30"/>
    <x v="545"/>
    <x v="1"/>
    <x v="0"/>
    <n v="27"/>
    <n v="5"/>
    <x v="3"/>
    <n v="3"/>
    <x v="1"/>
    <n v="3"/>
    <n v="2"/>
    <x v="0"/>
    <x v="0"/>
    <s v="Divorced"/>
    <n v="5304"/>
    <n v="7"/>
    <x v="1"/>
    <n v="4"/>
    <n v="10"/>
    <n v="2"/>
    <n v="8"/>
    <n v="7"/>
    <n v="7"/>
    <n v="7"/>
    <x v="1"/>
    <n v="0"/>
    <x v="0"/>
    <x v="0"/>
    <s v="Long"/>
    <x v="1"/>
  </r>
  <r>
    <n v="29"/>
    <x v="546"/>
    <x v="1"/>
    <x v="0"/>
    <n v="10"/>
    <n v="3"/>
    <x v="0"/>
    <n v="3"/>
    <x v="1"/>
    <n v="3"/>
    <n v="1"/>
    <x v="6"/>
    <x v="2"/>
    <s v="Single"/>
    <n v="2642"/>
    <n v="1"/>
    <x v="1"/>
    <n v="3"/>
    <n v="1"/>
    <n v="3"/>
    <n v="1"/>
    <n v="0"/>
    <n v="0"/>
    <n v="0"/>
    <x v="0"/>
    <n v="0"/>
    <x v="2"/>
    <x v="1"/>
    <s v="Early"/>
    <x v="0"/>
  </r>
  <r>
    <n v="42"/>
    <x v="547"/>
    <x v="0"/>
    <x v="1"/>
    <n v="19"/>
    <n v="3"/>
    <x v="2"/>
    <n v="3"/>
    <x v="1"/>
    <n v="4"/>
    <n v="1"/>
    <x v="1"/>
    <x v="2"/>
    <s v="Divorced"/>
    <n v="2759"/>
    <n v="6"/>
    <x v="0"/>
    <n v="4"/>
    <n v="7"/>
    <n v="3"/>
    <n v="2"/>
    <n v="2"/>
    <n v="2"/>
    <n v="2"/>
    <x v="3"/>
    <n v="1"/>
    <x v="0"/>
    <x v="1"/>
    <s v="Early"/>
    <x v="0"/>
  </r>
  <r>
    <n v="43"/>
    <x v="548"/>
    <x v="1"/>
    <x v="0"/>
    <n v="15"/>
    <n v="3"/>
    <x v="0"/>
    <n v="4"/>
    <x v="1"/>
    <n v="2"/>
    <n v="2"/>
    <x v="0"/>
    <x v="0"/>
    <s v="Married"/>
    <n v="6804"/>
    <n v="3"/>
    <x v="1"/>
    <n v="3"/>
    <n v="7"/>
    <n v="3"/>
    <n v="2"/>
    <n v="2"/>
    <n v="2"/>
    <n v="2"/>
    <x v="11"/>
    <n v="0"/>
    <x v="0"/>
    <x v="0"/>
    <s v="Early"/>
    <x v="1"/>
  </r>
  <r>
    <n v="34"/>
    <x v="549"/>
    <x v="1"/>
    <x v="1"/>
    <n v="8"/>
    <n v="2"/>
    <x v="2"/>
    <n v="2"/>
    <x v="0"/>
    <n v="3"/>
    <n v="2"/>
    <x v="4"/>
    <x v="2"/>
    <s v="Single"/>
    <n v="6142"/>
    <n v="3"/>
    <x v="1"/>
    <n v="4"/>
    <n v="10"/>
    <n v="3"/>
    <n v="5"/>
    <n v="1"/>
    <n v="4"/>
    <n v="3"/>
    <x v="0"/>
    <n v="0"/>
    <x v="0"/>
    <x v="0"/>
    <s v="Mid"/>
    <x v="0"/>
  </r>
  <r>
    <n v="23"/>
    <x v="550"/>
    <x v="1"/>
    <x v="1"/>
    <n v="9"/>
    <n v="1"/>
    <x v="2"/>
    <n v="2"/>
    <x v="1"/>
    <n v="3"/>
    <n v="1"/>
    <x v="2"/>
    <x v="3"/>
    <s v="Married"/>
    <n v="2500"/>
    <n v="1"/>
    <x v="1"/>
    <n v="4"/>
    <n v="5"/>
    <n v="4"/>
    <n v="4"/>
    <n v="3"/>
    <n v="0"/>
    <n v="2"/>
    <x v="9"/>
    <n v="0"/>
    <x v="2"/>
    <x v="1"/>
    <s v="Mid"/>
    <x v="2"/>
  </r>
  <r>
    <n v="39"/>
    <x v="551"/>
    <x v="1"/>
    <x v="2"/>
    <n v="3"/>
    <n v="3"/>
    <x v="5"/>
    <n v="3"/>
    <x v="0"/>
    <n v="4"/>
    <n v="2"/>
    <x v="8"/>
    <x v="1"/>
    <s v="Married"/>
    <n v="6389"/>
    <n v="9"/>
    <x v="1"/>
    <n v="3"/>
    <n v="12"/>
    <n v="1"/>
    <n v="8"/>
    <n v="3"/>
    <n v="3"/>
    <n v="6"/>
    <x v="2"/>
    <n v="0"/>
    <x v="0"/>
    <x v="0"/>
    <s v="Long"/>
    <x v="2"/>
  </r>
  <r>
    <n v="56"/>
    <x v="552"/>
    <x v="1"/>
    <x v="1"/>
    <n v="9"/>
    <n v="3"/>
    <x v="2"/>
    <n v="3"/>
    <x v="1"/>
    <n v="3"/>
    <n v="4"/>
    <x v="4"/>
    <x v="0"/>
    <s v="Married"/>
    <n v="11103"/>
    <n v="7"/>
    <x v="1"/>
    <n v="3"/>
    <n v="30"/>
    <n v="2"/>
    <n v="10"/>
    <n v="7"/>
    <n v="1"/>
    <n v="1"/>
    <x v="0"/>
    <n v="0"/>
    <x v="1"/>
    <x v="2"/>
    <s v="Long"/>
    <x v="0"/>
  </r>
  <r>
    <n v="40"/>
    <x v="553"/>
    <x v="1"/>
    <x v="1"/>
    <n v="2"/>
    <n v="1"/>
    <x v="2"/>
    <n v="4"/>
    <x v="0"/>
    <n v="2"/>
    <n v="1"/>
    <x v="1"/>
    <x v="0"/>
    <s v="Single"/>
    <n v="2342"/>
    <n v="0"/>
    <x v="0"/>
    <n v="4"/>
    <n v="5"/>
    <n v="2"/>
    <n v="4"/>
    <n v="2"/>
    <n v="2"/>
    <n v="3"/>
    <x v="5"/>
    <n v="0"/>
    <x v="0"/>
    <x v="1"/>
    <s v="Mid"/>
    <x v="1"/>
  </r>
  <r>
    <n v="27"/>
    <x v="554"/>
    <x v="1"/>
    <x v="1"/>
    <n v="7"/>
    <n v="3"/>
    <x v="2"/>
    <n v="4"/>
    <x v="0"/>
    <n v="2"/>
    <n v="2"/>
    <x v="4"/>
    <x v="3"/>
    <s v="Single"/>
    <n v="6811"/>
    <n v="8"/>
    <x v="1"/>
    <n v="1"/>
    <n v="9"/>
    <n v="1"/>
    <n v="7"/>
    <n v="6"/>
    <n v="0"/>
    <n v="7"/>
    <x v="12"/>
    <n v="0"/>
    <x v="2"/>
    <x v="0"/>
    <s v="Long"/>
    <x v="1"/>
  </r>
  <r>
    <n v="29"/>
    <x v="555"/>
    <x v="1"/>
    <x v="0"/>
    <n v="10"/>
    <n v="3"/>
    <x v="3"/>
    <n v="4"/>
    <x v="1"/>
    <n v="3"/>
    <n v="1"/>
    <x v="6"/>
    <x v="1"/>
    <s v="Divorced"/>
    <n v="2297"/>
    <n v="1"/>
    <x v="1"/>
    <n v="4"/>
    <n v="2"/>
    <n v="3"/>
    <n v="2"/>
    <n v="2"/>
    <n v="2"/>
    <n v="2"/>
    <x v="9"/>
    <n v="0"/>
    <x v="2"/>
    <x v="1"/>
    <s v="Early"/>
    <x v="2"/>
  </r>
  <r>
    <n v="53"/>
    <x v="556"/>
    <x v="1"/>
    <x v="1"/>
    <n v="6"/>
    <n v="3"/>
    <x v="0"/>
    <n v="4"/>
    <x v="1"/>
    <n v="3"/>
    <n v="2"/>
    <x v="2"/>
    <x v="0"/>
    <s v="Single"/>
    <n v="2450"/>
    <n v="2"/>
    <x v="1"/>
    <n v="4"/>
    <n v="19"/>
    <n v="3"/>
    <n v="2"/>
    <n v="2"/>
    <n v="2"/>
    <n v="2"/>
    <x v="8"/>
    <n v="0"/>
    <x v="1"/>
    <x v="1"/>
    <s v="Early"/>
    <x v="2"/>
  </r>
  <r>
    <n v="35"/>
    <x v="557"/>
    <x v="1"/>
    <x v="1"/>
    <n v="2"/>
    <n v="4"/>
    <x v="0"/>
    <n v="4"/>
    <x v="0"/>
    <n v="3"/>
    <n v="2"/>
    <x v="4"/>
    <x v="3"/>
    <s v="Divorced"/>
    <n v="5093"/>
    <n v="2"/>
    <x v="1"/>
    <n v="1"/>
    <n v="16"/>
    <n v="4"/>
    <n v="1"/>
    <n v="0"/>
    <n v="0"/>
    <n v="0"/>
    <x v="0"/>
    <n v="0"/>
    <x v="0"/>
    <x v="0"/>
    <s v="Early"/>
    <x v="0"/>
  </r>
  <r>
    <n v="32"/>
    <x v="558"/>
    <x v="1"/>
    <x v="1"/>
    <n v="24"/>
    <n v="4"/>
    <x v="0"/>
    <n v="1"/>
    <x v="1"/>
    <n v="3"/>
    <n v="2"/>
    <x v="2"/>
    <x v="0"/>
    <s v="Married"/>
    <n v="5309"/>
    <n v="1"/>
    <x v="1"/>
    <n v="4"/>
    <n v="10"/>
    <n v="3"/>
    <n v="10"/>
    <n v="8"/>
    <n v="4"/>
    <n v="7"/>
    <x v="2"/>
    <n v="0"/>
    <x v="0"/>
    <x v="0"/>
    <s v="Long"/>
    <x v="2"/>
  </r>
  <r>
    <n v="38"/>
    <x v="559"/>
    <x v="1"/>
    <x v="1"/>
    <n v="2"/>
    <n v="5"/>
    <x v="2"/>
    <n v="4"/>
    <x v="1"/>
    <n v="3"/>
    <n v="1"/>
    <x v="1"/>
    <x v="2"/>
    <s v="Married"/>
    <n v="3057"/>
    <n v="6"/>
    <x v="0"/>
    <n v="2"/>
    <n v="6"/>
    <n v="1"/>
    <n v="1"/>
    <n v="0"/>
    <n v="0"/>
    <n v="1"/>
    <x v="4"/>
    <n v="0"/>
    <x v="0"/>
    <x v="1"/>
    <s v="Early"/>
    <x v="2"/>
  </r>
  <r>
    <n v="34"/>
    <x v="560"/>
    <x v="1"/>
    <x v="1"/>
    <n v="8"/>
    <n v="5"/>
    <x v="0"/>
    <n v="2"/>
    <x v="0"/>
    <n v="3"/>
    <n v="2"/>
    <x v="3"/>
    <x v="3"/>
    <s v="Divorced"/>
    <n v="5121"/>
    <n v="3"/>
    <x v="1"/>
    <n v="3"/>
    <n v="7"/>
    <n v="3"/>
    <n v="0"/>
    <n v="0"/>
    <n v="0"/>
    <n v="0"/>
    <x v="9"/>
    <n v="0"/>
    <x v="0"/>
    <x v="0"/>
    <s v="Early"/>
    <x v="2"/>
  </r>
  <r>
    <n v="52"/>
    <x v="561"/>
    <x v="1"/>
    <x v="0"/>
    <n v="3"/>
    <n v="4"/>
    <x v="3"/>
    <n v="3"/>
    <x v="1"/>
    <n v="2"/>
    <n v="4"/>
    <x v="5"/>
    <x v="3"/>
    <s v="Married"/>
    <n v="16856"/>
    <n v="1"/>
    <x v="1"/>
    <n v="1"/>
    <n v="34"/>
    <n v="4"/>
    <n v="34"/>
    <n v="6"/>
    <n v="1"/>
    <n v="16"/>
    <x v="0"/>
    <n v="0"/>
    <x v="1"/>
    <x v="2"/>
    <s v="Long"/>
    <x v="0"/>
  </r>
  <r>
    <n v="33"/>
    <x v="562"/>
    <x v="0"/>
    <x v="1"/>
    <n v="1"/>
    <n v="4"/>
    <x v="1"/>
    <n v="4"/>
    <x v="1"/>
    <n v="3"/>
    <n v="1"/>
    <x v="1"/>
    <x v="0"/>
    <s v="Single"/>
    <n v="2686"/>
    <n v="1"/>
    <x v="0"/>
    <n v="3"/>
    <n v="10"/>
    <n v="2"/>
    <n v="10"/>
    <n v="9"/>
    <n v="7"/>
    <n v="8"/>
    <x v="4"/>
    <n v="1"/>
    <x v="0"/>
    <x v="1"/>
    <s v="Long"/>
    <x v="2"/>
  </r>
  <r>
    <n v="25"/>
    <x v="563"/>
    <x v="1"/>
    <x v="0"/>
    <n v="26"/>
    <n v="1"/>
    <x v="2"/>
    <n v="3"/>
    <x v="0"/>
    <n v="3"/>
    <n v="2"/>
    <x v="0"/>
    <x v="0"/>
    <s v="Single"/>
    <n v="6180"/>
    <n v="1"/>
    <x v="1"/>
    <n v="2"/>
    <n v="6"/>
    <n v="2"/>
    <n v="6"/>
    <n v="5"/>
    <n v="1"/>
    <n v="4"/>
    <x v="1"/>
    <n v="0"/>
    <x v="2"/>
    <x v="0"/>
    <s v="Mid"/>
    <x v="1"/>
  </r>
  <r>
    <n v="45"/>
    <x v="564"/>
    <x v="1"/>
    <x v="0"/>
    <n v="2"/>
    <n v="2"/>
    <x v="4"/>
    <n v="2"/>
    <x v="1"/>
    <n v="1"/>
    <n v="2"/>
    <x v="6"/>
    <x v="2"/>
    <s v="Single"/>
    <n v="6632"/>
    <n v="0"/>
    <x v="1"/>
    <n v="1"/>
    <n v="9"/>
    <n v="3"/>
    <n v="8"/>
    <n v="7"/>
    <n v="3"/>
    <n v="1"/>
    <x v="4"/>
    <n v="0"/>
    <x v="1"/>
    <x v="0"/>
    <s v="Long"/>
    <x v="2"/>
  </r>
  <r>
    <n v="23"/>
    <x v="565"/>
    <x v="1"/>
    <x v="1"/>
    <n v="10"/>
    <n v="1"/>
    <x v="2"/>
    <n v="1"/>
    <x v="1"/>
    <n v="4"/>
    <n v="1"/>
    <x v="1"/>
    <x v="2"/>
    <s v="Single"/>
    <n v="3505"/>
    <n v="1"/>
    <x v="1"/>
    <n v="4"/>
    <n v="2"/>
    <n v="3"/>
    <n v="2"/>
    <n v="2"/>
    <n v="0"/>
    <n v="2"/>
    <x v="11"/>
    <n v="0"/>
    <x v="2"/>
    <x v="1"/>
    <s v="Early"/>
    <x v="1"/>
  </r>
  <r>
    <n v="47"/>
    <x v="566"/>
    <x v="0"/>
    <x v="0"/>
    <n v="27"/>
    <n v="2"/>
    <x v="0"/>
    <n v="2"/>
    <x v="0"/>
    <n v="4"/>
    <n v="2"/>
    <x v="0"/>
    <x v="2"/>
    <s v="Single"/>
    <n v="6397"/>
    <n v="4"/>
    <x v="0"/>
    <n v="4"/>
    <n v="8"/>
    <n v="3"/>
    <n v="5"/>
    <n v="4"/>
    <n v="1"/>
    <n v="3"/>
    <x v="3"/>
    <n v="1"/>
    <x v="1"/>
    <x v="0"/>
    <s v="Mid"/>
    <x v="0"/>
  </r>
  <r>
    <n v="34"/>
    <x v="567"/>
    <x v="1"/>
    <x v="0"/>
    <n v="2"/>
    <n v="3"/>
    <x v="1"/>
    <n v="4"/>
    <x v="1"/>
    <n v="3"/>
    <n v="2"/>
    <x v="0"/>
    <x v="0"/>
    <s v="Single"/>
    <n v="6274"/>
    <n v="1"/>
    <x v="1"/>
    <n v="3"/>
    <n v="6"/>
    <n v="3"/>
    <n v="6"/>
    <n v="5"/>
    <n v="1"/>
    <n v="4"/>
    <x v="6"/>
    <n v="0"/>
    <x v="0"/>
    <x v="0"/>
    <s v="Mid"/>
    <x v="1"/>
  </r>
  <r>
    <n v="55"/>
    <x v="568"/>
    <x v="0"/>
    <x v="1"/>
    <n v="2"/>
    <n v="3"/>
    <x v="2"/>
    <n v="4"/>
    <x v="1"/>
    <n v="3"/>
    <n v="5"/>
    <x v="5"/>
    <x v="3"/>
    <s v="Married"/>
    <n v="19859"/>
    <n v="5"/>
    <x v="0"/>
    <n v="4"/>
    <n v="24"/>
    <n v="3"/>
    <n v="5"/>
    <n v="2"/>
    <n v="1"/>
    <n v="4"/>
    <x v="4"/>
    <n v="1"/>
    <x v="1"/>
    <x v="2"/>
    <s v="Mid"/>
    <x v="2"/>
  </r>
  <r>
    <n v="36"/>
    <x v="569"/>
    <x v="1"/>
    <x v="0"/>
    <n v="8"/>
    <n v="4"/>
    <x v="0"/>
    <n v="1"/>
    <x v="1"/>
    <n v="2"/>
    <n v="3"/>
    <x v="0"/>
    <x v="3"/>
    <s v="Single"/>
    <n v="7587"/>
    <n v="1"/>
    <x v="1"/>
    <n v="2"/>
    <n v="10"/>
    <n v="3"/>
    <n v="10"/>
    <n v="7"/>
    <n v="0"/>
    <n v="9"/>
    <x v="2"/>
    <n v="0"/>
    <x v="0"/>
    <x v="0"/>
    <s v="Long"/>
    <x v="2"/>
  </r>
  <r>
    <n v="52"/>
    <x v="570"/>
    <x v="1"/>
    <x v="1"/>
    <n v="19"/>
    <n v="4"/>
    <x v="2"/>
    <n v="4"/>
    <x v="1"/>
    <n v="3"/>
    <n v="1"/>
    <x v="1"/>
    <x v="0"/>
    <s v="Married"/>
    <n v="4258"/>
    <n v="0"/>
    <x v="1"/>
    <n v="1"/>
    <n v="5"/>
    <n v="3"/>
    <n v="4"/>
    <n v="3"/>
    <n v="1"/>
    <n v="2"/>
    <x v="11"/>
    <n v="0"/>
    <x v="1"/>
    <x v="1"/>
    <s v="Mid"/>
    <x v="1"/>
  </r>
  <r>
    <n v="26"/>
    <x v="571"/>
    <x v="1"/>
    <x v="1"/>
    <n v="1"/>
    <n v="2"/>
    <x v="0"/>
    <n v="1"/>
    <x v="0"/>
    <n v="1"/>
    <n v="1"/>
    <x v="2"/>
    <x v="0"/>
    <s v="Divorced"/>
    <n v="4364"/>
    <n v="3"/>
    <x v="1"/>
    <n v="1"/>
    <n v="5"/>
    <n v="3"/>
    <n v="2"/>
    <n v="2"/>
    <n v="2"/>
    <n v="0"/>
    <x v="9"/>
    <n v="0"/>
    <x v="2"/>
    <x v="1"/>
    <s v="Early"/>
    <x v="2"/>
  </r>
  <r>
    <n v="29"/>
    <x v="572"/>
    <x v="1"/>
    <x v="1"/>
    <n v="27"/>
    <n v="3"/>
    <x v="2"/>
    <n v="2"/>
    <x v="0"/>
    <n v="3"/>
    <n v="2"/>
    <x v="4"/>
    <x v="2"/>
    <s v="Married"/>
    <n v="4335"/>
    <n v="4"/>
    <x v="1"/>
    <n v="1"/>
    <n v="11"/>
    <n v="2"/>
    <n v="8"/>
    <n v="7"/>
    <n v="1"/>
    <n v="1"/>
    <x v="3"/>
    <n v="0"/>
    <x v="2"/>
    <x v="1"/>
    <s v="Long"/>
    <x v="0"/>
  </r>
  <r>
    <n v="26"/>
    <x v="573"/>
    <x v="0"/>
    <x v="0"/>
    <n v="8"/>
    <n v="3"/>
    <x v="4"/>
    <n v="4"/>
    <x v="1"/>
    <n v="2"/>
    <n v="2"/>
    <x v="0"/>
    <x v="3"/>
    <s v="Single"/>
    <n v="5326"/>
    <n v="6"/>
    <x v="1"/>
    <n v="3"/>
    <n v="6"/>
    <n v="2"/>
    <n v="4"/>
    <n v="3"/>
    <n v="1"/>
    <n v="2"/>
    <x v="8"/>
    <n v="1"/>
    <x v="2"/>
    <x v="0"/>
    <s v="Mid"/>
    <x v="2"/>
  </r>
  <r>
    <n v="34"/>
    <x v="574"/>
    <x v="1"/>
    <x v="1"/>
    <n v="1"/>
    <n v="4"/>
    <x v="0"/>
    <n v="2"/>
    <x v="0"/>
    <n v="4"/>
    <n v="1"/>
    <x v="1"/>
    <x v="0"/>
    <s v="Single"/>
    <n v="3280"/>
    <n v="2"/>
    <x v="1"/>
    <n v="3"/>
    <n v="10"/>
    <n v="3"/>
    <n v="4"/>
    <n v="2"/>
    <n v="1"/>
    <n v="3"/>
    <x v="10"/>
    <n v="0"/>
    <x v="0"/>
    <x v="1"/>
    <s v="Mid"/>
    <x v="2"/>
  </r>
  <r>
    <n v="54"/>
    <x v="575"/>
    <x v="1"/>
    <x v="1"/>
    <n v="19"/>
    <n v="4"/>
    <x v="2"/>
    <n v="4"/>
    <x v="0"/>
    <n v="3"/>
    <n v="2"/>
    <x v="3"/>
    <x v="3"/>
    <s v="Divorced"/>
    <n v="5485"/>
    <n v="9"/>
    <x v="0"/>
    <n v="2"/>
    <n v="9"/>
    <n v="3"/>
    <n v="5"/>
    <n v="3"/>
    <n v="1"/>
    <n v="4"/>
    <x v="0"/>
    <n v="0"/>
    <x v="1"/>
    <x v="0"/>
    <s v="Mid"/>
    <x v="0"/>
  </r>
  <r>
    <n v="27"/>
    <x v="576"/>
    <x v="1"/>
    <x v="0"/>
    <n v="8"/>
    <n v="1"/>
    <x v="3"/>
    <n v="3"/>
    <x v="1"/>
    <n v="3"/>
    <n v="2"/>
    <x v="0"/>
    <x v="0"/>
    <s v="Married"/>
    <n v="4342"/>
    <n v="0"/>
    <x v="1"/>
    <n v="2"/>
    <n v="5"/>
    <n v="3"/>
    <n v="4"/>
    <n v="2"/>
    <n v="1"/>
    <n v="1"/>
    <x v="12"/>
    <n v="0"/>
    <x v="2"/>
    <x v="1"/>
    <s v="Mid"/>
    <x v="1"/>
  </r>
  <r>
    <n v="37"/>
    <x v="577"/>
    <x v="1"/>
    <x v="1"/>
    <n v="10"/>
    <n v="1"/>
    <x v="0"/>
    <n v="4"/>
    <x v="0"/>
    <n v="3"/>
    <n v="1"/>
    <x v="1"/>
    <x v="3"/>
    <s v="Divorced"/>
    <n v="2782"/>
    <n v="0"/>
    <x v="0"/>
    <n v="2"/>
    <n v="6"/>
    <n v="2"/>
    <n v="5"/>
    <n v="3"/>
    <n v="4"/>
    <n v="3"/>
    <x v="4"/>
    <n v="0"/>
    <x v="0"/>
    <x v="1"/>
    <s v="Mid"/>
    <x v="2"/>
  </r>
  <r>
    <n v="38"/>
    <x v="578"/>
    <x v="1"/>
    <x v="1"/>
    <n v="2"/>
    <n v="4"/>
    <x v="0"/>
    <n v="1"/>
    <x v="0"/>
    <n v="4"/>
    <n v="2"/>
    <x v="3"/>
    <x v="3"/>
    <s v="Single"/>
    <n v="5980"/>
    <n v="6"/>
    <x v="0"/>
    <n v="4"/>
    <n v="17"/>
    <n v="3"/>
    <n v="15"/>
    <n v="7"/>
    <n v="4"/>
    <n v="12"/>
    <x v="3"/>
    <n v="0"/>
    <x v="0"/>
    <x v="0"/>
    <s v="Long"/>
    <x v="0"/>
  </r>
  <r>
    <n v="34"/>
    <x v="579"/>
    <x v="1"/>
    <x v="1"/>
    <n v="2"/>
    <n v="4"/>
    <x v="2"/>
    <n v="3"/>
    <x v="0"/>
    <n v="2"/>
    <n v="1"/>
    <x v="1"/>
    <x v="3"/>
    <s v="Single"/>
    <n v="4381"/>
    <n v="1"/>
    <x v="1"/>
    <n v="3"/>
    <n v="6"/>
    <n v="3"/>
    <n v="6"/>
    <n v="5"/>
    <n v="1"/>
    <n v="3"/>
    <x v="0"/>
    <n v="0"/>
    <x v="0"/>
    <x v="1"/>
    <s v="Mid"/>
    <x v="0"/>
  </r>
  <r>
    <n v="35"/>
    <x v="580"/>
    <x v="1"/>
    <x v="0"/>
    <n v="8"/>
    <n v="4"/>
    <x v="0"/>
    <n v="1"/>
    <x v="0"/>
    <n v="3"/>
    <n v="1"/>
    <x v="6"/>
    <x v="0"/>
    <s v="Married"/>
    <n v="2572"/>
    <n v="1"/>
    <x v="1"/>
    <n v="2"/>
    <n v="3"/>
    <n v="2"/>
    <n v="3"/>
    <n v="2"/>
    <n v="0"/>
    <n v="2"/>
    <x v="10"/>
    <n v="0"/>
    <x v="0"/>
    <x v="1"/>
    <s v="Mid"/>
    <x v="2"/>
  </r>
  <r>
    <n v="30"/>
    <x v="581"/>
    <x v="1"/>
    <x v="1"/>
    <n v="1"/>
    <n v="3"/>
    <x v="0"/>
    <n v="4"/>
    <x v="1"/>
    <n v="1"/>
    <n v="1"/>
    <x v="2"/>
    <x v="2"/>
    <s v="Married"/>
    <n v="3833"/>
    <n v="3"/>
    <x v="1"/>
    <n v="3"/>
    <n v="7"/>
    <n v="3"/>
    <n v="2"/>
    <n v="2"/>
    <n v="0"/>
    <n v="2"/>
    <x v="7"/>
    <n v="0"/>
    <x v="0"/>
    <x v="1"/>
    <s v="Early"/>
    <x v="1"/>
  </r>
  <r>
    <n v="40"/>
    <x v="582"/>
    <x v="1"/>
    <x v="1"/>
    <n v="2"/>
    <n v="2"/>
    <x v="2"/>
    <n v="3"/>
    <x v="0"/>
    <n v="4"/>
    <n v="2"/>
    <x v="4"/>
    <x v="1"/>
    <s v="Married"/>
    <n v="4244"/>
    <n v="1"/>
    <x v="1"/>
    <n v="4"/>
    <n v="8"/>
    <n v="3"/>
    <n v="8"/>
    <n v="7"/>
    <n v="3"/>
    <n v="7"/>
    <x v="13"/>
    <n v="0"/>
    <x v="0"/>
    <x v="1"/>
    <s v="Long"/>
    <x v="1"/>
  </r>
  <r>
    <n v="34"/>
    <x v="583"/>
    <x v="1"/>
    <x v="0"/>
    <n v="8"/>
    <n v="2"/>
    <x v="0"/>
    <n v="3"/>
    <x v="0"/>
    <n v="3"/>
    <n v="2"/>
    <x v="0"/>
    <x v="3"/>
    <s v="Married"/>
    <n v="6500"/>
    <n v="5"/>
    <x v="1"/>
    <n v="2"/>
    <n v="6"/>
    <n v="3"/>
    <n v="3"/>
    <n v="2"/>
    <n v="1"/>
    <n v="2"/>
    <x v="8"/>
    <n v="0"/>
    <x v="0"/>
    <x v="0"/>
    <s v="Mid"/>
    <x v="2"/>
  </r>
  <r>
    <n v="42"/>
    <x v="584"/>
    <x v="1"/>
    <x v="1"/>
    <n v="8"/>
    <n v="3"/>
    <x v="0"/>
    <n v="2"/>
    <x v="1"/>
    <n v="3"/>
    <n v="5"/>
    <x v="5"/>
    <x v="0"/>
    <s v="Divorced"/>
    <n v="18430"/>
    <n v="1"/>
    <x v="1"/>
    <n v="2"/>
    <n v="24"/>
    <n v="2"/>
    <n v="24"/>
    <n v="7"/>
    <n v="14"/>
    <n v="9"/>
    <x v="4"/>
    <n v="0"/>
    <x v="0"/>
    <x v="2"/>
    <s v="Long"/>
    <x v="2"/>
  </r>
  <r>
    <n v="23"/>
    <x v="585"/>
    <x v="0"/>
    <x v="1"/>
    <n v="6"/>
    <n v="3"/>
    <x v="0"/>
    <n v="3"/>
    <x v="1"/>
    <n v="4"/>
    <n v="1"/>
    <x v="2"/>
    <x v="3"/>
    <s v="Married"/>
    <n v="1601"/>
    <n v="1"/>
    <x v="0"/>
    <n v="3"/>
    <n v="1"/>
    <n v="3"/>
    <n v="0"/>
    <n v="0"/>
    <n v="0"/>
    <n v="0"/>
    <x v="7"/>
    <n v="1"/>
    <x v="2"/>
    <x v="1"/>
    <s v="Early"/>
    <x v="1"/>
  </r>
  <r>
    <n v="24"/>
    <x v="586"/>
    <x v="1"/>
    <x v="1"/>
    <n v="9"/>
    <n v="3"/>
    <x v="0"/>
    <n v="3"/>
    <x v="1"/>
    <n v="2"/>
    <n v="1"/>
    <x v="2"/>
    <x v="1"/>
    <s v="Divorced"/>
    <n v="2694"/>
    <n v="1"/>
    <x v="1"/>
    <n v="3"/>
    <n v="1"/>
    <n v="3"/>
    <n v="1"/>
    <n v="0"/>
    <n v="0"/>
    <n v="0"/>
    <x v="0"/>
    <n v="0"/>
    <x v="2"/>
    <x v="1"/>
    <s v="Early"/>
    <x v="0"/>
  </r>
  <r>
    <n v="52"/>
    <x v="587"/>
    <x v="1"/>
    <x v="1"/>
    <n v="11"/>
    <n v="4"/>
    <x v="0"/>
    <n v="4"/>
    <x v="0"/>
    <n v="3"/>
    <n v="2"/>
    <x v="2"/>
    <x v="2"/>
    <s v="Married"/>
    <n v="3149"/>
    <n v="8"/>
    <x v="1"/>
    <n v="2"/>
    <n v="9"/>
    <n v="3"/>
    <n v="5"/>
    <n v="2"/>
    <n v="1"/>
    <n v="4"/>
    <x v="5"/>
    <n v="0"/>
    <x v="1"/>
    <x v="1"/>
    <s v="Mid"/>
    <x v="1"/>
  </r>
  <r>
    <n v="50"/>
    <x v="588"/>
    <x v="1"/>
    <x v="1"/>
    <n v="2"/>
    <n v="3"/>
    <x v="2"/>
    <n v="3"/>
    <x v="1"/>
    <n v="3"/>
    <n v="4"/>
    <x v="7"/>
    <x v="2"/>
    <s v="Married"/>
    <n v="17639"/>
    <n v="5"/>
    <x v="1"/>
    <n v="4"/>
    <n v="30"/>
    <n v="3"/>
    <n v="4"/>
    <n v="3"/>
    <n v="0"/>
    <n v="3"/>
    <x v="10"/>
    <n v="0"/>
    <x v="1"/>
    <x v="2"/>
    <s v="Mid"/>
    <x v="2"/>
  </r>
  <r>
    <n v="29"/>
    <x v="589"/>
    <x v="0"/>
    <x v="1"/>
    <n v="1"/>
    <n v="2"/>
    <x v="0"/>
    <n v="2"/>
    <x v="0"/>
    <n v="2"/>
    <n v="1"/>
    <x v="2"/>
    <x v="3"/>
    <s v="Married"/>
    <n v="2319"/>
    <n v="1"/>
    <x v="0"/>
    <n v="4"/>
    <n v="1"/>
    <n v="3"/>
    <n v="1"/>
    <n v="0"/>
    <n v="0"/>
    <n v="0"/>
    <x v="0"/>
    <n v="1"/>
    <x v="2"/>
    <x v="1"/>
    <s v="Early"/>
    <x v="0"/>
  </r>
  <r>
    <n v="33"/>
    <x v="590"/>
    <x v="1"/>
    <x v="1"/>
    <n v="7"/>
    <n v="3"/>
    <x v="2"/>
    <n v="3"/>
    <x v="1"/>
    <n v="3"/>
    <n v="3"/>
    <x v="7"/>
    <x v="2"/>
    <s v="Married"/>
    <n v="11691"/>
    <n v="0"/>
    <x v="1"/>
    <n v="4"/>
    <n v="14"/>
    <n v="4"/>
    <n v="13"/>
    <n v="9"/>
    <n v="3"/>
    <n v="7"/>
    <x v="0"/>
    <n v="0"/>
    <x v="0"/>
    <x v="2"/>
    <s v="Long"/>
    <x v="0"/>
  </r>
  <r>
    <n v="33"/>
    <x v="591"/>
    <x v="0"/>
    <x v="0"/>
    <n v="16"/>
    <n v="3"/>
    <x v="3"/>
    <n v="1"/>
    <x v="0"/>
    <n v="3"/>
    <n v="2"/>
    <x v="0"/>
    <x v="3"/>
    <s v="Single"/>
    <n v="5324"/>
    <n v="5"/>
    <x v="1"/>
    <n v="3"/>
    <n v="6"/>
    <n v="3"/>
    <n v="3"/>
    <n v="2"/>
    <n v="0"/>
    <n v="2"/>
    <x v="2"/>
    <n v="1"/>
    <x v="0"/>
    <x v="0"/>
    <s v="Mid"/>
    <x v="2"/>
  </r>
  <r>
    <n v="47"/>
    <x v="592"/>
    <x v="1"/>
    <x v="1"/>
    <n v="2"/>
    <n v="2"/>
    <x v="1"/>
    <n v="3"/>
    <x v="0"/>
    <n v="3"/>
    <n v="4"/>
    <x v="5"/>
    <x v="0"/>
    <s v="Married"/>
    <n v="16752"/>
    <n v="1"/>
    <x v="0"/>
    <n v="3"/>
    <n v="26"/>
    <n v="2"/>
    <n v="26"/>
    <n v="14"/>
    <n v="3"/>
    <n v="0"/>
    <x v="0"/>
    <n v="0"/>
    <x v="1"/>
    <x v="2"/>
    <s v="Long"/>
    <x v="0"/>
  </r>
  <r>
    <n v="36"/>
    <x v="593"/>
    <x v="1"/>
    <x v="1"/>
    <n v="1"/>
    <n v="3"/>
    <x v="1"/>
    <n v="3"/>
    <x v="0"/>
    <n v="3"/>
    <n v="2"/>
    <x v="3"/>
    <x v="1"/>
    <s v="Married"/>
    <n v="5228"/>
    <n v="0"/>
    <x v="1"/>
    <n v="1"/>
    <n v="10"/>
    <n v="3"/>
    <n v="9"/>
    <n v="7"/>
    <n v="0"/>
    <n v="5"/>
    <x v="2"/>
    <n v="0"/>
    <x v="0"/>
    <x v="0"/>
    <s v="Long"/>
    <x v="2"/>
  </r>
  <r>
    <n v="29"/>
    <x v="594"/>
    <x v="1"/>
    <x v="1"/>
    <n v="23"/>
    <n v="2"/>
    <x v="0"/>
    <n v="3"/>
    <x v="1"/>
    <n v="4"/>
    <n v="1"/>
    <x v="1"/>
    <x v="2"/>
    <s v="Married"/>
    <n v="2700"/>
    <n v="1"/>
    <x v="1"/>
    <n v="3"/>
    <n v="10"/>
    <n v="3"/>
    <n v="10"/>
    <n v="7"/>
    <n v="0"/>
    <n v="7"/>
    <x v="13"/>
    <n v="0"/>
    <x v="2"/>
    <x v="1"/>
    <s v="Long"/>
    <x v="1"/>
  </r>
  <r>
    <n v="58"/>
    <x v="595"/>
    <x v="0"/>
    <x v="1"/>
    <n v="2"/>
    <n v="4"/>
    <x v="0"/>
    <n v="4"/>
    <x v="1"/>
    <n v="3"/>
    <n v="5"/>
    <x v="7"/>
    <x v="1"/>
    <s v="Single"/>
    <n v="19246"/>
    <n v="7"/>
    <x v="0"/>
    <n v="4"/>
    <n v="40"/>
    <n v="3"/>
    <n v="31"/>
    <n v="15"/>
    <n v="13"/>
    <n v="8"/>
    <x v="3"/>
    <n v="1"/>
    <x v="1"/>
    <x v="2"/>
    <s v="Long"/>
    <x v="0"/>
  </r>
  <r>
    <n v="35"/>
    <x v="596"/>
    <x v="1"/>
    <x v="1"/>
    <n v="1"/>
    <n v="4"/>
    <x v="0"/>
    <n v="4"/>
    <x v="0"/>
    <n v="4"/>
    <n v="1"/>
    <x v="1"/>
    <x v="2"/>
    <s v="Single"/>
    <n v="2506"/>
    <n v="3"/>
    <x v="1"/>
    <n v="3"/>
    <n v="7"/>
    <n v="3"/>
    <n v="2"/>
    <n v="2"/>
    <n v="2"/>
    <n v="2"/>
    <x v="4"/>
    <n v="0"/>
    <x v="0"/>
    <x v="1"/>
    <s v="Early"/>
    <x v="2"/>
  </r>
  <r>
    <n v="42"/>
    <x v="597"/>
    <x v="1"/>
    <x v="1"/>
    <n v="1"/>
    <n v="2"/>
    <x v="0"/>
    <n v="4"/>
    <x v="0"/>
    <n v="2"/>
    <n v="2"/>
    <x v="3"/>
    <x v="0"/>
    <s v="Married"/>
    <n v="6062"/>
    <n v="9"/>
    <x v="0"/>
    <n v="4"/>
    <n v="8"/>
    <n v="3"/>
    <n v="4"/>
    <n v="3"/>
    <n v="0"/>
    <n v="2"/>
    <x v="4"/>
    <n v="0"/>
    <x v="0"/>
    <x v="0"/>
    <s v="Mid"/>
    <x v="2"/>
  </r>
  <r>
    <n v="28"/>
    <x v="598"/>
    <x v="0"/>
    <x v="1"/>
    <n v="2"/>
    <n v="4"/>
    <x v="2"/>
    <n v="3"/>
    <x v="1"/>
    <n v="3"/>
    <n v="1"/>
    <x v="1"/>
    <x v="2"/>
    <s v="Single"/>
    <n v="4382"/>
    <n v="6"/>
    <x v="1"/>
    <n v="4"/>
    <n v="5"/>
    <n v="2"/>
    <n v="2"/>
    <n v="2"/>
    <n v="2"/>
    <n v="1"/>
    <x v="8"/>
    <n v="1"/>
    <x v="2"/>
    <x v="1"/>
    <s v="Early"/>
    <x v="2"/>
  </r>
  <r>
    <n v="36"/>
    <x v="599"/>
    <x v="1"/>
    <x v="2"/>
    <n v="13"/>
    <n v="3"/>
    <x v="5"/>
    <n v="3"/>
    <x v="1"/>
    <n v="3"/>
    <n v="1"/>
    <x v="8"/>
    <x v="1"/>
    <s v="Married"/>
    <n v="2143"/>
    <n v="4"/>
    <x v="1"/>
    <n v="2"/>
    <n v="8"/>
    <n v="3"/>
    <n v="5"/>
    <n v="2"/>
    <n v="0"/>
    <n v="4"/>
    <x v="4"/>
    <n v="0"/>
    <x v="0"/>
    <x v="1"/>
    <s v="Mid"/>
    <x v="2"/>
  </r>
  <r>
    <n v="32"/>
    <x v="600"/>
    <x v="1"/>
    <x v="1"/>
    <n v="4"/>
    <n v="3"/>
    <x v="0"/>
    <n v="3"/>
    <x v="0"/>
    <n v="2"/>
    <n v="2"/>
    <x v="3"/>
    <x v="2"/>
    <s v="Married"/>
    <n v="6162"/>
    <n v="1"/>
    <x v="1"/>
    <n v="3"/>
    <n v="14"/>
    <n v="3"/>
    <n v="14"/>
    <n v="13"/>
    <n v="6"/>
    <n v="8"/>
    <x v="3"/>
    <n v="0"/>
    <x v="0"/>
    <x v="0"/>
    <s v="Long"/>
    <x v="0"/>
  </r>
  <r>
    <n v="40"/>
    <x v="601"/>
    <x v="1"/>
    <x v="1"/>
    <n v="16"/>
    <n v="4"/>
    <x v="2"/>
    <n v="1"/>
    <x v="1"/>
    <n v="2"/>
    <n v="2"/>
    <x v="2"/>
    <x v="2"/>
    <s v="Single"/>
    <n v="5094"/>
    <n v="6"/>
    <x v="1"/>
    <n v="4"/>
    <n v="10"/>
    <n v="3"/>
    <n v="1"/>
    <n v="0"/>
    <n v="0"/>
    <n v="0"/>
    <x v="9"/>
    <n v="0"/>
    <x v="0"/>
    <x v="0"/>
    <s v="Early"/>
    <x v="2"/>
  </r>
  <r>
    <n v="30"/>
    <x v="602"/>
    <x v="1"/>
    <x v="1"/>
    <n v="2"/>
    <n v="3"/>
    <x v="2"/>
    <n v="3"/>
    <x v="0"/>
    <n v="2"/>
    <n v="2"/>
    <x v="3"/>
    <x v="0"/>
    <s v="Single"/>
    <n v="6877"/>
    <n v="5"/>
    <x v="0"/>
    <n v="2"/>
    <n v="12"/>
    <n v="2"/>
    <n v="0"/>
    <n v="0"/>
    <n v="0"/>
    <n v="0"/>
    <x v="13"/>
    <n v="0"/>
    <x v="0"/>
    <x v="0"/>
    <s v="Early"/>
    <x v="1"/>
  </r>
  <r>
    <n v="45"/>
    <x v="603"/>
    <x v="1"/>
    <x v="1"/>
    <n v="2"/>
    <n v="3"/>
    <x v="0"/>
    <n v="2"/>
    <x v="0"/>
    <n v="2"/>
    <n v="1"/>
    <x v="1"/>
    <x v="2"/>
    <s v="Single"/>
    <n v="2274"/>
    <n v="1"/>
    <x v="1"/>
    <n v="4"/>
    <n v="1"/>
    <n v="3"/>
    <n v="1"/>
    <n v="0"/>
    <n v="0"/>
    <n v="0"/>
    <x v="9"/>
    <n v="0"/>
    <x v="1"/>
    <x v="1"/>
    <s v="Early"/>
    <x v="2"/>
  </r>
  <r>
    <n v="42"/>
    <x v="604"/>
    <x v="1"/>
    <x v="1"/>
    <n v="29"/>
    <n v="3"/>
    <x v="0"/>
    <n v="2"/>
    <x v="1"/>
    <n v="3"/>
    <n v="2"/>
    <x v="3"/>
    <x v="1"/>
    <s v="Married"/>
    <n v="4434"/>
    <n v="1"/>
    <x v="1"/>
    <n v="4"/>
    <n v="10"/>
    <n v="2"/>
    <n v="9"/>
    <n v="8"/>
    <n v="7"/>
    <n v="8"/>
    <x v="4"/>
    <n v="0"/>
    <x v="0"/>
    <x v="1"/>
    <s v="Long"/>
    <x v="2"/>
  </r>
  <r>
    <n v="38"/>
    <x v="605"/>
    <x v="1"/>
    <x v="1"/>
    <n v="12"/>
    <n v="3"/>
    <x v="0"/>
    <n v="1"/>
    <x v="1"/>
    <n v="2"/>
    <n v="2"/>
    <x v="4"/>
    <x v="3"/>
    <s v="Divorced"/>
    <n v="6288"/>
    <n v="2"/>
    <x v="1"/>
    <n v="3"/>
    <n v="13"/>
    <n v="2"/>
    <n v="4"/>
    <n v="3"/>
    <n v="1"/>
    <n v="2"/>
    <x v="2"/>
    <n v="0"/>
    <x v="0"/>
    <x v="0"/>
    <s v="Mid"/>
    <x v="2"/>
  </r>
  <r>
    <n v="34"/>
    <x v="606"/>
    <x v="1"/>
    <x v="1"/>
    <n v="16"/>
    <n v="4"/>
    <x v="0"/>
    <n v="3"/>
    <x v="0"/>
    <n v="2"/>
    <n v="1"/>
    <x v="1"/>
    <x v="0"/>
    <s v="Single"/>
    <n v="2553"/>
    <n v="1"/>
    <x v="1"/>
    <n v="3"/>
    <n v="6"/>
    <n v="3"/>
    <n v="5"/>
    <n v="2"/>
    <n v="1"/>
    <n v="3"/>
    <x v="10"/>
    <n v="0"/>
    <x v="0"/>
    <x v="1"/>
    <s v="Mid"/>
    <x v="2"/>
  </r>
  <r>
    <n v="49"/>
    <x v="607"/>
    <x v="0"/>
    <x v="0"/>
    <n v="11"/>
    <n v="3"/>
    <x v="3"/>
    <n v="3"/>
    <x v="0"/>
    <n v="3"/>
    <n v="3"/>
    <x v="0"/>
    <x v="0"/>
    <s v="Married"/>
    <n v="7654"/>
    <n v="1"/>
    <x v="1"/>
    <n v="1"/>
    <n v="9"/>
    <n v="4"/>
    <n v="9"/>
    <n v="8"/>
    <n v="7"/>
    <n v="7"/>
    <x v="11"/>
    <n v="1"/>
    <x v="1"/>
    <x v="0"/>
    <s v="Long"/>
    <x v="1"/>
  </r>
  <r>
    <n v="55"/>
    <x v="608"/>
    <x v="0"/>
    <x v="0"/>
    <n v="2"/>
    <n v="1"/>
    <x v="2"/>
    <n v="3"/>
    <x v="1"/>
    <n v="3"/>
    <n v="2"/>
    <x v="0"/>
    <x v="0"/>
    <s v="Single"/>
    <n v="5160"/>
    <n v="4"/>
    <x v="1"/>
    <n v="3"/>
    <n v="12"/>
    <n v="2"/>
    <n v="9"/>
    <n v="7"/>
    <n v="7"/>
    <n v="3"/>
    <x v="10"/>
    <n v="1"/>
    <x v="1"/>
    <x v="0"/>
    <s v="Long"/>
    <x v="2"/>
  </r>
  <r>
    <n v="43"/>
    <x v="609"/>
    <x v="1"/>
    <x v="1"/>
    <n v="14"/>
    <n v="2"/>
    <x v="0"/>
    <n v="2"/>
    <x v="1"/>
    <n v="3"/>
    <n v="4"/>
    <x v="7"/>
    <x v="3"/>
    <s v="Married"/>
    <n v="17159"/>
    <n v="6"/>
    <x v="1"/>
    <n v="3"/>
    <n v="22"/>
    <n v="3"/>
    <n v="4"/>
    <n v="1"/>
    <n v="1"/>
    <n v="0"/>
    <x v="13"/>
    <n v="0"/>
    <x v="0"/>
    <x v="2"/>
    <s v="Mid"/>
    <x v="1"/>
  </r>
  <r>
    <n v="27"/>
    <x v="610"/>
    <x v="1"/>
    <x v="1"/>
    <n v="5"/>
    <n v="1"/>
    <x v="4"/>
    <n v="3"/>
    <x v="1"/>
    <n v="2"/>
    <n v="3"/>
    <x v="7"/>
    <x v="0"/>
    <s v="Divorced"/>
    <n v="12808"/>
    <n v="1"/>
    <x v="0"/>
    <n v="2"/>
    <n v="9"/>
    <n v="3"/>
    <n v="9"/>
    <n v="8"/>
    <n v="0"/>
    <n v="8"/>
    <x v="10"/>
    <n v="0"/>
    <x v="2"/>
    <x v="2"/>
    <s v="Long"/>
    <x v="2"/>
  </r>
  <r>
    <n v="35"/>
    <x v="611"/>
    <x v="1"/>
    <x v="1"/>
    <n v="7"/>
    <n v="3"/>
    <x v="1"/>
    <n v="3"/>
    <x v="1"/>
    <n v="3"/>
    <n v="3"/>
    <x v="3"/>
    <x v="2"/>
    <s v="Single"/>
    <n v="10221"/>
    <n v="3"/>
    <x v="1"/>
    <n v="2"/>
    <n v="17"/>
    <n v="4"/>
    <n v="8"/>
    <n v="5"/>
    <n v="1"/>
    <n v="6"/>
    <x v="7"/>
    <n v="0"/>
    <x v="0"/>
    <x v="2"/>
    <s v="Long"/>
    <x v="1"/>
  </r>
  <r>
    <n v="28"/>
    <x v="612"/>
    <x v="1"/>
    <x v="0"/>
    <n v="2"/>
    <n v="4"/>
    <x v="3"/>
    <n v="2"/>
    <x v="0"/>
    <n v="3"/>
    <n v="2"/>
    <x v="0"/>
    <x v="1"/>
    <s v="Married"/>
    <n v="4779"/>
    <n v="1"/>
    <x v="0"/>
    <n v="1"/>
    <n v="8"/>
    <n v="3"/>
    <n v="8"/>
    <n v="7"/>
    <n v="7"/>
    <n v="5"/>
    <x v="5"/>
    <n v="0"/>
    <x v="2"/>
    <x v="1"/>
    <s v="Long"/>
    <x v="1"/>
  </r>
  <r>
    <n v="34"/>
    <x v="613"/>
    <x v="1"/>
    <x v="2"/>
    <n v="3"/>
    <n v="2"/>
    <x v="5"/>
    <n v="3"/>
    <x v="1"/>
    <n v="3"/>
    <n v="1"/>
    <x v="8"/>
    <x v="0"/>
    <s v="Married"/>
    <n v="3737"/>
    <n v="0"/>
    <x v="1"/>
    <n v="3"/>
    <n v="4"/>
    <n v="1"/>
    <n v="3"/>
    <n v="2"/>
    <n v="0"/>
    <n v="2"/>
    <x v="12"/>
    <n v="0"/>
    <x v="0"/>
    <x v="1"/>
    <s v="Mid"/>
    <x v="1"/>
  </r>
  <r>
    <n v="26"/>
    <x v="614"/>
    <x v="0"/>
    <x v="1"/>
    <n v="5"/>
    <n v="2"/>
    <x v="2"/>
    <n v="3"/>
    <x v="0"/>
    <n v="2"/>
    <n v="1"/>
    <x v="1"/>
    <x v="2"/>
    <s v="Married"/>
    <n v="2366"/>
    <n v="1"/>
    <x v="0"/>
    <n v="1"/>
    <n v="8"/>
    <n v="3"/>
    <n v="8"/>
    <n v="7"/>
    <n v="1"/>
    <n v="7"/>
    <x v="9"/>
    <n v="1"/>
    <x v="2"/>
    <x v="1"/>
    <s v="Long"/>
    <x v="2"/>
  </r>
  <r>
    <n v="27"/>
    <x v="615"/>
    <x v="1"/>
    <x v="1"/>
    <n v="3"/>
    <n v="3"/>
    <x v="2"/>
    <n v="4"/>
    <x v="1"/>
    <n v="3"/>
    <n v="1"/>
    <x v="1"/>
    <x v="0"/>
    <s v="Married"/>
    <n v="1706"/>
    <n v="1"/>
    <x v="1"/>
    <n v="3"/>
    <n v="0"/>
    <n v="2"/>
    <n v="0"/>
    <n v="0"/>
    <n v="0"/>
    <n v="0"/>
    <x v="0"/>
    <n v="0"/>
    <x v="2"/>
    <x v="1"/>
    <s v="Early"/>
    <x v="0"/>
  </r>
  <r>
    <n v="51"/>
    <x v="616"/>
    <x v="1"/>
    <x v="0"/>
    <n v="26"/>
    <n v="4"/>
    <x v="3"/>
    <n v="1"/>
    <x v="0"/>
    <n v="3"/>
    <n v="4"/>
    <x v="5"/>
    <x v="2"/>
    <s v="Married"/>
    <n v="16307"/>
    <n v="2"/>
    <x v="1"/>
    <n v="3"/>
    <n v="29"/>
    <n v="2"/>
    <n v="20"/>
    <n v="6"/>
    <n v="4"/>
    <n v="17"/>
    <x v="9"/>
    <n v="0"/>
    <x v="1"/>
    <x v="2"/>
    <s v="Long"/>
    <x v="2"/>
  </r>
  <r>
    <n v="44"/>
    <x v="617"/>
    <x v="1"/>
    <x v="1"/>
    <n v="4"/>
    <n v="3"/>
    <x v="2"/>
    <n v="4"/>
    <x v="1"/>
    <n v="3"/>
    <n v="2"/>
    <x v="4"/>
    <x v="1"/>
    <s v="Single"/>
    <n v="5933"/>
    <n v="9"/>
    <x v="1"/>
    <n v="4"/>
    <n v="10"/>
    <n v="2"/>
    <n v="5"/>
    <n v="2"/>
    <n v="2"/>
    <n v="3"/>
    <x v="3"/>
    <n v="0"/>
    <x v="0"/>
    <x v="0"/>
    <s v="Mid"/>
    <x v="0"/>
  </r>
  <r>
    <n v="25"/>
    <x v="618"/>
    <x v="1"/>
    <x v="1"/>
    <n v="2"/>
    <n v="1"/>
    <x v="2"/>
    <n v="1"/>
    <x v="1"/>
    <n v="4"/>
    <n v="1"/>
    <x v="1"/>
    <x v="3"/>
    <s v="Single"/>
    <n v="3424"/>
    <n v="7"/>
    <x v="1"/>
    <n v="3"/>
    <n v="6"/>
    <n v="2"/>
    <n v="4"/>
    <n v="3"/>
    <n v="0"/>
    <n v="1"/>
    <x v="4"/>
    <n v="0"/>
    <x v="2"/>
    <x v="1"/>
    <s v="Mid"/>
    <x v="2"/>
  </r>
  <r>
    <n v="33"/>
    <x v="619"/>
    <x v="1"/>
    <x v="0"/>
    <n v="1"/>
    <n v="3"/>
    <x v="2"/>
    <n v="1"/>
    <x v="1"/>
    <n v="4"/>
    <n v="2"/>
    <x v="0"/>
    <x v="3"/>
    <s v="Divorced"/>
    <n v="4037"/>
    <n v="1"/>
    <x v="1"/>
    <n v="1"/>
    <n v="9"/>
    <n v="3"/>
    <n v="9"/>
    <n v="8"/>
    <n v="0"/>
    <n v="8"/>
    <x v="6"/>
    <n v="0"/>
    <x v="0"/>
    <x v="1"/>
    <s v="Long"/>
    <x v="1"/>
  </r>
  <r>
    <n v="35"/>
    <x v="620"/>
    <x v="1"/>
    <x v="1"/>
    <n v="27"/>
    <n v="1"/>
    <x v="2"/>
    <n v="3"/>
    <x v="0"/>
    <n v="2"/>
    <n v="1"/>
    <x v="1"/>
    <x v="3"/>
    <s v="Single"/>
    <n v="2559"/>
    <n v="1"/>
    <x v="1"/>
    <n v="4"/>
    <n v="6"/>
    <n v="2"/>
    <n v="6"/>
    <n v="5"/>
    <n v="1"/>
    <n v="1"/>
    <x v="0"/>
    <n v="0"/>
    <x v="0"/>
    <x v="1"/>
    <s v="Mid"/>
    <x v="0"/>
  </r>
  <r>
    <n v="36"/>
    <x v="621"/>
    <x v="1"/>
    <x v="0"/>
    <n v="1"/>
    <n v="2"/>
    <x v="0"/>
    <n v="2"/>
    <x v="1"/>
    <n v="3"/>
    <n v="2"/>
    <x v="0"/>
    <x v="0"/>
    <s v="Married"/>
    <n v="6201"/>
    <n v="1"/>
    <x v="0"/>
    <n v="4"/>
    <n v="18"/>
    <n v="2"/>
    <n v="18"/>
    <n v="14"/>
    <n v="4"/>
    <n v="11"/>
    <x v="9"/>
    <n v="0"/>
    <x v="0"/>
    <x v="0"/>
    <s v="Long"/>
    <x v="2"/>
  </r>
  <r>
    <n v="32"/>
    <x v="622"/>
    <x v="1"/>
    <x v="0"/>
    <n v="13"/>
    <n v="4"/>
    <x v="0"/>
    <n v="2"/>
    <x v="1"/>
    <n v="3"/>
    <n v="2"/>
    <x v="0"/>
    <x v="0"/>
    <s v="Divorced"/>
    <n v="4403"/>
    <n v="2"/>
    <x v="1"/>
    <n v="3"/>
    <n v="8"/>
    <n v="2"/>
    <n v="5"/>
    <n v="2"/>
    <n v="0"/>
    <n v="3"/>
    <x v="0"/>
    <n v="0"/>
    <x v="0"/>
    <x v="1"/>
    <s v="Mid"/>
    <x v="0"/>
  </r>
  <r>
    <n v="30"/>
    <x v="623"/>
    <x v="1"/>
    <x v="1"/>
    <n v="5"/>
    <n v="4"/>
    <x v="0"/>
    <n v="2"/>
    <x v="1"/>
    <n v="2"/>
    <n v="1"/>
    <x v="1"/>
    <x v="0"/>
    <s v="Divorced"/>
    <n v="3761"/>
    <n v="9"/>
    <x v="1"/>
    <n v="2"/>
    <n v="10"/>
    <n v="2"/>
    <n v="5"/>
    <n v="4"/>
    <n v="0"/>
    <n v="3"/>
    <x v="3"/>
    <n v="0"/>
    <x v="0"/>
    <x v="1"/>
    <s v="Mid"/>
    <x v="0"/>
  </r>
  <r>
    <n v="53"/>
    <x v="624"/>
    <x v="1"/>
    <x v="0"/>
    <n v="7"/>
    <n v="2"/>
    <x v="3"/>
    <n v="1"/>
    <x v="0"/>
    <n v="2"/>
    <n v="3"/>
    <x v="0"/>
    <x v="0"/>
    <s v="Married"/>
    <n v="10934"/>
    <n v="7"/>
    <x v="0"/>
    <n v="4"/>
    <n v="35"/>
    <n v="3"/>
    <n v="5"/>
    <n v="2"/>
    <n v="0"/>
    <n v="4"/>
    <x v="11"/>
    <n v="0"/>
    <x v="1"/>
    <x v="2"/>
    <s v="Mid"/>
    <x v="1"/>
  </r>
  <r>
    <n v="45"/>
    <x v="625"/>
    <x v="1"/>
    <x v="0"/>
    <n v="9"/>
    <n v="3"/>
    <x v="3"/>
    <n v="4"/>
    <x v="1"/>
    <n v="3"/>
    <n v="3"/>
    <x v="0"/>
    <x v="3"/>
    <s v="Divorced"/>
    <n v="10761"/>
    <n v="4"/>
    <x v="0"/>
    <n v="3"/>
    <n v="18"/>
    <n v="3"/>
    <n v="5"/>
    <n v="4"/>
    <n v="0"/>
    <n v="2"/>
    <x v="3"/>
    <n v="0"/>
    <x v="1"/>
    <x v="2"/>
    <s v="Mid"/>
    <x v="0"/>
  </r>
  <r>
    <n v="32"/>
    <x v="626"/>
    <x v="1"/>
    <x v="1"/>
    <n v="8"/>
    <n v="2"/>
    <x v="2"/>
    <n v="3"/>
    <x v="0"/>
    <n v="4"/>
    <n v="2"/>
    <x v="1"/>
    <x v="2"/>
    <s v="Married"/>
    <n v="5175"/>
    <n v="5"/>
    <x v="1"/>
    <n v="3"/>
    <n v="9"/>
    <n v="2"/>
    <n v="5"/>
    <n v="3"/>
    <n v="1"/>
    <n v="3"/>
    <x v="3"/>
    <n v="0"/>
    <x v="0"/>
    <x v="0"/>
    <s v="Mid"/>
    <x v="0"/>
  </r>
  <r>
    <n v="52"/>
    <x v="627"/>
    <x v="1"/>
    <x v="1"/>
    <n v="25"/>
    <n v="4"/>
    <x v="2"/>
    <n v="3"/>
    <x v="0"/>
    <n v="2"/>
    <n v="4"/>
    <x v="3"/>
    <x v="0"/>
    <s v="Married"/>
    <n v="13826"/>
    <n v="3"/>
    <x v="1"/>
    <n v="3"/>
    <n v="31"/>
    <n v="3"/>
    <n v="9"/>
    <n v="8"/>
    <n v="0"/>
    <n v="0"/>
    <x v="6"/>
    <n v="0"/>
    <x v="1"/>
    <x v="2"/>
    <s v="Long"/>
    <x v="1"/>
  </r>
  <r>
    <n v="37"/>
    <x v="628"/>
    <x v="1"/>
    <x v="0"/>
    <n v="16"/>
    <n v="4"/>
    <x v="3"/>
    <n v="4"/>
    <x v="1"/>
    <n v="2"/>
    <n v="2"/>
    <x v="0"/>
    <x v="2"/>
    <s v="Divorced"/>
    <n v="6334"/>
    <n v="4"/>
    <x v="1"/>
    <n v="4"/>
    <n v="9"/>
    <n v="3"/>
    <n v="1"/>
    <n v="0"/>
    <n v="0"/>
    <n v="0"/>
    <x v="12"/>
    <n v="0"/>
    <x v="0"/>
    <x v="0"/>
    <s v="Early"/>
    <x v="1"/>
  </r>
  <r>
    <n v="28"/>
    <x v="629"/>
    <x v="1"/>
    <x v="2"/>
    <n v="8"/>
    <n v="2"/>
    <x v="2"/>
    <n v="2"/>
    <x v="1"/>
    <n v="2"/>
    <n v="1"/>
    <x v="8"/>
    <x v="0"/>
    <s v="Divorced"/>
    <n v="4936"/>
    <n v="1"/>
    <x v="1"/>
    <n v="4"/>
    <n v="6"/>
    <n v="3"/>
    <n v="5"/>
    <n v="1"/>
    <n v="0"/>
    <n v="4"/>
    <x v="4"/>
    <n v="0"/>
    <x v="2"/>
    <x v="1"/>
    <s v="Mid"/>
    <x v="2"/>
  </r>
  <r>
    <n v="22"/>
    <x v="630"/>
    <x v="1"/>
    <x v="1"/>
    <n v="1"/>
    <n v="2"/>
    <x v="0"/>
    <n v="4"/>
    <x v="1"/>
    <n v="2"/>
    <n v="2"/>
    <x v="3"/>
    <x v="0"/>
    <s v="Married"/>
    <n v="4775"/>
    <n v="6"/>
    <x v="1"/>
    <n v="1"/>
    <n v="4"/>
    <n v="1"/>
    <n v="2"/>
    <n v="2"/>
    <n v="2"/>
    <n v="2"/>
    <x v="6"/>
    <n v="0"/>
    <x v="2"/>
    <x v="1"/>
    <s v="Early"/>
    <x v="1"/>
  </r>
  <r>
    <n v="44"/>
    <x v="631"/>
    <x v="1"/>
    <x v="1"/>
    <n v="8"/>
    <n v="4"/>
    <x v="0"/>
    <n v="1"/>
    <x v="1"/>
    <n v="4"/>
    <n v="1"/>
    <x v="2"/>
    <x v="0"/>
    <s v="Married"/>
    <n v="2818"/>
    <n v="2"/>
    <x v="0"/>
    <n v="3"/>
    <n v="10"/>
    <n v="2"/>
    <n v="3"/>
    <n v="2"/>
    <n v="0"/>
    <n v="2"/>
    <x v="13"/>
    <n v="0"/>
    <x v="0"/>
    <x v="1"/>
    <s v="Mid"/>
    <x v="1"/>
  </r>
  <r>
    <n v="42"/>
    <x v="632"/>
    <x v="1"/>
    <x v="1"/>
    <n v="2"/>
    <n v="1"/>
    <x v="2"/>
    <n v="2"/>
    <x v="1"/>
    <n v="3"/>
    <n v="1"/>
    <x v="1"/>
    <x v="0"/>
    <s v="Single"/>
    <n v="2515"/>
    <n v="5"/>
    <x v="0"/>
    <n v="4"/>
    <n v="8"/>
    <n v="3"/>
    <n v="2"/>
    <n v="1"/>
    <n v="2"/>
    <n v="2"/>
    <x v="9"/>
    <n v="0"/>
    <x v="0"/>
    <x v="1"/>
    <s v="Early"/>
    <x v="2"/>
  </r>
  <r>
    <n v="36"/>
    <x v="633"/>
    <x v="1"/>
    <x v="2"/>
    <n v="8"/>
    <n v="3"/>
    <x v="0"/>
    <n v="1"/>
    <x v="1"/>
    <n v="2"/>
    <n v="1"/>
    <x v="8"/>
    <x v="3"/>
    <s v="Married"/>
    <n v="2342"/>
    <n v="0"/>
    <x v="1"/>
    <n v="3"/>
    <n v="6"/>
    <n v="3"/>
    <n v="5"/>
    <n v="4"/>
    <n v="0"/>
    <n v="3"/>
    <x v="7"/>
    <n v="0"/>
    <x v="0"/>
    <x v="1"/>
    <s v="Mid"/>
    <x v="1"/>
  </r>
  <r>
    <n v="25"/>
    <x v="634"/>
    <x v="1"/>
    <x v="0"/>
    <n v="3"/>
    <n v="1"/>
    <x v="1"/>
    <n v="3"/>
    <x v="1"/>
    <n v="3"/>
    <n v="2"/>
    <x v="0"/>
    <x v="3"/>
    <s v="Married"/>
    <n v="4194"/>
    <n v="1"/>
    <x v="0"/>
    <n v="4"/>
    <n v="5"/>
    <n v="3"/>
    <n v="5"/>
    <n v="3"/>
    <n v="0"/>
    <n v="3"/>
    <x v="11"/>
    <n v="0"/>
    <x v="2"/>
    <x v="1"/>
    <s v="Mid"/>
    <x v="1"/>
  </r>
  <r>
    <n v="35"/>
    <x v="635"/>
    <x v="1"/>
    <x v="1"/>
    <n v="9"/>
    <n v="3"/>
    <x v="0"/>
    <n v="4"/>
    <x v="0"/>
    <n v="2"/>
    <n v="3"/>
    <x v="3"/>
    <x v="2"/>
    <s v="Married"/>
    <n v="10685"/>
    <n v="1"/>
    <x v="0"/>
    <n v="2"/>
    <n v="17"/>
    <n v="3"/>
    <n v="17"/>
    <n v="14"/>
    <n v="5"/>
    <n v="15"/>
    <x v="5"/>
    <n v="0"/>
    <x v="0"/>
    <x v="2"/>
    <s v="Long"/>
    <x v="1"/>
  </r>
  <r>
    <n v="35"/>
    <x v="636"/>
    <x v="0"/>
    <x v="1"/>
    <n v="25"/>
    <n v="4"/>
    <x v="0"/>
    <n v="4"/>
    <x v="0"/>
    <n v="3"/>
    <n v="1"/>
    <x v="1"/>
    <x v="1"/>
    <s v="Divorced"/>
    <n v="2022"/>
    <n v="1"/>
    <x v="0"/>
    <n v="1"/>
    <n v="10"/>
    <n v="2"/>
    <n v="10"/>
    <n v="2"/>
    <n v="7"/>
    <n v="8"/>
    <x v="12"/>
    <n v="1"/>
    <x v="0"/>
    <x v="1"/>
    <s v="Long"/>
    <x v="1"/>
  </r>
  <r>
    <n v="32"/>
    <x v="637"/>
    <x v="1"/>
    <x v="1"/>
    <n v="1"/>
    <n v="3"/>
    <x v="0"/>
    <n v="4"/>
    <x v="1"/>
    <n v="3"/>
    <n v="1"/>
    <x v="2"/>
    <x v="0"/>
    <s v="Divorced"/>
    <n v="2314"/>
    <n v="0"/>
    <x v="1"/>
    <n v="2"/>
    <n v="4"/>
    <n v="3"/>
    <n v="3"/>
    <n v="0"/>
    <n v="0"/>
    <n v="2"/>
    <x v="3"/>
    <n v="0"/>
    <x v="0"/>
    <x v="1"/>
    <s v="Mid"/>
    <x v="0"/>
  </r>
  <r>
    <n v="25"/>
    <x v="638"/>
    <x v="1"/>
    <x v="0"/>
    <n v="4"/>
    <n v="1"/>
    <x v="3"/>
    <n v="3"/>
    <x v="1"/>
    <n v="2"/>
    <n v="2"/>
    <x v="0"/>
    <x v="3"/>
    <s v="Married"/>
    <n v="4256"/>
    <n v="1"/>
    <x v="1"/>
    <n v="1"/>
    <n v="5"/>
    <n v="4"/>
    <n v="5"/>
    <n v="2"/>
    <n v="0"/>
    <n v="3"/>
    <x v="3"/>
    <n v="0"/>
    <x v="2"/>
    <x v="1"/>
    <s v="Mid"/>
    <x v="0"/>
  </r>
  <r>
    <n v="49"/>
    <x v="639"/>
    <x v="1"/>
    <x v="1"/>
    <n v="1"/>
    <n v="3"/>
    <x v="4"/>
    <n v="3"/>
    <x v="0"/>
    <n v="3"/>
    <n v="1"/>
    <x v="1"/>
    <x v="3"/>
    <s v="Married"/>
    <n v="3580"/>
    <n v="2"/>
    <x v="1"/>
    <n v="2"/>
    <n v="7"/>
    <n v="3"/>
    <n v="4"/>
    <n v="2"/>
    <n v="0"/>
    <n v="2"/>
    <x v="10"/>
    <n v="0"/>
    <x v="1"/>
    <x v="1"/>
    <s v="Mid"/>
    <x v="2"/>
  </r>
  <r>
    <n v="24"/>
    <x v="640"/>
    <x v="1"/>
    <x v="1"/>
    <n v="4"/>
    <n v="1"/>
    <x v="0"/>
    <n v="1"/>
    <x v="1"/>
    <n v="2"/>
    <n v="1"/>
    <x v="2"/>
    <x v="0"/>
    <s v="Married"/>
    <n v="3162"/>
    <n v="0"/>
    <x v="1"/>
    <n v="4"/>
    <n v="6"/>
    <n v="2"/>
    <n v="5"/>
    <n v="2"/>
    <n v="3"/>
    <n v="4"/>
    <x v="8"/>
    <n v="0"/>
    <x v="2"/>
    <x v="1"/>
    <s v="Mid"/>
    <x v="2"/>
  </r>
  <r>
    <n v="32"/>
    <x v="641"/>
    <x v="1"/>
    <x v="0"/>
    <n v="5"/>
    <n v="2"/>
    <x v="0"/>
    <n v="2"/>
    <x v="1"/>
    <n v="3"/>
    <n v="2"/>
    <x v="0"/>
    <x v="1"/>
    <s v="Married"/>
    <n v="6524"/>
    <n v="1"/>
    <x v="1"/>
    <n v="4"/>
    <n v="10"/>
    <n v="3"/>
    <n v="10"/>
    <n v="8"/>
    <n v="5"/>
    <n v="3"/>
    <x v="9"/>
    <n v="0"/>
    <x v="0"/>
    <x v="0"/>
    <s v="Long"/>
    <x v="2"/>
  </r>
  <r>
    <n v="38"/>
    <x v="642"/>
    <x v="1"/>
    <x v="0"/>
    <n v="9"/>
    <n v="3"/>
    <x v="3"/>
    <n v="2"/>
    <x v="1"/>
    <n v="2"/>
    <n v="1"/>
    <x v="6"/>
    <x v="1"/>
    <s v="Married"/>
    <n v="2899"/>
    <n v="0"/>
    <x v="1"/>
    <n v="4"/>
    <n v="3"/>
    <n v="3"/>
    <n v="2"/>
    <n v="2"/>
    <n v="1"/>
    <n v="2"/>
    <x v="12"/>
    <n v="0"/>
    <x v="0"/>
    <x v="1"/>
    <s v="Early"/>
    <x v="1"/>
  </r>
  <r>
    <n v="42"/>
    <x v="643"/>
    <x v="1"/>
    <x v="1"/>
    <n v="3"/>
    <n v="3"/>
    <x v="0"/>
    <n v="3"/>
    <x v="0"/>
    <n v="4"/>
    <n v="2"/>
    <x v="2"/>
    <x v="0"/>
    <s v="Married"/>
    <n v="5231"/>
    <n v="2"/>
    <x v="0"/>
    <n v="2"/>
    <n v="17"/>
    <n v="2"/>
    <n v="5"/>
    <n v="3"/>
    <n v="1"/>
    <n v="3"/>
    <x v="4"/>
    <n v="0"/>
    <x v="0"/>
    <x v="0"/>
    <s v="Mid"/>
    <x v="2"/>
  </r>
  <r>
    <n v="31"/>
    <x v="644"/>
    <x v="1"/>
    <x v="1"/>
    <n v="11"/>
    <n v="4"/>
    <x v="0"/>
    <n v="4"/>
    <x v="1"/>
    <n v="3"/>
    <n v="1"/>
    <x v="1"/>
    <x v="0"/>
    <s v="Married"/>
    <n v="2356"/>
    <n v="3"/>
    <x v="0"/>
    <n v="2"/>
    <n v="8"/>
    <n v="3"/>
    <n v="6"/>
    <n v="4"/>
    <n v="0"/>
    <n v="2"/>
    <x v="12"/>
    <n v="0"/>
    <x v="0"/>
    <x v="1"/>
    <s v="Mid"/>
    <x v="1"/>
  </r>
  <r>
    <n v="29"/>
    <x v="645"/>
    <x v="0"/>
    <x v="0"/>
    <n v="1"/>
    <n v="3"/>
    <x v="2"/>
    <n v="2"/>
    <x v="0"/>
    <n v="2"/>
    <n v="1"/>
    <x v="6"/>
    <x v="2"/>
    <s v="Divorced"/>
    <n v="2800"/>
    <n v="6"/>
    <x v="0"/>
    <n v="3"/>
    <n v="5"/>
    <n v="3"/>
    <n v="3"/>
    <n v="2"/>
    <n v="0"/>
    <n v="2"/>
    <x v="12"/>
    <n v="1"/>
    <x v="2"/>
    <x v="1"/>
    <s v="Mid"/>
    <x v="1"/>
  </r>
  <r>
    <n v="53"/>
    <x v="646"/>
    <x v="1"/>
    <x v="0"/>
    <n v="8"/>
    <n v="3"/>
    <x v="3"/>
    <n v="1"/>
    <x v="1"/>
    <n v="3"/>
    <n v="4"/>
    <x v="0"/>
    <x v="0"/>
    <s v="Married"/>
    <n v="11836"/>
    <n v="5"/>
    <x v="1"/>
    <n v="3"/>
    <n v="28"/>
    <n v="3"/>
    <n v="2"/>
    <n v="0"/>
    <n v="2"/>
    <n v="2"/>
    <x v="9"/>
    <n v="0"/>
    <x v="1"/>
    <x v="2"/>
    <s v="Early"/>
    <x v="2"/>
  </r>
  <r>
    <n v="35"/>
    <x v="647"/>
    <x v="1"/>
    <x v="1"/>
    <n v="25"/>
    <n v="3"/>
    <x v="4"/>
    <n v="4"/>
    <x v="1"/>
    <n v="2"/>
    <n v="3"/>
    <x v="3"/>
    <x v="1"/>
    <s v="Married"/>
    <n v="10903"/>
    <n v="3"/>
    <x v="1"/>
    <n v="1"/>
    <n v="16"/>
    <n v="3"/>
    <n v="13"/>
    <n v="10"/>
    <n v="4"/>
    <n v="8"/>
    <x v="10"/>
    <n v="0"/>
    <x v="0"/>
    <x v="2"/>
    <s v="Long"/>
    <x v="2"/>
  </r>
  <r>
    <n v="37"/>
    <x v="648"/>
    <x v="1"/>
    <x v="0"/>
    <n v="21"/>
    <n v="2"/>
    <x v="2"/>
    <n v="3"/>
    <x v="0"/>
    <n v="3"/>
    <n v="1"/>
    <x v="6"/>
    <x v="0"/>
    <s v="Married"/>
    <n v="2973"/>
    <n v="5"/>
    <x v="1"/>
    <n v="2"/>
    <n v="10"/>
    <n v="3"/>
    <n v="5"/>
    <n v="4"/>
    <n v="0"/>
    <n v="0"/>
    <x v="2"/>
    <n v="0"/>
    <x v="0"/>
    <x v="1"/>
    <s v="Mid"/>
    <x v="2"/>
  </r>
  <r>
    <n v="53"/>
    <x v="649"/>
    <x v="1"/>
    <x v="1"/>
    <n v="23"/>
    <n v="4"/>
    <x v="0"/>
    <n v="4"/>
    <x v="0"/>
    <n v="3"/>
    <n v="4"/>
    <x v="7"/>
    <x v="0"/>
    <s v="Single"/>
    <n v="14275"/>
    <n v="6"/>
    <x v="1"/>
    <n v="3"/>
    <n v="33"/>
    <n v="3"/>
    <n v="12"/>
    <n v="9"/>
    <n v="3"/>
    <n v="8"/>
    <x v="11"/>
    <n v="0"/>
    <x v="1"/>
    <x v="2"/>
    <s v="Long"/>
    <x v="1"/>
  </r>
  <r>
    <n v="43"/>
    <x v="650"/>
    <x v="1"/>
    <x v="1"/>
    <n v="1"/>
    <n v="3"/>
    <x v="0"/>
    <n v="4"/>
    <x v="0"/>
    <n v="3"/>
    <n v="2"/>
    <x v="4"/>
    <x v="0"/>
    <s v="Married"/>
    <n v="5562"/>
    <n v="4"/>
    <x v="1"/>
    <n v="2"/>
    <n v="12"/>
    <n v="2"/>
    <n v="5"/>
    <n v="2"/>
    <n v="2"/>
    <n v="2"/>
    <x v="4"/>
    <n v="0"/>
    <x v="0"/>
    <x v="0"/>
    <s v="Mid"/>
    <x v="2"/>
  </r>
  <r>
    <n v="47"/>
    <x v="651"/>
    <x v="1"/>
    <x v="0"/>
    <n v="2"/>
    <n v="2"/>
    <x v="3"/>
    <n v="3"/>
    <x v="0"/>
    <n v="3"/>
    <n v="2"/>
    <x v="0"/>
    <x v="0"/>
    <s v="Married"/>
    <n v="4537"/>
    <n v="0"/>
    <x v="0"/>
    <n v="1"/>
    <n v="8"/>
    <n v="3"/>
    <n v="7"/>
    <n v="6"/>
    <n v="7"/>
    <n v="7"/>
    <x v="6"/>
    <n v="0"/>
    <x v="1"/>
    <x v="1"/>
    <s v="Long"/>
    <x v="1"/>
  </r>
  <r>
    <n v="37"/>
    <x v="652"/>
    <x v="1"/>
    <x v="0"/>
    <n v="19"/>
    <n v="2"/>
    <x v="2"/>
    <n v="1"/>
    <x v="1"/>
    <n v="3"/>
    <n v="3"/>
    <x v="0"/>
    <x v="1"/>
    <s v="Single"/>
    <n v="7642"/>
    <n v="1"/>
    <x v="0"/>
    <n v="4"/>
    <n v="10"/>
    <n v="3"/>
    <n v="10"/>
    <n v="0"/>
    <n v="0"/>
    <n v="9"/>
    <x v="4"/>
    <n v="0"/>
    <x v="0"/>
    <x v="0"/>
    <s v="Long"/>
    <x v="2"/>
  </r>
  <r>
    <n v="50"/>
    <x v="653"/>
    <x v="1"/>
    <x v="1"/>
    <n v="2"/>
    <n v="4"/>
    <x v="0"/>
    <n v="1"/>
    <x v="1"/>
    <n v="3"/>
    <n v="4"/>
    <x v="5"/>
    <x v="3"/>
    <s v="Divorced"/>
    <n v="17924"/>
    <n v="1"/>
    <x v="1"/>
    <n v="4"/>
    <n v="31"/>
    <n v="3"/>
    <n v="31"/>
    <n v="6"/>
    <n v="14"/>
    <n v="7"/>
    <x v="0"/>
    <n v="0"/>
    <x v="1"/>
    <x v="2"/>
    <s v="Long"/>
    <x v="0"/>
  </r>
  <r>
    <n v="39"/>
    <x v="654"/>
    <x v="1"/>
    <x v="2"/>
    <n v="2"/>
    <n v="3"/>
    <x v="0"/>
    <n v="4"/>
    <x v="0"/>
    <n v="2"/>
    <n v="2"/>
    <x v="8"/>
    <x v="0"/>
    <s v="Married"/>
    <n v="5204"/>
    <n v="8"/>
    <x v="1"/>
    <n v="3"/>
    <n v="13"/>
    <n v="3"/>
    <n v="5"/>
    <n v="4"/>
    <n v="0"/>
    <n v="4"/>
    <x v="0"/>
    <n v="0"/>
    <x v="0"/>
    <x v="0"/>
    <s v="Mid"/>
    <x v="0"/>
  </r>
  <r>
    <n v="33"/>
    <x v="655"/>
    <x v="1"/>
    <x v="2"/>
    <n v="3"/>
    <n v="2"/>
    <x v="5"/>
    <n v="4"/>
    <x v="1"/>
    <n v="3"/>
    <n v="1"/>
    <x v="8"/>
    <x v="1"/>
    <s v="Divorced"/>
    <n v="2277"/>
    <n v="3"/>
    <x v="0"/>
    <n v="3"/>
    <n v="7"/>
    <n v="4"/>
    <n v="4"/>
    <n v="3"/>
    <n v="0"/>
    <n v="3"/>
    <x v="0"/>
    <n v="0"/>
    <x v="0"/>
    <x v="1"/>
    <s v="Mid"/>
    <x v="0"/>
  </r>
  <r>
    <n v="32"/>
    <x v="656"/>
    <x v="0"/>
    <x v="1"/>
    <n v="25"/>
    <n v="4"/>
    <x v="0"/>
    <n v="1"/>
    <x v="1"/>
    <n v="3"/>
    <n v="1"/>
    <x v="2"/>
    <x v="0"/>
    <s v="Single"/>
    <n v="2795"/>
    <n v="1"/>
    <x v="0"/>
    <n v="3"/>
    <n v="1"/>
    <n v="1"/>
    <n v="1"/>
    <n v="0"/>
    <n v="0"/>
    <n v="1"/>
    <x v="13"/>
    <n v="1"/>
    <x v="0"/>
    <x v="1"/>
    <s v="Early"/>
    <x v="1"/>
  </r>
  <r>
    <n v="29"/>
    <x v="657"/>
    <x v="1"/>
    <x v="1"/>
    <n v="7"/>
    <n v="1"/>
    <x v="2"/>
    <n v="1"/>
    <x v="0"/>
    <n v="2"/>
    <n v="1"/>
    <x v="2"/>
    <x v="0"/>
    <s v="Divorced"/>
    <n v="2532"/>
    <n v="6"/>
    <x v="1"/>
    <n v="3"/>
    <n v="8"/>
    <n v="3"/>
    <n v="4"/>
    <n v="3"/>
    <n v="0"/>
    <n v="3"/>
    <x v="9"/>
    <n v="0"/>
    <x v="2"/>
    <x v="1"/>
    <s v="Mid"/>
    <x v="2"/>
  </r>
  <r>
    <n v="44"/>
    <x v="658"/>
    <x v="1"/>
    <x v="1"/>
    <n v="9"/>
    <n v="2"/>
    <x v="0"/>
    <n v="2"/>
    <x v="1"/>
    <n v="3"/>
    <n v="1"/>
    <x v="1"/>
    <x v="3"/>
    <s v="Married"/>
    <n v="2559"/>
    <n v="1"/>
    <x v="0"/>
    <n v="4"/>
    <n v="8"/>
    <n v="3"/>
    <n v="8"/>
    <n v="7"/>
    <n v="7"/>
    <n v="1"/>
    <x v="4"/>
    <n v="0"/>
    <x v="0"/>
    <x v="1"/>
    <s v="Long"/>
    <x v="2"/>
  </r>
  <r>
    <n v="28"/>
    <x v="659"/>
    <x v="1"/>
    <x v="0"/>
    <n v="5"/>
    <n v="4"/>
    <x v="2"/>
    <n v="1"/>
    <x v="1"/>
    <n v="3"/>
    <n v="2"/>
    <x v="0"/>
    <x v="0"/>
    <s v="Single"/>
    <n v="4908"/>
    <n v="1"/>
    <x v="1"/>
    <n v="2"/>
    <n v="4"/>
    <n v="3"/>
    <n v="4"/>
    <n v="2"/>
    <n v="0"/>
    <n v="2"/>
    <x v="9"/>
    <n v="0"/>
    <x v="2"/>
    <x v="1"/>
    <s v="Mid"/>
    <x v="2"/>
  </r>
  <r>
    <n v="58"/>
    <x v="660"/>
    <x v="0"/>
    <x v="1"/>
    <n v="2"/>
    <n v="1"/>
    <x v="0"/>
    <n v="4"/>
    <x v="1"/>
    <n v="2"/>
    <n v="1"/>
    <x v="2"/>
    <x v="0"/>
    <s v="Divorced"/>
    <n v="2380"/>
    <n v="9"/>
    <x v="0"/>
    <n v="4"/>
    <n v="3"/>
    <n v="2"/>
    <n v="1"/>
    <n v="0"/>
    <n v="0"/>
    <n v="0"/>
    <x v="9"/>
    <n v="1"/>
    <x v="1"/>
    <x v="1"/>
    <s v="Early"/>
    <x v="2"/>
  </r>
  <r>
    <n v="43"/>
    <x v="661"/>
    <x v="1"/>
    <x v="1"/>
    <n v="8"/>
    <n v="3"/>
    <x v="0"/>
    <n v="1"/>
    <x v="0"/>
    <n v="3"/>
    <n v="2"/>
    <x v="3"/>
    <x v="1"/>
    <s v="Divorced"/>
    <n v="4765"/>
    <n v="4"/>
    <x v="1"/>
    <n v="3"/>
    <n v="4"/>
    <n v="4"/>
    <n v="1"/>
    <n v="0"/>
    <n v="0"/>
    <n v="0"/>
    <x v="7"/>
    <n v="0"/>
    <x v="0"/>
    <x v="1"/>
    <s v="Early"/>
    <x v="1"/>
  </r>
  <r>
    <n v="20"/>
    <x v="662"/>
    <x v="0"/>
    <x v="0"/>
    <n v="2"/>
    <n v="3"/>
    <x v="2"/>
    <n v="3"/>
    <x v="0"/>
    <n v="2"/>
    <n v="1"/>
    <x v="6"/>
    <x v="2"/>
    <s v="Single"/>
    <n v="2044"/>
    <n v="1"/>
    <x v="1"/>
    <n v="4"/>
    <n v="2"/>
    <n v="2"/>
    <n v="2"/>
    <n v="2"/>
    <n v="0"/>
    <n v="2"/>
    <x v="4"/>
    <n v="1"/>
    <x v="2"/>
    <x v="1"/>
    <s v="Early"/>
    <x v="2"/>
  </r>
  <r>
    <n v="21"/>
    <x v="663"/>
    <x v="0"/>
    <x v="1"/>
    <n v="18"/>
    <n v="1"/>
    <x v="1"/>
    <n v="4"/>
    <x v="0"/>
    <n v="3"/>
    <n v="1"/>
    <x v="1"/>
    <x v="0"/>
    <s v="Single"/>
    <n v="2693"/>
    <n v="1"/>
    <x v="1"/>
    <n v="1"/>
    <n v="1"/>
    <n v="2"/>
    <n v="1"/>
    <n v="0"/>
    <n v="0"/>
    <n v="0"/>
    <x v="12"/>
    <n v="1"/>
    <x v="2"/>
    <x v="1"/>
    <s v="Early"/>
    <x v="1"/>
  </r>
  <r>
    <n v="36"/>
    <x v="664"/>
    <x v="1"/>
    <x v="1"/>
    <n v="14"/>
    <n v="1"/>
    <x v="0"/>
    <n v="3"/>
    <x v="1"/>
    <n v="3"/>
    <n v="2"/>
    <x v="4"/>
    <x v="0"/>
    <s v="Married"/>
    <n v="6586"/>
    <n v="0"/>
    <x v="0"/>
    <n v="1"/>
    <n v="17"/>
    <n v="2"/>
    <n v="16"/>
    <n v="8"/>
    <n v="4"/>
    <n v="11"/>
    <x v="8"/>
    <n v="0"/>
    <x v="0"/>
    <x v="0"/>
    <s v="Long"/>
    <x v="2"/>
  </r>
  <r>
    <n v="47"/>
    <x v="665"/>
    <x v="1"/>
    <x v="0"/>
    <n v="2"/>
    <n v="4"/>
    <x v="0"/>
    <n v="4"/>
    <x v="0"/>
    <n v="2"/>
    <n v="1"/>
    <x v="6"/>
    <x v="0"/>
    <s v="Single"/>
    <n v="3294"/>
    <n v="1"/>
    <x v="0"/>
    <n v="1"/>
    <n v="3"/>
    <n v="2"/>
    <n v="3"/>
    <n v="2"/>
    <n v="1"/>
    <n v="2"/>
    <x v="11"/>
    <n v="0"/>
    <x v="1"/>
    <x v="1"/>
    <s v="Mid"/>
    <x v="1"/>
  </r>
  <r>
    <n v="22"/>
    <x v="666"/>
    <x v="0"/>
    <x v="1"/>
    <n v="3"/>
    <n v="1"/>
    <x v="0"/>
    <n v="2"/>
    <x v="0"/>
    <n v="3"/>
    <n v="2"/>
    <x v="3"/>
    <x v="2"/>
    <s v="Married"/>
    <n v="4171"/>
    <n v="0"/>
    <x v="0"/>
    <n v="1"/>
    <n v="4"/>
    <n v="4"/>
    <n v="3"/>
    <n v="2"/>
    <n v="0"/>
    <n v="2"/>
    <x v="12"/>
    <n v="1"/>
    <x v="2"/>
    <x v="1"/>
    <s v="Mid"/>
    <x v="1"/>
  </r>
  <r>
    <n v="41"/>
    <x v="667"/>
    <x v="0"/>
    <x v="1"/>
    <n v="2"/>
    <n v="4"/>
    <x v="0"/>
    <n v="2"/>
    <x v="0"/>
    <n v="1"/>
    <n v="1"/>
    <x v="2"/>
    <x v="0"/>
    <s v="Divorced"/>
    <n v="2778"/>
    <n v="4"/>
    <x v="0"/>
    <n v="3"/>
    <n v="10"/>
    <n v="2"/>
    <n v="7"/>
    <n v="7"/>
    <n v="1"/>
    <n v="0"/>
    <x v="4"/>
    <n v="1"/>
    <x v="0"/>
    <x v="1"/>
    <s v="Long"/>
    <x v="2"/>
  </r>
  <r>
    <n v="28"/>
    <x v="668"/>
    <x v="1"/>
    <x v="1"/>
    <n v="9"/>
    <n v="3"/>
    <x v="2"/>
    <n v="3"/>
    <x v="0"/>
    <n v="3"/>
    <n v="1"/>
    <x v="1"/>
    <x v="2"/>
    <s v="Divorced"/>
    <n v="2377"/>
    <n v="5"/>
    <x v="1"/>
    <n v="2"/>
    <n v="6"/>
    <n v="3"/>
    <n v="2"/>
    <n v="2"/>
    <n v="2"/>
    <n v="2"/>
    <x v="11"/>
    <n v="0"/>
    <x v="2"/>
    <x v="1"/>
    <s v="Early"/>
    <x v="1"/>
  </r>
  <r>
    <n v="39"/>
    <x v="669"/>
    <x v="0"/>
    <x v="1"/>
    <n v="6"/>
    <n v="3"/>
    <x v="2"/>
    <n v="4"/>
    <x v="1"/>
    <n v="3"/>
    <n v="1"/>
    <x v="2"/>
    <x v="3"/>
    <s v="Married"/>
    <n v="2404"/>
    <n v="7"/>
    <x v="0"/>
    <n v="4"/>
    <n v="8"/>
    <n v="1"/>
    <n v="2"/>
    <n v="2"/>
    <n v="2"/>
    <n v="2"/>
    <x v="7"/>
    <n v="1"/>
    <x v="0"/>
    <x v="1"/>
    <s v="Early"/>
    <x v="1"/>
  </r>
  <r>
    <n v="27"/>
    <x v="670"/>
    <x v="1"/>
    <x v="1"/>
    <n v="4"/>
    <n v="3"/>
    <x v="0"/>
    <n v="2"/>
    <x v="0"/>
    <n v="3"/>
    <n v="1"/>
    <x v="1"/>
    <x v="2"/>
    <s v="Single"/>
    <n v="2318"/>
    <n v="1"/>
    <x v="1"/>
    <n v="3"/>
    <n v="1"/>
    <n v="3"/>
    <n v="1"/>
    <n v="1"/>
    <n v="0"/>
    <n v="0"/>
    <x v="12"/>
    <n v="0"/>
    <x v="2"/>
    <x v="1"/>
    <s v="Early"/>
    <x v="1"/>
  </r>
  <r>
    <n v="34"/>
    <x v="671"/>
    <x v="1"/>
    <x v="1"/>
    <n v="10"/>
    <n v="3"/>
    <x v="0"/>
    <n v="2"/>
    <x v="1"/>
    <n v="3"/>
    <n v="1"/>
    <x v="2"/>
    <x v="1"/>
    <s v="Divorced"/>
    <n v="2008"/>
    <n v="1"/>
    <x v="1"/>
    <n v="2"/>
    <n v="1"/>
    <n v="3"/>
    <n v="1"/>
    <n v="0"/>
    <n v="1"/>
    <n v="0"/>
    <x v="9"/>
    <n v="0"/>
    <x v="0"/>
    <x v="1"/>
    <s v="Early"/>
    <x v="2"/>
  </r>
  <r>
    <n v="42"/>
    <x v="672"/>
    <x v="1"/>
    <x v="0"/>
    <n v="14"/>
    <n v="2"/>
    <x v="2"/>
    <n v="3"/>
    <x v="0"/>
    <n v="2"/>
    <n v="2"/>
    <x v="0"/>
    <x v="2"/>
    <s v="Single"/>
    <n v="6244"/>
    <n v="7"/>
    <x v="1"/>
    <n v="1"/>
    <n v="10"/>
    <n v="3"/>
    <n v="5"/>
    <n v="4"/>
    <n v="0"/>
    <n v="3"/>
    <x v="8"/>
    <n v="0"/>
    <x v="0"/>
    <x v="0"/>
    <s v="Mid"/>
    <x v="2"/>
  </r>
  <r>
    <n v="33"/>
    <x v="673"/>
    <x v="1"/>
    <x v="1"/>
    <n v="1"/>
    <n v="4"/>
    <x v="1"/>
    <n v="3"/>
    <x v="1"/>
    <n v="2"/>
    <n v="1"/>
    <x v="1"/>
    <x v="3"/>
    <s v="Single"/>
    <n v="2799"/>
    <n v="3"/>
    <x v="0"/>
    <n v="2"/>
    <n v="6"/>
    <n v="3"/>
    <n v="3"/>
    <n v="2"/>
    <n v="0"/>
    <n v="2"/>
    <x v="0"/>
    <n v="0"/>
    <x v="0"/>
    <x v="1"/>
    <s v="Mid"/>
    <x v="0"/>
  </r>
  <r>
    <n v="58"/>
    <x v="674"/>
    <x v="1"/>
    <x v="1"/>
    <n v="5"/>
    <n v="3"/>
    <x v="4"/>
    <n v="3"/>
    <x v="0"/>
    <n v="2"/>
    <n v="3"/>
    <x v="4"/>
    <x v="1"/>
    <s v="Divorced"/>
    <n v="10552"/>
    <n v="2"/>
    <x v="0"/>
    <n v="4"/>
    <n v="24"/>
    <n v="3"/>
    <n v="6"/>
    <n v="0"/>
    <n v="0"/>
    <n v="4"/>
    <x v="4"/>
    <n v="0"/>
    <x v="1"/>
    <x v="2"/>
    <s v="Mid"/>
    <x v="2"/>
  </r>
  <r>
    <n v="31"/>
    <x v="675"/>
    <x v="1"/>
    <x v="0"/>
    <n v="7"/>
    <n v="4"/>
    <x v="0"/>
    <n v="2"/>
    <x v="1"/>
    <n v="2"/>
    <n v="1"/>
    <x v="6"/>
    <x v="2"/>
    <s v="Married"/>
    <n v="2329"/>
    <n v="3"/>
    <x v="1"/>
    <n v="2"/>
    <n v="13"/>
    <n v="4"/>
    <n v="7"/>
    <n v="7"/>
    <n v="5"/>
    <n v="2"/>
    <x v="2"/>
    <n v="0"/>
    <x v="0"/>
    <x v="1"/>
    <s v="Long"/>
    <x v="2"/>
  </r>
  <r>
    <n v="35"/>
    <x v="676"/>
    <x v="1"/>
    <x v="1"/>
    <n v="21"/>
    <n v="1"/>
    <x v="0"/>
    <n v="4"/>
    <x v="0"/>
    <n v="3"/>
    <n v="2"/>
    <x v="4"/>
    <x v="0"/>
    <s v="Married"/>
    <n v="4014"/>
    <n v="1"/>
    <x v="0"/>
    <n v="4"/>
    <n v="10"/>
    <n v="1"/>
    <n v="10"/>
    <n v="6"/>
    <n v="0"/>
    <n v="7"/>
    <x v="14"/>
    <n v="0"/>
    <x v="0"/>
    <x v="1"/>
    <s v="Long"/>
    <x v="1"/>
  </r>
  <r>
    <n v="49"/>
    <x v="677"/>
    <x v="1"/>
    <x v="1"/>
    <n v="8"/>
    <n v="2"/>
    <x v="1"/>
    <n v="1"/>
    <x v="0"/>
    <n v="3"/>
    <n v="3"/>
    <x v="2"/>
    <x v="1"/>
    <s v="Married"/>
    <n v="7403"/>
    <n v="4"/>
    <x v="1"/>
    <n v="3"/>
    <n v="29"/>
    <n v="2"/>
    <n v="26"/>
    <n v="9"/>
    <n v="1"/>
    <n v="7"/>
    <x v="0"/>
    <n v="0"/>
    <x v="1"/>
    <x v="0"/>
    <s v="Long"/>
    <x v="0"/>
  </r>
  <r>
    <n v="48"/>
    <x v="678"/>
    <x v="1"/>
    <x v="1"/>
    <n v="20"/>
    <n v="4"/>
    <x v="2"/>
    <n v="4"/>
    <x v="1"/>
    <n v="3"/>
    <n v="1"/>
    <x v="1"/>
    <x v="2"/>
    <s v="Married"/>
    <n v="2259"/>
    <n v="4"/>
    <x v="1"/>
    <n v="1"/>
    <n v="13"/>
    <n v="2"/>
    <n v="0"/>
    <n v="0"/>
    <n v="0"/>
    <n v="0"/>
    <x v="8"/>
    <n v="0"/>
    <x v="1"/>
    <x v="1"/>
    <s v="Early"/>
    <x v="2"/>
  </r>
  <r>
    <n v="31"/>
    <x v="679"/>
    <x v="1"/>
    <x v="0"/>
    <n v="20"/>
    <n v="2"/>
    <x v="3"/>
    <n v="4"/>
    <x v="0"/>
    <n v="3"/>
    <n v="2"/>
    <x v="0"/>
    <x v="2"/>
    <s v="Married"/>
    <n v="6932"/>
    <n v="1"/>
    <x v="1"/>
    <n v="4"/>
    <n v="9"/>
    <n v="2"/>
    <n v="9"/>
    <n v="8"/>
    <n v="0"/>
    <n v="0"/>
    <x v="4"/>
    <n v="0"/>
    <x v="0"/>
    <x v="0"/>
    <s v="Long"/>
    <x v="2"/>
  </r>
  <r>
    <n v="36"/>
    <x v="680"/>
    <x v="1"/>
    <x v="1"/>
    <n v="7"/>
    <n v="4"/>
    <x v="1"/>
    <n v="2"/>
    <x v="1"/>
    <n v="3"/>
    <n v="1"/>
    <x v="1"/>
    <x v="0"/>
    <s v="Single"/>
    <n v="4678"/>
    <n v="2"/>
    <x v="1"/>
    <n v="3"/>
    <n v="8"/>
    <n v="3"/>
    <n v="6"/>
    <n v="2"/>
    <n v="0"/>
    <n v="1"/>
    <x v="11"/>
    <n v="0"/>
    <x v="0"/>
    <x v="1"/>
    <s v="Mid"/>
    <x v="1"/>
  </r>
  <r>
    <n v="38"/>
    <x v="681"/>
    <x v="1"/>
    <x v="1"/>
    <n v="1"/>
    <n v="3"/>
    <x v="4"/>
    <n v="4"/>
    <x v="0"/>
    <n v="3"/>
    <n v="3"/>
    <x v="7"/>
    <x v="3"/>
    <s v="Married"/>
    <n v="13582"/>
    <n v="1"/>
    <x v="1"/>
    <n v="2"/>
    <n v="15"/>
    <n v="3"/>
    <n v="15"/>
    <n v="12"/>
    <n v="5"/>
    <n v="11"/>
    <x v="4"/>
    <n v="0"/>
    <x v="0"/>
    <x v="2"/>
    <s v="Long"/>
    <x v="2"/>
  </r>
  <r>
    <n v="32"/>
    <x v="682"/>
    <x v="1"/>
    <x v="1"/>
    <n v="1"/>
    <n v="3"/>
    <x v="0"/>
    <n v="3"/>
    <x v="0"/>
    <n v="2"/>
    <n v="1"/>
    <x v="2"/>
    <x v="1"/>
    <s v="Married"/>
    <n v="2332"/>
    <n v="6"/>
    <x v="1"/>
    <n v="3"/>
    <n v="5"/>
    <n v="3"/>
    <n v="3"/>
    <n v="0"/>
    <n v="0"/>
    <n v="2"/>
    <x v="5"/>
    <n v="0"/>
    <x v="0"/>
    <x v="1"/>
    <s v="Mid"/>
    <x v="1"/>
  </r>
  <r>
    <n v="25"/>
    <x v="683"/>
    <x v="0"/>
    <x v="0"/>
    <n v="19"/>
    <n v="2"/>
    <x v="3"/>
    <n v="3"/>
    <x v="1"/>
    <n v="2"/>
    <n v="1"/>
    <x v="6"/>
    <x v="1"/>
    <s v="Married"/>
    <n v="2413"/>
    <n v="1"/>
    <x v="0"/>
    <n v="3"/>
    <n v="1"/>
    <n v="3"/>
    <n v="1"/>
    <n v="0"/>
    <n v="0"/>
    <n v="0"/>
    <x v="11"/>
    <n v="1"/>
    <x v="2"/>
    <x v="1"/>
    <s v="Early"/>
    <x v="1"/>
  </r>
  <r>
    <n v="40"/>
    <x v="684"/>
    <x v="1"/>
    <x v="0"/>
    <n v="10"/>
    <n v="4"/>
    <x v="3"/>
    <n v="1"/>
    <x v="1"/>
    <n v="2"/>
    <n v="3"/>
    <x v="0"/>
    <x v="1"/>
    <s v="Divorced"/>
    <n v="9705"/>
    <n v="2"/>
    <x v="1"/>
    <n v="2"/>
    <n v="11"/>
    <n v="2"/>
    <n v="1"/>
    <n v="0"/>
    <n v="0"/>
    <n v="0"/>
    <x v="3"/>
    <n v="0"/>
    <x v="0"/>
    <x v="0"/>
    <s v="Early"/>
    <x v="0"/>
  </r>
  <r>
    <n v="26"/>
    <x v="685"/>
    <x v="1"/>
    <x v="0"/>
    <n v="1"/>
    <n v="3"/>
    <x v="2"/>
    <n v="3"/>
    <x v="1"/>
    <n v="2"/>
    <n v="2"/>
    <x v="0"/>
    <x v="3"/>
    <s v="Single"/>
    <n v="4294"/>
    <n v="1"/>
    <x v="1"/>
    <n v="2"/>
    <n v="7"/>
    <n v="3"/>
    <n v="7"/>
    <n v="7"/>
    <n v="0"/>
    <n v="7"/>
    <x v="3"/>
    <n v="0"/>
    <x v="2"/>
    <x v="1"/>
    <s v="Long"/>
    <x v="0"/>
  </r>
  <r>
    <n v="41"/>
    <x v="686"/>
    <x v="1"/>
    <x v="1"/>
    <n v="6"/>
    <n v="3"/>
    <x v="2"/>
    <n v="4"/>
    <x v="1"/>
    <n v="3"/>
    <n v="1"/>
    <x v="2"/>
    <x v="3"/>
    <s v="Single"/>
    <n v="4721"/>
    <n v="2"/>
    <x v="0"/>
    <n v="3"/>
    <n v="20"/>
    <n v="3"/>
    <n v="18"/>
    <n v="13"/>
    <n v="2"/>
    <n v="17"/>
    <x v="4"/>
    <n v="0"/>
    <x v="0"/>
    <x v="1"/>
    <s v="Long"/>
    <x v="2"/>
  </r>
  <r>
    <n v="36"/>
    <x v="687"/>
    <x v="1"/>
    <x v="1"/>
    <n v="2"/>
    <n v="4"/>
    <x v="2"/>
    <n v="3"/>
    <x v="1"/>
    <n v="3"/>
    <n v="1"/>
    <x v="2"/>
    <x v="2"/>
    <s v="Single"/>
    <n v="2519"/>
    <n v="4"/>
    <x v="1"/>
    <n v="3"/>
    <n v="16"/>
    <n v="3"/>
    <n v="11"/>
    <n v="8"/>
    <n v="3"/>
    <n v="9"/>
    <x v="7"/>
    <n v="0"/>
    <x v="0"/>
    <x v="1"/>
    <s v="Long"/>
    <x v="1"/>
  </r>
  <r>
    <n v="19"/>
    <x v="688"/>
    <x v="0"/>
    <x v="0"/>
    <n v="21"/>
    <n v="3"/>
    <x v="1"/>
    <n v="4"/>
    <x v="1"/>
    <n v="2"/>
    <n v="1"/>
    <x v="6"/>
    <x v="1"/>
    <s v="Single"/>
    <n v="2121"/>
    <n v="1"/>
    <x v="0"/>
    <n v="2"/>
    <n v="1"/>
    <n v="4"/>
    <n v="1"/>
    <n v="0"/>
    <n v="0"/>
    <n v="0"/>
    <x v="4"/>
    <n v="1"/>
    <x v="2"/>
    <x v="1"/>
    <s v="Early"/>
    <x v="2"/>
  </r>
  <r>
    <n v="20"/>
    <x v="689"/>
    <x v="0"/>
    <x v="1"/>
    <n v="4"/>
    <n v="3"/>
    <x v="4"/>
    <n v="1"/>
    <x v="1"/>
    <n v="3"/>
    <n v="1"/>
    <x v="2"/>
    <x v="3"/>
    <s v="Single"/>
    <n v="2973"/>
    <n v="1"/>
    <x v="1"/>
    <n v="2"/>
    <n v="1"/>
    <n v="3"/>
    <n v="1"/>
    <n v="0"/>
    <n v="0"/>
    <n v="0"/>
    <x v="12"/>
    <n v="1"/>
    <x v="2"/>
    <x v="1"/>
    <s v="Early"/>
    <x v="1"/>
  </r>
  <r>
    <n v="31"/>
    <x v="690"/>
    <x v="1"/>
    <x v="1"/>
    <n v="12"/>
    <n v="3"/>
    <x v="2"/>
    <n v="4"/>
    <x v="0"/>
    <n v="3"/>
    <n v="2"/>
    <x v="4"/>
    <x v="0"/>
    <s v="Married"/>
    <n v="5855"/>
    <n v="0"/>
    <x v="0"/>
    <n v="3"/>
    <n v="10"/>
    <n v="1"/>
    <n v="9"/>
    <n v="7"/>
    <n v="8"/>
    <n v="5"/>
    <x v="0"/>
    <n v="0"/>
    <x v="0"/>
    <x v="0"/>
    <s v="Long"/>
    <x v="0"/>
  </r>
  <r>
    <n v="40"/>
    <x v="691"/>
    <x v="1"/>
    <x v="1"/>
    <n v="9"/>
    <n v="4"/>
    <x v="2"/>
    <n v="4"/>
    <x v="1"/>
    <n v="3"/>
    <n v="1"/>
    <x v="1"/>
    <x v="1"/>
    <s v="Divorced"/>
    <n v="3617"/>
    <n v="8"/>
    <x v="0"/>
    <n v="4"/>
    <n v="3"/>
    <n v="3"/>
    <n v="1"/>
    <n v="1"/>
    <n v="0"/>
    <n v="0"/>
    <x v="9"/>
    <n v="0"/>
    <x v="0"/>
    <x v="1"/>
    <s v="Early"/>
    <x v="2"/>
  </r>
  <r>
    <n v="32"/>
    <x v="692"/>
    <x v="1"/>
    <x v="1"/>
    <n v="3"/>
    <n v="4"/>
    <x v="2"/>
    <n v="3"/>
    <x v="0"/>
    <n v="3"/>
    <n v="2"/>
    <x v="3"/>
    <x v="3"/>
    <s v="Married"/>
    <n v="6725"/>
    <n v="1"/>
    <x v="1"/>
    <n v="3"/>
    <n v="8"/>
    <n v="4"/>
    <n v="8"/>
    <n v="7"/>
    <n v="6"/>
    <n v="3"/>
    <x v="3"/>
    <n v="0"/>
    <x v="0"/>
    <x v="0"/>
    <s v="Long"/>
    <x v="0"/>
  </r>
  <r>
    <n v="36"/>
    <x v="693"/>
    <x v="0"/>
    <x v="0"/>
    <n v="3"/>
    <n v="1"/>
    <x v="0"/>
    <n v="3"/>
    <x v="1"/>
    <n v="2"/>
    <n v="3"/>
    <x v="0"/>
    <x v="0"/>
    <s v="Married"/>
    <n v="10325"/>
    <n v="1"/>
    <x v="0"/>
    <n v="1"/>
    <n v="16"/>
    <n v="3"/>
    <n v="16"/>
    <n v="7"/>
    <n v="3"/>
    <n v="7"/>
    <x v="0"/>
    <n v="1"/>
    <x v="0"/>
    <x v="2"/>
    <s v="Long"/>
    <x v="0"/>
  </r>
  <r>
    <n v="33"/>
    <x v="694"/>
    <x v="1"/>
    <x v="1"/>
    <n v="1"/>
    <n v="3"/>
    <x v="0"/>
    <n v="2"/>
    <x v="0"/>
    <n v="2"/>
    <n v="2"/>
    <x v="4"/>
    <x v="0"/>
    <s v="Single"/>
    <n v="6949"/>
    <n v="0"/>
    <x v="1"/>
    <n v="1"/>
    <n v="6"/>
    <n v="3"/>
    <n v="5"/>
    <n v="0"/>
    <n v="1"/>
    <n v="4"/>
    <x v="9"/>
    <n v="0"/>
    <x v="0"/>
    <x v="0"/>
    <s v="Mid"/>
    <x v="2"/>
  </r>
  <r>
    <n v="37"/>
    <x v="695"/>
    <x v="0"/>
    <x v="0"/>
    <n v="1"/>
    <n v="4"/>
    <x v="0"/>
    <n v="1"/>
    <x v="1"/>
    <n v="2"/>
    <n v="3"/>
    <x v="0"/>
    <x v="2"/>
    <s v="Married"/>
    <n v="10609"/>
    <n v="5"/>
    <x v="1"/>
    <n v="3"/>
    <n v="17"/>
    <n v="1"/>
    <n v="14"/>
    <n v="1"/>
    <n v="11"/>
    <n v="7"/>
    <x v="0"/>
    <n v="1"/>
    <x v="0"/>
    <x v="2"/>
    <s v="Long"/>
    <x v="0"/>
  </r>
  <r>
    <n v="45"/>
    <x v="696"/>
    <x v="1"/>
    <x v="1"/>
    <n v="4"/>
    <n v="2"/>
    <x v="0"/>
    <n v="3"/>
    <x v="1"/>
    <n v="3"/>
    <n v="2"/>
    <x v="2"/>
    <x v="1"/>
    <s v="Married"/>
    <n v="4447"/>
    <n v="1"/>
    <x v="1"/>
    <n v="2"/>
    <n v="9"/>
    <n v="2"/>
    <n v="9"/>
    <n v="7"/>
    <n v="0"/>
    <n v="8"/>
    <x v="3"/>
    <n v="0"/>
    <x v="1"/>
    <x v="1"/>
    <s v="Long"/>
    <x v="0"/>
  </r>
  <r>
    <n v="29"/>
    <x v="697"/>
    <x v="1"/>
    <x v="0"/>
    <n v="20"/>
    <n v="3"/>
    <x v="4"/>
    <n v="3"/>
    <x v="0"/>
    <n v="3"/>
    <n v="1"/>
    <x v="6"/>
    <x v="0"/>
    <s v="Married"/>
    <n v="2157"/>
    <n v="1"/>
    <x v="1"/>
    <n v="2"/>
    <n v="3"/>
    <n v="3"/>
    <n v="3"/>
    <n v="1"/>
    <n v="0"/>
    <n v="2"/>
    <x v="2"/>
    <n v="0"/>
    <x v="2"/>
    <x v="1"/>
    <s v="Mid"/>
    <x v="2"/>
  </r>
  <r>
    <n v="35"/>
    <x v="698"/>
    <x v="1"/>
    <x v="0"/>
    <n v="18"/>
    <n v="3"/>
    <x v="2"/>
    <n v="3"/>
    <x v="0"/>
    <n v="3"/>
    <n v="2"/>
    <x v="0"/>
    <x v="2"/>
    <s v="Married"/>
    <n v="4601"/>
    <n v="1"/>
    <x v="1"/>
    <n v="2"/>
    <n v="5"/>
    <n v="3"/>
    <n v="5"/>
    <n v="2"/>
    <n v="1"/>
    <n v="0"/>
    <x v="10"/>
    <n v="0"/>
    <x v="0"/>
    <x v="1"/>
    <s v="Mid"/>
    <x v="2"/>
  </r>
  <r>
    <n v="52"/>
    <x v="699"/>
    <x v="1"/>
    <x v="1"/>
    <n v="1"/>
    <n v="2"/>
    <x v="0"/>
    <n v="4"/>
    <x v="1"/>
    <n v="3"/>
    <n v="4"/>
    <x v="5"/>
    <x v="0"/>
    <s v="Married"/>
    <n v="17099"/>
    <n v="2"/>
    <x v="1"/>
    <n v="2"/>
    <n v="26"/>
    <n v="2"/>
    <n v="9"/>
    <n v="8"/>
    <n v="7"/>
    <n v="8"/>
    <x v="2"/>
    <n v="0"/>
    <x v="1"/>
    <x v="2"/>
    <s v="Long"/>
    <x v="2"/>
  </r>
  <r>
    <n v="58"/>
    <x v="700"/>
    <x v="0"/>
    <x v="1"/>
    <n v="2"/>
    <n v="3"/>
    <x v="4"/>
    <n v="4"/>
    <x v="1"/>
    <n v="3"/>
    <n v="1"/>
    <x v="1"/>
    <x v="2"/>
    <s v="Single"/>
    <n v="2479"/>
    <n v="4"/>
    <x v="1"/>
    <n v="1"/>
    <n v="7"/>
    <n v="3"/>
    <n v="1"/>
    <n v="0"/>
    <n v="0"/>
    <n v="0"/>
    <x v="13"/>
    <n v="1"/>
    <x v="1"/>
    <x v="1"/>
    <s v="Early"/>
    <x v="1"/>
  </r>
  <r>
    <n v="53"/>
    <x v="701"/>
    <x v="1"/>
    <x v="0"/>
    <n v="2"/>
    <n v="2"/>
    <x v="2"/>
    <n v="3"/>
    <x v="1"/>
    <n v="3"/>
    <n v="4"/>
    <x v="5"/>
    <x v="2"/>
    <s v="Divorced"/>
    <n v="14852"/>
    <n v="6"/>
    <x v="1"/>
    <n v="3"/>
    <n v="22"/>
    <n v="4"/>
    <n v="17"/>
    <n v="13"/>
    <n v="15"/>
    <n v="2"/>
    <x v="4"/>
    <n v="0"/>
    <x v="1"/>
    <x v="2"/>
    <s v="Long"/>
    <x v="2"/>
  </r>
  <r>
    <n v="30"/>
    <x v="702"/>
    <x v="1"/>
    <x v="0"/>
    <n v="8"/>
    <n v="2"/>
    <x v="1"/>
    <n v="3"/>
    <x v="1"/>
    <n v="3"/>
    <n v="3"/>
    <x v="0"/>
    <x v="2"/>
    <s v="Divorced"/>
    <n v="7264"/>
    <n v="5"/>
    <x v="1"/>
    <n v="1"/>
    <n v="10"/>
    <n v="4"/>
    <n v="8"/>
    <n v="4"/>
    <n v="7"/>
    <n v="7"/>
    <x v="0"/>
    <n v="0"/>
    <x v="0"/>
    <x v="0"/>
    <s v="Long"/>
    <x v="0"/>
  </r>
  <r>
    <n v="38"/>
    <x v="703"/>
    <x v="1"/>
    <x v="0"/>
    <n v="10"/>
    <n v="3"/>
    <x v="4"/>
    <n v="3"/>
    <x v="0"/>
    <n v="3"/>
    <n v="2"/>
    <x v="0"/>
    <x v="0"/>
    <s v="Single"/>
    <n v="5666"/>
    <n v="1"/>
    <x v="0"/>
    <n v="2"/>
    <n v="6"/>
    <n v="3"/>
    <n v="5"/>
    <n v="3"/>
    <n v="1"/>
    <n v="3"/>
    <x v="4"/>
    <n v="0"/>
    <x v="0"/>
    <x v="0"/>
    <s v="Mid"/>
    <x v="2"/>
  </r>
  <r>
    <n v="35"/>
    <x v="704"/>
    <x v="1"/>
    <x v="0"/>
    <n v="3"/>
    <n v="4"/>
    <x v="0"/>
    <n v="4"/>
    <x v="1"/>
    <n v="3"/>
    <n v="3"/>
    <x v="0"/>
    <x v="0"/>
    <s v="Divorced"/>
    <n v="7823"/>
    <n v="6"/>
    <x v="1"/>
    <n v="2"/>
    <n v="12"/>
    <n v="3"/>
    <n v="10"/>
    <n v="9"/>
    <n v="0"/>
    <n v="8"/>
    <x v="4"/>
    <n v="0"/>
    <x v="0"/>
    <x v="0"/>
    <s v="Long"/>
    <x v="2"/>
  </r>
  <r>
    <n v="39"/>
    <x v="705"/>
    <x v="1"/>
    <x v="0"/>
    <n v="2"/>
    <n v="5"/>
    <x v="0"/>
    <n v="1"/>
    <x v="1"/>
    <n v="4"/>
    <n v="3"/>
    <x v="0"/>
    <x v="2"/>
    <s v="Single"/>
    <n v="7880"/>
    <n v="0"/>
    <x v="1"/>
    <n v="4"/>
    <n v="9"/>
    <n v="3"/>
    <n v="8"/>
    <n v="7"/>
    <n v="0"/>
    <n v="7"/>
    <x v="11"/>
    <n v="0"/>
    <x v="0"/>
    <x v="0"/>
    <s v="Long"/>
    <x v="1"/>
  </r>
  <r>
    <n v="40"/>
    <x v="706"/>
    <x v="0"/>
    <x v="0"/>
    <n v="24"/>
    <n v="3"/>
    <x v="0"/>
    <n v="2"/>
    <x v="0"/>
    <n v="4"/>
    <n v="4"/>
    <x v="0"/>
    <x v="1"/>
    <s v="Single"/>
    <n v="13194"/>
    <n v="4"/>
    <x v="0"/>
    <n v="4"/>
    <n v="22"/>
    <n v="2"/>
    <n v="1"/>
    <n v="0"/>
    <n v="0"/>
    <n v="0"/>
    <x v="10"/>
    <n v="1"/>
    <x v="0"/>
    <x v="2"/>
    <s v="Early"/>
    <x v="2"/>
  </r>
  <r>
    <n v="47"/>
    <x v="707"/>
    <x v="1"/>
    <x v="1"/>
    <n v="16"/>
    <n v="4"/>
    <x v="2"/>
    <n v="3"/>
    <x v="1"/>
    <n v="4"/>
    <n v="2"/>
    <x v="3"/>
    <x v="2"/>
    <s v="Divorced"/>
    <n v="5067"/>
    <n v="1"/>
    <x v="0"/>
    <n v="3"/>
    <n v="20"/>
    <n v="4"/>
    <n v="19"/>
    <n v="10"/>
    <n v="2"/>
    <n v="7"/>
    <x v="12"/>
    <n v="0"/>
    <x v="1"/>
    <x v="0"/>
    <s v="Long"/>
    <x v="1"/>
  </r>
  <r>
    <n v="36"/>
    <x v="708"/>
    <x v="1"/>
    <x v="0"/>
    <n v="8"/>
    <n v="4"/>
    <x v="4"/>
    <n v="1"/>
    <x v="1"/>
    <n v="3"/>
    <n v="2"/>
    <x v="0"/>
    <x v="0"/>
    <s v="Divorced"/>
    <n v="5079"/>
    <n v="4"/>
    <x v="1"/>
    <n v="4"/>
    <n v="12"/>
    <n v="3"/>
    <n v="7"/>
    <n v="7"/>
    <n v="0"/>
    <n v="7"/>
    <x v="4"/>
    <n v="0"/>
    <x v="0"/>
    <x v="0"/>
    <s v="Long"/>
    <x v="2"/>
  </r>
  <r>
    <n v="31"/>
    <x v="709"/>
    <x v="0"/>
    <x v="1"/>
    <n v="9"/>
    <n v="2"/>
    <x v="2"/>
    <n v="3"/>
    <x v="1"/>
    <n v="2"/>
    <n v="1"/>
    <x v="1"/>
    <x v="3"/>
    <s v="Single"/>
    <n v="2321"/>
    <n v="0"/>
    <x v="0"/>
    <n v="1"/>
    <n v="4"/>
    <n v="3"/>
    <n v="3"/>
    <n v="2"/>
    <n v="1"/>
    <n v="2"/>
    <x v="6"/>
    <n v="1"/>
    <x v="0"/>
    <x v="1"/>
    <s v="Mid"/>
    <x v="1"/>
  </r>
  <r>
    <n v="33"/>
    <x v="710"/>
    <x v="1"/>
    <x v="0"/>
    <n v="17"/>
    <n v="3"/>
    <x v="0"/>
    <n v="4"/>
    <x v="1"/>
    <n v="3"/>
    <n v="4"/>
    <x v="5"/>
    <x v="2"/>
    <s v="Single"/>
    <n v="17444"/>
    <n v="1"/>
    <x v="1"/>
    <n v="4"/>
    <n v="10"/>
    <n v="3"/>
    <n v="10"/>
    <n v="8"/>
    <n v="6"/>
    <n v="0"/>
    <x v="0"/>
    <n v="0"/>
    <x v="0"/>
    <x v="2"/>
    <s v="Long"/>
    <x v="0"/>
  </r>
  <r>
    <n v="29"/>
    <x v="711"/>
    <x v="0"/>
    <x v="1"/>
    <n v="10"/>
    <n v="3"/>
    <x v="0"/>
    <n v="4"/>
    <x v="0"/>
    <n v="2"/>
    <n v="1"/>
    <x v="1"/>
    <x v="3"/>
    <s v="Single"/>
    <n v="2404"/>
    <n v="6"/>
    <x v="0"/>
    <n v="3"/>
    <n v="3"/>
    <n v="3"/>
    <n v="0"/>
    <n v="0"/>
    <n v="0"/>
    <n v="0"/>
    <x v="5"/>
    <n v="1"/>
    <x v="2"/>
    <x v="1"/>
    <s v="Early"/>
    <x v="1"/>
  </r>
  <r>
    <n v="33"/>
    <x v="712"/>
    <x v="1"/>
    <x v="1"/>
    <n v="13"/>
    <n v="1"/>
    <x v="0"/>
    <n v="2"/>
    <x v="0"/>
    <n v="3"/>
    <n v="1"/>
    <x v="1"/>
    <x v="0"/>
    <s v="Single"/>
    <n v="3452"/>
    <n v="3"/>
    <x v="1"/>
    <n v="1"/>
    <n v="5"/>
    <n v="3"/>
    <n v="3"/>
    <n v="2"/>
    <n v="0"/>
    <n v="2"/>
    <x v="11"/>
    <n v="0"/>
    <x v="0"/>
    <x v="1"/>
    <s v="Mid"/>
    <x v="1"/>
  </r>
  <r>
    <n v="45"/>
    <x v="713"/>
    <x v="1"/>
    <x v="1"/>
    <n v="1"/>
    <n v="4"/>
    <x v="2"/>
    <n v="4"/>
    <x v="0"/>
    <n v="3"/>
    <n v="1"/>
    <x v="2"/>
    <x v="0"/>
    <s v="Divorced"/>
    <n v="2270"/>
    <n v="3"/>
    <x v="1"/>
    <n v="4"/>
    <n v="8"/>
    <n v="3"/>
    <n v="5"/>
    <n v="3"/>
    <n v="0"/>
    <n v="2"/>
    <x v="9"/>
    <n v="0"/>
    <x v="1"/>
    <x v="1"/>
    <s v="Mid"/>
    <x v="2"/>
  </r>
  <r>
    <n v="50"/>
    <x v="714"/>
    <x v="1"/>
    <x v="1"/>
    <n v="1"/>
    <n v="2"/>
    <x v="2"/>
    <n v="4"/>
    <x v="1"/>
    <n v="3"/>
    <n v="4"/>
    <x v="7"/>
    <x v="0"/>
    <s v="Divorced"/>
    <n v="17399"/>
    <n v="9"/>
    <x v="1"/>
    <n v="3"/>
    <n v="32"/>
    <n v="2"/>
    <n v="5"/>
    <n v="4"/>
    <n v="1"/>
    <n v="3"/>
    <x v="6"/>
    <n v="0"/>
    <x v="1"/>
    <x v="2"/>
    <s v="Mid"/>
    <x v="1"/>
  </r>
  <r>
    <n v="33"/>
    <x v="715"/>
    <x v="1"/>
    <x v="1"/>
    <n v="1"/>
    <n v="4"/>
    <x v="1"/>
    <n v="3"/>
    <x v="0"/>
    <n v="4"/>
    <n v="2"/>
    <x v="4"/>
    <x v="1"/>
    <s v="Married"/>
    <n v="5488"/>
    <n v="1"/>
    <x v="0"/>
    <n v="1"/>
    <n v="6"/>
    <n v="3"/>
    <n v="6"/>
    <n v="5"/>
    <n v="1"/>
    <n v="2"/>
    <x v="4"/>
    <n v="0"/>
    <x v="0"/>
    <x v="0"/>
    <s v="Mid"/>
    <x v="2"/>
  </r>
  <r>
    <n v="41"/>
    <x v="716"/>
    <x v="1"/>
    <x v="1"/>
    <n v="9"/>
    <n v="3"/>
    <x v="2"/>
    <n v="1"/>
    <x v="1"/>
    <n v="3"/>
    <n v="5"/>
    <x v="7"/>
    <x v="2"/>
    <s v="Divorced"/>
    <n v="19419"/>
    <n v="2"/>
    <x v="1"/>
    <n v="2"/>
    <n v="21"/>
    <n v="4"/>
    <n v="18"/>
    <n v="16"/>
    <n v="0"/>
    <n v="11"/>
    <x v="8"/>
    <n v="0"/>
    <x v="0"/>
    <x v="2"/>
    <s v="Long"/>
    <x v="2"/>
  </r>
  <r>
    <n v="27"/>
    <x v="717"/>
    <x v="1"/>
    <x v="1"/>
    <n v="16"/>
    <n v="4"/>
    <x v="4"/>
    <n v="3"/>
    <x v="0"/>
    <n v="3"/>
    <n v="1"/>
    <x v="2"/>
    <x v="1"/>
    <s v="Married"/>
    <n v="2811"/>
    <n v="9"/>
    <x v="1"/>
    <n v="2"/>
    <n v="4"/>
    <n v="3"/>
    <n v="2"/>
    <n v="2"/>
    <n v="2"/>
    <n v="2"/>
    <x v="9"/>
    <n v="0"/>
    <x v="2"/>
    <x v="1"/>
    <s v="Early"/>
    <x v="2"/>
  </r>
  <r>
    <n v="45"/>
    <x v="718"/>
    <x v="1"/>
    <x v="1"/>
    <n v="23"/>
    <n v="2"/>
    <x v="0"/>
    <n v="4"/>
    <x v="1"/>
    <n v="3"/>
    <n v="2"/>
    <x v="2"/>
    <x v="3"/>
    <s v="Married"/>
    <n v="3633"/>
    <n v="1"/>
    <x v="0"/>
    <n v="3"/>
    <n v="9"/>
    <n v="3"/>
    <n v="9"/>
    <n v="8"/>
    <n v="0"/>
    <n v="8"/>
    <x v="2"/>
    <n v="0"/>
    <x v="1"/>
    <x v="1"/>
    <s v="Long"/>
    <x v="2"/>
  </r>
  <r>
    <n v="47"/>
    <x v="719"/>
    <x v="1"/>
    <x v="0"/>
    <n v="4"/>
    <n v="2"/>
    <x v="0"/>
    <n v="4"/>
    <x v="0"/>
    <n v="3"/>
    <n v="2"/>
    <x v="0"/>
    <x v="0"/>
    <s v="Single"/>
    <n v="4163"/>
    <n v="1"/>
    <x v="0"/>
    <n v="3"/>
    <n v="9"/>
    <n v="3"/>
    <n v="9"/>
    <n v="0"/>
    <n v="0"/>
    <n v="7"/>
    <x v="8"/>
    <n v="0"/>
    <x v="1"/>
    <x v="1"/>
    <s v="Long"/>
    <x v="2"/>
  </r>
  <r>
    <n v="30"/>
    <x v="720"/>
    <x v="0"/>
    <x v="1"/>
    <n v="22"/>
    <n v="3"/>
    <x v="0"/>
    <n v="1"/>
    <x v="0"/>
    <n v="3"/>
    <n v="1"/>
    <x v="1"/>
    <x v="2"/>
    <s v="Married"/>
    <n v="2132"/>
    <n v="4"/>
    <x v="0"/>
    <n v="2"/>
    <n v="7"/>
    <n v="3"/>
    <n v="5"/>
    <n v="2"/>
    <n v="0"/>
    <n v="1"/>
    <x v="0"/>
    <n v="1"/>
    <x v="0"/>
    <x v="1"/>
    <s v="Mid"/>
    <x v="0"/>
  </r>
  <r>
    <n v="50"/>
    <x v="721"/>
    <x v="1"/>
    <x v="1"/>
    <n v="24"/>
    <n v="3"/>
    <x v="0"/>
    <n v="4"/>
    <x v="1"/>
    <n v="3"/>
    <n v="4"/>
    <x v="3"/>
    <x v="2"/>
    <s v="Married"/>
    <n v="13973"/>
    <n v="3"/>
    <x v="0"/>
    <n v="4"/>
    <n v="22"/>
    <n v="3"/>
    <n v="12"/>
    <n v="11"/>
    <n v="1"/>
    <n v="5"/>
    <x v="11"/>
    <n v="0"/>
    <x v="1"/>
    <x v="2"/>
    <s v="Long"/>
    <x v="1"/>
  </r>
  <r>
    <n v="38"/>
    <x v="722"/>
    <x v="1"/>
    <x v="1"/>
    <n v="10"/>
    <n v="1"/>
    <x v="2"/>
    <n v="3"/>
    <x v="1"/>
    <n v="3"/>
    <n v="1"/>
    <x v="1"/>
    <x v="2"/>
    <s v="Married"/>
    <n v="2684"/>
    <n v="0"/>
    <x v="1"/>
    <n v="2"/>
    <n v="3"/>
    <n v="2"/>
    <n v="2"/>
    <n v="1"/>
    <n v="0"/>
    <n v="2"/>
    <x v="8"/>
    <n v="0"/>
    <x v="0"/>
    <x v="1"/>
    <s v="Early"/>
    <x v="2"/>
  </r>
  <r>
    <n v="46"/>
    <x v="723"/>
    <x v="1"/>
    <x v="1"/>
    <n v="7"/>
    <n v="2"/>
    <x v="2"/>
    <n v="4"/>
    <x v="1"/>
    <n v="3"/>
    <n v="3"/>
    <x v="3"/>
    <x v="2"/>
    <s v="Divorced"/>
    <n v="10845"/>
    <n v="6"/>
    <x v="1"/>
    <n v="2"/>
    <n v="13"/>
    <n v="3"/>
    <n v="8"/>
    <n v="7"/>
    <n v="0"/>
    <n v="7"/>
    <x v="4"/>
    <n v="0"/>
    <x v="1"/>
    <x v="2"/>
    <s v="Long"/>
    <x v="2"/>
  </r>
  <r>
    <n v="24"/>
    <x v="724"/>
    <x v="1"/>
    <x v="1"/>
    <n v="17"/>
    <n v="1"/>
    <x v="2"/>
    <n v="4"/>
    <x v="0"/>
    <n v="2"/>
    <n v="2"/>
    <x v="3"/>
    <x v="2"/>
    <s v="Divorced"/>
    <n v="4377"/>
    <n v="1"/>
    <x v="1"/>
    <n v="2"/>
    <n v="5"/>
    <n v="3"/>
    <n v="4"/>
    <n v="2"/>
    <n v="3"/>
    <n v="2"/>
    <x v="2"/>
    <n v="0"/>
    <x v="2"/>
    <x v="1"/>
    <s v="Mid"/>
    <x v="2"/>
  </r>
  <r>
    <n v="35"/>
    <x v="725"/>
    <x v="0"/>
    <x v="1"/>
    <n v="14"/>
    <n v="4"/>
    <x v="1"/>
    <n v="3"/>
    <x v="1"/>
    <n v="2"/>
    <n v="1"/>
    <x v="2"/>
    <x v="1"/>
    <s v="Divorced"/>
    <n v="3743"/>
    <n v="1"/>
    <x v="0"/>
    <n v="4"/>
    <n v="5"/>
    <n v="1"/>
    <n v="4"/>
    <n v="2"/>
    <n v="0"/>
    <n v="2"/>
    <x v="13"/>
    <n v="1"/>
    <x v="0"/>
    <x v="1"/>
    <s v="Mid"/>
    <x v="1"/>
  </r>
  <r>
    <n v="31"/>
    <x v="726"/>
    <x v="1"/>
    <x v="1"/>
    <n v="1"/>
    <n v="1"/>
    <x v="0"/>
    <n v="3"/>
    <x v="0"/>
    <n v="3"/>
    <n v="2"/>
    <x v="3"/>
    <x v="3"/>
    <s v="Married"/>
    <n v="4148"/>
    <n v="1"/>
    <x v="1"/>
    <n v="3"/>
    <n v="4"/>
    <n v="3"/>
    <n v="4"/>
    <n v="3"/>
    <n v="0"/>
    <n v="3"/>
    <x v="3"/>
    <n v="0"/>
    <x v="0"/>
    <x v="1"/>
    <s v="Mid"/>
    <x v="0"/>
  </r>
  <r>
    <n v="18"/>
    <x v="727"/>
    <x v="1"/>
    <x v="1"/>
    <n v="5"/>
    <n v="2"/>
    <x v="0"/>
    <n v="2"/>
    <x v="1"/>
    <n v="3"/>
    <n v="1"/>
    <x v="1"/>
    <x v="0"/>
    <s v="Single"/>
    <n v="1051"/>
    <n v="1"/>
    <x v="1"/>
    <n v="4"/>
    <n v="0"/>
    <n v="3"/>
    <n v="0"/>
    <n v="0"/>
    <n v="0"/>
    <n v="0"/>
    <x v="2"/>
    <n v="0"/>
    <x v="2"/>
    <x v="1"/>
    <s v="Early"/>
    <x v="2"/>
  </r>
  <r>
    <n v="54"/>
    <x v="728"/>
    <x v="1"/>
    <x v="1"/>
    <n v="17"/>
    <n v="3"/>
    <x v="4"/>
    <n v="3"/>
    <x v="0"/>
    <n v="3"/>
    <n v="3"/>
    <x v="3"/>
    <x v="2"/>
    <s v="Married"/>
    <n v="10739"/>
    <n v="8"/>
    <x v="1"/>
    <n v="3"/>
    <n v="22"/>
    <n v="3"/>
    <n v="10"/>
    <n v="7"/>
    <n v="0"/>
    <n v="8"/>
    <x v="0"/>
    <n v="0"/>
    <x v="1"/>
    <x v="2"/>
    <s v="Long"/>
    <x v="0"/>
  </r>
  <r>
    <n v="35"/>
    <x v="729"/>
    <x v="1"/>
    <x v="1"/>
    <n v="25"/>
    <n v="4"/>
    <x v="2"/>
    <n v="3"/>
    <x v="0"/>
    <n v="3"/>
    <n v="3"/>
    <x v="4"/>
    <x v="2"/>
    <s v="Divorced"/>
    <n v="10388"/>
    <n v="1"/>
    <x v="0"/>
    <n v="3"/>
    <n v="16"/>
    <n v="2"/>
    <n v="16"/>
    <n v="10"/>
    <n v="10"/>
    <n v="1"/>
    <x v="0"/>
    <n v="0"/>
    <x v="0"/>
    <x v="2"/>
    <s v="Long"/>
    <x v="0"/>
  </r>
  <r>
    <n v="30"/>
    <x v="730"/>
    <x v="1"/>
    <x v="1"/>
    <n v="8"/>
    <n v="2"/>
    <x v="0"/>
    <n v="2"/>
    <x v="0"/>
    <n v="4"/>
    <n v="3"/>
    <x v="7"/>
    <x v="3"/>
    <s v="Married"/>
    <n v="11416"/>
    <n v="0"/>
    <x v="0"/>
    <n v="3"/>
    <n v="9"/>
    <n v="2"/>
    <n v="8"/>
    <n v="7"/>
    <n v="1"/>
    <n v="7"/>
    <x v="3"/>
    <n v="0"/>
    <x v="0"/>
    <x v="2"/>
    <s v="Long"/>
    <x v="0"/>
  </r>
  <r>
    <n v="20"/>
    <x v="731"/>
    <x v="0"/>
    <x v="1"/>
    <n v="11"/>
    <n v="3"/>
    <x v="2"/>
    <n v="4"/>
    <x v="0"/>
    <n v="2"/>
    <n v="1"/>
    <x v="1"/>
    <x v="3"/>
    <s v="Single"/>
    <n v="2600"/>
    <n v="1"/>
    <x v="0"/>
    <n v="1"/>
    <n v="1"/>
    <n v="3"/>
    <n v="1"/>
    <n v="0"/>
    <n v="0"/>
    <n v="0"/>
    <x v="2"/>
    <n v="1"/>
    <x v="2"/>
    <x v="1"/>
    <s v="Early"/>
    <x v="2"/>
  </r>
  <r>
    <n v="30"/>
    <x v="732"/>
    <x v="0"/>
    <x v="1"/>
    <n v="5"/>
    <n v="3"/>
    <x v="2"/>
    <n v="2"/>
    <x v="0"/>
    <n v="3"/>
    <n v="1"/>
    <x v="2"/>
    <x v="1"/>
    <s v="Single"/>
    <n v="2422"/>
    <n v="0"/>
    <x v="1"/>
    <n v="1"/>
    <n v="4"/>
    <n v="3"/>
    <n v="3"/>
    <n v="2"/>
    <n v="1"/>
    <n v="2"/>
    <x v="8"/>
    <n v="1"/>
    <x v="0"/>
    <x v="1"/>
    <s v="Mid"/>
    <x v="2"/>
  </r>
  <r>
    <n v="26"/>
    <x v="733"/>
    <x v="1"/>
    <x v="1"/>
    <n v="2"/>
    <n v="2"/>
    <x v="2"/>
    <n v="4"/>
    <x v="1"/>
    <n v="4"/>
    <n v="2"/>
    <x v="3"/>
    <x v="0"/>
    <s v="Married"/>
    <n v="5472"/>
    <n v="1"/>
    <x v="1"/>
    <n v="2"/>
    <n v="8"/>
    <n v="3"/>
    <n v="8"/>
    <n v="7"/>
    <n v="1"/>
    <n v="3"/>
    <x v="3"/>
    <n v="0"/>
    <x v="2"/>
    <x v="0"/>
    <s v="Long"/>
    <x v="0"/>
  </r>
  <r>
    <n v="22"/>
    <x v="734"/>
    <x v="1"/>
    <x v="1"/>
    <n v="8"/>
    <n v="1"/>
    <x v="0"/>
    <n v="2"/>
    <x v="1"/>
    <n v="1"/>
    <n v="1"/>
    <x v="2"/>
    <x v="3"/>
    <s v="Married"/>
    <n v="2451"/>
    <n v="1"/>
    <x v="1"/>
    <n v="1"/>
    <n v="4"/>
    <n v="2"/>
    <n v="4"/>
    <n v="3"/>
    <n v="1"/>
    <n v="1"/>
    <x v="2"/>
    <n v="0"/>
    <x v="2"/>
    <x v="1"/>
    <s v="Mid"/>
    <x v="2"/>
  </r>
  <r>
    <n v="48"/>
    <x v="735"/>
    <x v="1"/>
    <x v="1"/>
    <n v="6"/>
    <n v="3"/>
    <x v="0"/>
    <n v="1"/>
    <x v="1"/>
    <n v="2"/>
    <n v="2"/>
    <x v="4"/>
    <x v="2"/>
    <s v="Single"/>
    <n v="4240"/>
    <n v="2"/>
    <x v="1"/>
    <n v="4"/>
    <n v="19"/>
    <n v="3"/>
    <n v="2"/>
    <n v="2"/>
    <n v="2"/>
    <n v="2"/>
    <x v="4"/>
    <n v="0"/>
    <x v="1"/>
    <x v="1"/>
    <s v="Early"/>
    <x v="2"/>
  </r>
  <r>
    <n v="48"/>
    <x v="736"/>
    <x v="1"/>
    <x v="1"/>
    <n v="4"/>
    <n v="4"/>
    <x v="0"/>
    <n v="3"/>
    <x v="1"/>
    <n v="2"/>
    <n v="3"/>
    <x v="4"/>
    <x v="2"/>
    <s v="Single"/>
    <n v="10999"/>
    <n v="7"/>
    <x v="1"/>
    <n v="2"/>
    <n v="27"/>
    <n v="3"/>
    <n v="15"/>
    <n v="11"/>
    <n v="4"/>
    <n v="8"/>
    <x v="9"/>
    <n v="0"/>
    <x v="1"/>
    <x v="2"/>
    <s v="Long"/>
    <x v="2"/>
  </r>
  <r>
    <n v="41"/>
    <x v="737"/>
    <x v="1"/>
    <x v="1"/>
    <n v="7"/>
    <n v="2"/>
    <x v="2"/>
    <n v="4"/>
    <x v="0"/>
    <n v="3"/>
    <n v="2"/>
    <x v="3"/>
    <x v="2"/>
    <s v="Single"/>
    <n v="5003"/>
    <n v="6"/>
    <x v="1"/>
    <n v="2"/>
    <n v="8"/>
    <n v="3"/>
    <n v="2"/>
    <n v="2"/>
    <n v="2"/>
    <n v="1"/>
    <x v="9"/>
    <n v="0"/>
    <x v="0"/>
    <x v="0"/>
    <s v="Early"/>
    <x v="2"/>
  </r>
  <r>
    <n v="39"/>
    <x v="738"/>
    <x v="1"/>
    <x v="1"/>
    <n v="1"/>
    <n v="1"/>
    <x v="0"/>
    <n v="4"/>
    <x v="0"/>
    <n v="2"/>
    <n v="4"/>
    <x v="3"/>
    <x v="0"/>
    <s v="Married"/>
    <n v="12742"/>
    <n v="1"/>
    <x v="1"/>
    <n v="3"/>
    <n v="21"/>
    <n v="3"/>
    <n v="21"/>
    <n v="6"/>
    <n v="11"/>
    <n v="8"/>
    <x v="10"/>
    <n v="0"/>
    <x v="0"/>
    <x v="2"/>
    <s v="Long"/>
    <x v="2"/>
  </r>
  <r>
    <n v="27"/>
    <x v="739"/>
    <x v="1"/>
    <x v="1"/>
    <n v="2"/>
    <n v="4"/>
    <x v="0"/>
    <n v="1"/>
    <x v="0"/>
    <n v="3"/>
    <n v="2"/>
    <x v="3"/>
    <x v="0"/>
    <s v="Married"/>
    <n v="4227"/>
    <n v="0"/>
    <x v="1"/>
    <n v="2"/>
    <n v="4"/>
    <n v="3"/>
    <n v="3"/>
    <n v="2"/>
    <n v="2"/>
    <n v="2"/>
    <x v="11"/>
    <n v="0"/>
    <x v="2"/>
    <x v="1"/>
    <s v="Mid"/>
    <x v="1"/>
  </r>
  <r>
    <n v="35"/>
    <x v="740"/>
    <x v="1"/>
    <x v="1"/>
    <n v="10"/>
    <n v="3"/>
    <x v="1"/>
    <n v="2"/>
    <x v="1"/>
    <n v="3"/>
    <n v="1"/>
    <x v="2"/>
    <x v="0"/>
    <s v="Divorced"/>
    <n v="3917"/>
    <n v="1"/>
    <x v="1"/>
    <n v="1"/>
    <n v="3"/>
    <n v="2"/>
    <n v="3"/>
    <n v="2"/>
    <n v="1"/>
    <n v="2"/>
    <x v="5"/>
    <n v="0"/>
    <x v="0"/>
    <x v="1"/>
    <s v="Mid"/>
    <x v="1"/>
  </r>
  <r>
    <n v="42"/>
    <x v="741"/>
    <x v="1"/>
    <x v="0"/>
    <n v="5"/>
    <n v="2"/>
    <x v="3"/>
    <n v="4"/>
    <x v="1"/>
    <n v="3"/>
    <n v="5"/>
    <x v="5"/>
    <x v="2"/>
    <s v="Married"/>
    <n v="18303"/>
    <n v="6"/>
    <x v="1"/>
    <n v="2"/>
    <n v="21"/>
    <n v="4"/>
    <n v="1"/>
    <n v="0"/>
    <n v="0"/>
    <n v="0"/>
    <x v="4"/>
    <n v="0"/>
    <x v="0"/>
    <x v="2"/>
    <s v="Early"/>
    <x v="2"/>
  </r>
  <r>
    <n v="50"/>
    <x v="742"/>
    <x v="1"/>
    <x v="1"/>
    <n v="9"/>
    <n v="3"/>
    <x v="0"/>
    <n v="1"/>
    <x v="1"/>
    <n v="3"/>
    <n v="1"/>
    <x v="2"/>
    <x v="0"/>
    <s v="Married"/>
    <n v="2380"/>
    <n v="4"/>
    <x v="1"/>
    <n v="2"/>
    <n v="8"/>
    <n v="3"/>
    <n v="1"/>
    <n v="0"/>
    <n v="0"/>
    <n v="0"/>
    <x v="11"/>
    <n v="0"/>
    <x v="1"/>
    <x v="1"/>
    <s v="Early"/>
    <x v="1"/>
  </r>
  <r>
    <n v="59"/>
    <x v="743"/>
    <x v="1"/>
    <x v="1"/>
    <n v="2"/>
    <n v="3"/>
    <x v="0"/>
    <n v="3"/>
    <x v="0"/>
    <n v="2"/>
    <n v="4"/>
    <x v="3"/>
    <x v="0"/>
    <s v="Single"/>
    <n v="13726"/>
    <n v="3"/>
    <x v="0"/>
    <n v="1"/>
    <n v="30"/>
    <n v="3"/>
    <n v="5"/>
    <n v="3"/>
    <n v="4"/>
    <n v="3"/>
    <x v="4"/>
    <n v="0"/>
    <x v="1"/>
    <x v="2"/>
    <s v="Mid"/>
    <x v="2"/>
  </r>
  <r>
    <n v="37"/>
    <x v="744"/>
    <x v="0"/>
    <x v="1"/>
    <n v="11"/>
    <n v="2"/>
    <x v="2"/>
    <n v="1"/>
    <x v="0"/>
    <n v="1"/>
    <n v="2"/>
    <x v="4"/>
    <x v="1"/>
    <s v="Married"/>
    <n v="4777"/>
    <n v="5"/>
    <x v="1"/>
    <n v="1"/>
    <n v="15"/>
    <n v="1"/>
    <n v="1"/>
    <n v="0"/>
    <n v="0"/>
    <n v="0"/>
    <x v="2"/>
    <n v="1"/>
    <x v="0"/>
    <x v="1"/>
    <s v="Early"/>
    <x v="2"/>
  </r>
  <r>
    <n v="55"/>
    <x v="745"/>
    <x v="1"/>
    <x v="1"/>
    <n v="18"/>
    <n v="4"/>
    <x v="2"/>
    <n v="3"/>
    <x v="1"/>
    <n v="3"/>
    <n v="2"/>
    <x v="4"/>
    <x v="1"/>
    <s v="Married"/>
    <n v="6385"/>
    <n v="3"/>
    <x v="0"/>
    <n v="4"/>
    <n v="17"/>
    <n v="3"/>
    <n v="8"/>
    <n v="7"/>
    <n v="6"/>
    <n v="7"/>
    <x v="9"/>
    <n v="0"/>
    <x v="1"/>
    <x v="0"/>
    <s v="Long"/>
    <x v="2"/>
  </r>
  <r>
    <n v="41"/>
    <x v="746"/>
    <x v="1"/>
    <x v="1"/>
    <n v="7"/>
    <n v="1"/>
    <x v="0"/>
    <n v="2"/>
    <x v="0"/>
    <n v="1"/>
    <n v="5"/>
    <x v="7"/>
    <x v="2"/>
    <s v="Divorced"/>
    <n v="19973"/>
    <n v="1"/>
    <x v="1"/>
    <n v="2"/>
    <n v="21"/>
    <n v="3"/>
    <n v="21"/>
    <n v="16"/>
    <n v="5"/>
    <n v="10"/>
    <x v="6"/>
    <n v="0"/>
    <x v="0"/>
    <x v="2"/>
    <s v="Long"/>
    <x v="1"/>
  </r>
  <r>
    <n v="38"/>
    <x v="747"/>
    <x v="1"/>
    <x v="0"/>
    <n v="3"/>
    <n v="4"/>
    <x v="0"/>
    <n v="2"/>
    <x v="1"/>
    <n v="3"/>
    <n v="2"/>
    <x v="0"/>
    <x v="0"/>
    <s v="Single"/>
    <n v="6861"/>
    <n v="8"/>
    <x v="0"/>
    <n v="3"/>
    <n v="19"/>
    <n v="3"/>
    <n v="1"/>
    <n v="0"/>
    <n v="0"/>
    <n v="0"/>
    <x v="3"/>
    <n v="0"/>
    <x v="0"/>
    <x v="0"/>
    <s v="Early"/>
    <x v="0"/>
  </r>
  <r>
    <n v="26"/>
    <x v="748"/>
    <x v="0"/>
    <x v="0"/>
    <n v="29"/>
    <n v="2"/>
    <x v="2"/>
    <n v="2"/>
    <x v="1"/>
    <n v="1"/>
    <n v="2"/>
    <x v="0"/>
    <x v="3"/>
    <s v="Single"/>
    <n v="4969"/>
    <n v="8"/>
    <x v="1"/>
    <n v="4"/>
    <n v="7"/>
    <n v="3"/>
    <n v="2"/>
    <n v="2"/>
    <n v="2"/>
    <n v="2"/>
    <x v="11"/>
    <n v="1"/>
    <x v="2"/>
    <x v="1"/>
    <s v="Early"/>
    <x v="1"/>
  </r>
  <r>
    <n v="52"/>
    <x v="749"/>
    <x v="0"/>
    <x v="0"/>
    <n v="2"/>
    <n v="1"/>
    <x v="3"/>
    <n v="1"/>
    <x v="0"/>
    <n v="1"/>
    <n v="5"/>
    <x v="5"/>
    <x v="0"/>
    <s v="Married"/>
    <n v="19845"/>
    <n v="1"/>
    <x v="1"/>
    <n v="4"/>
    <n v="33"/>
    <n v="3"/>
    <n v="32"/>
    <n v="14"/>
    <n v="6"/>
    <n v="9"/>
    <x v="2"/>
    <n v="1"/>
    <x v="1"/>
    <x v="2"/>
    <s v="Long"/>
    <x v="2"/>
  </r>
  <r>
    <n v="44"/>
    <x v="750"/>
    <x v="1"/>
    <x v="0"/>
    <n v="28"/>
    <n v="3"/>
    <x v="2"/>
    <n v="4"/>
    <x v="0"/>
    <n v="4"/>
    <n v="4"/>
    <x v="0"/>
    <x v="0"/>
    <s v="Married"/>
    <n v="13320"/>
    <n v="3"/>
    <x v="0"/>
    <n v="3"/>
    <n v="23"/>
    <n v="3"/>
    <n v="12"/>
    <n v="11"/>
    <n v="11"/>
    <n v="11"/>
    <x v="11"/>
    <n v="0"/>
    <x v="0"/>
    <x v="2"/>
    <s v="Long"/>
    <x v="1"/>
  </r>
  <r>
    <n v="50"/>
    <x v="751"/>
    <x v="1"/>
    <x v="0"/>
    <n v="1"/>
    <n v="3"/>
    <x v="0"/>
    <n v="4"/>
    <x v="0"/>
    <n v="3"/>
    <n v="2"/>
    <x v="0"/>
    <x v="2"/>
    <s v="Married"/>
    <n v="6347"/>
    <n v="0"/>
    <x v="1"/>
    <n v="1"/>
    <n v="19"/>
    <n v="3"/>
    <n v="18"/>
    <n v="7"/>
    <n v="0"/>
    <n v="13"/>
    <x v="3"/>
    <n v="0"/>
    <x v="1"/>
    <x v="0"/>
    <s v="Long"/>
    <x v="0"/>
  </r>
  <r>
    <n v="36"/>
    <x v="752"/>
    <x v="0"/>
    <x v="1"/>
    <n v="16"/>
    <n v="4"/>
    <x v="0"/>
    <n v="3"/>
    <x v="0"/>
    <n v="4"/>
    <n v="1"/>
    <x v="2"/>
    <x v="3"/>
    <s v="Single"/>
    <n v="2743"/>
    <n v="1"/>
    <x v="1"/>
    <n v="3"/>
    <n v="18"/>
    <n v="3"/>
    <n v="17"/>
    <n v="13"/>
    <n v="15"/>
    <n v="14"/>
    <x v="10"/>
    <n v="1"/>
    <x v="0"/>
    <x v="1"/>
    <s v="Long"/>
    <x v="2"/>
  </r>
  <r>
    <n v="39"/>
    <x v="753"/>
    <x v="1"/>
    <x v="1"/>
    <n v="22"/>
    <n v="3"/>
    <x v="2"/>
    <n v="4"/>
    <x v="0"/>
    <n v="3"/>
    <n v="3"/>
    <x v="3"/>
    <x v="3"/>
    <s v="Single"/>
    <n v="10880"/>
    <n v="1"/>
    <x v="0"/>
    <n v="3"/>
    <n v="21"/>
    <n v="3"/>
    <n v="21"/>
    <n v="6"/>
    <n v="2"/>
    <n v="8"/>
    <x v="4"/>
    <n v="0"/>
    <x v="0"/>
    <x v="2"/>
    <s v="Long"/>
    <x v="2"/>
  </r>
  <r>
    <n v="33"/>
    <x v="754"/>
    <x v="1"/>
    <x v="0"/>
    <n v="8"/>
    <n v="1"/>
    <x v="0"/>
    <n v="2"/>
    <x v="0"/>
    <n v="2"/>
    <n v="1"/>
    <x v="6"/>
    <x v="0"/>
    <s v="Single"/>
    <n v="2342"/>
    <n v="0"/>
    <x v="1"/>
    <n v="4"/>
    <n v="3"/>
    <n v="2"/>
    <n v="2"/>
    <n v="2"/>
    <n v="2"/>
    <n v="2"/>
    <x v="12"/>
    <n v="0"/>
    <x v="0"/>
    <x v="1"/>
    <s v="Early"/>
    <x v="1"/>
  </r>
  <r>
    <n v="45"/>
    <x v="755"/>
    <x v="1"/>
    <x v="0"/>
    <n v="11"/>
    <n v="2"/>
    <x v="0"/>
    <n v="4"/>
    <x v="0"/>
    <n v="3"/>
    <n v="4"/>
    <x v="5"/>
    <x v="0"/>
    <s v="Married"/>
    <n v="17650"/>
    <n v="3"/>
    <x v="1"/>
    <n v="2"/>
    <n v="26"/>
    <n v="4"/>
    <n v="9"/>
    <n v="3"/>
    <n v="1"/>
    <n v="1"/>
    <x v="4"/>
    <n v="0"/>
    <x v="1"/>
    <x v="2"/>
    <s v="Long"/>
    <x v="2"/>
  </r>
  <r>
    <n v="32"/>
    <x v="756"/>
    <x v="1"/>
    <x v="1"/>
    <n v="29"/>
    <n v="4"/>
    <x v="2"/>
    <n v="4"/>
    <x v="0"/>
    <n v="3"/>
    <n v="1"/>
    <x v="2"/>
    <x v="2"/>
    <s v="Single"/>
    <n v="4025"/>
    <n v="9"/>
    <x v="1"/>
    <n v="2"/>
    <n v="10"/>
    <n v="3"/>
    <n v="8"/>
    <n v="7"/>
    <n v="7"/>
    <n v="7"/>
    <x v="3"/>
    <n v="0"/>
    <x v="0"/>
    <x v="1"/>
    <s v="Long"/>
    <x v="0"/>
  </r>
  <r>
    <n v="34"/>
    <x v="757"/>
    <x v="1"/>
    <x v="0"/>
    <n v="1"/>
    <n v="4"/>
    <x v="3"/>
    <n v="2"/>
    <x v="1"/>
    <n v="4"/>
    <n v="2"/>
    <x v="0"/>
    <x v="0"/>
    <s v="Divorced"/>
    <n v="9725"/>
    <n v="0"/>
    <x v="1"/>
    <n v="4"/>
    <n v="16"/>
    <n v="2"/>
    <n v="15"/>
    <n v="1"/>
    <n v="0"/>
    <n v="9"/>
    <x v="0"/>
    <n v="0"/>
    <x v="0"/>
    <x v="0"/>
    <s v="Long"/>
    <x v="0"/>
  </r>
  <r>
    <n v="59"/>
    <x v="758"/>
    <x v="1"/>
    <x v="0"/>
    <n v="1"/>
    <n v="2"/>
    <x v="4"/>
    <n v="2"/>
    <x v="1"/>
    <n v="3"/>
    <n v="3"/>
    <x v="5"/>
    <x v="0"/>
    <s v="Married"/>
    <n v="11904"/>
    <n v="3"/>
    <x v="0"/>
    <n v="3"/>
    <n v="14"/>
    <n v="1"/>
    <n v="6"/>
    <n v="4"/>
    <n v="0"/>
    <n v="4"/>
    <x v="9"/>
    <n v="0"/>
    <x v="1"/>
    <x v="2"/>
    <s v="Mid"/>
    <x v="2"/>
  </r>
  <r>
    <n v="45"/>
    <x v="759"/>
    <x v="1"/>
    <x v="2"/>
    <n v="24"/>
    <n v="4"/>
    <x v="2"/>
    <n v="2"/>
    <x v="1"/>
    <n v="3"/>
    <n v="1"/>
    <x v="8"/>
    <x v="1"/>
    <s v="Single"/>
    <n v="2177"/>
    <n v="1"/>
    <x v="1"/>
    <n v="1"/>
    <n v="6"/>
    <n v="3"/>
    <n v="6"/>
    <n v="3"/>
    <n v="0"/>
    <n v="4"/>
    <x v="10"/>
    <n v="0"/>
    <x v="1"/>
    <x v="1"/>
    <s v="Mid"/>
    <x v="2"/>
  </r>
  <r>
    <n v="53"/>
    <x v="760"/>
    <x v="1"/>
    <x v="0"/>
    <n v="2"/>
    <n v="3"/>
    <x v="3"/>
    <n v="3"/>
    <x v="0"/>
    <n v="2"/>
    <n v="3"/>
    <x v="0"/>
    <x v="1"/>
    <s v="Married"/>
    <n v="7525"/>
    <n v="2"/>
    <x v="1"/>
    <n v="1"/>
    <n v="30"/>
    <n v="3"/>
    <n v="15"/>
    <n v="7"/>
    <n v="6"/>
    <n v="12"/>
    <x v="3"/>
    <n v="0"/>
    <x v="1"/>
    <x v="0"/>
    <s v="Long"/>
    <x v="0"/>
  </r>
  <r>
    <n v="36"/>
    <x v="761"/>
    <x v="0"/>
    <x v="1"/>
    <n v="15"/>
    <n v="3"/>
    <x v="1"/>
    <n v="1"/>
    <x v="1"/>
    <n v="3"/>
    <n v="2"/>
    <x v="2"/>
    <x v="2"/>
    <s v="Divorced"/>
    <n v="4834"/>
    <n v="7"/>
    <x v="1"/>
    <n v="2"/>
    <n v="9"/>
    <n v="2"/>
    <n v="1"/>
    <n v="0"/>
    <n v="0"/>
    <n v="0"/>
    <x v="9"/>
    <n v="1"/>
    <x v="0"/>
    <x v="1"/>
    <s v="Early"/>
    <x v="2"/>
  </r>
  <r>
    <n v="26"/>
    <x v="762"/>
    <x v="0"/>
    <x v="1"/>
    <n v="2"/>
    <n v="3"/>
    <x v="0"/>
    <n v="1"/>
    <x v="1"/>
    <n v="3"/>
    <n v="1"/>
    <x v="1"/>
    <x v="3"/>
    <s v="Married"/>
    <n v="2042"/>
    <n v="6"/>
    <x v="0"/>
    <n v="2"/>
    <n v="6"/>
    <n v="3"/>
    <n v="3"/>
    <n v="2"/>
    <n v="1"/>
    <n v="2"/>
    <x v="9"/>
    <n v="1"/>
    <x v="2"/>
    <x v="1"/>
    <s v="Mid"/>
    <x v="2"/>
  </r>
  <r>
    <n v="34"/>
    <x v="763"/>
    <x v="1"/>
    <x v="0"/>
    <n v="10"/>
    <n v="4"/>
    <x v="0"/>
    <n v="3"/>
    <x v="0"/>
    <n v="3"/>
    <n v="1"/>
    <x v="6"/>
    <x v="2"/>
    <s v="Married"/>
    <n v="2220"/>
    <n v="1"/>
    <x v="0"/>
    <n v="4"/>
    <n v="1"/>
    <n v="3"/>
    <n v="1"/>
    <n v="1"/>
    <n v="0"/>
    <n v="0"/>
    <x v="12"/>
    <n v="0"/>
    <x v="0"/>
    <x v="1"/>
    <s v="Early"/>
    <x v="1"/>
  </r>
  <r>
    <n v="28"/>
    <x v="764"/>
    <x v="1"/>
    <x v="0"/>
    <n v="10"/>
    <n v="1"/>
    <x v="2"/>
    <n v="4"/>
    <x v="1"/>
    <n v="3"/>
    <n v="1"/>
    <x v="6"/>
    <x v="1"/>
    <s v="Married"/>
    <n v="1052"/>
    <n v="1"/>
    <x v="1"/>
    <n v="2"/>
    <n v="1"/>
    <n v="3"/>
    <n v="1"/>
    <n v="0"/>
    <n v="0"/>
    <n v="0"/>
    <x v="6"/>
    <n v="0"/>
    <x v="2"/>
    <x v="1"/>
    <s v="Early"/>
    <x v="1"/>
  </r>
  <r>
    <n v="38"/>
    <x v="765"/>
    <x v="1"/>
    <x v="1"/>
    <n v="3"/>
    <n v="4"/>
    <x v="1"/>
    <n v="3"/>
    <x v="1"/>
    <n v="3"/>
    <n v="1"/>
    <x v="1"/>
    <x v="2"/>
    <s v="Married"/>
    <n v="2821"/>
    <n v="3"/>
    <x v="1"/>
    <n v="1"/>
    <n v="8"/>
    <n v="3"/>
    <n v="2"/>
    <n v="2"/>
    <n v="2"/>
    <n v="2"/>
    <x v="10"/>
    <n v="0"/>
    <x v="0"/>
    <x v="1"/>
    <s v="Early"/>
    <x v="2"/>
  </r>
  <r>
    <n v="50"/>
    <x v="766"/>
    <x v="1"/>
    <x v="1"/>
    <n v="2"/>
    <n v="4"/>
    <x v="2"/>
    <n v="2"/>
    <x v="1"/>
    <n v="3"/>
    <n v="5"/>
    <x v="7"/>
    <x v="2"/>
    <s v="Married"/>
    <n v="19237"/>
    <n v="2"/>
    <x v="0"/>
    <n v="4"/>
    <n v="29"/>
    <n v="2"/>
    <n v="8"/>
    <n v="1"/>
    <n v="7"/>
    <n v="7"/>
    <x v="0"/>
    <n v="0"/>
    <x v="1"/>
    <x v="2"/>
    <s v="Long"/>
    <x v="0"/>
  </r>
  <r>
    <n v="37"/>
    <x v="767"/>
    <x v="1"/>
    <x v="1"/>
    <n v="3"/>
    <n v="3"/>
    <x v="1"/>
    <n v="4"/>
    <x v="0"/>
    <n v="3"/>
    <n v="2"/>
    <x v="4"/>
    <x v="1"/>
    <s v="Single"/>
    <n v="4107"/>
    <n v="3"/>
    <x v="1"/>
    <n v="1"/>
    <n v="8"/>
    <n v="2"/>
    <n v="4"/>
    <n v="3"/>
    <n v="0"/>
    <n v="1"/>
    <x v="2"/>
    <n v="0"/>
    <x v="0"/>
    <x v="1"/>
    <s v="Mid"/>
    <x v="2"/>
  </r>
  <r>
    <n v="40"/>
    <x v="768"/>
    <x v="1"/>
    <x v="0"/>
    <n v="26"/>
    <n v="3"/>
    <x v="3"/>
    <n v="3"/>
    <x v="1"/>
    <n v="3"/>
    <n v="2"/>
    <x v="0"/>
    <x v="3"/>
    <s v="Married"/>
    <n v="8396"/>
    <n v="1"/>
    <x v="1"/>
    <n v="2"/>
    <n v="8"/>
    <n v="2"/>
    <n v="7"/>
    <n v="7"/>
    <n v="7"/>
    <n v="5"/>
    <x v="9"/>
    <n v="0"/>
    <x v="0"/>
    <x v="0"/>
    <s v="Long"/>
    <x v="2"/>
  </r>
  <r>
    <n v="26"/>
    <x v="769"/>
    <x v="1"/>
    <x v="1"/>
    <n v="1"/>
    <n v="1"/>
    <x v="2"/>
    <n v="1"/>
    <x v="0"/>
    <n v="2"/>
    <n v="1"/>
    <x v="1"/>
    <x v="2"/>
    <s v="Divorced"/>
    <n v="2007"/>
    <n v="1"/>
    <x v="1"/>
    <n v="3"/>
    <n v="5"/>
    <n v="3"/>
    <n v="5"/>
    <n v="3"/>
    <n v="1"/>
    <n v="3"/>
    <x v="4"/>
    <n v="0"/>
    <x v="2"/>
    <x v="1"/>
    <s v="Mid"/>
    <x v="2"/>
  </r>
  <r>
    <n v="46"/>
    <x v="770"/>
    <x v="1"/>
    <x v="1"/>
    <n v="1"/>
    <n v="4"/>
    <x v="2"/>
    <n v="4"/>
    <x v="1"/>
    <n v="3"/>
    <n v="5"/>
    <x v="7"/>
    <x v="0"/>
    <s v="Divorced"/>
    <n v="19627"/>
    <n v="9"/>
    <x v="1"/>
    <n v="4"/>
    <n v="23"/>
    <n v="3"/>
    <n v="2"/>
    <n v="2"/>
    <n v="2"/>
    <n v="2"/>
    <x v="8"/>
    <n v="0"/>
    <x v="1"/>
    <x v="2"/>
    <s v="Early"/>
    <x v="2"/>
  </r>
  <r>
    <n v="54"/>
    <x v="771"/>
    <x v="1"/>
    <x v="0"/>
    <n v="2"/>
    <n v="4"/>
    <x v="0"/>
    <n v="3"/>
    <x v="0"/>
    <n v="2"/>
    <n v="3"/>
    <x v="0"/>
    <x v="2"/>
    <s v="Married"/>
    <n v="10686"/>
    <n v="6"/>
    <x v="1"/>
    <n v="2"/>
    <n v="13"/>
    <n v="3"/>
    <n v="9"/>
    <n v="4"/>
    <n v="7"/>
    <n v="0"/>
    <x v="0"/>
    <n v="0"/>
    <x v="1"/>
    <x v="2"/>
    <s v="Long"/>
    <x v="0"/>
  </r>
  <r>
    <n v="56"/>
    <x v="772"/>
    <x v="1"/>
    <x v="1"/>
    <n v="9"/>
    <n v="3"/>
    <x v="2"/>
    <n v="1"/>
    <x v="0"/>
    <n v="3"/>
    <n v="1"/>
    <x v="1"/>
    <x v="2"/>
    <s v="Married"/>
    <n v="2942"/>
    <n v="2"/>
    <x v="1"/>
    <n v="2"/>
    <n v="18"/>
    <n v="3"/>
    <n v="5"/>
    <n v="4"/>
    <n v="0"/>
    <n v="3"/>
    <x v="12"/>
    <n v="0"/>
    <x v="1"/>
    <x v="1"/>
    <s v="Mid"/>
    <x v="1"/>
  </r>
  <r>
    <n v="36"/>
    <x v="773"/>
    <x v="1"/>
    <x v="1"/>
    <n v="12"/>
    <n v="5"/>
    <x v="2"/>
    <n v="4"/>
    <x v="0"/>
    <n v="2"/>
    <n v="3"/>
    <x v="3"/>
    <x v="0"/>
    <s v="Single"/>
    <n v="8858"/>
    <n v="0"/>
    <x v="1"/>
    <n v="2"/>
    <n v="15"/>
    <n v="2"/>
    <n v="14"/>
    <n v="8"/>
    <n v="7"/>
    <n v="8"/>
    <x v="0"/>
    <n v="0"/>
    <x v="0"/>
    <x v="0"/>
    <s v="Long"/>
    <x v="0"/>
  </r>
  <r>
    <n v="55"/>
    <x v="774"/>
    <x v="1"/>
    <x v="1"/>
    <n v="2"/>
    <n v="1"/>
    <x v="2"/>
    <n v="3"/>
    <x v="1"/>
    <n v="2"/>
    <n v="4"/>
    <x v="5"/>
    <x v="3"/>
    <s v="Single"/>
    <n v="16756"/>
    <n v="7"/>
    <x v="1"/>
    <n v="2"/>
    <n v="31"/>
    <n v="4"/>
    <n v="9"/>
    <n v="7"/>
    <n v="6"/>
    <n v="2"/>
    <x v="2"/>
    <n v="0"/>
    <x v="1"/>
    <x v="2"/>
    <s v="Long"/>
    <x v="2"/>
  </r>
  <r>
    <n v="43"/>
    <x v="775"/>
    <x v="1"/>
    <x v="0"/>
    <n v="25"/>
    <n v="3"/>
    <x v="2"/>
    <n v="3"/>
    <x v="1"/>
    <n v="2"/>
    <n v="3"/>
    <x v="0"/>
    <x v="0"/>
    <s v="Divorced"/>
    <n v="10798"/>
    <n v="5"/>
    <x v="1"/>
    <n v="3"/>
    <n v="18"/>
    <n v="3"/>
    <n v="1"/>
    <n v="0"/>
    <n v="0"/>
    <n v="0"/>
    <x v="4"/>
    <n v="0"/>
    <x v="0"/>
    <x v="2"/>
    <s v="Early"/>
    <x v="2"/>
  </r>
  <r>
    <n v="20"/>
    <x v="776"/>
    <x v="0"/>
    <x v="0"/>
    <n v="9"/>
    <n v="3"/>
    <x v="3"/>
    <n v="4"/>
    <x v="0"/>
    <n v="3"/>
    <n v="1"/>
    <x v="6"/>
    <x v="0"/>
    <s v="Single"/>
    <n v="2323"/>
    <n v="1"/>
    <x v="0"/>
    <n v="2"/>
    <n v="2"/>
    <n v="3"/>
    <n v="2"/>
    <n v="2"/>
    <n v="0"/>
    <n v="2"/>
    <x v="9"/>
    <n v="1"/>
    <x v="2"/>
    <x v="1"/>
    <s v="Early"/>
    <x v="2"/>
  </r>
  <r>
    <n v="21"/>
    <x v="777"/>
    <x v="0"/>
    <x v="1"/>
    <n v="10"/>
    <n v="3"/>
    <x v="0"/>
    <n v="3"/>
    <x v="0"/>
    <n v="2"/>
    <n v="1"/>
    <x v="2"/>
    <x v="3"/>
    <s v="Single"/>
    <n v="1416"/>
    <n v="1"/>
    <x v="1"/>
    <n v="1"/>
    <n v="1"/>
    <n v="2"/>
    <n v="1"/>
    <n v="0"/>
    <n v="1"/>
    <n v="0"/>
    <x v="4"/>
    <n v="1"/>
    <x v="2"/>
    <x v="1"/>
    <s v="Early"/>
    <x v="2"/>
  </r>
  <r>
    <n v="46"/>
    <x v="778"/>
    <x v="1"/>
    <x v="1"/>
    <n v="8"/>
    <n v="4"/>
    <x v="0"/>
    <n v="4"/>
    <x v="0"/>
    <n v="2"/>
    <n v="2"/>
    <x v="1"/>
    <x v="3"/>
    <s v="Divorced"/>
    <n v="4615"/>
    <n v="8"/>
    <x v="0"/>
    <n v="1"/>
    <n v="19"/>
    <n v="3"/>
    <n v="16"/>
    <n v="13"/>
    <n v="1"/>
    <n v="7"/>
    <x v="1"/>
    <n v="0"/>
    <x v="1"/>
    <x v="1"/>
    <s v="Long"/>
    <x v="1"/>
  </r>
  <r>
    <n v="51"/>
    <x v="779"/>
    <x v="0"/>
    <x v="1"/>
    <n v="4"/>
    <n v="4"/>
    <x v="0"/>
    <n v="1"/>
    <x v="1"/>
    <n v="3"/>
    <n v="1"/>
    <x v="1"/>
    <x v="2"/>
    <s v="Married"/>
    <n v="2461"/>
    <n v="9"/>
    <x v="0"/>
    <n v="3"/>
    <n v="18"/>
    <n v="4"/>
    <n v="10"/>
    <n v="0"/>
    <n v="2"/>
    <n v="7"/>
    <x v="3"/>
    <n v="1"/>
    <x v="1"/>
    <x v="1"/>
    <s v="Long"/>
    <x v="0"/>
  </r>
  <r>
    <n v="28"/>
    <x v="780"/>
    <x v="0"/>
    <x v="1"/>
    <n v="24"/>
    <n v="2"/>
    <x v="4"/>
    <n v="2"/>
    <x v="1"/>
    <n v="2"/>
    <n v="3"/>
    <x v="4"/>
    <x v="3"/>
    <s v="Single"/>
    <n v="8722"/>
    <n v="1"/>
    <x v="1"/>
    <n v="1"/>
    <n v="10"/>
    <n v="2"/>
    <n v="10"/>
    <n v="7"/>
    <n v="1"/>
    <n v="9"/>
    <x v="3"/>
    <n v="1"/>
    <x v="2"/>
    <x v="0"/>
    <s v="Long"/>
    <x v="0"/>
  </r>
  <r>
    <n v="26"/>
    <x v="781"/>
    <x v="1"/>
    <x v="1"/>
    <n v="1"/>
    <n v="2"/>
    <x v="2"/>
    <n v="1"/>
    <x v="1"/>
    <n v="2"/>
    <n v="1"/>
    <x v="2"/>
    <x v="3"/>
    <s v="Married"/>
    <n v="3955"/>
    <n v="1"/>
    <x v="1"/>
    <n v="1"/>
    <n v="6"/>
    <n v="3"/>
    <n v="5"/>
    <n v="3"/>
    <n v="1"/>
    <n v="3"/>
    <x v="10"/>
    <n v="0"/>
    <x v="2"/>
    <x v="1"/>
    <s v="Mid"/>
    <x v="2"/>
  </r>
  <r>
    <n v="30"/>
    <x v="782"/>
    <x v="1"/>
    <x v="1"/>
    <n v="20"/>
    <n v="3"/>
    <x v="1"/>
    <n v="3"/>
    <x v="1"/>
    <n v="3"/>
    <n v="2"/>
    <x v="3"/>
    <x v="3"/>
    <s v="Married"/>
    <n v="9957"/>
    <n v="0"/>
    <x v="1"/>
    <n v="3"/>
    <n v="7"/>
    <n v="2"/>
    <n v="6"/>
    <n v="2"/>
    <n v="0"/>
    <n v="2"/>
    <x v="2"/>
    <n v="0"/>
    <x v="0"/>
    <x v="0"/>
    <s v="Mid"/>
    <x v="2"/>
  </r>
  <r>
    <n v="41"/>
    <x v="783"/>
    <x v="1"/>
    <x v="1"/>
    <n v="7"/>
    <n v="2"/>
    <x v="4"/>
    <n v="2"/>
    <x v="0"/>
    <n v="4"/>
    <n v="1"/>
    <x v="1"/>
    <x v="2"/>
    <s v="Married"/>
    <n v="3376"/>
    <n v="1"/>
    <x v="1"/>
    <n v="3"/>
    <n v="10"/>
    <n v="3"/>
    <n v="10"/>
    <n v="6"/>
    <n v="0"/>
    <n v="8"/>
    <x v="4"/>
    <n v="0"/>
    <x v="0"/>
    <x v="1"/>
    <s v="Long"/>
    <x v="2"/>
  </r>
  <r>
    <n v="38"/>
    <x v="784"/>
    <x v="1"/>
    <x v="1"/>
    <n v="17"/>
    <n v="1"/>
    <x v="0"/>
    <n v="3"/>
    <x v="0"/>
    <n v="2"/>
    <n v="3"/>
    <x v="4"/>
    <x v="2"/>
    <s v="Married"/>
    <n v="8823"/>
    <n v="0"/>
    <x v="1"/>
    <n v="1"/>
    <n v="20"/>
    <n v="2"/>
    <n v="19"/>
    <n v="9"/>
    <n v="1"/>
    <n v="9"/>
    <x v="11"/>
    <n v="0"/>
    <x v="0"/>
    <x v="0"/>
    <s v="Long"/>
    <x v="1"/>
  </r>
  <r>
    <n v="40"/>
    <x v="785"/>
    <x v="1"/>
    <x v="1"/>
    <n v="20"/>
    <n v="4"/>
    <x v="4"/>
    <n v="1"/>
    <x v="1"/>
    <n v="3"/>
    <n v="3"/>
    <x v="4"/>
    <x v="0"/>
    <s v="Married"/>
    <n v="10322"/>
    <n v="4"/>
    <x v="1"/>
    <n v="4"/>
    <n v="14"/>
    <n v="3"/>
    <n v="11"/>
    <n v="10"/>
    <n v="11"/>
    <n v="1"/>
    <x v="5"/>
    <n v="0"/>
    <x v="0"/>
    <x v="2"/>
    <s v="Long"/>
    <x v="1"/>
  </r>
  <r>
    <n v="27"/>
    <x v="786"/>
    <x v="1"/>
    <x v="1"/>
    <n v="8"/>
    <n v="5"/>
    <x v="0"/>
    <n v="1"/>
    <x v="1"/>
    <n v="1"/>
    <n v="1"/>
    <x v="2"/>
    <x v="2"/>
    <s v="Married"/>
    <n v="4621"/>
    <n v="1"/>
    <x v="1"/>
    <n v="4"/>
    <n v="3"/>
    <n v="3"/>
    <n v="3"/>
    <n v="2"/>
    <n v="1"/>
    <n v="2"/>
    <x v="12"/>
    <n v="0"/>
    <x v="2"/>
    <x v="1"/>
    <s v="Mid"/>
    <x v="1"/>
  </r>
  <r>
    <n v="55"/>
    <x v="787"/>
    <x v="1"/>
    <x v="1"/>
    <n v="2"/>
    <n v="1"/>
    <x v="0"/>
    <n v="4"/>
    <x v="1"/>
    <n v="3"/>
    <n v="3"/>
    <x v="3"/>
    <x v="1"/>
    <s v="Married"/>
    <n v="10976"/>
    <n v="3"/>
    <x v="1"/>
    <n v="2"/>
    <n v="23"/>
    <n v="3"/>
    <n v="3"/>
    <n v="2"/>
    <n v="1"/>
    <n v="2"/>
    <x v="11"/>
    <n v="0"/>
    <x v="1"/>
    <x v="2"/>
    <s v="Mid"/>
    <x v="1"/>
  </r>
  <r>
    <n v="28"/>
    <x v="788"/>
    <x v="1"/>
    <x v="1"/>
    <n v="10"/>
    <n v="3"/>
    <x v="1"/>
    <n v="3"/>
    <x v="0"/>
    <n v="3"/>
    <n v="2"/>
    <x v="1"/>
    <x v="2"/>
    <s v="Single"/>
    <n v="3660"/>
    <n v="3"/>
    <x v="1"/>
    <n v="4"/>
    <n v="10"/>
    <n v="4"/>
    <n v="8"/>
    <n v="7"/>
    <n v="1"/>
    <n v="7"/>
    <x v="4"/>
    <n v="0"/>
    <x v="2"/>
    <x v="1"/>
    <s v="Long"/>
    <x v="2"/>
  </r>
  <r>
    <n v="44"/>
    <x v="789"/>
    <x v="0"/>
    <x v="2"/>
    <n v="1"/>
    <n v="2"/>
    <x v="2"/>
    <n v="2"/>
    <x v="1"/>
    <n v="2"/>
    <n v="3"/>
    <x v="8"/>
    <x v="3"/>
    <s v="Married"/>
    <n v="10482"/>
    <n v="9"/>
    <x v="1"/>
    <n v="4"/>
    <n v="24"/>
    <n v="3"/>
    <n v="20"/>
    <n v="6"/>
    <n v="3"/>
    <n v="6"/>
    <x v="9"/>
    <n v="1"/>
    <x v="0"/>
    <x v="2"/>
    <s v="Long"/>
    <x v="2"/>
  </r>
  <r>
    <n v="33"/>
    <x v="790"/>
    <x v="1"/>
    <x v="1"/>
    <n v="5"/>
    <n v="3"/>
    <x v="0"/>
    <n v="4"/>
    <x v="1"/>
    <n v="2"/>
    <n v="3"/>
    <x v="4"/>
    <x v="0"/>
    <s v="Divorced"/>
    <n v="7119"/>
    <n v="4"/>
    <x v="1"/>
    <n v="3"/>
    <n v="9"/>
    <n v="3"/>
    <n v="3"/>
    <n v="2"/>
    <n v="1"/>
    <n v="2"/>
    <x v="2"/>
    <n v="0"/>
    <x v="0"/>
    <x v="0"/>
    <s v="Mid"/>
    <x v="2"/>
  </r>
  <r>
    <n v="35"/>
    <x v="791"/>
    <x v="0"/>
    <x v="0"/>
    <n v="4"/>
    <n v="3"/>
    <x v="4"/>
    <n v="4"/>
    <x v="1"/>
    <n v="3"/>
    <n v="3"/>
    <x v="0"/>
    <x v="3"/>
    <s v="Single"/>
    <n v="9582"/>
    <n v="0"/>
    <x v="0"/>
    <n v="1"/>
    <n v="9"/>
    <n v="3"/>
    <n v="8"/>
    <n v="7"/>
    <n v="4"/>
    <n v="7"/>
    <x v="6"/>
    <n v="1"/>
    <x v="0"/>
    <x v="0"/>
    <s v="Long"/>
    <x v="1"/>
  </r>
  <r>
    <n v="33"/>
    <x v="792"/>
    <x v="0"/>
    <x v="1"/>
    <n v="29"/>
    <n v="4"/>
    <x v="2"/>
    <n v="1"/>
    <x v="0"/>
    <n v="2"/>
    <n v="2"/>
    <x v="1"/>
    <x v="2"/>
    <s v="Single"/>
    <n v="4508"/>
    <n v="1"/>
    <x v="1"/>
    <n v="2"/>
    <n v="14"/>
    <n v="3"/>
    <n v="13"/>
    <n v="7"/>
    <n v="3"/>
    <n v="8"/>
    <x v="6"/>
    <n v="1"/>
    <x v="0"/>
    <x v="1"/>
    <s v="Long"/>
    <x v="1"/>
  </r>
  <r>
    <n v="28"/>
    <x v="793"/>
    <x v="1"/>
    <x v="1"/>
    <n v="15"/>
    <n v="2"/>
    <x v="0"/>
    <n v="1"/>
    <x v="1"/>
    <n v="3"/>
    <n v="1"/>
    <x v="2"/>
    <x v="2"/>
    <s v="Divorced"/>
    <n v="2207"/>
    <n v="1"/>
    <x v="1"/>
    <n v="4"/>
    <n v="4"/>
    <n v="2"/>
    <n v="4"/>
    <n v="2"/>
    <n v="2"/>
    <n v="2"/>
    <x v="10"/>
    <n v="0"/>
    <x v="2"/>
    <x v="1"/>
    <s v="Mid"/>
    <x v="2"/>
  </r>
  <r>
    <n v="34"/>
    <x v="794"/>
    <x v="1"/>
    <x v="1"/>
    <n v="3"/>
    <n v="1"/>
    <x v="0"/>
    <n v="1"/>
    <x v="1"/>
    <n v="3"/>
    <n v="2"/>
    <x v="4"/>
    <x v="0"/>
    <s v="Single"/>
    <n v="7756"/>
    <n v="0"/>
    <x v="1"/>
    <n v="3"/>
    <n v="7"/>
    <n v="2"/>
    <n v="6"/>
    <n v="2"/>
    <n v="0"/>
    <n v="4"/>
    <x v="8"/>
    <n v="0"/>
    <x v="0"/>
    <x v="0"/>
    <s v="Mid"/>
    <x v="2"/>
  </r>
  <r>
    <n v="37"/>
    <x v="795"/>
    <x v="1"/>
    <x v="0"/>
    <n v="10"/>
    <n v="4"/>
    <x v="0"/>
    <n v="4"/>
    <x v="0"/>
    <n v="2"/>
    <n v="2"/>
    <x v="0"/>
    <x v="0"/>
    <s v="Divorced"/>
    <n v="6694"/>
    <n v="2"/>
    <x v="0"/>
    <n v="3"/>
    <n v="8"/>
    <n v="3"/>
    <n v="1"/>
    <n v="0"/>
    <n v="0"/>
    <n v="0"/>
    <x v="9"/>
    <n v="0"/>
    <x v="0"/>
    <x v="0"/>
    <s v="Early"/>
    <x v="2"/>
  </r>
  <r>
    <n v="25"/>
    <x v="796"/>
    <x v="0"/>
    <x v="1"/>
    <n v="4"/>
    <n v="1"/>
    <x v="4"/>
    <n v="4"/>
    <x v="1"/>
    <n v="3"/>
    <n v="1"/>
    <x v="2"/>
    <x v="0"/>
    <s v="Married"/>
    <n v="3691"/>
    <n v="1"/>
    <x v="0"/>
    <n v="2"/>
    <n v="7"/>
    <n v="4"/>
    <n v="7"/>
    <n v="7"/>
    <n v="5"/>
    <n v="6"/>
    <x v="2"/>
    <n v="1"/>
    <x v="2"/>
    <x v="1"/>
    <s v="Long"/>
    <x v="2"/>
  </r>
  <r>
    <n v="26"/>
    <x v="797"/>
    <x v="0"/>
    <x v="1"/>
    <n v="21"/>
    <n v="3"/>
    <x v="2"/>
    <n v="1"/>
    <x v="1"/>
    <n v="3"/>
    <n v="1"/>
    <x v="2"/>
    <x v="2"/>
    <s v="Divorced"/>
    <n v="2377"/>
    <n v="1"/>
    <x v="1"/>
    <n v="3"/>
    <n v="1"/>
    <n v="2"/>
    <n v="1"/>
    <n v="1"/>
    <n v="0"/>
    <n v="0"/>
    <x v="5"/>
    <n v="1"/>
    <x v="2"/>
    <x v="1"/>
    <s v="Early"/>
    <x v="1"/>
  </r>
  <r>
    <n v="33"/>
    <x v="798"/>
    <x v="0"/>
    <x v="1"/>
    <n v="25"/>
    <n v="3"/>
    <x v="2"/>
    <n v="1"/>
    <x v="1"/>
    <n v="2"/>
    <n v="1"/>
    <x v="1"/>
    <x v="1"/>
    <s v="Single"/>
    <n v="2313"/>
    <n v="4"/>
    <x v="0"/>
    <n v="2"/>
    <n v="5"/>
    <n v="3"/>
    <n v="2"/>
    <n v="2"/>
    <n v="2"/>
    <n v="2"/>
    <x v="5"/>
    <n v="1"/>
    <x v="0"/>
    <x v="1"/>
    <s v="Early"/>
    <x v="1"/>
  </r>
  <r>
    <n v="42"/>
    <x v="799"/>
    <x v="1"/>
    <x v="1"/>
    <n v="2"/>
    <n v="2"/>
    <x v="2"/>
    <n v="4"/>
    <x v="1"/>
    <n v="3"/>
    <n v="4"/>
    <x v="5"/>
    <x v="3"/>
    <s v="Married"/>
    <n v="17665"/>
    <n v="0"/>
    <x v="1"/>
    <n v="4"/>
    <n v="23"/>
    <n v="3"/>
    <n v="22"/>
    <n v="6"/>
    <n v="13"/>
    <n v="7"/>
    <x v="8"/>
    <n v="0"/>
    <x v="0"/>
    <x v="2"/>
    <s v="Long"/>
    <x v="2"/>
  </r>
  <r>
    <n v="28"/>
    <x v="800"/>
    <x v="0"/>
    <x v="1"/>
    <n v="1"/>
    <n v="3"/>
    <x v="2"/>
    <n v="1"/>
    <x v="1"/>
    <n v="2"/>
    <n v="1"/>
    <x v="2"/>
    <x v="1"/>
    <s v="Divorced"/>
    <n v="2596"/>
    <n v="1"/>
    <x v="1"/>
    <n v="1"/>
    <n v="1"/>
    <n v="3"/>
    <n v="1"/>
    <n v="0"/>
    <n v="0"/>
    <n v="0"/>
    <x v="2"/>
    <n v="1"/>
    <x v="2"/>
    <x v="1"/>
    <s v="Early"/>
    <x v="2"/>
  </r>
  <r>
    <n v="50"/>
    <x v="801"/>
    <x v="0"/>
    <x v="0"/>
    <n v="1"/>
    <n v="4"/>
    <x v="1"/>
    <n v="4"/>
    <x v="1"/>
    <n v="3"/>
    <n v="2"/>
    <x v="0"/>
    <x v="2"/>
    <s v="Single"/>
    <n v="4728"/>
    <n v="3"/>
    <x v="0"/>
    <n v="4"/>
    <n v="5"/>
    <n v="3"/>
    <n v="0"/>
    <n v="0"/>
    <n v="0"/>
    <n v="0"/>
    <x v="9"/>
    <n v="1"/>
    <x v="1"/>
    <x v="1"/>
    <s v="Early"/>
    <x v="2"/>
  </r>
  <r>
    <n v="33"/>
    <x v="802"/>
    <x v="1"/>
    <x v="0"/>
    <n v="7"/>
    <n v="3"/>
    <x v="0"/>
    <n v="4"/>
    <x v="0"/>
    <n v="3"/>
    <n v="2"/>
    <x v="0"/>
    <x v="1"/>
    <s v="Married"/>
    <n v="4302"/>
    <n v="0"/>
    <x v="1"/>
    <n v="3"/>
    <n v="4"/>
    <n v="3"/>
    <n v="3"/>
    <n v="2"/>
    <n v="0"/>
    <n v="2"/>
    <x v="8"/>
    <n v="0"/>
    <x v="0"/>
    <x v="1"/>
    <s v="Mid"/>
    <x v="2"/>
  </r>
  <r>
    <n v="34"/>
    <x v="803"/>
    <x v="1"/>
    <x v="1"/>
    <n v="3"/>
    <n v="4"/>
    <x v="0"/>
    <n v="3"/>
    <x v="1"/>
    <n v="2"/>
    <n v="1"/>
    <x v="1"/>
    <x v="0"/>
    <s v="Married"/>
    <n v="2979"/>
    <n v="3"/>
    <x v="1"/>
    <n v="4"/>
    <n v="6"/>
    <n v="3"/>
    <n v="0"/>
    <n v="0"/>
    <n v="0"/>
    <n v="0"/>
    <x v="8"/>
    <n v="0"/>
    <x v="0"/>
    <x v="1"/>
    <s v="Early"/>
    <x v="2"/>
  </r>
  <r>
    <n v="48"/>
    <x v="804"/>
    <x v="1"/>
    <x v="1"/>
    <n v="1"/>
    <n v="4"/>
    <x v="2"/>
    <n v="1"/>
    <x v="1"/>
    <n v="4"/>
    <n v="4"/>
    <x v="5"/>
    <x v="0"/>
    <s v="Single"/>
    <n v="16885"/>
    <n v="2"/>
    <x v="1"/>
    <n v="3"/>
    <n v="27"/>
    <n v="2"/>
    <n v="5"/>
    <n v="4"/>
    <n v="2"/>
    <n v="1"/>
    <x v="6"/>
    <n v="0"/>
    <x v="1"/>
    <x v="2"/>
    <s v="Mid"/>
    <x v="1"/>
  </r>
  <r>
    <n v="45"/>
    <x v="805"/>
    <x v="1"/>
    <x v="0"/>
    <n v="9"/>
    <n v="4"/>
    <x v="0"/>
    <n v="2"/>
    <x v="0"/>
    <n v="2"/>
    <n v="2"/>
    <x v="0"/>
    <x v="2"/>
    <s v="Married"/>
    <n v="5593"/>
    <n v="1"/>
    <x v="1"/>
    <n v="4"/>
    <n v="15"/>
    <n v="3"/>
    <n v="15"/>
    <n v="10"/>
    <n v="4"/>
    <n v="12"/>
    <x v="4"/>
    <n v="0"/>
    <x v="1"/>
    <x v="0"/>
    <s v="Long"/>
    <x v="2"/>
  </r>
  <r>
    <n v="52"/>
    <x v="806"/>
    <x v="1"/>
    <x v="1"/>
    <n v="7"/>
    <n v="4"/>
    <x v="0"/>
    <n v="2"/>
    <x v="1"/>
    <n v="3"/>
    <n v="3"/>
    <x v="4"/>
    <x v="1"/>
    <s v="Single"/>
    <n v="10445"/>
    <n v="7"/>
    <x v="1"/>
    <n v="4"/>
    <n v="18"/>
    <n v="3"/>
    <n v="8"/>
    <n v="6"/>
    <n v="4"/>
    <n v="0"/>
    <x v="12"/>
    <n v="0"/>
    <x v="1"/>
    <x v="2"/>
    <s v="Long"/>
    <x v="1"/>
  </r>
  <r>
    <n v="38"/>
    <x v="807"/>
    <x v="1"/>
    <x v="0"/>
    <n v="10"/>
    <n v="4"/>
    <x v="3"/>
    <n v="3"/>
    <x v="1"/>
    <n v="2"/>
    <n v="3"/>
    <x v="0"/>
    <x v="2"/>
    <s v="Divorced"/>
    <n v="8740"/>
    <n v="0"/>
    <x v="0"/>
    <n v="2"/>
    <n v="9"/>
    <n v="3"/>
    <n v="8"/>
    <n v="7"/>
    <n v="2"/>
    <n v="7"/>
    <x v="9"/>
    <n v="0"/>
    <x v="0"/>
    <x v="0"/>
    <s v="Long"/>
    <x v="2"/>
  </r>
  <r>
    <n v="29"/>
    <x v="808"/>
    <x v="1"/>
    <x v="1"/>
    <n v="28"/>
    <n v="4"/>
    <x v="0"/>
    <n v="3"/>
    <x v="0"/>
    <n v="3"/>
    <n v="1"/>
    <x v="1"/>
    <x v="0"/>
    <s v="Divorced"/>
    <n v="2514"/>
    <n v="4"/>
    <x v="1"/>
    <n v="1"/>
    <n v="11"/>
    <n v="3"/>
    <n v="7"/>
    <n v="5"/>
    <n v="1"/>
    <n v="7"/>
    <x v="6"/>
    <n v="0"/>
    <x v="2"/>
    <x v="1"/>
    <s v="Long"/>
    <x v="1"/>
  </r>
  <r>
    <n v="28"/>
    <x v="809"/>
    <x v="1"/>
    <x v="1"/>
    <n v="3"/>
    <n v="3"/>
    <x v="2"/>
    <n v="4"/>
    <x v="0"/>
    <n v="3"/>
    <n v="3"/>
    <x v="3"/>
    <x v="1"/>
    <s v="Divorced"/>
    <n v="7655"/>
    <n v="0"/>
    <x v="1"/>
    <n v="2"/>
    <n v="10"/>
    <n v="2"/>
    <n v="9"/>
    <n v="7"/>
    <n v="1"/>
    <n v="7"/>
    <x v="8"/>
    <n v="0"/>
    <x v="2"/>
    <x v="0"/>
    <s v="Long"/>
    <x v="2"/>
  </r>
  <r>
    <n v="46"/>
    <x v="810"/>
    <x v="1"/>
    <x v="0"/>
    <n v="3"/>
    <n v="1"/>
    <x v="3"/>
    <n v="1"/>
    <x v="1"/>
    <n v="3"/>
    <n v="4"/>
    <x v="5"/>
    <x v="2"/>
    <s v="Married"/>
    <n v="17465"/>
    <n v="3"/>
    <x v="1"/>
    <n v="4"/>
    <n v="23"/>
    <n v="3"/>
    <n v="12"/>
    <n v="9"/>
    <n v="4"/>
    <n v="9"/>
    <x v="3"/>
    <n v="0"/>
    <x v="1"/>
    <x v="2"/>
    <s v="Long"/>
    <x v="0"/>
  </r>
  <r>
    <n v="38"/>
    <x v="811"/>
    <x v="1"/>
    <x v="0"/>
    <n v="2"/>
    <n v="2"/>
    <x v="3"/>
    <n v="4"/>
    <x v="1"/>
    <n v="3"/>
    <n v="3"/>
    <x v="0"/>
    <x v="1"/>
    <s v="Single"/>
    <n v="7351"/>
    <n v="7"/>
    <x v="1"/>
    <n v="3"/>
    <n v="10"/>
    <n v="3"/>
    <n v="1"/>
    <n v="0"/>
    <n v="0"/>
    <n v="0"/>
    <x v="10"/>
    <n v="0"/>
    <x v="0"/>
    <x v="0"/>
    <s v="Early"/>
    <x v="2"/>
  </r>
  <r>
    <n v="43"/>
    <x v="812"/>
    <x v="1"/>
    <x v="1"/>
    <n v="27"/>
    <n v="3"/>
    <x v="0"/>
    <n v="3"/>
    <x v="0"/>
    <n v="3"/>
    <n v="3"/>
    <x v="3"/>
    <x v="3"/>
    <s v="Married"/>
    <n v="10820"/>
    <n v="8"/>
    <x v="1"/>
    <n v="3"/>
    <n v="18"/>
    <n v="3"/>
    <n v="8"/>
    <n v="7"/>
    <n v="0"/>
    <n v="1"/>
    <x v="0"/>
    <n v="0"/>
    <x v="0"/>
    <x v="2"/>
    <s v="Long"/>
    <x v="0"/>
  </r>
  <r>
    <n v="39"/>
    <x v="813"/>
    <x v="0"/>
    <x v="1"/>
    <n v="2"/>
    <n v="3"/>
    <x v="0"/>
    <n v="1"/>
    <x v="1"/>
    <n v="3"/>
    <n v="4"/>
    <x v="4"/>
    <x v="0"/>
    <s v="Divorced"/>
    <n v="12169"/>
    <n v="7"/>
    <x v="1"/>
    <n v="4"/>
    <n v="21"/>
    <n v="3"/>
    <n v="18"/>
    <n v="7"/>
    <n v="11"/>
    <n v="5"/>
    <x v="0"/>
    <n v="1"/>
    <x v="0"/>
    <x v="2"/>
    <s v="Long"/>
    <x v="0"/>
  </r>
  <r>
    <n v="40"/>
    <x v="814"/>
    <x v="1"/>
    <x v="1"/>
    <n v="14"/>
    <n v="3"/>
    <x v="2"/>
    <n v="3"/>
    <x v="1"/>
    <n v="2"/>
    <n v="5"/>
    <x v="7"/>
    <x v="2"/>
    <s v="Single"/>
    <n v="19626"/>
    <n v="1"/>
    <x v="1"/>
    <n v="1"/>
    <n v="21"/>
    <n v="4"/>
    <n v="20"/>
    <n v="7"/>
    <n v="4"/>
    <n v="9"/>
    <x v="9"/>
    <n v="0"/>
    <x v="0"/>
    <x v="2"/>
    <s v="Long"/>
    <x v="2"/>
  </r>
  <r>
    <n v="21"/>
    <x v="815"/>
    <x v="1"/>
    <x v="1"/>
    <n v="1"/>
    <n v="1"/>
    <x v="4"/>
    <n v="4"/>
    <x v="0"/>
    <n v="2"/>
    <n v="1"/>
    <x v="1"/>
    <x v="1"/>
    <s v="Single"/>
    <n v="2070"/>
    <n v="1"/>
    <x v="0"/>
    <n v="3"/>
    <n v="2"/>
    <n v="4"/>
    <n v="2"/>
    <n v="2"/>
    <n v="2"/>
    <n v="2"/>
    <x v="0"/>
    <n v="0"/>
    <x v="2"/>
    <x v="1"/>
    <s v="Early"/>
    <x v="0"/>
  </r>
  <r>
    <n v="39"/>
    <x v="816"/>
    <x v="1"/>
    <x v="1"/>
    <n v="9"/>
    <n v="3"/>
    <x v="0"/>
    <n v="3"/>
    <x v="1"/>
    <n v="3"/>
    <n v="2"/>
    <x v="2"/>
    <x v="1"/>
    <s v="Single"/>
    <n v="6782"/>
    <n v="9"/>
    <x v="1"/>
    <n v="3"/>
    <n v="9"/>
    <n v="2"/>
    <n v="5"/>
    <n v="4"/>
    <n v="0"/>
    <n v="3"/>
    <x v="2"/>
    <n v="0"/>
    <x v="0"/>
    <x v="0"/>
    <s v="Mid"/>
    <x v="2"/>
  </r>
  <r>
    <n v="36"/>
    <x v="817"/>
    <x v="1"/>
    <x v="1"/>
    <n v="18"/>
    <n v="4"/>
    <x v="0"/>
    <n v="1"/>
    <x v="1"/>
    <n v="3"/>
    <n v="2"/>
    <x v="3"/>
    <x v="0"/>
    <s v="Single"/>
    <n v="7779"/>
    <n v="2"/>
    <x v="1"/>
    <n v="1"/>
    <n v="18"/>
    <n v="3"/>
    <n v="11"/>
    <n v="9"/>
    <n v="0"/>
    <n v="9"/>
    <x v="5"/>
    <n v="0"/>
    <x v="0"/>
    <x v="0"/>
    <s v="Long"/>
    <x v="1"/>
  </r>
  <r>
    <n v="31"/>
    <x v="818"/>
    <x v="1"/>
    <x v="0"/>
    <n v="20"/>
    <n v="3"/>
    <x v="0"/>
    <n v="3"/>
    <x v="1"/>
    <n v="4"/>
    <n v="1"/>
    <x v="6"/>
    <x v="0"/>
    <s v="Married"/>
    <n v="2791"/>
    <n v="0"/>
    <x v="1"/>
    <n v="1"/>
    <n v="3"/>
    <n v="3"/>
    <n v="2"/>
    <n v="2"/>
    <n v="2"/>
    <n v="2"/>
    <x v="3"/>
    <n v="0"/>
    <x v="0"/>
    <x v="1"/>
    <s v="Early"/>
    <x v="0"/>
  </r>
  <r>
    <n v="28"/>
    <x v="819"/>
    <x v="1"/>
    <x v="1"/>
    <n v="2"/>
    <n v="1"/>
    <x v="0"/>
    <n v="1"/>
    <x v="1"/>
    <n v="2"/>
    <n v="1"/>
    <x v="1"/>
    <x v="1"/>
    <s v="Married"/>
    <n v="3201"/>
    <n v="0"/>
    <x v="1"/>
    <n v="1"/>
    <n v="6"/>
    <n v="1"/>
    <n v="5"/>
    <n v="3"/>
    <n v="0"/>
    <n v="4"/>
    <x v="8"/>
    <n v="0"/>
    <x v="2"/>
    <x v="1"/>
    <s v="Mid"/>
    <x v="2"/>
  </r>
  <r>
    <n v="35"/>
    <x v="820"/>
    <x v="1"/>
    <x v="0"/>
    <n v="11"/>
    <n v="2"/>
    <x v="3"/>
    <n v="4"/>
    <x v="1"/>
    <n v="3"/>
    <n v="2"/>
    <x v="0"/>
    <x v="0"/>
    <s v="Divorced"/>
    <n v="4968"/>
    <n v="1"/>
    <x v="1"/>
    <n v="4"/>
    <n v="5"/>
    <n v="3"/>
    <n v="5"/>
    <n v="2"/>
    <n v="0"/>
    <n v="2"/>
    <x v="0"/>
    <n v="0"/>
    <x v="0"/>
    <x v="1"/>
    <s v="Mid"/>
    <x v="0"/>
  </r>
  <r>
    <n v="49"/>
    <x v="821"/>
    <x v="1"/>
    <x v="0"/>
    <n v="8"/>
    <n v="4"/>
    <x v="4"/>
    <n v="4"/>
    <x v="1"/>
    <n v="2"/>
    <n v="4"/>
    <x v="0"/>
    <x v="1"/>
    <s v="Married"/>
    <n v="13120"/>
    <n v="6"/>
    <x v="1"/>
    <n v="2"/>
    <n v="22"/>
    <n v="3"/>
    <n v="9"/>
    <n v="8"/>
    <n v="2"/>
    <n v="3"/>
    <x v="8"/>
    <n v="0"/>
    <x v="1"/>
    <x v="2"/>
    <s v="Long"/>
    <x v="2"/>
  </r>
  <r>
    <n v="34"/>
    <x v="822"/>
    <x v="1"/>
    <x v="1"/>
    <n v="2"/>
    <n v="2"/>
    <x v="0"/>
    <n v="4"/>
    <x v="1"/>
    <n v="3"/>
    <n v="2"/>
    <x v="3"/>
    <x v="2"/>
    <s v="Single"/>
    <n v="4033"/>
    <n v="2"/>
    <x v="1"/>
    <n v="4"/>
    <n v="5"/>
    <n v="2"/>
    <n v="3"/>
    <n v="2"/>
    <n v="0"/>
    <n v="2"/>
    <x v="0"/>
    <n v="0"/>
    <x v="0"/>
    <x v="1"/>
    <s v="Mid"/>
    <x v="0"/>
  </r>
  <r>
    <n v="29"/>
    <x v="823"/>
    <x v="1"/>
    <x v="1"/>
    <n v="10"/>
    <n v="3"/>
    <x v="0"/>
    <n v="4"/>
    <x v="0"/>
    <n v="3"/>
    <n v="1"/>
    <x v="1"/>
    <x v="1"/>
    <s v="Divorced"/>
    <n v="3291"/>
    <n v="0"/>
    <x v="1"/>
    <n v="4"/>
    <n v="8"/>
    <n v="2"/>
    <n v="7"/>
    <n v="5"/>
    <n v="1"/>
    <n v="1"/>
    <x v="9"/>
    <n v="0"/>
    <x v="2"/>
    <x v="1"/>
    <s v="Long"/>
    <x v="2"/>
  </r>
  <r>
    <n v="42"/>
    <x v="824"/>
    <x v="1"/>
    <x v="1"/>
    <n v="29"/>
    <n v="3"/>
    <x v="2"/>
    <n v="2"/>
    <x v="1"/>
    <n v="1"/>
    <n v="2"/>
    <x v="2"/>
    <x v="0"/>
    <s v="Single"/>
    <n v="4272"/>
    <n v="4"/>
    <x v="1"/>
    <n v="1"/>
    <n v="16"/>
    <n v="3"/>
    <n v="1"/>
    <n v="0"/>
    <n v="0"/>
    <n v="0"/>
    <x v="12"/>
    <n v="0"/>
    <x v="0"/>
    <x v="1"/>
    <s v="Early"/>
    <x v="1"/>
  </r>
  <r>
    <n v="29"/>
    <x v="825"/>
    <x v="1"/>
    <x v="1"/>
    <n v="8"/>
    <n v="1"/>
    <x v="2"/>
    <n v="2"/>
    <x v="1"/>
    <n v="2"/>
    <n v="2"/>
    <x v="3"/>
    <x v="0"/>
    <s v="Married"/>
    <n v="5056"/>
    <n v="1"/>
    <x v="0"/>
    <n v="3"/>
    <n v="10"/>
    <n v="2"/>
    <n v="10"/>
    <n v="7"/>
    <n v="1"/>
    <n v="2"/>
    <x v="2"/>
    <n v="0"/>
    <x v="2"/>
    <x v="0"/>
    <s v="Long"/>
    <x v="2"/>
  </r>
  <r>
    <n v="38"/>
    <x v="826"/>
    <x v="1"/>
    <x v="2"/>
    <n v="1"/>
    <n v="3"/>
    <x v="5"/>
    <n v="3"/>
    <x v="1"/>
    <n v="4"/>
    <n v="1"/>
    <x v="8"/>
    <x v="2"/>
    <s v="Married"/>
    <n v="2844"/>
    <n v="1"/>
    <x v="1"/>
    <n v="4"/>
    <n v="7"/>
    <n v="4"/>
    <n v="7"/>
    <n v="6"/>
    <n v="5"/>
    <n v="0"/>
    <x v="4"/>
    <n v="0"/>
    <x v="0"/>
    <x v="1"/>
    <s v="Long"/>
    <x v="2"/>
  </r>
  <r>
    <n v="28"/>
    <x v="827"/>
    <x v="1"/>
    <x v="1"/>
    <n v="6"/>
    <n v="3"/>
    <x v="0"/>
    <n v="3"/>
    <x v="1"/>
    <n v="2"/>
    <n v="1"/>
    <x v="1"/>
    <x v="2"/>
    <s v="Divorced"/>
    <n v="2703"/>
    <n v="1"/>
    <x v="0"/>
    <n v="4"/>
    <n v="3"/>
    <n v="3"/>
    <n v="3"/>
    <n v="1"/>
    <n v="0"/>
    <n v="2"/>
    <x v="9"/>
    <n v="0"/>
    <x v="2"/>
    <x v="1"/>
    <s v="Mid"/>
    <x v="2"/>
  </r>
  <r>
    <n v="18"/>
    <x v="828"/>
    <x v="0"/>
    <x v="1"/>
    <n v="8"/>
    <n v="1"/>
    <x v="2"/>
    <n v="3"/>
    <x v="1"/>
    <n v="3"/>
    <n v="1"/>
    <x v="2"/>
    <x v="2"/>
    <s v="Single"/>
    <n v="1904"/>
    <n v="1"/>
    <x v="1"/>
    <n v="4"/>
    <n v="0"/>
    <n v="3"/>
    <n v="0"/>
    <n v="0"/>
    <n v="0"/>
    <n v="0"/>
    <x v="3"/>
    <n v="1"/>
    <x v="2"/>
    <x v="1"/>
    <s v="Early"/>
    <x v="0"/>
  </r>
  <r>
    <n v="33"/>
    <x v="829"/>
    <x v="0"/>
    <x v="0"/>
    <n v="9"/>
    <n v="4"/>
    <x v="3"/>
    <n v="1"/>
    <x v="0"/>
    <n v="3"/>
    <n v="2"/>
    <x v="0"/>
    <x v="3"/>
    <s v="Single"/>
    <n v="8224"/>
    <n v="0"/>
    <x v="0"/>
    <n v="1"/>
    <n v="6"/>
    <n v="3"/>
    <n v="5"/>
    <n v="2"/>
    <n v="0"/>
    <n v="3"/>
    <x v="8"/>
    <n v="1"/>
    <x v="0"/>
    <x v="0"/>
    <s v="Mid"/>
    <x v="2"/>
  </r>
  <r>
    <n v="41"/>
    <x v="830"/>
    <x v="1"/>
    <x v="1"/>
    <n v="12"/>
    <n v="4"/>
    <x v="0"/>
    <n v="2"/>
    <x v="1"/>
    <n v="3"/>
    <n v="1"/>
    <x v="2"/>
    <x v="0"/>
    <s v="Married"/>
    <n v="4766"/>
    <n v="3"/>
    <x v="0"/>
    <n v="1"/>
    <n v="6"/>
    <n v="3"/>
    <n v="1"/>
    <n v="0"/>
    <n v="0"/>
    <n v="0"/>
    <x v="0"/>
    <n v="0"/>
    <x v="0"/>
    <x v="1"/>
    <s v="Early"/>
    <x v="0"/>
  </r>
  <r>
    <n v="31"/>
    <x v="831"/>
    <x v="0"/>
    <x v="1"/>
    <n v="15"/>
    <n v="3"/>
    <x v="2"/>
    <n v="3"/>
    <x v="1"/>
    <n v="3"/>
    <n v="1"/>
    <x v="2"/>
    <x v="2"/>
    <s v="Married"/>
    <n v="2610"/>
    <n v="1"/>
    <x v="1"/>
    <n v="3"/>
    <n v="2"/>
    <n v="2"/>
    <n v="2"/>
    <n v="2"/>
    <n v="2"/>
    <n v="2"/>
    <x v="3"/>
    <n v="1"/>
    <x v="0"/>
    <x v="1"/>
    <s v="Early"/>
    <x v="0"/>
  </r>
  <r>
    <n v="37"/>
    <x v="832"/>
    <x v="1"/>
    <x v="1"/>
    <n v="25"/>
    <n v="2"/>
    <x v="2"/>
    <n v="3"/>
    <x v="0"/>
    <n v="2"/>
    <n v="2"/>
    <x v="4"/>
    <x v="0"/>
    <s v="Divorced"/>
    <n v="5731"/>
    <n v="7"/>
    <x v="1"/>
    <n v="3"/>
    <n v="9"/>
    <n v="3"/>
    <n v="6"/>
    <n v="2"/>
    <n v="1"/>
    <n v="3"/>
    <x v="4"/>
    <n v="0"/>
    <x v="0"/>
    <x v="0"/>
    <s v="Mid"/>
    <x v="2"/>
  </r>
  <r>
    <n v="27"/>
    <x v="833"/>
    <x v="1"/>
    <x v="1"/>
    <n v="6"/>
    <n v="3"/>
    <x v="0"/>
    <n v="4"/>
    <x v="1"/>
    <n v="2"/>
    <n v="1"/>
    <x v="1"/>
    <x v="2"/>
    <s v="Married"/>
    <n v="2539"/>
    <n v="1"/>
    <x v="1"/>
    <n v="3"/>
    <n v="4"/>
    <n v="3"/>
    <n v="4"/>
    <n v="2"/>
    <n v="2"/>
    <n v="2"/>
    <x v="4"/>
    <n v="0"/>
    <x v="2"/>
    <x v="1"/>
    <s v="Mid"/>
    <x v="2"/>
  </r>
  <r>
    <n v="34"/>
    <x v="834"/>
    <x v="1"/>
    <x v="0"/>
    <n v="9"/>
    <n v="1"/>
    <x v="0"/>
    <n v="2"/>
    <x v="0"/>
    <n v="3"/>
    <n v="2"/>
    <x v="0"/>
    <x v="2"/>
    <s v="Married"/>
    <n v="5714"/>
    <n v="1"/>
    <x v="1"/>
    <n v="1"/>
    <n v="6"/>
    <n v="2"/>
    <n v="6"/>
    <n v="5"/>
    <n v="1"/>
    <n v="3"/>
    <x v="5"/>
    <n v="0"/>
    <x v="0"/>
    <x v="0"/>
    <s v="Mid"/>
    <x v="1"/>
  </r>
  <r>
    <n v="35"/>
    <x v="835"/>
    <x v="1"/>
    <x v="2"/>
    <n v="8"/>
    <n v="4"/>
    <x v="4"/>
    <n v="3"/>
    <x v="1"/>
    <n v="3"/>
    <n v="1"/>
    <x v="8"/>
    <x v="2"/>
    <s v="Single"/>
    <n v="4323"/>
    <n v="1"/>
    <x v="1"/>
    <n v="2"/>
    <n v="6"/>
    <n v="1"/>
    <n v="5"/>
    <n v="4"/>
    <n v="1"/>
    <n v="4"/>
    <x v="8"/>
    <n v="0"/>
    <x v="0"/>
    <x v="1"/>
    <s v="Mid"/>
    <x v="2"/>
  </r>
  <r>
    <n v="29"/>
    <x v="836"/>
    <x v="0"/>
    <x v="0"/>
    <n v="23"/>
    <n v="1"/>
    <x v="0"/>
    <n v="4"/>
    <x v="0"/>
    <n v="2"/>
    <n v="3"/>
    <x v="0"/>
    <x v="3"/>
    <s v="Married"/>
    <n v="7336"/>
    <n v="1"/>
    <x v="1"/>
    <n v="1"/>
    <n v="11"/>
    <n v="1"/>
    <n v="11"/>
    <n v="8"/>
    <n v="3"/>
    <n v="10"/>
    <x v="4"/>
    <n v="1"/>
    <x v="2"/>
    <x v="0"/>
    <s v="Long"/>
    <x v="2"/>
  </r>
  <r>
    <n v="40"/>
    <x v="837"/>
    <x v="1"/>
    <x v="1"/>
    <n v="9"/>
    <n v="4"/>
    <x v="2"/>
    <n v="2"/>
    <x v="0"/>
    <n v="3"/>
    <n v="3"/>
    <x v="7"/>
    <x v="2"/>
    <s v="Single"/>
    <n v="13499"/>
    <n v="9"/>
    <x v="1"/>
    <n v="3"/>
    <n v="20"/>
    <n v="2"/>
    <n v="18"/>
    <n v="7"/>
    <n v="2"/>
    <n v="13"/>
    <x v="8"/>
    <n v="0"/>
    <x v="0"/>
    <x v="2"/>
    <s v="Long"/>
    <x v="2"/>
  </r>
  <r>
    <n v="42"/>
    <x v="838"/>
    <x v="0"/>
    <x v="0"/>
    <n v="12"/>
    <n v="3"/>
    <x v="0"/>
    <n v="3"/>
    <x v="1"/>
    <n v="3"/>
    <n v="4"/>
    <x v="0"/>
    <x v="3"/>
    <s v="Single"/>
    <n v="13758"/>
    <n v="0"/>
    <x v="0"/>
    <n v="2"/>
    <n v="22"/>
    <n v="2"/>
    <n v="21"/>
    <n v="9"/>
    <n v="13"/>
    <n v="14"/>
    <x v="3"/>
    <n v="1"/>
    <x v="0"/>
    <x v="2"/>
    <s v="Long"/>
    <x v="0"/>
  </r>
  <r>
    <n v="42"/>
    <x v="839"/>
    <x v="1"/>
    <x v="0"/>
    <n v="4"/>
    <n v="4"/>
    <x v="3"/>
    <n v="2"/>
    <x v="1"/>
    <n v="3"/>
    <n v="2"/>
    <x v="0"/>
    <x v="3"/>
    <s v="Single"/>
    <n v="5155"/>
    <n v="7"/>
    <x v="1"/>
    <n v="4"/>
    <n v="9"/>
    <n v="4"/>
    <n v="6"/>
    <n v="4"/>
    <n v="1"/>
    <n v="5"/>
    <x v="4"/>
    <n v="0"/>
    <x v="0"/>
    <x v="0"/>
    <s v="Mid"/>
    <x v="2"/>
  </r>
  <r>
    <n v="35"/>
    <x v="840"/>
    <x v="1"/>
    <x v="1"/>
    <n v="1"/>
    <n v="4"/>
    <x v="2"/>
    <n v="4"/>
    <x v="1"/>
    <n v="2"/>
    <n v="1"/>
    <x v="2"/>
    <x v="2"/>
    <s v="Married"/>
    <n v="2258"/>
    <n v="6"/>
    <x v="1"/>
    <n v="2"/>
    <n v="10"/>
    <n v="3"/>
    <n v="8"/>
    <n v="0"/>
    <n v="1"/>
    <n v="7"/>
    <x v="3"/>
    <n v="0"/>
    <x v="0"/>
    <x v="1"/>
    <s v="Long"/>
    <x v="0"/>
  </r>
  <r>
    <n v="24"/>
    <x v="841"/>
    <x v="1"/>
    <x v="1"/>
    <n v="24"/>
    <n v="3"/>
    <x v="2"/>
    <n v="4"/>
    <x v="1"/>
    <n v="3"/>
    <n v="1"/>
    <x v="2"/>
    <x v="1"/>
    <s v="Single"/>
    <n v="3597"/>
    <n v="8"/>
    <x v="1"/>
    <n v="4"/>
    <n v="6"/>
    <n v="3"/>
    <n v="4"/>
    <n v="3"/>
    <n v="1"/>
    <n v="2"/>
    <x v="6"/>
    <n v="0"/>
    <x v="2"/>
    <x v="1"/>
    <s v="Mid"/>
    <x v="1"/>
  </r>
  <r>
    <n v="28"/>
    <x v="842"/>
    <x v="0"/>
    <x v="1"/>
    <n v="12"/>
    <n v="1"/>
    <x v="0"/>
    <n v="3"/>
    <x v="0"/>
    <n v="3"/>
    <n v="1"/>
    <x v="2"/>
    <x v="0"/>
    <s v="Married"/>
    <n v="2515"/>
    <n v="1"/>
    <x v="0"/>
    <n v="4"/>
    <n v="1"/>
    <n v="2"/>
    <n v="1"/>
    <n v="1"/>
    <n v="0"/>
    <n v="0"/>
    <x v="0"/>
    <n v="1"/>
    <x v="2"/>
    <x v="1"/>
    <s v="Early"/>
    <x v="0"/>
  </r>
  <r>
    <n v="26"/>
    <x v="843"/>
    <x v="1"/>
    <x v="1"/>
    <n v="3"/>
    <n v="4"/>
    <x v="2"/>
    <n v="1"/>
    <x v="1"/>
    <n v="4"/>
    <n v="1"/>
    <x v="2"/>
    <x v="0"/>
    <s v="Married"/>
    <n v="4420"/>
    <n v="1"/>
    <x v="1"/>
    <n v="2"/>
    <n v="8"/>
    <n v="3"/>
    <n v="8"/>
    <n v="7"/>
    <n v="0"/>
    <n v="7"/>
    <x v="6"/>
    <n v="0"/>
    <x v="2"/>
    <x v="1"/>
    <s v="Long"/>
    <x v="1"/>
  </r>
  <r>
    <n v="30"/>
    <x v="844"/>
    <x v="1"/>
    <x v="0"/>
    <n v="10"/>
    <n v="3"/>
    <x v="3"/>
    <n v="3"/>
    <x v="1"/>
    <n v="2"/>
    <n v="2"/>
    <x v="0"/>
    <x v="2"/>
    <s v="Married"/>
    <n v="6578"/>
    <n v="1"/>
    <x v="1"/>
    <n v="1"/>
    <n v="10"/>
    <n v="3"/>
    <n v="10"/>
    <n v="3"/>
    <n v="1"/>
    <n v="4"/>
    <x v="11"/>
    <n v="0"/>
    <x v="0"/>
    <x v="0"/>
    <s v="Long"/>
    <x v="1"/>
  </r>
  <r>
    <n v="40"/>
    <x v="845"/>
    <x v="1"/>
    <x v="1"/>
    <n v="26"/>
    <n v="2"/>
    <x v="2"/>
    <n v="3"/>
    <x v="0"/>
    <n v="2"/>
    <n v="2"/>
    <x v="1"/>
    <x v="0"/>
    <s v="Married"/>
    <n v="4422"/>
    <n v="3"/>
    <x v="0"/>
    <n v="4"/>
    <n v="16"/>
    <n v="1"/>
    <n v="1"/>
    <n v="1"/>
    <n v="0"/>
    <n v="0"/>
    <x v="4"/>
    <n v="0"/>
    <x v="0"/>
    <x v="1"/>
    <s v="Early"/>
    <x v="2"/>
  </r>
  <r>
    <n v="35"/>
    <x v="846"/>
    <x v="1"/>
    <x v="1"/>
    <n v="2"/>
    <n v="3"/>
    <x v="0"/>
    <n v="3"/>
    <x v="1"/>
    <n v="2"/>
    <n v="3"/>
    <x v="3"/>
    <x v="1"/>
    <s v="Divorced"/>
    <n v="10274"/>
    <n v="2"/>
    <x v="1"/>
    <n v="2"/>
    <n v="15"/>
    <n v="4"/>
    <n v="7"/>
    <n v="7"/>
    <n v="6"/>
    <n v="4"/>
    <x v="11"/>
    <n v="0"/>
    <x v="0"/>
    <x v="2"/>
    <s v="Long"/>
    <x v="1"/>
  </r>
  <r>
    <n v="34"/>
    <x v="847"/>
    <x v="1"/>
    <x v="1"/>
    <n v="1"/>
    <n v="3"/>
    <x v="2"/>
    <n v="4"/>
    <x v="1"/>
    <n v="2"/>
    <n v="2"/>
    <x v="4"/>
    <x v="3"/>
    <s v="Single"/>
    <n v="5343"/>
    <n v="0"/>
    <x v="1"/>
    <n v="3"/>
    <n v="14"/>
    <n v="3"/>
    <n v="13"/>
    <n v="9"/>
    <n v="4"/>
    <n v="9"/>
    <x v="5"/>
    <n v="0"/>
    <x v="0"/>
    <x v="0"/>
    <s v="Long"/>
    <x v="1"/>
  </r>
  <r>
    <n v="35"/>
    <x v="848"/>
    <x v="1"/>
    <x v="1"/>
    <n v="4"/>
    <n v="4"/>
    <x v="1"/>
    <n v="4"/>
    <x v="1"/>
    <n v="2"/>
    <n v="1"/>
    <x v="2"/>
    <x v="0"/>
    <s v="Married"/>
    <n v="2376"/>
    <n v="1"/>
    <x v="1"/>
    <n v="2"/>
    <n v="2"/>
    <n v="4"/>
    <n v="2"/>
    <n v="2"/>
    <n v="2"/>
    <n v="2"/>
    <x v="4"/>
    <n v="0"/>
    <x v="0"/>
    <x v="1"/>
    <s v="Early"/>
    <x v="2"/>
  </r>
  <r>
    <n v="43"/>
    <x v="849"/>
    <x v="0"/>
    <x v="0"/>
    <n v="9"/>
    <n v="3"/>
    <x v="3"/>
    <n v="1"/>
    <x v="0"/>
    <n v="1"/>
    <n v="2"/>
    <x v="0"/>
    <x v="2"/>
    <s v="Single"/>
    <n v="5346"/>
    <n v="8"/>
    <x v="1"/>
    <n v="2"/>
    <n v="7"/>
    <n v="2"/>
    <n v="4"/>
    <n v="3"/>
    <n v="1"/>
    <n v="3"/>
    <x v="4"/>
    <n v="1"/>
    <x v="0"/>
    <x v="0"/>
    <s v="Mid"/>
    <x v="2"/>
  </r>
  <r>
    <n v="32"/>
    <x v="850"/>
    <x v="1"/>
    <x v="0"/>
    <n v="2"/>
    <n v="1"/>
    <x v="0"/>
    <n v="3"/>
    <x v="0"/>
    <n v="3"/>
    <n v="1"/>
    <x v="6"/>
    <x v="3"/>
    <s v="Divorced"/>
    <n v="2827"/>
    <n v="1"/>
    <x v="1"/>
    <n v="3"/>
    <n v="1"/>
    <n v="3"/>
    <n v="1"/>
    <n v="0"/>
    <n v="0"/>
    <n v="0"/>
    <x v="3"/>
    <n v="0"/>
    <x v="0"/>
    <x v="1"/>
    <s v="Early"/>
    <x v="0"/>
  </r>
  <r>
    <n v="56"/>
    <x v="851"/>
    <x v="1"/>
    <x v="1"/>
    <n v="4"/>
    <n v="4"/>
    <x v="4"/>
    <n v="4"/>
    <x v="0"/>
    <n v="3"/>
    <n v="5"/>
    <x v="5"/>
    <x v="3"/>
    <s v="Divorced"/>
    <n v="19943"/>
    <n v="4"/>
    <x v="1"/>
    <n v="4"/>
    <n v="28"/>
    <n v="3"/>
    <n v="5"/>
    <n v="2"/>
    <n v="4"/>
    <n v="2"/>
    <x v="4"/>
    <n v="0"/>
    <x v="1"/>
    <x v="2"/>
    <s v="Mid"/>
    <x v="2"/>
  </r>
  <r>
    <n v="29"/>
    <x v="852"/>
    <x v="1"/>
    <x v="1"/>
    <n v="6"/>
    <n v="1"/>
    <x v="2"/>
    <n v="2"/>
    <x v="0"/>
    <n v="3"/>
    <n v="1"/>
    <x v="2"/>
    <x v="0"/>
    <s v="Married"/>
    <n v="3131"/>
    <n v="1"/>
    <x v="1"/>
    <n v="1"/>
    <n v="10"/>
    <n v="3"/>
    <n v="10"/>
    <n v="8"/>
    <n v="0"/>
    <n v="8"/>
    <x v="4"/>
    <n v="0"/>
    <x v="2"/>
    <x v="1"/>
    <s v="Long"/>
    <x v="2"/>
  </r>
  <r>
    <n v="19"/>
    <x v="853"/>
    <x v="1"/>
    <x v="1"/>
    <n v="9"/>
    <n v="2"/>
    <x v="0"/>
    <n v="3"/>
    <x v="1"/>
    <n v="3"/>
    <n v="1"/>
    <x v="1"/>
    <x v="3"/>
    <s v="Single"/>
    <n v="2552"/>
    <n v="1"/>
    <x v="1"/>
    <n v="3"/>
    <n v="1"/>
    <n v="3"/>
    <n v="1"/>
    <n v="1"/>
    <n v="0"/>
    <n v="0"/>
    <x v="14"/>
    <n v="0"/>
    <x v="2"/>
    <x v="1"/>
    <s v="Early"/>
    <x v="1"/>
  </r>
  <r>
    <n v="45"/>
    <x v="854"/>
    <x v="1"/>
    <x v="1"/>
    <n v="7"/>
    <n v="3"/>
    <x v="2"/>
    <n v="1"/>
    <x v="0"/>
    <n v="3"/>
    <n v="1"/>
    <x v="1"/>
    <x v="2"/>
    <s v="Married"/>
    <n v="4477"/>
    <n v="4"/>
    <x v="0"/>
    <n v="3"/>
    <n v="7"/>
    <n v="2"/>
    <n v="3"/>
    <n v="2"/>
    <n v="0"/>
    <n v="2"/>
    <x v="12"/>
    <n v="0"/>
    <x v="1"/>
    <x v="1"/>
    <s v="Mid"/>
    <x v="1"/>
  </r>
  <r>
    <n v="37"/>
    <x v="855"/>
    <x v="1"/>
    <x v="1"/>
    <n v="1"/>
    <n v="3"/>
    <x v="0"/>
    <n v="4"/>
    <x v="0"/>
    <n v="2"/>
    <n v="2"/>
    <x v="3"/>
    <x v="0"/>
    <s v="Married"/>
    <n v="6474"/>
    <n v="1"/>
    <x v="1"/>
    <n v="2"/>
    <n v="14"/>
    <n v="2"/>
    <n v="14"/>
    <n v="8"/>
    <n v="3"/>
    <n v="11"/>
    <x v="4"/>
    <n v="0"/>
    <x v="0"/>
    <x v="0"/>
    <s v="Long"/>
    <x v="2"/>
  </r>
  <r>
    <n v="20"/>
    <x v="856"/>
    <x v="1"/>
    <x v="1"/>
    <n v="3"/>
    <n v="3"/>
    <x v="0"/>
    <n v="1"/>
    <x v="1"/>
    <n v="2"/>
    <n v="1"/>
    <x v="2"/>
    <x v="2"/>
    <s v="Single"/>
    <n v="3033"/>
    <n v="1"/>
    <x v="1"/>
    <n v="1"/>
    <n v="2"/>
    <n v="2"/>
    <n v="2"/>
    <n v="2"/>
    <n v="1"/>
    <n v="2"/>
    <x v="3"/>
    <n v="0"/>
    <x v="2"/>
    <x v="1"/>
    <s v="Early"/>
    <x v="0"/>
  </r>
  <r>
    <n v="44"/>
    <x v="857"/>
    <x v="0"/>
    <x v="1"/>
    <n v="10"/>
    <n v="4"/>
    <x v="0"/>
    <n v="3"/>
    <x v="1"/>
    <n v="3"/>
    <n v="1"/>
    <x v="1"/>
    <x v="2"/>
    <s v="Single"/>
    <n v="2936"/>
    <n v="1"/>
    <x v="0"/>
    <n v="3"/>
    <n v="6"/>
    <n v="3"/>
    <n v="6"/>
    <n v="4"/>
    <n v="0"/>
    <n v="2"/>
    <x v="0"/>
    <n v="1"/>
    <x v="0"/>
    <x v="1"/>
    <s v="Mid"/>
    <x v="0"/>
  </r>
  <r>
    <n v="53"/>
    <x v="858"/>
    <x v="1"/>
    <x v="1"/>
    <n v="7"/>
    <n v="2"/>
    <x v="2"/>
    <n v="4"/>
    <x v="0"/>
    <n v="3"/>
    <n v="5"/>
    <x v="5"/>
    <x v="2"/>
    <s v="Divorced"/>
    <n v="18606"/>
    <n v="3"/>
    <x v="1"/>
    <n v="2"/>
    <n v="26"/>
    <n v="3"/>
    <n v="7"/>
    <n v="7"/>
    <n v="4"/>
    <n v="7"/>
    <x v="11"/>
    <n v="0"/>
    <x v="1"/>
    <x v="2"/>
    <s v="Long"/>
    <x v="1"/>
  </r>
  <r>
    <n v="29"/>
    <x v="859"/>
    <x v="1"/>
    <x v="1"/>
    <n v="15"/>
    <n v="1"/>
    <x v="0"/>
    <n v="2"/>
    <x v="0"/>
    <n v="1"/>
    <n v="1"/>
    <x v="1"/>
    <x v="0"/>
    <s v="Married"/>
    <n v="2168"/>
    <n v="0"/>
    <x v="0"/>
    <n v="1"/>
    <n v="6"/>
    <n v="2"/>
    <n v="5"/>
    <n v="4"/>
    <n v="1"/>
    <n v="3"/>
    <x v="11"/>
    <n v="0"/>
    <x v="2"/>
    <x v="1"/>
    <s v="Mid"/>
    <x v="1"/>
  </r>
  <r>
    <n v="22"/>
    <x v="860"/>
    <x v="0"/>
    <x v="1"/>
    <n v="3"/>
    <n v="4"/>
    <x v="0"/>
    <n v="3"/>
    <x v="1"/>
    <n v="2"/>
    <n v="1"/>
    <x v="1"/>
    <x v="0"/>
    <s v="Married"/>
    <n v="2853"/>
    <n v="0"/>
    <x v="0"/>
    <n v="2"/>
    <n v="1"/>
    <n v="3"/>
    <n v="0"/>
    <n v="0"/>
    <n v="0"/>
    <n v="0"/>
    <x v="0"/>
    <n v="1"/>
    <x v="2"/>
    <x v="1"/>
    <s v="Early"/>
    <x v="0"/>
  </r>
  <r>
    <n v="46"/>
    <x v="861"/>
    <x v="1"/>
    <x v="0"/>
    <n v="2"/>
    <n v="3"/>
    <x v="3"/>
    <n v="3"/>
    <x v="0"/>
    <n v="3"/>
    <n v="4"/>
    <x v="5"/>
    <x v="3"/>
    <s v="Married"/>
    <n v="17048"/>
    <n v="8"/>
    <x v="1"/>
    <n v="1"/>
    <n v="28"/>
    <n v="3"/>
    <n v="26"/>
    <n v="15"/>
    <n v="15"/>
    <n v="9"/>
    <x v="1"/>
    <n v="0"/>
    <x v="1"/>
    <x v="2"/>
    <s v="Long"/>
    <x v="1"/>
  </r>
  <r>
    <n v="44"/>
    <x v="862"/>
    <x v="1"/>
    <x v="1"/>
    <n v="17"/>
    <n v="3"/>
    <x v="0"/>
    <n v="4"/>
    <x v="1"/>
    <n v="1"/>
    <n v="1"/>
    <x v="1"/>
    <x v="2"/>
    <s v="Single"/>
    <n v="2290"/>
    <n v="2"/>
    <x v="1"/>
    <n v="4"/>
    <n v="6"/>
    <n v="3"/>
    <n v="0"/>
    <n v="0"/>
    <n v="0"/>
    <n v="0"/>
    <x v="4"/>
    <n v="0"/>
    <x v="0"/>
    <x v="1"/>
    <s v="Early"/>
    <x v="2"/>
  </r>
  <r>
    <n v="33"/>
    <x v="863"/>
    <x v="1"/>
    <x v="2"/>
    <n v="2"/>
    <n v="3"/>
    <x v="5"/>
    <n v="2"/>
    <x v="1"/>
    <n v="3"/>
    <n v="1"/>
    <x v="8"/>
    <x v="2"/>
    <s v="Married"/>
    <n v="3600"/>
    <n v="1"/>
    <x v="1"/>
    <n v="4"/>
    <n v="5"/>
    <n v="3"/>
    <n v="5"/>
    <n v="4"/>
    <n v="1"/>
    <n v="4"/>
    <x v="4"/>
    <n v="0"/>
    <x v="0"/>
    <x v="1"/>
    <s v="Mid"/>
    <x v="2"/>
  </r>
  <r>
    <n v="41"/>
    <x v="864"/>
    <x v="0"/>
    <x v="1"/>
    <n v="5"/>
    <n v="2"/>
    <x v="0"/>
    <n v="1"/>
    <x v="1"/>
    <n v="2"/>
    <n v="1"/>
    <x v="1"/>
    <x v="3"/>
    <s v="Divorced"/>
    <n v="2107"/>
    <n v="6"/>
    <x v="1"/>
    <n v="1"/>
    <n v="5"/>
    <n v="1"/>
    <n v="1"/>
    <n v="0"/>
    <n v="0"/>
    <n v="0"/>
    <x v="8"/>
    <n v="1"/>
    <x v="0"/>
    <x v="1"/>
    <s v="Early"/>
    <x v="2"/>
  </r>
  <r>
    <n v="30"/>
    <x v="865"/>
    <x v="1"/>
    <x v="0"/>
    <n v="29"/>
    <n v="4"/>
    <x v="0"/>
    <n v="3"/>
    <x v="1"/>
    <n v="3"/>
    <n v="2"/>
    <x v="0"/>
    <x v="3"/>
    <s v="Divorced"/>
    <n v="4115"/>
    <n v="8"/>
    <x v="1"/>
    <n v="3"/>
    <n v="8"/>
    <n v="3"/>
    <n v="4"/>
    <n v="3"/>
    <n v="0"/>
    <n v="3"/>
    <x v="12"/>
    <n v="0"/>
    <x v="0"/>
    <x v="1"/>
    <s v="Mid"/>
    <x v="1"/>
  </r>
  <r>
    <n v="40"/>
    <x v="866"/>
    <x v="1"/>
    <x v="0"/>
    <n v="2"/>
    <n v="4"/>
    <x v="2"/>
    <n v="2"/>
    <x v="1"/>
    <n v="3"/>
    <n v="2"/>
    <x v="0"/>
    <x v="1"/>
    <s v="Married"/>
    <n v="4327"/>
    <n v="5"/>
    <x v="1"/>
    <n v="4"/>
    <n v="5"/>
    <n v="3"/>
    <n v="0"/>
    <n v="0"/>
    <n v="0"/>
    <n v="0"/>
    <x v="3"/>
    <n v="0"/>
    <x v="0"/>
    <x v="1"/>
    <s v="Early"/>
    <x v="0"/>
  </r>
  <r>
    <n v="50"/>
    <x v="867"/>
    <x v="1"/>
    <x v="1"/>
    <n v="2"/>
    <n v="3"/>
    <x v="2"/>
    <n v="4"/>
    <x v="0"/>
    <n v="3"/>
    <n v="4"/>
    <x v="5"/>
    <x v="3"/>
    <s v="Married"/>
    <n v="17856"/>
    <n v="2"/>
    <x v="1"/>
    <n v="3"/>
    <n v="32"/>
    <n v="3"/>
    <n v="2"/>
    <n v="2"/>
    <n v="2"/>
    <n v="2"/>
    <x v="6"/>
    <n v="0"/>
    <x v="1"/>
    <x v="2"/>
    <s v="Early"/>
    <x v="1"/>
  </r>
  <r>
    <n v="28"/>
    <x v="868"/>
    <x v="1"/>
    <x v="1"/>
    <n v="19"/>
    <n v="4"/>
    <x v="2"/>
    <n v="4"/>
    <x v="1"/>
    <n v="2"/>
    <n v="1"/>
    <x v="2"/>
    <x v="3"/>
    <s v="Married"/>
    <n v="3196"/>
    <n v="1"/>
    <x v="1"/>
    <n v="3"/>
    <n v="6"/>
    <n v="3"/>
    <n v="6"/>
    <n v="5"/>
    <n v="3"/>
    <n v="3"/>
    <x v="3"/>
    <n v="0"/>
    <x v="2"/>
    <x v="1"/>
    <s v="Mid"/>
    <x v="0"/>
  </r>
  <r>
    <n v="46"/>
    <x v="869"/>
    <x v="1"/>
    <x v="1"/>
    <n v="15"/>
    <n v="2"/>
    <x v="0"/>
    <n v="4"/>
    <x v="1"/>
    <n v="3"/>
    <n v="5"/>
    <x v="7"/>
    <x v="1"/>
    <s v="Married"/>
    <n v="19081"/>
    <n v="5"/>
    <x v="1"/>
    <n v="1"/>
    <n v="25"/>
    <n v="3"/>
    <n v="4"/>
    <n v="2"/>
    <n v="0"/>
    <n v="3"/>
    <x v="0"/>
    <n v="0"/>
    <x v="1"/>
    <x v="2"/>
    <s v="Mid"/>
    <x v="0"/>
  </r>
  <r>
    <n v="35"/>
    <x v="870"/>
    <x v="1"/>
    <x v="0"/>
    <n v="17"/>
    <n v="4"/>
    <x v="0"/>
    <n v="3"/>
    <x v="1"/>
    <n v="3"/>
    <n v="2"/>
    <x v="0"/>
    <x v="3"/>
    <s v="Married"/>
    <n v="8966"/>
    <n v="3"/>
    <x v="0"/>
    <n v="4"/>
    <n v="15"/>
    <n v="3"/>
    <n v="7"/>
    <n v="7"/>
    <n v="1"/>
    <n v="7"/>
    <x v="2"/>
    <n v="0"/>
    <x v="0"/>
    <x v="0"/>
    <s v="Long"/>
    <x v="2"/>
  </r>
  <r>
    <n v="24"/>
    <x v="871"/>
    <x v="0"/>
    <x v="1"/>
    <n v="17"/>
    <n v="2"/>
    <x v="0"/>
    <n v="4"/>
    <x v="0"/>
    <n v="3"/>
    <n v="1"/>
    <x v="2"/>
    <x v="1"/>
    <s v="Married"/>
    <n v="2210"/>
    <n v="1"/>
    <x v="1"/>
    <n v="1"/>
    <n v="1"/>
    <n v="1"/>
    <n v="1"/>
    <n v="0"/>
    <n v="0"/>
    <n v="0"/>
    <x v="4"/>
    <n v="1"/>
    <x v="2"/>
    <x v="1"/>
    <s v="Early"/>
    <x v="2"/>
  </r>
  <r>
    <n v="33"/>
    <x v="872"/>
    <x v="1"/>
    <x v="0"/>
    <n v="25"/>
    <n v="3"/>
    <x v="2"/>
    <n v="2"/>
    <x v="0"/>
    <n v="3"/>
    <n v="2"/>
    <x v="0"/>
    <x v="2"/>
    <s v="Married"/>
    <n v="4539"/>
    <n v="1"/>
    <x v="1"/>
    <n v="1"/>
    <n v="10"/>
    <n v="2"/>
    <n v="10"/>
    <n v="7"/>
    <n v="0"/>
    <n v="1"/>
    <x v="3"/>
    <n v="0"/>
    <x v="0"/>
    <x v="1"/>
    <s v="Long"/>
    <x v="0"/>
  </r>
  <r>
    <n v="36"/>
    <x v="873"/>
    <x v="1"/>
    <x v="1"/>
    <n v="6"/>
    <n v="4"/>
    <x v="0"/>
    <n v="3"/>
    <x v="1"/>
    <n v="1"/>
    <n v="1"/>
    <x v="2"/>
    <x v="2"/>
    <s v="Divorced"/>
    <n v="2741"/>
    <n v="1"/>
    <x v="1"/>
    <n v="3"/>
    <n v="7"/>
    <n v="3"/>
    <n v="7"/>
    <n v="7"/>
    <n v="1"/>
    <n v="7"/>
    <x v="9"/>
    <n v="0"/>
    <x v="0"/>
    <x v="1"/>
    <s v="Long"/>
    <x v="2"/>
  </r>
  <r>
    <n v="30"/>
    <x v="874"/>
    <x v="1"/>
    <x v="1"/>
    <n v="7"/>
    <n v="4"/>
    <x v="0"/>
    <n v="3"/>
    <x v="1"/>
    <n v="3"/>
    <n v="2"/>
    <x v="2"/>
    <x v="2"/>
    <s v="Divorced"/>
    <n v="3491"/>
    <n v="1"/>
    <x v="1"/>
    <n v="1"/>
    <n v="10"/>
    <n v="2"/>
    <n v="10"/>
    <n v="7"/>
    <n v="8"/>
    <n v="9"/>
    <x v="4"/>
    <n v="0"/>
    <x v="0"/>
    <x v="1"/>
    <s v="Long"/>
    <x v="2"/>
  </r>
  <r>
    <n v="44"/>
    <x v="875"/>
    <x v="1"/>
    <x v="1"/>
    <n v="29"/>
    <n v="4"/>
    <x v="1"/>
    <n v="4"/>
    <x v="1"/>
    <n v="3"/>
    <n v="2"/>
    <x v="1"/>
    <x v="0"/>
    <s v="Single"/>
    <n v="4541"/>
    <n v="1"/>
    <x v="1"/>
    <n v="2"/>
    <n v="20"/>
    <n v="3"/>
    <n v="20"/>
    <n v="11"/>
    <n v="13"/>
    <n v="17"/>
    <x v="14"/>
    <n v="0"/>
    <x v="0"/>
    <x v="1"/>
    <s v="Long"/>
    <x v="1"/>
  </r>
  <r>
    <n v="20"/>
    <x v="876"/>
    <x v="1"/>
    <x v="0"/>
    <n v="21"/>
    <n v="3"/>
    <x v="3"/>
    <n v="3"/>
    <x v="1"/>
    <n v="4"/>
    <n v="1"/>
    <x v="6"/>
    <x v="0"/>
    <s v="Single"/>
    <n v="2678"/>
    <n v="1"/>
    <x v="1"/>
    <n v="4"/>
    <n v="2"/>
    <n v="3"/>
    <n v="2"/>
    <n v="1"/>
    <n v="2"/>
    <n v="2"/>
    <x v="8"/>
    <n v="0"/>
    <x v="2"/>
    <x v="1"/>
    <s v="Early"/>
    <x v="2"/>
  </r>
  <r>
    <n v="46"/>
    <x v="877"/>
    <x v="1"/>
    <x v="1"/>
    <n v="2"/>
    <n v="4"/>
    <x v="4"/>
    <n v="4"/>
    <x v="1"/>
    <n v="3"/>
    <n v="2"/>
    <x v="3"/>
    <x v="0"/>
    <s v="Divorced"/>
    <n v="7379"/>
    <n v="2"/>
    <x v="1"/>
    <n v="3"/>
    <n v="12"/>
    <n v="2"/>
    <n v="6"/>
    <n v="3"/>
    <n v="1"/>
    <n v="4"/>
    <x v="0"/>
    <n v="0"/>
    <x v="1"/>
    <x v="0"/>
    <s v="Mid"/>
    <x v="0"/>
  </r>
  <r>
    <n v="42"/>
    <x v="878"/>
    <x v="1"/>
    <x v="2"/>
    <n v="2"/>
    <n v="5"/>
    <x v="2"/>
    <n v="4"/>
    <x v="1"/>
    <n v="4"/>
    <n v="2"/>
    <x v="8"/>
    <x v="3"/>
    <s v="Married"/>
    <n v="6272"/>
    <n v="7"/>
    <x v="1"/>
    <n v="1"/>
    <n v="10"/>
    <n v="4"/>
    <n v="4"/>
    <n v="3"/>
    <n v="0"/>
    <n v="3"/>
    <x v="10"/>
    <n v="0"/>
    <x v="0"/>
    <x v="0"/>
    <s v="Mid"/>
    <x v="2"/>
  </r>
  <r>
    <n v="60"/>
    <x v="879"/>
    <x v="1"/>
    <x v="0"/>
    <n v="7"/>
    <n v="4"/>
    <x v="3"/>
    <n v="2"/>
    <x v="1"/>
    <n v="4"/>
    <n v="2"/>
    <x v="0"/>
    <x v="0"/>
    <s v="Divorced"/>
    <n v="5220"/>
    <n v="0"/>
    <x v="0"/>
    <n v="2"/>
    <n v="12"/>
    <n v="3"/>
    <n v="11"/>
    <n v="7"/>
    <n v="1"/>
    <n v="9"/>
    <x v="11"/>
    <n v="0"/>
    <x v="1"/>
    <x v="0"/>
    <s v="Long"/>
    <x v="1"/>
  </r>
  <r>
    <n v="32"/>
    <x v="880"/>
    <x v="1"/>
    <x v="1"/>
    <n v="13"/>
    <n v="3"/>
    <x v="1"/>
    <n v="3"/>
    <x v="0"/>
    <n v="2"/>
    <n v="1"/>
    <x v="2"/>
    <x v="1"/>
    <s v="Married"/>
    <n v="2743"/>
    <n v="1"/>
    <x v="1"/>
    <n v="3"/>
    <n v="2"/>
    <n v="3"/>
    <n v="2"/>
    <n v="2"/>
    <n v="2"/>
    <n v="2"/>
    <x v="5"/>
    <n v="0"/>
    <x v="0"/>
    <x v="1"/>
    <s v="Early"/>
    <x v="1"/>
  </r>
  <r>
    <n v="32"/>
    <x v="881"/>
    <x v="1"/>
    <x v="1"/>
    <n v="2"/>
    <n v="2"/>
    <x v="0"/>
    <n v="4"/>
    <x v="0"/>
    <n v="3"/>
    <n v="2"/>
    <x v="1"/>
    <x v="2"/>
    <s v="Single"/>
    <n v="4998"/>
    <n v="4"/>
    <x v="0"/>
    <n v="4"/>
    <n v="10"/>
    <n v="3"/>
    <n v="8"/>
    <n v="7"/>
    <n v="0"/>
    <n v="7"/>
    <x v="9"/>
    <n v="0"/>
    <x v="0"/>
    <x v="1"/>
    <s v="Long"/>
    <x v="2"/>
  </r>
  <r>
    <n v="36"/>
    <x v="882"/>
    <x v="1"/>
    <x v="1"/>
    <n v="1"/>
    <n v="3"/>
    <x v="4"/>
    <n v="3"/>
    <x v="0"/>
    <n v="1"/>
    <n v="3"/>
    <x v="3"/>
    <x v="3"/>
    <s v="Divorced"/>
    <n v="10252"/>
    <n v="2"/>
    <x v="0"/>
    <n v="3"/>
    <n v="17"/>
    <n v="3"/>
    <n v="7"/>
    <n v="7"/>
    <n v="7"/>
    <n v="7"/>
    <x v="7"/>
    <n v="0"/>
    <x v="0"/>
    <x v="2"/>
    <s v="Long"/>
    <x v="1"/>
  </r>
  <r>
    <n v="33"/>
    <x v="883"/>
    <x v="1"/>
    <x v="1"/>
    <n v="9"/>
    <n v="3"/>
    <x v="2"/>
    <n v="1"/>
    <x v="1"/>
    <n v="3"/>
    <n v="1"/>
    <x v="1"/>
    <x v="0"/>
    <s v="Married"/>
    <n v="2781"/>
    <n v="0"/>
    <x v="1"/>
    <n v="2"/>
    <n v="15"/>
    <n v="3"/>
    <n v="14"/>
    <n v="10"/>
    <n v="4"/>
    <n v="10"/>
    <x v="4"/>
    <n v="0"/>
    <x v="0"/>
    <x v="1"/>
    <s v="Long"/>
    <x v="2"/>
  </r>
  <r>
    <n v="40"/>
    <x v="884"/>
    <x v="1"/>
    <x v="0"/>
    <n v="10"/>
    <n v="3"/>
    <x v="4"/>
    <n v="2"/>
    <x v="0"/>
    <n v="2"/>
    <n v="2"/>
    <x v="0"/>
    <x v="1"/>
    <s v="Divorced"/>
    <n v="6852"/>
    <n v="7"/>
    <x v="1"/>
    <n v="2"/>
    <n v="7"/>
    <n v="4"/>
    <n v="5"/>
    <n v="1"/>
    <n v="1"/>
    <n v="3"/>
    <x v="3"/>
    <n v="0"/>
    <x v="0"/>
    <x v="0"/>
    <s v="Mid"/>
    <x v="0"/>
  </r>
  <r>
    <n v="25"/>
    <x v="885"/>
    <x v="1"/>
    <x v="0"/>
    <n v="10"/>
    <n v="4"/>
    <x v="0"/>
    <n v="3"/>
    <x v="1"/>
    <n v="3"/>
    <n v="2"/>
    <x v="0"/>
    <x v="0"/>
    <s v="Single"/>
    <n v="4950"/>
    <n v="0"/>
    <x v="1"/>
    <n v="2"/>
    <n v="5"/>
    <n v="3"/>
    <n v="4"/>
    <n v="3"/>
    <n v="1"/>
    <n v="1"/>
    <x v="9"/>
    <n v="0"/>
    <x v="2"/>
    <x v="1"/>
    <s v="Mid"/>
    <x v="2"/>
  </r>
  <r>
    <n v="30"/>
    <x v="886"/>
    <x v="1"/>
    <x v="1"/>
    <n v="1"/>
    <n v="3"/>
    <x v="2"/>
    <n v="4"/>
    <x v="1"/>
    <n v="3"/>
    <n v="1"/>
    <x v="1"/>
    <x v="1"/>
    <s v="Married"/>
    <n v="3579"/>
    <n v="0"/>
    <x v="0"/>
    <n v="1"/>
    <n v="12"/>
    <n v="3"/>
    <n v="11"/>
    <n v="9"/>
    <n v="5"/>
    <n v="7"/>
    <x v="7"/>
    <n v="0"/>
    <x v="0"/>
    <x v="1"/>
    <s v="Long"/>
    <x v="1"/>
  </r>
  <r>
    <n v="42"/>
    <x v="887"/>
    <x v="1"/>
    <x v="1"/>
    <n v="26"/>
    <n v="5"/>
    <x v="2"/>
    <n v="1"/>
    <x v="0"/>
    <n v="3"/>
    <n v="3"/>
    <x v="7"/>
    <x v="3"/>
    <s v="Married"/>
    <n v="13191"/>
    <n v="3"/>
    <x v="0"/>
    <n v="3"/>
    <n v="20"/>
    <n v="3"/>
    <n v="1"/>
    <n v="0"/>
    <n v="0"/>
    <n v="0"/>
    <x v="8"/>
    <n v="0"/>
    <x v="0"/>
    <x v="2"/>
    <s v="Early"/>
    <x v="2"/>
  </r>
  <r>
    <n v="35"/>
    <x v="888"/>
    <x v="1"/>
    <x v="0"/>
    <n v="8"/>
    <n v="2"/>
    <x v="3"/>
    <n v="3"/>
    <x v="0"/>
    <n v="2"/>
    <n v="3"/>
    <x v="0"/>
    <x v="0"/>
    <s v="Married"/>
    <n v="10377"/>
    <n v="4"/>
    <x v="0"/>
    <n v="2"/>
    <n v="16"/>
    <n v="2"/>
    <n v="13"/>
    <n v="2"/>
    <n v="4"/>
    <n v="12"/>
    <x v="0"/>
    <n v="0"/>
    <x v="0"/>
    <x v="2"/>
    <s v="Long"/>
    <x v="0"/>
  </r>
  <r>
    <n v="27"/>
    <x v="889"/>
    <x v="1"/>
    <x v="1"/>
    <n v="14"/>
    <n v="3"/>
    <x v="0"/>
    <n v="1"/>
    <x v="1"/>
    <n v="3"/>
    <n v="1"/>
    <x v="1"/>
    <x v="3"/>
    <s v="Married"/>
    <n v="2235"/>
    <n v="1"/>
    <x v="0"/>
    <n v="4"/>
    <n v="9"/>
    <n v="2"/>
    <n v="9"/>
    <n v="7"/>
    <n v="6"/>
    <n v="8"/>
    <x v="9"/>
    <n v="0"/>
    <x v="2"/>
    <x v="1"/>
    <s v="Long"/>
    <x v="2"/>
  </r>
  <r>
    <n v="54"/>
    <x v="890"/>
    <x v="1"/>
    <x v="1"/>
    <n v="1"/>
    <n v="4"/>
    <x v="0"/>
    <n v="4"/>
    <x v="0"/>
    <n v="3"/>
    <n v="3"/>
    <x v="3"/>
    <x v="2"/>
    <s v="Divorced"/>
    <n v="10502"/>
    <n v="7"/>
    <x v="1"/>
    <n v="1"/>
    <n v="33"/>
    <n v="1"/>
    <n v="5"/>
    <n v="4"/>
    <n v="1"/>
    <n v="4"/>
    <x v="8"/>
    <n v="0"/>
    <x v="1"/>
    <x v="2"/>
    <s v="Mid"/>
    <x v="2"/>
  </r>
  <r>
    <n v="44"/>
    <x v="891"/>
    <x v="1"/>
    <x v="1"/>
    <n v="2"/>
    <n v="1"/>
    <x v="0"/>
    <n v="1"/>
    <x v="0"/>
    <n v="4"/>
    <n v="1"/>
    <x v="1"/>
    <x v="0"/>
    <s v="Married"/>
    <n v="2011"/>
    <n v="1"/>
    <x v="1"/>
    <n v="4"/>
    <n v="10"/>
    <n v="3"/>
    <n v="10"/>
    <n v="5"/>
    <n v="7"/>
    <n v="7"/>
    <x v="4"/>
    <n v="0"/>
    <x v="0"/>
    <x v="1"/>
    <s v="Long"/>
    <x v="2"/>
  </r>
  <r>
    <n v="19"/>
    <x v="892"/>
    <x v="0"/>
    <x v="1"/>
    <n v="10"/>
    <n v="3"/>
    <x v="2"/>
    <n v="1"/>
    <x v="0"/>
    <n v="2"/>
    <n v="1"/>
    <x v="1"/>
    <x v="1"/>
    <s v="Single"/>
    <n v="1859"/>
    <n v="1"/>
    <x v="0"/>
    <n v="2"/>
    <n v="1"/>
    <n v="4"/>
    <n v="1"/>
    <n v="1"/>
    <n v="0"/>
    <n v="0"/>
    <x v="14"/>
    <n v="1"/>
    <x v="2"/>
    <x v="1"/>
    <s v="Early"/>
    <x v="1"/>
  </r>
  <r>
    <n v="29"/>
    <x v="893"/>
    <x v="1"/>
    <x v="1"/>
    <n v="1"/>
    <n v="3"/>
    <x v="0"/>
    <n v="1"/>
    <x v="0"/>
    <n v="3"/>
    <n v="1"/>
    <x v="1"/>
    <x v="0"/>
    <s v="Divorced"/>
    <n v="3760"/>
    <n v="1"/>
    <x v="1"/>
    <n v="1"/>
    <n v="3"/>
    <n v="3"/>
    <n v="3"/>
    <n v="2"/>
    <n v="1"/>
    <n v="2"/>
    <x v="2"/>
    <n v="0"/>
    <x v="2"/>
    <x v="1"/>
    <s v="Mid"/>
    <x v="2"/>
  </r>
  <r>
    <n v="54"/>
    <x v="894"/>
    <x v="1"/>
    <x v="1"/>
    <n v="3"/>
    <n v="3"/>
    <x v="0"/>
    <n v="4"/>
    <x v="1"/>
    <n v="3"/>
    <n v="4"/>
    <x v="7"/>
    <x v="0"/>
    <s v="Married"/>
    <n v="17779"/>
    <n v="3"/>
    <x v="1"/>
    <n v="1"/>
    <n v="36"/>
    <n v="3"/>
    <n v="10"/>
    <n v="9"/>
    <n v="0"/>
    <n v="9"/>
    <x v="9"/>
    <n v="0"/>
    <x v="1"/>
    <x v="2"/>
    <s v="Long"/>
    <x v="2"/>
  </r>
  <r>
    <n v="31"/>
    <x v="895"/>
    <x v="1"/>
    <x v="1"/>
    <n v="11"/>
    <n v="2"/>
    <x v="2"/>
    <n v="3"/>
    <x v="1"/>
    <n v="3"/>
    <n v="2"/>
    <x v="4"/>
    <x v="3"/>
    <s v="Married"/>
    <n v="6833"/>
    <n v="1"/>
    <x v="0"/>
    <n v="4"/>
    <n v="6"/>
    <n v="2"/>
    <n v="6"/>
    <n v="5"/>
    <n v="0"/>
    <n v="1"/>
    <x v="3"/>
    <n v="0"/>
    <x v="0"/>
    <x v="0"/>
    <s v="Mid"/>
    <x v="0"/>
  </r>
  <r>
    <n v="31"/>
    <x v="896"/>
    <x v="1"/>
    <x v="1"/>
    <n v="24"/>
    <n v="3"/>
    <x v="2"/>
    <n v="3"/>
    <x v="0"/>
    <n v="2"/>
    <n v="2"/>
    <x v="4"/>
    <x v="3"/>
    <s v="Single"/>
    <n v="6812"/>
    <n v="1"/>
    <x v="1"/>
    <n v="2"/>
    <n v="10"/>
    <n v="3"/>
    <n v="10"/>
    <n v="9"/>
    <n v="1"/>
    <n v="8"/>
    <x v="12"/>
    <n v="0"/>
    <x v="0"/>
    <x v="0"/>
    <s v="Long"/>
    <x v="1"/>
  </r>
  <r>
    <n v="59"/>
    <x v="897"/>
    <x v="1"/>
    <x v="0"/>
    <n v="3"/>
    <n v="3"/>
    <x v="0"/>
    <n v="3"/>
    <x v="0"/>
    <n v="2"/>
    <n v="2"/>
    <x v="0"/>
    <x v="0"/>
    <s v="Single"/>
    <n v="5171"/>
    <n v="5"/>
    <x v="1"/>
    <n v="4"/>
    <n v="13"/>
    <n v="3"/>
    <n v="6"/>
    <n v="1"/>
    <n v="0"/>
    <n v="5"/>
    <x v="8"/>
    <n v="0"/>
    <x v="1"/>
    <x v="0"/>
    <s v="Mid"/>
    <x v="2"/>
  </r>
  <r>
    <n v="43"/>
    <x v="898"/>
    <x v="1"/>
    <x v="1"/>
    <n v="3"/>
    <n v="3"/>
    <x v="0"/>
    <n v="3"/>
    <x v="1"/>
    <n v="1"/>
    <n v="5"/>
    <x v="7"/>
    <x v="0"/>
    <s v="Married"/>
    <n v="19740"/>
    <n v="3"/>
    <x v="1"/>
    <n v="2"/>
    <n v="25"/>
    <n v="3"/>
    <n v="8"/>
    <n v="7"/>
    <n v="0"/>
    <n v="7"/>
    <x v="9"/>
    <n v="0"/>
    <x v="0"/>
    <x v="2"/>
    <s v="Long"/>
    <x v="2"/>
  </r>
  <r>
    <n v="49"/>
    <x v="899"/>
    <x v="1"/>
    <x v="1"/>
    <n v="4"/>
    <n v="2"/>
    <x v="2"/>
    <n v="1"/>
    <x v="1"/>
    <n v="2"/>
    <n v="5"/>
    <x v="5"/>
    <x v="2"/>
    <s v="Married"/>
    <n v="18711"/>
    <n v="2"/>
    <x v="1"/>
    <n v="3"/>
    <n v="23"/>
    <n v="4"/>
    <n v="1"/>
    <n v="0"/>
    <n v="0"/>
    <n v="0"/>
    <x v="4"/>
    <n v="0"/>
    <x v="1"/>
    <x v="2"/>
    <s v="Early"/>
    <x v="2"/>
  </r>
  <r>
    <n v="36"/>
    <x v="900"/>
    <x v="1"/>
    <x v="1"/>
    <n v="3"/>
    <n v="3"/>
    <x v="4"/>
    <n v="3"/>
    <x v="1"/>
    <n v="3"/>
    <n v="1"/>
    <x v="1"/>
    <x v="1"/>
    <s v="Married"/>
    <n v="3692"/>
    <n v="1"/>
    <x v="1"/>
    <n v="3"/>
    <n v="12"/>
    <n v="2"/>
    <n v="11"/>
    <n v="10"/>
    <n v="0"/>
    <n v="7"/>
    <x v="3"/>
    <n v="0"/>
    <x v="0"/>
    <x v="1"/>
    <s v="Long"/>
    <x v="0"/>
  </r>
  <r>
    <n v="48"/>
    <x v="901"/>
    <x v="1"/>
    <x v="1"/>
    <n v="2"/>
    <n v="2"/>
    <x v="4"/>
    <n v="4"/>
    <x v="1"/>
    <n v="4"/>
    <n v="1"/>
    <x v="2"/>
    <x v="1"/>
    <s v="Single"/>
    <n v="2559"/>
    <n v="5"/>
    <x v="1"/>
    <n v="3"/>
    <n v="7"/>
    <n v="2"/>
    <n v="1"/>
    <n v="0"/>
    <n v="0"/>
    <n v="0"/>
    <x v="0"/>
    <n v="0"/>
    <x v="1"/>
    <x v="1"/>
    <s v="Early"/>
    <x v="0"/>
  </r>
  <r>
    <n v="27"/>
    <x v="902"/>
    <x v="1"/>
    <x v="1"/>
    <n v="4"/>
    <n v="2"/>
    <x v="0"/>
    <n v="1"/>
    <x v="1"/>
    <n v="3"/>
    <n v="1"/>
    <x v="1"/>
    <x v="2"/>
    <s v="Divorced"/>
    <n v="2517"/>
    <n v="1"/>
    <x v="1"/>
    <n v="2"/>
    <n v="5"/>
    <n v="3"/>
    <n v="5"/>
    <n v="3"/>
    <n v="0"/>
    <n v="3"/>
    <x v="0"/>
    <n v="0"/>
    <x v="2"/>
    <x v="1"/>
    <s v="Mid"/>
    <x v="0"/>
  </r>
  <r>
    <n v="29"/>
    <x v="903"/>
    <x v="1"/>
    <x v="1"/>
    <n v="7"/>
    <n v="3"/>
    <x v="0"/>
    <n v="3"/>
    <x v="1"/>
    <n v="3"/>
    <n v="2"/>
    <x v="4"/>
    <x v="0"/>
    <s v="Divorced"/>
    <n v="6623"/>
    <n v="1"/>
    <x v="0"/>
    <n v="2"/>
    <n v="6"/>
    <n v="3"/>
    <n v="6"/>
    <n v="0"/>
    <n v="1"/>
    <n v="0"/>
    <x v="0"/>
    <n v="0"/>
    <x v="2"/>
    <x v="0"/>
    <s v="Mid"/>
    <x v="0"/>
  </r>
  <r>
    <n v="48"/>
    <x v="904"/>
    <x v="1"/>
    <x v="1"/>
    <n v="1"/>
    <n v="3"/>
    <x v="0"/>
    <n v="4"/>
    <x v="1"/>
    <n v="2"/>
    <n v="5"/>
    <x v="7"/>
    <x v="0"/>
    <s v="Single"/>
    <n v="18265"/>
    <n v="6"/>
    <x v="1"/>
    <n v="3"/>
    <n v="25"/>
    <n v="4"/>
    <n v="1"/>
    <n v="0"/>
    <n v="0"/>
    <n v="0"/>
    <x v="3"/>
    <n v="0"/>
    <x v="1"/>
    <x v="2"/>
    <s v="Early"/>
    <x v="0"/>
  </r>
  <r>
    <n v="29"/>
    <x v="905"/>
    <x v="1"/>
    <x v="1"/>
    <n v="1"/>
    <n v="3"/>
    <x v="0"/>
    <n v="4"/>
    <x v="0"/>
    <n v="2"/>
    <n v="4"/>
    <x v="7"/>
    <x v="0"/>
    <s v="Divorced"/>
    <n v="16124"/>
    <n v="3"/>
    <x v="1"/>
    <n v="2"/>
    <n v="9"/>
    <n v="2"/>
    <n v="7"/>
    <n v="7"/>
    <n v="1"/>
    <n v="7"/>
    <x v="9"/>
    <n v="0"/>
    <x v="2"/>
    <x v="2"/>
    <s v="Long"/>
    <x v="2"/>
  </r>
  <r>
    <n v="34"/>
    <x v="906"/>
    <x v="1"/>
    <x v="1"/>
    <n v="20"/>
    <n v="3"/>
    <x v="4"/>
    <n v="3"/>
    <x v="0"/>
    <n v="4"/>
    <n v="1"/>
    <x v="1"/>
    <x v="2"/>
    <s v="Married"/>
    <n v="2585"/>
    <n v="0"/>
    <x v="1"/>
    <n v="4"/>
    <n v="2"/>
    <n v="2"/>
    <n v="1"/>
    <n v="0"/>
    <n v="0"/>
    <n v="0"/>
    <x v="8"/>
    <n v="0"/>
    <x v="0"/>
    <x v="1"/>
    <s v="Early"/>
    <x v="2"/>
  </r>
  <r>
    <n v="44"/>
    <x v="907"/>
    <x v="1"/>
    <x v="0"/>
    <n v="5"/>
    <n v="3"/>
    <x v="3"/>
    <n v="2"/>
    <x v="1"/>
    <n v="3"/>
    <n v="5"/>
    <x v="5"/>
    <x v="1"/>
    <s v="Married"/>
    <n v="18213"/>
    <n v="7"/>
    <x v="1"/>
    <n v="3"/>
    <n v="26"/>
    <n v="3"/>
    <n v="22"/>
    <n v="9"/>
    <n v="3"/>
    <n v="10"/>
    <x v="0"/>
    <n v="0"/>
    <x v="0"/>
    <x v="2"/>
    <s v="Long"/>
    <x v="0"/>
  </r>
  <r>
    <n v="33"/>
    <x v="908"/>
    <x v="1"/>
    <x v="0"/>
    <n v="10"/>
    <n v="5"/>
    <x v="3"/>
    <n v="4"/>
    <x v="1"/>
    <n v="4"/>
    <n v="3"/>
    <x v="0"/>
    <x v="2"/>
    <s v="Divorced"/>
    <n v="8380"/>
    <n v="0"/>
    <x v="0"/>
    <n v="4"/>
    <n v="10"/>
    <n v="3"/>
    <n v="9"/>
    <n v="8"/>
    <n v="0"/>
    <n v="8"/>
    <x v="9"/>
    <n v="0"/>
    <x v="0"/>
    <x v="0"/>
    <s v="Long"/>
    <x v="2"/>
  </r>
  <r>
    <n v="19"/>
    <x v="909"/>
    <x v="1"/>
    <x v="1"/>
    <n v="25"/>
    <n v="3"/>
    <x v="0"/>
    <n v="2"/>
    <x v="0"/>
    <n v="4"/>
    <n v="1"/>
    <x v="1"/>
    <x v="0"/>
    <s v="Single"/>
    <n v="2994"/>
    <n v="1"/>
    <x v="0"/>
    <n v="4"/>
    <n v="1"/>
    <n v="3"/>
    <n v="1"/>
    <n v="0"/>
    <n v="0"/>
    <n v="1"/>
    <x v="3"/>
    <n v="0"/>
    <x v="2"/>
    <x v="1"/>
    <s v="Early"/>
    <x v="0"/>
  </r>
  <r>
    <n v="23"/>
    <x v="910"/>
    <x v="1"/>
    <x v="1"/>
    <n v="1"/>
    <n v="2"/>
    <x v="0"/>
    <n v="4"/>
    <x v="1"/>
    <n v="3"/>
    <n v="1"/>
    <x v="1"/>
    <x v="2"/>
    <s v="Married"/>
    <n v="1223"/>
    <n v="1"/>
    <x v="1"/>
    <n v="4"/>
    <n v="1"/>
    <n v="3"/>
    <n v="1"/>
    <n v="0"/>
    <n v="0"/>
    <n v="1"/>
    <x v="6"/>
    <n v="0"/>
    <x v="2"/>
    <x v="1"/>
    <s v="Early"/>
    <x v="1"/>
  </r>
  <r>
    <n v="25"/>
    <x v="911"/>
    <x v="0"/>
    <x v="0"/>
    <n v="24"/>
    <n v="1"/>
    <x v="0"/>
    <n v="3"/>
    <x v="1"/>
    <n v="1"/>
    <n v="1"/>
    <x v="6"/>
    <x v="0"/>
    <s v="Single"/>
    <n v="1118"/>
    <n v="1"/>
    <x v="0"/>
    <n v="4"/>
    <n v="1"/>
    <n v="3"/>
    <n v="1"/>
    <n v="0"/>
    <n v="1"/>
    <n v="0"/>
    <x v="9"/>
    <n v="1"/>
    <x v="2"/>
    <x v="1"/>
    <s v="Early"/>
    <x v="2"/>
  </r>
  <r>
    <n v="26"/>
    <x v="912"/>
    <x v="1"/>
    <x v="1"/>
    <n v="4"/>
    <n v="2"/>
    <x v="0"/>
    <n v="3"/>
    <x v="1"/>
    <n v="3"/>
    <n v="1"/>
    <x v="1"/>
    <x v="0"/>
    <s v="Single"/>
    <n v="2875"/>
    <n v="1"/>
    <x v="0"/>
    <n v="2"/>
    <n v="8"/>
    <n v="2"/>
    <n v="8"/>
    <n v="5"/>
    <n v="2"/>
    <n v="2"/>
    <x v="5"/>
    <n v="0"/>
    <x v="2"/>
    <x v="1"/>
    <s v="Long"/>
    <x v="1"/>
  </r>
  <r>
    <n v="45"/>
    <x v="913"/>
    <x v="0"/>
    <x v="0"/>
    <n v="2"/>
    <n v="3"/>
    <x v="3"/>
    <n v="1"/>
    <x v="0"/>
    <n v="1"/>
    <n v="5"/>
    <x v="5"/>
    <x v="1"/>
    <s v="Single"/>
    <n v="18824"/>
    <n v="2"/>
    <x v="0"/>
    <n v="1"/>
    <n v="26"/>
    <n v="3"/>
    <n v="24"/>
    <n v="10"/>
    <n v="1"/>
    <n v="11"/>
    <x v="10"/>
    <n v="1"/>
    <x v="1"/>
    <x v="2"/>
    <s v="Long"/>
    <x v="2"/>
  </r>
  <r>
    <n v="55"/>
    <x v="914"/>
    <x v="1"/>
    <x v="1"/>
    <n v="8"/>
    <n v="1"/>
    <x v="2"/>
    <n v="4"/>
    <x v="1"/>
    <n v="2"/>
    <n v="4"/>
    <x v="4"/>
    <x v="1"/>
    <s v="Divorced"/>
    <n v="13577"/>
    <n v="1"/>
    <x v="0"/>
    <n v="4"/>
    <n v="34"/>
    <n v="3"/>
    <n v="33"/>
    <n v="9"/>
    <n v="15"/>
    <n v="0"/>
    <x v="2"/>
    <n v="0"/>
    <x v="1"/>
    <x v="2"/>
    <s v="Long"/>
    <x v="2"/>
  </r>
  <r>
    <n v="21"/>
    <x v="915"/>
    <x v="0"/>
    <x v="1"/>
    <n v="10"/>
    <n v="2"/>
    <x v="0"/>
    <n v="1"/>
    <x v="0"/>
    <n v="2"/>
    <n v="1"/>
    <x v="2"/>
    <x v="2"/>
    <s v="Single"/>
    <n v="2625"/>
    <n v="1"/>
    <x v="1"/>
    <n v="3"/>
    <n v="2"/>
    <n v="1"/>
    <n v="2"/>
    <n v="2"/>
    <n v="2"/>
    <n v="2"/>
    <x v="5"/>
    <n v="1"/>
    <x v="2"/>
    <x v="1"/>
    <s v="Early"/>
    <x v="1"/>
  </r>
  <r>
    <n v="46"/>
    <x v="916"/>
    <x v="1"/>
    <x v="0"/>
    <n v="4"/>
    <n v="2"/>
    <x v="3"/>
    <n v="4"/>
    <x v="0"/>
    <n v="2"/>
    <n v="5"/>
    <x v="5"/>
    <x v="1"/>
    <s v="Married"/>
    <n v="18789"/>
    <n v="2"/>
    <x v="1"/>
    <n v="3"/>
    <n v="26"/>
    <n v="3"/>
    <n v="11"/>
    <n v="4"/>
    <n v="0"/>
    <n v="8"/>
    <x v="9"/>
    <n v="0"/>
    <x v="1"/>
    <x v="2"/>
    <s v="Long"/>
    <x v="2"/>
  </r>
  <r>
    <n v="34"/>
    <x v="917"/>
    <x v="1"/>
    <x v="0"/>
    <n v="2"/>
    <n v="3"/>
    <x v="3"/>
    <n v="3"/>
    <x v="0"/>
    <n v="3"/>
    <n v="2"/>
    <x v="0"/>
    <x v="3"/>
    <s v="Single"/>
    <n v="4538"/>
    <n v="0"/>
    <x v="0"/>
    <n v="4"/>
    <n v="4"/>
    <n v="3"/>
    <n v="3"/>
    <n v="2"/>
    <n v="0"/>
    <n v="2"/>
    <x v="3"/>
    <n v="0"/>
    <x v="0"/>
    <x v="1"/>
    <s v="Mid"/>
    <x v="0"/>
  </r>
  <r>
    <n v="51"/>
    <x v="918"/>
    <x v="1"/>
    <x v="0"/>
    <n v="9"/>
    <n v="3"/>
    <x v="0"/>
    <n v="4"/>
    <x v="1"/>
    <n v="3"/>
    <n v="5"/>
    <x v="5"/>
    <x v="1"/>
    <s v="Divorced"/>
    <n v="19847"/>
    <n v="4"/>
    <x v="0"/>
    <n v="1"/>
    <n v="31"/>
    <n v="2"/>
    <n v="29"/>
    <n v="10"/>
    <n v="11"/>
    <n v="10"/>
    <x v="13"/>
    <n v="0"/>
    <x v="1"/>
    <x v="2"/>
    <s v="Long"/>
    <x v="1"/>
  </r>
  <r>
    <n v="59"/>
    <x v="919"/>
    <x v="1"/>
    <x v="1"/>
    <n v="18"/>
    <n v="4"/>
    <x v="2"/>
    <n v="4"/>
    <x v="1"/>
    <n v="3"/>
    <n v="3"/>
    <x v="3"/>
    <x v="0"/>
    <s v="Single"/>
    <n v="10512"/>
    <n v="6"/>
    <x v="1"/>
    <n v="4"/>
    <n v="25"/>
    <n v="2"/>
    <n v="9"/>
    <n v="7"/>
    <n v="5"/>
    <n v="4"/>
    <x v="3"/>
    <n v="0"/>
    <x v="1"/>
    <x v="2"/>
    <s v="Long"/>
    <x v="0"/>
  </r>
  <r>
    <n v="34"/>
    <x v="920"/>
    <x v="1"/>
    <x v="1"/>
    <n v="19"/>
    <n v="3"/>
    <x v="2"/>
    <n v="3"/>
    <x v="0"/>
    <n v="3"/>
    <n v="2"/>
    <x v="2"/>
    <x v="1"/>
    <s v="Divorced"/>
    <n v="4444"/>
    <n v="4"/>
    <x v="1"/>
    <n v="3"/>
    <n v="15"/>
    <n v="4"/>
    <n v="11"/>
    <n v="8"/>
    <n v="5"/>
    <n v="10"/>
    <x v="4"/>
    <n v="0"/>
    <x v="0"/>
    <x v="1"/>
    <s v="Long"/>
    <x v="2"/>
  </r>
  <r>
    <n v="28"/>
    <x v="921"/>
    <x v="1"/>
    <x v="1"/>
    <n v="1"/>
    <n v="4"/>
    <x v="2"/>
    <n v="4"/>
    <x v="1"/>
    <n v="3"/>
    <n v="1"/>
    <x v="2"/>
    <x v="2"/>
    <s v="Single"/>
    <n v="2154"/>
    <n v="0"/>
    <x v="0"/>
    <n v="3"/>
    <n v="5"/>
    <n v="2"/>
    <n v="4"/>
    <n v="2"/>
    <n v="0"/>
    <n v="2"/>
    <x v="0"/>
    <n v="0"/>
    <x v="2"/>
    <x v="1"/>
    <s v="Mid"/>
    <x v="0"/>
  </r>
  <r>
    <n v="44"/>
    <x v="922"/>
    <x v="1"/>
    <x v="1"/>
    <n v="4"/>
    <n v="2"/>
    <x v="0"/>
    <n v="3"/>
    <x v="1"/>
    <n v="4"/>
    <n v="5"/>
    <x v="5"/>
    <x v="3"/>
    <s v="Divorced"/>
    <n v="19190"/>
    <n v="1"/>
    <x v="1"/>
    <n v="4"/>
    <n v="26"/>
    <n v="2"/>
    <n v="25"/>
    <n v="9"/>
    <n v="14"/>
    <n v="13"/>
    <x v="9"/>
    <n v="0"/>
    <x v="0"/>
    <x v="2"/>
    <s v="Long"/>
    <x v="2"/>
  </r>
  <r>
    <n v="34"/>
    <x v="923"/>
    <x v="1"/>
    <x v="2"/>
    <n v="11"/>
    <n v="3"/>
    <x v="0"/>
    <n v="3"/>
    <x v="1"/>
    <n v="2"/>
    <n v="2"/>
    <x v="8"/>
    <x v="1"/>
    <s v="Married"/>
    <n v="4490"/>
    <n v="4"/>
    <x v="1"/>
    <n v="4"/>
    <n v="14"/>
    <n v="4"/>
    <n v="10"/>
    <n v="9"/>
    <n v="1"/>
    <n v="8"/>
    <x v="0"/>
    <n v="0"/>
    <x v="0"/>
    <x v="1"/>
    <s v="Long"/>
    <x v="0"/>
  </r>
  <r>
    <n v="35"/>
    <x v="924"/>
    <x v="1"/>
    <x v="1"/>
    <n v="6"/>
    <n v="1"/>
    <x v="0"/>
    <n v="3"/>
    <x v="1"/>
    <n v="3"/>
    <n v="1"/>
    <x v="1"/>
    <x v="2"/>
    <s v="Married"/>
    <n v="3506"/>
    <n v="0"/>
    <x v="0"/>
    <n v="4"/>
    <n v="4"/>
    <n v="3"/>
    <n v="3"/>
    <n v="2"/>
    <n v="2"/>
    <n v="2"/>
    <x v="9"/>
    <n v="0"/>
    <x v="0"/>
    <x v="1"/>
    <s v="Mid"/>
    <x v="2"/>
  </r>
  <r>
    <n v="42"/>
    <x v="925"/>
    <x v="1"/>
    <x v="1"/>
    <n v="7"/>
    <n v="4"/>
    <x v="2"/>
    <n v="2"/>
    <x v="0"/>
    <n v="4"/>
    <n v="2"/>
    <x v="1"/>
    <x v="1"/>
    <s v="Married"/>
    <n v="2372"/>
    <n v="6"/>
    <x v="0"/>
    <n v="4"/>
    <n v="18"/>
    <n v="3"/>
    <n v="1"/>
    <n v="0"/>
    <n v="0"/>
    <n v="0"/>
    <x v="10"/>
    <n v="0"/>
    <x v="0"/>
    <x v="1"/>
    <s v="Early"/>
    <x v="2"/>
  </r>
  <r>
    <n v="43"/>
    <x v="926"/>
    <x v="1"/>
    <x v="0"/>
    <n v="4"/>
    <n v="4"/>
    <x v="3"/>
    <n v="4"/>
    <x v="0"/>
    <n v="2"/>
    <n v="3"/>
    <x v="0"/>
    <x v="0"/>
    <s v="Single"/>
    <n v="10231"/>
    <n v="3"/>
    <x v="1"/>
    <n v="4"/>
    <n v="23"/>
    <n v="4"/>
    <n v="21"/>
    <n v="7"/>
    <n v="15"/>
    <n v="17"/>
    <x v="9"/>
    <n v="0"/>
    <x v="0"/>
    <x v="2"/>
    <s v="Long"/>
    <x v="2"/>
  </r>
  <r>
    <n v="36"/>
    <x v="927"/>
    <x v="1"/>
    <x v="1"/>
    <n v="2"/>
    <n v="4"/>
    <x v="0"/>
    <n v="3"/>
    <x v="0"/>
    <n v="3"/>
    <n v="2"/>
    <x v="3"/>
    <x v="1"/>
    <s v="Single"/>
    <n v="5410"/>
    <n v="9"/>
    <x v="0"/>
    <n v="4"/>
    <n v="18"/>
    <n v="3"/>
    <n v="16"/>
    <n v="14"/>
    <n v="5"/>
    <n v="12"/>
    <x v="0"/>
    <n v="0"/>
    <x v="0"/>
    <x v="0"/>
    <s v="Long"/>
    <x v="0"/>
  </r>
  <r>
    <n v="44"/>
    <x v="928"/>
    <x v="0"/>
    <x v="1"/>
    <n v="15"/>
    <n v="3"/>
    <x v="2"/>
    <n v="1"/>
    <x v="0"/>
    <n v="3"/>
    <n v="3"/>
    <x v="4"/>
    <x v="0"/>
    <s v="Married"/>
    <n v="7978"/>
    <n v="1"/>
    <x v="1"/>
    <n v="4"/>
    <n v="10"/>
    <n v="3"/>
    <n v="10"/>
    <n v="7"/>
    <n v="0"/>
    <n v="5"/>
    <x v="0"/>
    <n v="1"/>
    <x v="0"/>
    <x v="0"/>
    <s v="Long"/>
    <x v="0"/>
  </r>
  <r>
    <n v="28"/>
    <x v="929"/>
    <x v="1"/>
    <x v="1"/>
    <n v="2"/>
    <n v="3"/>
    <x v="0"/>
    <n v="4"/>
    <x v="1"/>
    <n v="2"/>
    <n v="1"/>
    <x v="2"/>
    <x v="0"/>
    <s v="Married"/>
    <n v="3867"/>
    <n v="1"/>
    <x v="0"/>
    <n v="2"/>
    <n v="2"/>
    <n v="3"/>
    <n v="2"/>
    <n v="2"/>
    <n v="2"/>
    <n v="2"/>
    <x v="3"/>
    <n v="0"/>
    <x v="2"/>
    <x v="1"/>
    <s v="Early"/>
    <x v="0"/>
  </r>
  <r>
    <n v="51"/>
    <x v="930"/>
    <x v="1"/>
    <x v="1"/>
    <n v="6"/>
    <n v="2"/>
    <x v="2"/>
    <n v="2"/>
    <x v="0"/>
    <n v="2"/>
    <n v="1"/>
    <x v="2"/>
    <x v="2"/>
    <s v="Single"/>
    <n v="2838"/>
    <n v="0"/>
    <x v="1"/>
    <n v="2"/>
    <n v="8"/>
    <n v="2"/>
    <n v="7"/>
    <n v="0"/>
    <n v="7"/>
    <n v="7"/>
    <x v="9"/>
    <n v="0"/>
    <x v="1"/>
    <x v="1"/>
    <s v="Long"/>
    <x v="2"/>
  </r>
  <r>
    <n v="30"/>
    <x v="931"/>
    <x v="1"/>
    <x v="1"/>
    <n v="9"/>
    <n v="2"/>
    <x v="2"/>
    <n v="3"/>
    <x v="0"/>
    <n v="3"/>
    <n v="2"/>
    <x v="3"/>
    <x v="2"/>
    <s v="Single"/>
    <n v="4695"/>
    <n v="7"/>
    <x v="0"/>
    <n v="3"/>
    <n v="10"/>
    <n v="3"/>
    <n v="8"/>
    <n v="4"/>
    <n v="1"/>
    <n v="7"/>
    <x v="11"/>
    <n v="0"/>
    <x v="0"/>
    <x v="1"/>
    <s v="Long"/>
    <x v="1"/>
  </r>
  <r>
    <n v="29"/>
    <x v="932"/>
    <x v="0"/>
    <x v="1"/>
    <n v="7"/>
    <n v="3"/>
    <x v="4"/>
    <n v="2"/>
    <x v="0"/>
    <n v="3"/>
    <n v="1"/>
    <x v="2"/>
    <x v="2"/>
    <s v="Divorced"/>
    <n v="3339"/>
    <n v="3"/>
    <x v="0"/>
    <n v="1"/>
    <n v="10"/>
    <n v="3"/>
    <n v="7"/>
    <n v="7"/>
    <n v="7"/>
    <n v="7"/>
    <x v="4"/>
    <n v="1"/>
    <x v="2"/>
    <x v="1"/>
    <s v="Long"/>
    <x v="2"/>
  </r>
  <r>
    <n v="28"/>
    <x v="933"/>
    <x v="1"/>
    <x v="1"/>
    <n v="1"/>
    <n v="3"/>
    <x v="4"/>
    <n v="4"/>
    <x v="1"/>
    <n v="3"/>
    <n v="1"/>
    <x v="1"/>
    <x v="3"/>
    <s v="Single"/>
    <n v="2080"/>
    <n v="2"/>
    <x v="1"/>
    <n v="2"/>
    <n v="5"/>
    <n v="2"/>
    <n v="3"/>
    <n v="2"/>
    <n v="1"/>
    <n v="2"/>
    <x v="0"/>
    <n v="0"/>
    <x v="2"/>
    <x v="1"/>
    <s v="Mid"/>
    <x v="0"/>
  </r>
  <r>
    <n v="25"/>
    <x v="934"/>
    <x v="1"/>
    <x v="1"/>
    <n v="1"/>
    <n v="3"/>
    <x v="2"/>
    <n v="4"/>
    <x v="0"/>
    <n v="3"/>
    <n v="1"/>
    <x v="1"/>
    <x v="1"/>
    <s v="Single"/>
    <n v="2096"/>
    <n v="1"/>
    <x v="1"/>
    <n v="4"/>
    <n v="2"/>
    <n v="2"/>
    <n v="2"/>
    <n v="2"/>
    <n v="2"/>
    <n v="1"/>
    <x v="11"/>
    <n v="0"/>
    <x v="2"/>
    <x v="1"/>
    <s v="Early"/>
    <x v="1"/>
  </r>
  <r>
    <n v="32"/>
    <x v="935"/>
    <x v="1"/>
    <x v="0"/>
    <n v="8"/>
    <n v="3"/>
    <x v="2"/>
    <n v="3"/>
    <x v="1"/>
    <n v="4"/>
    <n v="2"/>
    <x v="0"/>
    <x v="0"/>
    <s v="Married"/>
    <n v="6209"/>
    <n v="1"/>
    <x v="1"/>
    <n v="3"/>
    <n v="10"/>
    <n v="4"/>
    <n v="10"/>
    <n v="7"/>
    <n v="0"/>
    <n v="8"/>
    <x v="2"/>
    <n v="0"/>
    <x v="0"/>
    <x v="0"/>
    <s v="Long"/>
    <x v="2"/>
  </r>
  <r>
    <n v="45"/>
    <x v="936"/>
    <x v="1"/>
    <x v="1"/>
    <n v="25"/>
    <n v="3"/>
    <x v="2"/>
    <n v="2"/>
    <x v="0"/>
    <n v="3"/>
    <n v="5"/>
    <x v="5"/>
    <x v="1"/>
    <s v="Single"/>
    <n v="18061"/>
    <n v="3"/>
    <x v="1"/>
    <n v="3"/>
    <n v="22"/>
    <n v="3"/>
    <n v="0"/>
    <n v="0"/>
    <n v="0"/>
    <n v="0"/>
    <x v="6"/>
    <n v="0"/>
    <x v="1"/>
    <x v="2"/>
    <s v="Early"/>
    <x v="1"/>
  </r>
  <r>
    <n v="39"/>
    <x v="937"/>
    <x v="1"/>
    <x v="1"/>
    <n v="13"/>
    <n v="4"/>
    <x v="2"/>
    <n v="3"/>
    <x v="0"/>
    <n v="2"/>
    <n v="4"/>
    <x v="5"/>
    <x v="1"/>
    <s v="Divorced"/>
    <n v="17123"/>
    <n v="6"/>
    <x v="0"/>
    <n v="4"/>
    <n v="21"/>
    <n v="3"/>
    <n v="19"/>
    <n v="9"/>
    <n v="15"/>
    <n v="2"/>
    <x v="4"/>
    <n v="0"/>
    <x v="0"/>
    <x v="2"/>
    <s v="Long"/>
    <x v="2"/>
  </r>
  <r>
    <n v="58"/>
    <x v="938"/>
    <x v="1"/>
    <x v="1"/>
    <n v="23"/>
    <n v="4"/>
    <x v="0"/>
    <n v="1"/>
    <x v="1"/>
    <n v="3"/>
    <n v="1"/>
    <x v="1"/>
    <x v="2"/>
    <s v="Divorced"/>
    <n v="2372"/>
    <n v="1"/>
    <x v="1"/>
    <n v="4"/>
    <n v="2"/>
    <n v="3"/>
    <n v="2"/>
    <n v="2"/>
    <n v="2"/>
    <n v="2"/>
    <x v="3"/>
    <n v="0"/>
    <x v="1"/>
    <x v="1"/>
    <s v="Early"/>
    <x v="0"/>
  </r>
  <r>
    <n v="32"/>
    <x v="939"/>
    <x v="0"/>
    <x v="1"/>
    <n v="7"/>
    <n v="2"/>
    <x v="0"/>
    <n v="4"/>
    <x v="1"/>
    <n v="3"/>
    <n v="2"/>
    <x v="2"/>
    <x v="2"/>
    <s v="Married"/>
    <n v="4883"/>
    <n v="1"/>
    <x v="1"/>
    <n v="1"/>
    <n v="10"/>
    <n v="3"/>
    <n v="10"/>
    <n v="4"/>
    <n v="1"/>
    <n v="1"/>
    <x v="11"/>
    <n v="1"/>
    <x v="0"/>
    <x v="1"/>
    <s v="Long"/>
    <x v="1"/>
  </r>
  <r>
    <n v="39"/>
    <x v="940"/>
    <x v="0"/>
    <x v="1"/>
    <n v="23"/>
    <n v="3"/>
    <x v="2"/>
    <n v="3"/>
    <x v="1"/>
    <n v="3"/>
    <n v="1"/>
    <x v="1"/>
    <x v="3"/>
    <s v="Single"/>
    <n v="3904"/>
    <n v="0"/>
    <x v="1"/>
    <n v="1"/>
    <n v="6"/>
    <n v="3"/>
    <n v="5"/>
    <n v="2"/>
    <n v="0"/>
    <n v="3"/>
    <x v="4"/>
    <n v="1"/>
    <x v="0"/>
    <x v="1"/>
    <s v="Mid"/>
    <x v="2"/>
  </r>
  <r>
    <n v="30"/>
    <x v="941"/>
    <x v="1"/>
    <x v="1"/>
    <n v="6"/>
    <n v="3"/>
    <x v="4"/>
    <n v="1"/>
    <x v="0"/>
    <n v="2"/>
    <n v="2"/>
    <x v="2"/>
    <x v="0"/>
    <s v="Married"/>
    <n v="4627"/>
    <n v="0"/>
    <x v="1"/>
    <n v="1"/>
    <n v="10"/>
    <n v="3"/>
    <n v="9"/>
    <n v="2"/>
    <n v="6"/>
    <n v="7"/>
    <x v="3"/>
    <n v="0"/>
    <x v="0"/>
    <x v="1"/>
    <s v="Long"/>
    <x v="0"/>
  </r>
  <r>
    <n v="36"/>
    <x v="942"/>
    <x v="1"/>
    <x v="1"/>
    <n v="10"/>
    <n v="4"/>
    <x v="4"/>
    <n v="4"/>
    <x v="0"/>
    <n v="3"/>
    <n v="3"/>
    <x v="4"/>
    <x v="2"/>
    <s v="Married"/>
    <n v="7094"/>
    <n v="3"/>
    <x v="1"/>
    <n v="1"/>
    <n v="10"/>
    <n v="3"/>
    <n v="7"/>
    <n v="7"/>
    <n v="1"/>
    <n v="7"/>
    <x v="3"/>
    <n v="0"/>
    <x v="0"/>
    <x v="0"/>
    <s v="Long"/>
    <x v="0"/>
  </r>
  <r>
    <n v="46"/>
    <x v="943"/>
    <x v="1"/>
    <x v="2"/>
    <n v="1"/>
    <n v="2"/>
    <x v="0"/>
    <n v="4"/>
    <x v="0"/>
    <n v="3"/>
    <n v="1"/>
    <x v="8"/>
    <x v="3"/>
    <s v="Single"/>
    <n v="3423"/>
    <n v="6"/>
    <x v="1"/>
    <n v="3"/>
    <n v="10"/>
    <n v="4"/>
    <n v="7"/>
    <n v="6"/>
    <n v="5"/>
    <n v="7"/>
    <x v="3"/>
    <n v="0"/>
    <x v="1"/>
    <x v="1"/>
    <s v="Long"/>
    <x v="0"/>
  </r>
  <r>
    <n v="28"/>
    <x v="944"/>
    <x v="1"/>
    <x v="1"/>
    <n v="1"/>
    <n v="3"/>
    <x v="0"/>
    <n v="3"/>
    <x v="0"/>
    <n v="1"/>
    <n v="2"/>
    <x v="2"/>
    <x v="0"/>
    <s v="Married"/>
    <n v="6674"/>
    <n v="0"/>
    <x v="1"/>
    <n v="1"/>
    <n v="10"/>
    <n v="3"/>
    <n v="9"/>
    <n v="8"/>
    <n v="7"/>
    <n v="5"/>
    <x v="0"/>
    <n v="0"/>
    <x v="2"/>
    <x v="0"/>
    <s v="Long"/>
    <x v="0"/>
  </r>
  <r>
    <n v="50"/>
    <x v="945"/>
    <x v="1"/>
    <x v="1"/>
    <n v="28"/>
    <n v="3"/>
    <x v="0"/>
    <n v="4"/>
    <x v="0"/>
    <n v="3"/>
    <n v="4"/>
    <x v="7"/>
    <x v="3"/>
    <s v="Married"/>
    <n v="16880"/>
    <n v="4"/>
    <x v="0"/>
    <n v="2"/>
    <n v="25"/>
    <n v="3"/>
    <n v="3"/>
    <n v="2"/>
    <n v="1"/>
    <n v="2"/>
    <x v="0"/>
    <n v="0"/>
    <x v="1"/>
    <x v="2"/>
    <s v="Mid"/>
    <x v="0"/>
  </r>
  <r>
    <n v="40"/>
    <x v="946"/>
    <x v="0"/>
    <x v="0"/>
    <n v="25"/>
    <n v="4"/>
    <x v="3"/>
    <n v="4"/>
    <x v="1"/>
    <n v="2"/>
    <n v="3"/>
    <x v="0"/>
    <x v="1"/>
    <s v="Single"/>
    <n v="9094"/>
    <n v="2"/>
    <x v="0"/>
    <n v="3"/>
    <n v="9"/>
    <n v="3"/>
    <n v="5"/>
    <n v="4"/>
    <n v="1"/>
    <n v="0"/>
    <x v="3"/>
    <n v="1"/>
    <x v="0"/>
    <x v="0"/>
    <s v="Mid"/>
    <x v="0"/>
  </r>
  <r>
    <n v="52"/>
    <x v="947"/>
    <x v="0"/>
    <x v="0"/>
    <n v="5"/>
    <n v="3"/>
    <x v="0"/>
    <n v="2"/>
    <x v="1"/>
    <n v="3"/>
    <n v="3"/>
    <x v="0"/>
    <x v="1"/>
    <s v="Single"/>
    <n v="8446"/>
    <n v="9"/>
    <x v="0"/>
    <n v="3"/>
    <n v="10"/>
    <n v="2"/>
    <n v="8"/>
    <n v="7"/>
    <n v="7"/>
    <n v="7"/>
    <x v="12"/>
    <n v="1"/>
    <x v="1"/>
    <x v="0"/>
    <s v="Long"/>
    <x v="1"/>
  </r>
  <r>
    <n v="30"/>
    <x v="948"/>
    <x v="1"/>
    <x v="1"/>
    <n v="17"/>
    <n v="4"/>
    <x v="2"/>
    <n v="2"/>
    <x v="0"/>
    <n v="3"/>
    <n v="3"/>
    <x v="5"/>
    <x v="3"/>
    <s v="Married"/>
    <n v="11916"/>
    <n v="1"/>
    <x v="0"/>
    <n v="4"/>
    <n v="9"/>
    <n v="3"/>
    <n v="9"/>
    <n v="1"/>
    <n v="0"/>
    <n v="8"/>
    <x v="1"/>
    <n v="0"/>
    <x v="0"/>
    <x v="2"/>
    <s v="Long"/>
    <x v="1"/>
  </r>
  <r>
    <n v="39"/>
    <x v="949"/>
    <x v="1"/>
    <x v="1"/>
    <n v="18"/>
    <n v="2"/>
    <x v="0"/>
    <n v="1"/>
    <x v="1"/>
    <n v="3"/>
    <n v="2"/>
    <x v="3"/>
    <x v="2"/>
    <s v="Single"/>
    <n v="4534"/>
    <n v="0"/>
    <x v="1"/>
    <n v="1"/>
    <n v="9"/>
    <n v="3"/>
    <n v="8"/>
    <n v="7"/>
    <n v="1"/>
    <n v="7"/>
    <x v="0"/>
    <n v="0"/>
    <x v="0"/>
    <x v="1"/>
    <s v="Long"/>
    <x v="0"/>
  </r>
  <r>
    <n v="31"/>
    <x v="950"/>
    <x v="1"/>
    <x v="0"/>
    <n v="2"/>
    <n v="4"/>
    <x v="0"/>
    <n v="4"/>
    <x v="0"/>
    <n v="3"/>
    <n v="3"/>
    <x v="0"/>
    <x v="2"/>
    <s v="Divorced"/>
    <n v="9852"/>
    <n v="1"/>
    <x v="0"/>
    <n v="1"/>
    <n v="10"/>
    <n v="2"/>
    <n v="10"/>
    <n v="8"/>
    <n v="9"/>
    <n v="6"/>
    <x v="12"/>
    <n v="0"/>
    <x v="0"/>
    <x v="0"/>
    <s v="Long"/>
    <x v="1"/>
  </r>
  <r>
    <n v="41"/>
    <x v="951"/>
    <x v="1"/>
    <x v="0"/>
    <n v="10"/>
    <n v="2"/>
    <x v="2"/>
    <n v="3"/>
    <x v="1"/>
    <n v="1"/>
    <n v="2"/>
    <x v="0"/>
    <x v="1"/>
    <s v="Single"/>
    <n v="6151"/>
    <n v="1"/>
    <x v="1"/>
    <n v="1"/>
    <n v="19"/>
    <n v="3"/>
    <n v="19"/>
    <n v="2"/>
    <n v="11"/>
    <n v="9"/>
    <x v="4"/>
    <n v="0"/>
    <x v="0"/>
    <x v="0"/>
    <s v="Long"/>
    <x v="2"/>
  </r>
  <r>
    <n v="31"/>
    <x v="952"/>
    <x v="0"/>
    <x v="0"/>
    <n v="1"/>
    <n v="3"/>
    <x v="0"/>
    <n v="4"/>
    <x v="0"/>
    <n v="3"/>
    <n v="1"/>
    <x v="6"/>
    <x v="1"/>
    <s v="Single"/>
    <n v="2302"/>
    <n v="1"/>
    <x v="0"/>
    <n v="1"/>
    <n v="3"/>
    <n v="4"/>
    <n v="3"/>
    <n v="2"/>
    <n v="2"/>
    <n v="2"/>
    <x v="0"/>
    <n v="1"/>
    <x v="0"/>
    <x v="1"/>
    <s v="Mid"/>
    <x v="0"/>
  </r>
  <r>
    <n v="44"/>
    <x v="953"/>
    <x v="0"/>
    <x v="1"/>
    <n v="3"/>
    <n v="3"/>
    <x v="0"/>
    <n v="1"/>
    <x v="1"/>
    <n v="3"/>
    <n v="1"/>
    <x v="2"/>
    <x v="3"/>
    <s v="Married"/>
    <n v="2362"/>
    <n v="4"/>
    <x v="1"/>
    <n v="3"/>
    <n v="10"/>
    <n v="4"/>
    <n v="3"/>
    <n v="2"/>
    <n v="1"/>
    <n v="2"/>
    <x v="3"/>
    <n v="1"/>
    <x v="0"/>
    <x v="1"/>
    <s v="Mid"/>
    <x v="0"/>
  </r>
  <r>
    <n v="42"/>
    <x v="954"/>
    <x v="1"/>
    <x v="1"/>
    <n v="2"/>
    <n v="1"/>
    <x v="0"/>
    <n v="3"/>
    <x v="1"/>
    <n v="3"/>
    <n v="4"/>
    <x v="5"/>
    <x v="2"/>
    <s v="Married"/>
    <n v="17861"/>
    <n v="0"/>
    <x v="0"/>
    <n v="4"/>
    <n v="21"/>
    <n v="2"/>
    <n v="20"/>
    <n v="8"/>
    <n v="2"/>
    <n v="10"/>
    <x v="4"/>
    <n v="0"/>
    <x v="0"/>
    <x v="2"/>
    <s v="Long"/>
    <x v="2"/>
  </r>
  <r>
    <n v="55"/>
    <x v="955"/>
    <x v="1"/>
    <x v="1"/>
    <n v="2"/>
    <n v="2"/>
    <x v="2"/>
    <n v="4"/>
    <x v="0"/>
    <n v="1"/>
    <n v="5"/>
    <x v="5"/>
    <x v="2"/>
    <s v="Married"/>
    <n v="19187"/>
    <n v="4"/>
    <x v="1"/>
    <n v="4"/>
    <n v="23"/>
    <n v="3"/>
    <n v="19"/>
    <n v="9"/>
    <n v="9"/>
    <n v="11"/>
    <x v="9"/>
    <n v="0"/>
    <x v="1"/>
    <x v="2"/>
    <s v="Long"/>
    <x v="2"/>
  </r>
  <r>
    <n v="56"/>
    <x v="956"/>
    <x v="1"/>
    <x v="2"/>
    <n v="8"/>
    <n v="4"/>
    <x v="0"/>
    <n v="4"/>
    <x v="1"/>
    <n v="3"/>
    <n v="5"/>
    <x v="5"/>
    <x v="1"/>
    <s v="Single"/>
    <n v="19717"/>
    <n v="6"/>
    <x v="1"/>
    <n v="1"/>
    <n v="36"/>
    <n v="3"/>
    <n v="7"/>
    <n v="3"/>
    <n v="7"/>
    <n v="7"/>
    <x v="9"/>
    <n v="0"/>
    <x v="1"/>
    <x v="2"/>
    <s v="Long"/>
    <x v="2"/>
  </r>
  <r>
    <n v="40"/>
    <x v="957"/>
    <x v="1"/>
    <x v="1"/>
    <n v="16"/>
    <n v="2"/>
    <x v="0"/>
    <n v="3"/>
    <x v="1"/>
    <n v="3"/>
    <n v="1"/>
    <x v="1"/>
    <x v="2"/>
    <s v="Divorced"/>
    <n v="3544"/>
    <n v="9"/>
    <x v="1"/>
    <n v="2"/>
    <n v="6"/>
    <n v="3"/>
    <n v="4"/>
    <n v="2"/>
    <n v="0"/>
    <n v="0"/>
    <x v="10"/>
    <n v="0"/>
    <x v="0"/>
    <x v="1"/>
    <s v="Mid"/>
    <x v="2"/>
  </r>
  <r>
    <n v="34"/>
    <x v="958"/>
    <x v="1"/>
    <x v="1"/>
    <n v="9"/>
    <n v="3"/>
    <x v="0"/>
    <n v="4"/>
    <x v="1"/>
    <n v="3"/>
    <n v="3"/>
    <x v="4"/>
    <x v="0"/>
    <s v="Divorced"/>
    <n v="8500"/>
    <n v="0"/>
    <x v="1"/>
    <n v="4"/>
    <n v="10"/>
    <n v="2"/>
    <n v="9"/>
    <n v="7"/>
    <n v="1"/>
    <n v="6"/>
    <x v="0"/>
    <n v="0"/>
    <x v="0"/>
    <x v="0"/>
    <s v="Long"/>
    <x v="0"/>
  </r>
  <r>
    <n v="40"/>
    <x v="959"/>
    <x v="1"/>
    <x v="1"/>
    <n v="2"/>
    <n v="3"/>
    <x v="0"/>
    <n v="3"/>
    <x v="1"/>
    <n v="3"/>
    <n v="2"/>
    <x v="1"/>
    <x v="0"/>
    <s v="Single"/>
    <n v="4661"/>
    <n v="1"/>
    <x v="1"/>
    <n v="3"/>
    <n v="9"/>
    <n v="3"/>
    <n v="9"/>
    <n v="8"/>
    <n v="8"/>
    <n v="8"/>
    <x v="4"/>
    <n v="0"/>
    <x v="0"/>
    <x v="1"/>
    <s v="Long"/>
    <x v="2"/>
  </r>
  <r>
    <n v="41"/>
    <x v="960"/>
    <x v="1"/>
    <x v="0"/>
    <n v="1"/>
    <n v="3"/>
    <x v="3"/>
    <n v="3"/>
    <x v="0"/>
    <n v="3"/>
    <n v="2"/>
    <x v="0"/>
    <x v="3"/>
    <s v="Divorced"/>
    <n v="4103"/>
    <n v="0"/>
    <x v="1"/>
    <n v="4"/>
    <n v="10"/>
    <n v="3"/>
    <n v="9"/>
    <n v="3"/>
    <n v="1"/>
    <n v="7"/>
    <x v="8"/>
    <n v="0"/>
    <x v="0"/>
    <x v="1"/>
    <s v="Long"/>
    <x v="2"/>
  </r>
  <r>
    <n v="35"/>
    <x v="961"/>
    <x v="1"/>
    <x v="1"/>
    <n v="4"/>
    <n v="4"/>
    <x v="0"/>
    <n v="3"/>
    <x v="1"/>
    <n v="3"/>
    <n v="2"/>
    <x v="1"/>
    <x v="2"/>
    <s v="Single"/>
    <n v="4249"/>
    <n v="1"/>
    <x v="0"/>
    <n v="2"/>
    <n v="9"/>
    <n v="3"/>
    <n v="9"/>
    <n v="6"/>
    <n v="1"/>
    <n v="1"/>
    <x v="0"/>
    <n v="0"/>
    <x v="0"/>
    <x v="1"/>
    <s v="Long"/>
    <x v="0"/>
  </r>
  <r>
    <n v="51"/>
    <x v="962"/>
    <x v="1"/>
    <x v="2"/>
    <n v="5"/>
    <n v="3"/>
    <x v="0"/>
    <n v="3"/>
    <x v="1"/>
    <n v="3"/>
    <n v="4"/>
    <x v="5"/>
    <x v="1"/>
    <s v="Divorced"/>
    <n v="14026"/>
    <n v="1"/>
    <x v="0"/>
    <n v="2"/>
    <n v="33"/>
    <n v="3"/>
    <n v="33"/>
    <n v="9"/>
    <n v="0"/>
    <n v="10"/>
    <x v="0"/>
    <n v="0"/>
    <x v="1"/>
    <x v="2"/>
    <s v="Long"/>
    <x v="0"/>
  </r>
  <r>
    <n v="38"/>
    <x v="963"/>
    <x v="1"/>
    <x v="0"/>
    <n v="2"/>
    <n v="2"/>
    <x v="0"/>
    <n v="2"/>
    <x v="0"/>
    <n v="3"/>
    <n v="2"/>
    <x v="0"/>
    <x v="3"/>
    <s v="Divorced"/>
    <n v="6893"/>
    <n v="3"/>
    <x v="1"/>
    <n v="4"/>
    <n v="11"/>
    <n v="3"/>
    <n v="7"/>
    <n v="7"/>
    <n v="1"/>
    <n v="7"/>
    <x v="2"/>
    <n v="0"/>
    <x v="0"/>
    <x v="0"/>
    <s v="Long"/>
    <x v="2"/>
  </r>
  <r>
    <n v="34"/>
    <x v="964"/>
    <x v="1"/>
    <x v="0"/>
    <n v="15"/>
    <n v="2"/>
    <x v="2"/>
    <n v="3"/>
    <x v="0"/>
    <n v="3"/>
    <n v="2"/>
    <x v="0"/>
    <x v="3"/>
    <s v="Single"/>
    <n v="6125"/>
    <n v="1"/>
    <x v="1"/>
    <n v="4"/>
    <n v="10"/>
    <n v="4"/>
    <n v="10"/>
    <n v="8"/>
    <n v="9"/>
    <n v="6"/>
    <x v="3"/>
    <n v="0"/>
    <x v="0"/>
    <x v="0"/>
    <s v="Long"/>
    <x v="0"/>
  </r>
  <r>
    <n v="25"/>
    <x v="965"/>
    <x v="1"/>
    <x v="1"/>
    <n v="19"/>
    <n v="1"/>
    <x v="2"/>
    <n v="4"/>
    <x v="1"/>
    <n v="3"/>
    <n v="1"/>
    <x v="2"/>
    <x v="0"/>
    <s v="Married"/>
    <n v="3669"/>
    <n v="3"/>
    <x v="1"/>
    <n v="3"/>
    <n v="7"/>
    <n v="2"/>
    <n v="3"/>
    <n v="2"/>
    <n v="1"/>
    <n v="2"/>
    <x v="0"/>
    <n v="0"/>
    <x v="2"/>
    <x v="1"/>
    <s v="Mid"/>
    <x v="0"/>
  </r>
  <r>
    <n v="58"/>
    <x v="966"/>
    <x v="0"/>
    <x v="1"/>
    <n v="7"/>
    <n v="4"/>
    <x v="2"/>
    <n v="3"/>
    <x v="0"/>
    <n v="2"/>
    <n v="3"/>
    <x v="3"/>
    <x v="3"/>
    <s v="Married"/>
    <n v="10008"/>
    <n v="7"/>
    <x v="0"/>
    <n v="4"/>
    <n v="31"/>
    <n v="2"/>
    <n v="10"/>
    <n v="9"/>
    <n v="5"/>
    <n v="9"/>
    <x v="9"/>
    <n v="1"/>
    <x v="1"/>
    <x v="2"/>
    <s v="Long"/>
    <x v="2"/>
  </r>
  <r>
    <n v="40"/>
    <x v="967"/>
    <x v="1"/>
    <x v="1"/>
    <n v="1"/>
    <n v="4"/>
    <x v="0"/>
    <n v="2"/>
    <x v="1"/>
    <n v="3"/>
    <n v="1"/>
    <x v="2"/>
    <x v="1"/>
    <s v="Married"/>
    <n v="2387"/>
    <n v="3"/>
    <x v="1"/>
    <n v="3"/>
    <n v="7"/>
    <n v="3"/>
    <n v="4"/>
    <n v="2"/>
    <n v="0"/>
    <n v="3"/>
    <x v="6"/>
    <n v="0"/>
    <x v="0"/>
    <x v="1"/>
    <s v="Mid"/>
    <x v="1"/>
  </r>
  <r>
    <n v="36"/>
    <x v="968"/>
    <x v="1"/>
    <x v="0"/>
    <n v="7"/>
    <n v="3"/>
    <x v="3"/>
    <n v="1"/>
    <x v="0"/>
    <n v="4"/>
    <n v="2"/>
    <x v="0"/>
    <x v="3"/>
    <s v="Married"/>
    <n v="4639"/>
    <n v="2"/>
    <x v="1"/>
    <n v="4"/>
    <n v="17"/>
    <n v="2"/>
    <n v="15"/>
    <n v="7"/>
    <n v="6"/>
    <n v="13"/>
    <x v="10"/>
    <n v="0"/>
    <x v="0"/>
    <x v="1"/>
    <s v="Long"/>
    <x v="2"/>
  </r>
  <r>
    <n v="48"/>
    <x v="969"/>
    <x v="1"/>
    <x v="1"/>
    <n v="4"/>
    <n v="3"/>
    <x v="0"/>
    <n v="4"/>
    <x v="1"/>
    <n v="3"/>
    <n v="3"/>
    <x v="3"/>
    <x v="0"/>
    <s v="Single"/>
    <n v="7898"/>
    <n v="1"/>
    <x v="1"/>
    <n v="3"/>
    <n v="11"/>
    <n v="3"/>
    <n v="10"/>
    <n v="9"/>
    <n v="0"/>
    <n v="8"/>
    <x v="0"/>
    <n v="0"/>
    <x v="1"/>
    <x v="0"/>
    <s v="Long"/>
    <x v="0"/>
  </r>
  <r>
    <n v="27"/>
    <x v="970"/>
    <x v="1"/>
    <x v="0"/>
    <n v="11"/>
    <n v="3"/>
    <x v="2"/>
    <n v="3"/>
    <x v="0"/>
    <n v="4"/>
    <n v="1"/>
    <x v="6"/>
    <x v="0"/>
    <s v="Married"/>
    <n v="2534"/>
    <n v="8"/>
    <x v="1"/>
    <n v="2"/>
    <n v="5"/>
    <n v="3"/>
    <n v="1"/>
    <n v="0"/>
    <n v="0"/>
    <n v="0"/>
    <x v="9"/>
    <n v="0"/>
    <x v="2"/>
    <x v="1"/>
    <s v="Early"/>
    <x v="2"/>
  </r>
  <r>
    <n v="51"/>
    <x v="971"/>
    <x v="1"/>
    <x v="1"/>
    <n v="11"/>
    <n v="2"/>
    <x v="4"/>
    <n v="4"/>
    <x v="0"/>
    <n v="2"/>
    <n v="4"/>
    <x v="3"/>
    <x v="1"/>
    <s v="Single"/>
    <n v="13142"/>
    <n v="3"/>
    <x v="1"/>
    <n v="2"/>
    <n v="29"/>
    <n v="2"/>
    <n v="5"/>
    <n v="2"/>
    <n v="0"/>
    <n v="3"/>
    <x v="10"/>
    <n v="0"/>
    <x v="1"/>
    <x v="2"/>
    <s v="Mid"/>
    <x v="2"/>
  </r>
  <r>
    <n v="18"/>
    <x v="972"/>
    <x v="1"/>
    <x v="1"/>
    <n v="1"/>
    <n v="3"/>
    <x v="0"/>
    <n v="4"/>
    <x v="0"/>
    <n v="3"/>
    <n v="1"/>
    <x v="2"/>
    <x v="0"/>
    <s v="Single"/>
    <n v="1611"/>
    <n v="1"/>
    <x v="1"/>
    <n v="3"/>
    <n v="0"/>
    <n v="4"/>
    <n v="0"/>
    <n v="0"/>
    <n v="0"/>
    <n v="0"/>
    <x v="2"/>
    <n v="0"/>
    <x v="2"/>
    <x v="1"/>
    <s v="Early"/>
    <x v="2"/>
  </r>
  <r>
    <n v="35"/>
    <x v="973"/>
    <x v="1"/>
    <x v="1"/>
    <n v="1"/>
    <n v="3"/>
    <x v="2"/>
    <n v="4"/>
    <x v="0"/>
    <n v="2"/>
    <n v="2"/>
    <x v="2"/>
    <x v="0"/>
    <s v="Married"/>
    <n v="5363"/>
    <n v="0"/>
    <x v="1"/>
    <n v="2"/>
    <n v="10"/>
    <n v="3"/>
    <n v="9"/>
    <n v="7"/>
    <n v="0"/>
    <n v="0"/>
    <x v="3"/>
    <n v="0"/>
    <x v="0"/>
    <x v="0"/>
    <s v="Long"/>
    <x v="0"/>
  </r>
  <r>
    <n v="27"/>
    <x v="974"/>
    <x v="1"/>
    <x v="0"/>
    <n v="2"/>
    <n v="1"/>
    <x v="0"/>
    <n v="4"/>
    <x v="1"/>
    <n v="1"/>
    <n v="2"/>
    <x v="0"/>
    <x v="0"/>
    <s v="Single"/>
    <n v="5071"/>
    <n v="3"/>
    <x v="1"/>
    <n v="2"/>
    <n v="8"/>
    <n v="3"/>
    <n v="6"/>
    <n v="2"/>
    <n v="0"/>
    <n v="0"/>
    <x v="5"/>
    <n v="0"/>
    <x v="2"/>
    <x v="0"/>
    <s v="Mid"/>
    <x v="1"/>
  </r>
  <r>
    <n v="55"/>
    <x v="975"/>
    <x v="0"/>
    <x v="0"/>
    <n v="13"/>
    <n v="4"/>
    <x v="3"/>
    <n v="1"/>
    <x v="1"/>
    <n v="4"/>
    <n v="4"/>
    <x v="0"/>
    <x v="2"/>
    <s v="Single"/>
    <n v="13695"/>
    <n v="6"/>
    <x v="0"/>
    <n v="3"/>
    <n v="24"/>
    <n v="2"/>
    <n v="19"/>
    <n v="7"/>
    <n v="3"/>
    <n v="8"/>
    <x v="8"/>
    <n v="1"/>
    <x v="1"/>
    <x v="2"/>
    <s v="Long"/>
    <x v="2"/>
  </r>
  <r>
    <n v="56"/>
    <x v="976"/>
    <x v="1"/>
    <x v="1"/>
    <n v="23"/>
    <n v="3"/>
    <x v="0"/>
    <n v="4"/>
    <x v="1"/>
    <n v="3"/>
    <n v="4"/>
    <x v="3"/>
    <x v="1"/>
    <s v="Married"/>
    <n v="13402"/>
    <n v="4"/>
    <x v="0"/>
    <n v="1"/>
    <n v="33"/>
    <n v="3"/>
    <n v="19"/>
    <n v="16"/>
    <n v="15"/>
    <n v="9"/>
    <x v="3"/>
    <n v="0"/>
    <x v="1"/>
    <x v="2"/>
    <s v="Long"/>
    <x v="0"/>
  </r>
  <r>
    <n v="34"/>
    <x v="977"/>
    <x v="1"/>
    <x v="1"/>
    <n v="26"/>
    <n v="1"/>
    <x v="4"/>
    <n v="1"/>
    <x v="0"/>
    <n v="2"/>
    <n v="1"/>
    <x v="1"/>
    <x v="2"/>
    <s v="Divorced"/>
    <n v="2029"/>
    <n v="1"/>
    <x v="1"/>
    <n v="3"/>
    <n v="5"/>
    <n v="3"/>
    <n v="5"/>
    <n v="4"/>
    <n v="0"/>
    <n v="0"/>
    <x v="5"/>
    <n v="0"/>
    <x v="0"/>
    <x v="1"/>
    <s v="Mid"/>
    <x v="1"/>
  </r>
  <r>
    <n v="40"/>
    <x v="978"/>
    <x v="1"/>
    <x v="1"/>
    <n v="2"/>
    <n v="1"/>
    <x v="2"/>
    <n v="2"/>
    <x v="0"/>
    <n v="4"/>
    <n v="2"/>
    <x v="4"/>
    <x v="2"/>
    <s v="Divorced"/>
    <n v="6377"/>
    <n v="5"/>
    <x v="1"/>
    <n v="2"/>
    <n v="15"/>
    <n v="3"/>
    <n v="12"/>
    <n v="11"/>
    <n v="11"/>
    <n v="8"/>
    <x v="5"/>
    <n v="0"/>
    <x v="0"/>
    <x v="0"/>
    <s v="Long"/>
    <x v="1"/>
  </r>
  <r>
    <n v="34"/>
    <x v="979"/>
    <x v="1"/>
    <x v="1"/>
    <n v="29"/>
    <n v="3"/>
    <x v="2"/>
    <n v="2"/>
    <x v="1"/>
    <n v="3"/>
    <n v="2"/>
    <x v="2"/>
    <x v="2"/>
    <s v="Married"/>
    <n v="5429"/>
    <n v="4"/>
    <x v="1"/>
    <n v="1"/>
    <n v="10"/>
    <n v="3"/>
    <n v="8"/>
    <n v="7"/>
    <n v="7"/>
    <n v="7"/>
    <x v="4"/>
    <n v="0"/>
    <x v="0"/>
    <x v="0"/>
    <s v="Long"/>
    <x v="2"/>
  </r>
  <r>
    <n v="31"/>
    <x v="980"/>
    <x v="0"/>
    <x v="0"/>
    <n v="2"/>
    <n v="3"/>
    <x v="0"/>
    <n v="3"/>
    <x v="0"/>
    <n v="2"/>
    <n v="1"/>
    <x v="6"/>
    <x v="0"/>
    <s v="Single"/>
    <n v="2785"/>
    <n v="7"/>
    <x v="1"/>
    <n v="3"/>
    <n v="3"/>
    <n v="4"/>
    <n v="1"/>
    <n v="0"/>
    <n v="0"/>
    <n v="0"/>
    <x v="9"/>
    <n v="1"/>
    <x v="0"/>
    <x v="1"/>
    <s v="Early"/>
    <x v="2"/>
  </r>
  <r>
    <n v="35"/>
    <x v="981"/>
    <x v="0"/>
    <x v="0"/>
    <n v="18"/>
    <n v="4"/>
    <x v="3"/>
    <n v="4"/>
    <x v="0"/>
    <n v="3"/>
    <n v="2"/>
    <x v="0"/>
    <x v="2"/>
    <s v="Married"/>
    <n v="4614"/>
    <n v="0"/>
    <x v="0"/>
    <n v="3"/>
    <n v="5"/>
    <n v="2"/>
    <n v="4"/>
    <n v="2"/>
    <n v="3"/>
    <n v="2"/>
    <x v="11"/>
    <n v="1"/>
    <x v="0"/>
    <x v="1"/>
    <s v="Mid"/>
    <x v="1"/>
  </r>
  <r>
    <n v="38"/>
    <x v="982"/>
    <x v="1"/>
    <x v="1"/>
    <n v="7"/>
    <n v="3"/>
    <x v="0"/>
    <n v="4"/>
    <x v="1"/>
    <n v="4"/>
    <n v="1"/>
    <x v="1"/>
    <x v="2"/>
    <s v="Divorced"/>
    <n v="2610"/>
    <n v="1"/>
    <x v="1"/>
    <n v="4"/>
    <n v="4"/>
    <n v="3"/>
    <n v="4"/>
    <n v="2"/>
    <n v="0"/>
    <n v="3"/>
    <x v="0"/>
    <n v="0"/>
    <x v="0"/>
    <x v="1"/>
    <s v="Mid"/>
    <x v="0"/>
  </r>
  <r>
    <n v="34"/>
    <x v="983"/>
    <x v="1"/>
    <x v="1"/>
    <n v="2"/>
    <n v="4"/>
    <x v="4"/>
    <n v="3"/>
    <x v="0"/>
    <n v="3"/>
    <n v="2"/>
    <x v="4"/>
    <x v="0"/>
    <s v="Single"/>
    <n v="6687"/>
    <n v="1"/>
    <x v="1"/>
    <n v="4"/>
    <n v="14"/>
    <n v="4"/>
    <n v="14"/>
    <n v="11"/>
    <n v="4"/>
    <n v="11"/>
    <x v="0"/>
    <n v="0"/>
    <x v="0"/>
    <x v="0"/>
    <s v="Long"/>
    <x v="0"/>
  </r>
  <r>
    <n v="28"/>
    <x v="984"/>
    <x v="1"/>
    <x v="0"/>
    <n v="26"/>
    <n v="3"/>
    <x v="0"/>
    <n v="3"/>
    <x v="1"/>
    <n v="2"/>
    <n v="2"/>
    <x v="0"/>
    <x v="3"/>
    <s v="Married"/>
    <n v="4724"/>
    <n v="1"/>
    <x v="1"/>
    <n v="3"/>
    <n v="5"/>
    <n v="3"/>
    <n v="5"/>
    <n v="3"/>
    <n v="0"/>
    <n v="4"/>
    <x v="0"/>
    <n v="0"/>
    <x v="2"/>
    <x v="1"/>
    <s v="Mid"/>
    <x v="0"/>
  </r>
  <r>
    <n v="31"/>
    <x v="985"/>
    <x v="0"/>
    <x v="1"/>
    <n v="22"/>
    <n v="4"/>
    <x v="2"/>
    <n v="4"/>
    <x v="1"/>
    <n v="3"/>
    <n v="2"/>
    <x v="3"/>
    <x v="2"/>
    <s v="Married"/>
    <n v="6179"/>
    <n v="1"/>
    <x v="0"/>
    <n v="4"/>
    <n v="10"/>
    <n v="2"/>
    <n v="10"/>
    <n v="2"/>
    <n v="6"/>
    <n v="7"/>
    <x v="2"/>
    <n v="1"/>
    <x v="0"/>
    <x v="0"/>
    <s v="Long"/>
    <x v="2"/>
  </r>
  <r>
    <n v="39"/>
    <x v="986"/>
    <x v="1"/>
    <x v="0"/>
    <n v="21"/>
    <n v="4"/>
    <x v="0"/>
    <n v="1"/>
    <x v="1"/>
    <n v="2"/>
    <n v="2"/>
    <x v="0"/>
    <x v="0"/>
    <s v="Married"/>
    <n v="6120"/>
    <n v="3"/>
    <x v="0"/>
    <n v="4"/>
    <n v="8"/>
    <n v="4"/>
    <n v="5"/>
    <n v="4"/>
    <n v="1"/>
    <n v="4"/>
    <x v="3"/>
    <n v="0"/>
    <x v="0"/>
    <x v="0"/>
    <s v="Mid"/>
    <x v="0"/>
  </r>
  <r>
    <n v="51"/>
    <x v="987"/>
    <x v="1"/>
    <x v="0"/>
    <n v="2"/>
    <n v="3"/>
    <x v="3"/>
    <n v="2"/>
    <x v="1"/>
    <n v="3"/>
    <n v="3"/>
    <x v="0"/>
    <x v="1"/>
    <s v="Married"/>
    <n v="10596"/>
    <n v="2"/>
    <x v="1"/>
    <n v="2"/>
    <n v="14"/>
    <n v="3"/>
    <n v="4"/>
    <n v="2"/>
    <n v="3"/>
    <n v="2"/>
    <x v="0"/>
    <n v="0"/>
    <x v="1"/>
    <x v="2"/>
    <s v="Mid"/>
    <x v="0"/>
  </r>
  <r>
    <n v="41"/>
    <x v="988"/>
    <x v="1"/>
    <x v="1"/>
    <n v="22"/>
    <n v="3"/>
    <x v="0"/>
    <n v="4"/>
    <x v="0"/>
    <n v="3"/>
    <n v="2"/>
    <x v="1"/>
    <x v="0"/>
    <s v="Divorced"/>
    <n v="5467"/>
    <n v="3"/>
    <x v="0"/>
    <n v="1"/>
    <n v="12"/>
    <n v="2"/>
    <n v="6"/>
    <n v="2"/>
    <n v="3"/>
    <n v="3"/>
    <x v="9"/>
    <n v="0"/>
    <x v="0"/>
    <x v="0"/>
    <s v="Mid"/>
    <x v="2"/>
  </r>
  <r>
    <n v="37"/>
    <x v="989"/>
    <x v="1"/>
    <x v="1"/>
    <n v="4"/>
    <n v="1"/>
    <x v="0"/>
    <n v="3"/>
    <x v="1"/>
    <n v="3"/>
    <n v="1"/>
    <x v="1"/>
    <x v="2"/>
    <s v="Married"/>
    <n v="2996"/>
    <n v="7"/>
    <x v="0"/>
    <n v="4"/>
    <n v="8"/>
    <n v="3"/>
    <n v="6"/>
    <n v="4"/>
    <n v="1"/>
    <n v="3"/>
    <x v="2"/>
    <n v="0"/>
    <x v="0"/>
    <x v="1"/>
    <s v="Mid"/>
    <x v="2"/>
  </r>
  <r>
    <n v="33"/>
    <x v="990"/>
    <x v="1"/>
    <x v="0"/>
    <n v="5"/>
    <n v="1"/>
    <x v="0"/>
    <n v="2"/>
    <x v="1"/>
    <n v="3"/>
    <n v="2"/>
    <x v="0"/>
    <x v="0"/>
    <s v="Married"/>
    <n v="9998"/>
    <n v="6"/>
    <x v="1"/>
    <n v="1"/>
    <n v="8"/>
    <n v="4"/>
    <n v="5"/>
    <n v="4"/>
    <n v="1"/>
    <n v="2"/>
    <x v="4"/>
    <n v="0"/>
    <x v="0"/>
    <x v="0"/>
    <s v="Mid"/>
    <x v="2"/>
  </r>
  <r>
    <n v="32"/>
    <x v="991"/>
    <x v="1"/>
    <x v="0"/>
    <n v="2"/>
    <n v="1"/>
    <x v="3"/>
    <n v="3"/>
    <x v="1"/>
    <n v="3"/>
    <n v="2"/>
    <x v="0"/>
    <x v="1"/>
    <s v="Married"/>
    <n v="4078"/>
    <n v="0"/>
    <x v="0"/>
    <n v="1"/>
    <n v="4"/>
    <n v="2"/>
    <n v="3"/>
    <n v="2"/>
    <n v="1"/>
    <n v="2"/>
    <x v="4"/>
    <n v="0"/>
    <x v="0"/>
    <x v="1"/>
    <s v="Mid"/>
    <x v="2"/>
  </r>
  <r>
    <n v="39"/>
    <x v="992"/>
    <x v="1"/>
    <x v="1"/>
    <n v="25"/>
    <n v="2"/>
    <x v="0"/>
    <n v="3"/>
    <x v="1"/>
    <n v="3"/>
    <n v="3"/>
    <x v="4"/>
    <x v="2"/>
    <s v="Married"/>
    <n v="10920"/>
    <n v="3"/>
    <x v="1"/>
    <n v="2"/>
    <n v="13"/>
    <n v="3"/>
    <n v="6"/>
    <n v="4"/>
    <n v="0"/>
    <n v="5"/>
    <x v="7"/>
    <n v="0"/>
    <x v="0"/>
    <x v="2"/>
    <s v="Mid"/>
    <x v="1"/>
  </r>
  <r>
    <n v="25"/>
    <x v="993"/>
    <x v="1"/>
    <x v="0"/>
    <n v="18"/>
    <n v="1"/>
    <x v="0"/>
    <n v="1"/>
    <x v="1"/>
    <n v="4"/>
    <n v="2"/>
    <x v="0"/>
    <x v="2"/>
    <s v="Married"/>
    <n v="6232"/>
    <n v="2"/>
    <x v="1"/>
    <n v="2"/>
    <n v="6"/>
    <n v="2"/>
    <n v="3"/>
    <n v="2"/>
    <n v="1"/>
    <n v="2"/>
    <x v="0"/>
    <n v="0"/>
    <x v="2"/>
    <x v="0"/>
    <s v="Mid"/>
    <x v="0"/>
  </r>
  <r>
    <n v="52"/>
    <x v="994"/>
    <x v="1"/>
    <x v="1"/>
    <n v="28"/>
    <n v="2"/>
    <x v="2"/>
    <n v="4"/>
    <x v="0"/>
    <n v="4"/>
    <n v="4"/>
    <x v="3"/>
    <x v="2"/>
    <s v="Married"/>
    <n v="13247"/>
    <n v="2"/>
    <x v="0"/>
    <n v="2"/>
    <n v="24"/>
    <n v="2"/>
    <n v="5"/>
    <n v="3"/>
    <n v="0"/>
    <n v="2"/>
    <x v="0"/>
    <n v="0"/>
    <x v="1"/>
    <x v="2"/>
    <s v="Mid"/>
    <x v="0"/>
  </r>
  <r>
    <n v="43"/>
    <x v="995"/>
    <x v="1"/>
    <x v="1"/>
    <n v="6"/>
    <n v="3"/>
    <x v="2"/>
    <n v="1"/>
    <x v="0"/>
    <n v="2"/>
    <n v="2"/>
    <x v="1"/>
    <x v="2"/>
    <s v="Single"/>
    <n v="4081"/>
    <n v="1"/>
    <x v="0"/>
    <n v="1"/>
    <n v="20"/>
    <n v="1"/>
    <n v="20"/>
    <n v="7"/>
    <n v="1"/>
    <n v="8"/>
    <x v="9"/>
    <n v="0"/>
    <x v="0"/>
    <x v="1"/>
    <s v="Long"/>
    <x v="2"/>
  </r>
  <r>
    <n v="27"/>
    <x v="996"/>
    <x v="1"/>
    <x v="0"/>
    <n v="10"/>
    <n v="3"/>
    <x v="3"/>
    <n v="4"/>
    <x v="0"/>
    <n v="2"/>
    <n v="2"/>
    <x v="0"/>
    <x v="0"/>
    <s v="Married"/>
    <n v="5769"/>
    <n v="1"/>
    <x v="0"/>
    <n v="4"/>
    <n v="6"/>
    <n v="3"/>
    <n v="6"/>
    <n v="2"/>
    <n v="4"/>
    <n v="4"/>
    <x v="0"/>
    <n v="0"/>
    <x v="2"/>
    <x v="0"/>
    <s v="Mid"/>
    <x v="0"/>
  </r>
  <r>
    <n v="27"/>
    <x v="997"/>
    <x v="0"/>
    <x v="1"/>
    <n v="17"/>
    <n v="4"/>
    <x v="0"/>
    <n v="4"/>
    <x v="0"/>
    <n v="3"/>
    <n v="1"/>
    <x v="1"/>
    <x v="2"/>
    <s v="Single"/>
    <n v="2394"/>
    <n v="1"/>
    <x v="0"/>
    <n v="4"/>
    <n v="8"/>
    <n v="3"/>
    <n v="8"/>
    <n v="2"/>
    <n v="7"/>
    <n v="7"/>
    <x v="4"/>
    <n v="1"/>
    <x v="2"/>
    <x v="1"/>
    <s v="Long"/>
    <x v="2"/>
  </r>
  <r>
    <n v="26"/>
    <x v="998"/>
    <x v="1"/>
    <x v="1"/>
    <n v="2"/>
    <n v="1"/>
    <x v="2"/>
    <n v="1"/>
    <x v="1"/>
    <n v="2"/>
    <n v="1"/>
    <x v="1"/>
    <x v="0"/>
    <s v="Single"/>
    <n v="3904"/>
    <n v="0"/>
    <x v="1"/>
    <n v="4"/>
    <n v="5"/>
    <n v="3"/>
    <n v="4"/>
    <n v="3"/>
    <n v="1"/>
    <n v="1"/>
    <x v="3"/>
    <n v="0"/>
    <x v="2"/>
    <x v="1"/>
    <s v="Mid"/>
    <x v="0"/>
  </r>
  <r>
    <n v="42"/>
    <x v="999"/>
    <x v="1"/>
    <x v="2"/>
    <n v="10"/>
    <n v="3"/>
    <x v="5"/>
    <n v="3"/>
    <x v="0"/>
    <n v="3"/>
    <n v="4"/>
    <x v="5"/>
    <x v="3"/>
    <s v="Married"/>
    <n v="16799"/>
    <n v="0"/>
    <x v="1"/>
    <n v="3"/>
    <n v="21"/>
    <n v="3"/>
    <n v="20"/>
    <n v="7"/>
    <n v="0"/>
    <n v="9"/>
    <x v="9"/>
    <n v="0"/>
    <x v="0"/>
    <x v="2"/>
    <s v="Long"/>
    <x v="2"/>
  </r>
  <r>
    <n v="52"/>
    <x v="1000"/>
    <x v="1"/>
    <x v="1"/>
    <n v="8"/>
    <n v="4"/>
    <x v="1"/>
    <n v="3"/>
    <x v="0"/>
    <n v="3"/>
    <n v="1"/>
    <x v="2"/>
    <x v="3"/>
    <s v="Married"/>
    <n v="2950"/>
    <n v="9"/>
    <x v="1"/>
    <n v="3"/>
    <n v="12"/>
    <n v="1"/>
    <n v="5"/>
    <n v="4"/>
    <n v="0"/>
    <n v="4"/>
    <x v="4"/>
    <n v="0"/>
    <x v="1"/>
    <x v="1"/>
    <s v="Mid"/>
    <x v="2"/>
  </r>
  <r>
    <n v="37"/>
    <x v="1001"/>
    <x v="1"/>
    <x v="1"/>
    <n v="11"/>
    <n v="3"/>
    <x v="2"/>
    <n v="1"/>
    <x v="0"/>
    <n v="3"/>
    <n v="1"/>
    <x v="2"/>
    <x v="2"/>
    <s v="Single"/>
    <n v="3629"/>
    <n v="4"/>
    <x v="1"/>
    <n v="1"/>
    <n v="8"/>
    <n v="3"/>
    <n v="3"/>
    <n v="2"/>
    <n v="0"/>
    <n v="2"/>
    <x v="11"/>
    <n v="0"/>
    <x v="0"/>
    <x v="1"/>
    <s v="Mid"/>
    <x v="1"/>
  </r>
  <r>
    <n v="35"/>
    <x v="1002"/>
    <x v="1"/>
    <x v="1"/>
    <n v="18"/>
    <n v="2"/>
    <x v="0"/>
    <n v="3"/>
    <x v="1"/>
    <n v="3"/>
    <n v="3"/>
    <x v="3"/>
    <x v="0"/>
    <s v="Single"/>
    <n v="9362"/>
    <n v="2"/>
    <x v="1"/>
    <n v="3"/>
    <n v="10"/>
    <n v="3"/>
    <n v="2"/>
    <n v="2"/>
    <n v="2"/>
    <n v="2"/>
    <x v="0"/>
    <n v="0"/>
    <x v="0"/>
    <x v="0"/>
    <s v="Early"/>
    <x v="0"/>
  </r>
  <r>
    <n v="25"/>
    <x v="1003"/>
    <x v="1"/>
    <x v="1"/>
    <n v="1"/>
    <n v="3"/>
    <x v="4"/>
    <n v="1"/>
    <x v="1"/>
    <n v="3"/>
    <n v="1"/>
    <x v="2"/>
    <x v="0"/>
    <s v="Married"/>
    <n v="3229"/>
    <n v="4"/>
    <x v="1"/>
    <n v="2"/>
    <n v="7"/>
    <n v="2"/>
    <n v="3"/>
    <n v="2"/>
    <n v="0"/>
    <n v="2"/>
    <x v="0"/>
    <n v="0"/>
    <x v="2"/>
    <x v="1"/>
    <s v="Mid"/>
    <x v="0"/>
  </r>
  <r>
    <n v="26"/>
    <x v="1004"/>
    <x v="1"/>
    <x v="1"/>
    <n v="7"/>
    <n v="3"/>
    <x v="1"/>
    <n v="3"/>
    <x v="1"/>
    <n v="4"/>
    <n v="1"/>
    <x v="2"/>
    <x v="3"/>
    <s v="Single"/>
    <n v="3578"/>
    <n v="0"/>
    <x v="1"/>
    <n v="4"/>
    <n v="8"/>
    <n v="3"/>
    <n v="7"/>
    <n v="7"/>
    <n v="0"/>
    <n v="7"/>
    <x v="3"/>
    <n v="0"/>
    <x v="2"/>
    <x v="1"/>
    <s v="Long"/>
    <x v="0"/>
  </r>
  <r>
    <n v="29"/>
    <x v="1005"/>
    <x v="1"/>
    <x v="2"/>
    <n v="17"/>
    <n v="3"/>
    <x v="1"/>
    <n v="2"/>
    <x v="1"/>
    <n v="2"/>
    <n v="3"/>
    <x v="8"/>
    <x v="3"/>
    <s v="Single"/>
    <n v="7988"/>
    <n v="1"/>
    <x v="1"/>
    <n v="1"/>
    <n v="10"/>
    <n v="2"/>
    <n v="10"/>
    <n v="9"/>
    <n v="0"/>
    <n v="9"/>
    <x v="4"/>
    <n v="0"/>
    <x v="2"/>
    <x v="0"/>
    <s v="Long"/>
    <x v="2"/>
  </r>
  <r>
    <n v="49"/>
    <x v="1006"/>
    <x v="0"/>
    <x v="1"/>
    <n v="28"/>
    <n v="2"/>
    <x v="0"/>
    <n v="1"/>
    <x v="1"/>
    <n v="2"/>
    <n v="2"/>
    <x v="2"/>
    <x v="3"/>
    <s v="Single"/>
    <n v="4284"/>
    <n v="3"/>
    <x v="1"/>
    <n v="1"/>
    <n v="20"/>
    <n v="3"/>
    <n v="4"/>
    <n v="3"/>
    <n v="1"/>
    <n v="3"/>
    <x v="5"/>
    <n v="1"/>
    <x v="1"/>
    <x v="1"/>
    <s v="Mid"/>
    <x v="1"/>
  </r>
  <r>
    <n v="29"/>
    <x v="1007"/>
    <x v="0"/>
    <x v="1"/>
    <n v="14"/>
    <n v="1"/>
    <x v="1"/>
    <n v="3"/>
    <x v="0"/>
    <n v="3"/>
    <n v="3"/>
    <x v="4"/>
    <x v="0"/>
    <s v="Single"/>
    <n v="7553"/>
    <n v="0"/>
    <x v="0"/>
    <n v="1"/>
    <n v="9"/>
    <n v="3"/>
    <n v="8"/>
    <n v="7"/>
    <n v="7"/>
    <n v="7"/>
    <x v="3"/>
    <n v="1"/>
    <x v="2"/>
    <x v="0"/>
    <s v="Long"/>
    <x v="0"/>
  </r>
  <r>
    <n v="54"/>
    <x v="1008"/>
    <x v="1"/>
    <x v="1"/>
    <n v="1"/>
    <n v="3"/>
    <x v="2"/>
    <n v="4"/>
    <x v="0"/>
    <n v="3"/>
    <n v="4"/>
    <x v="7"/>
    <x v="0"/>
    <s v="Single"/>
    <n v="17328"/>
    <n v="6"/>
    <x v="1"/>
    <n v="4"/>
    <n v="29"/>
    <n v="2"/>
    <n v="20"/>
    <n v="7"/>
    <n v="12"/>
    <n v="7"/>
    <x v="12"/>
    <n v="0"/>
    <x v="1"/>
    <x v="2"/>
    <s v="Long"/>
    <x v="1"/>
  </r>
  <r>
    <n v="58"/>
    <x v="1009"/>
    <x v="1"/>
    <x v="1"/>
    <n v="1"/>
    <n v="3"/>
    <x v="2"/>
    <n v="4"/>
    <x v="0"/>
    <n v="3"/>
    <n v="5"/>
    <x v="7"/>
    <x v="3"/>
    <s v="Married"/>
    <n v="19701"/>
    <n v="3"/>
    <x v="0"/>
    <n v="3"/>
    <n v="32"/>
    <n v="3"/>
    <n v="9"/>
    <n v="8"/>
    <n v="1"/>
    <n v="5"/>
    <x v="7"/>
    <n v="0"/>
    <x v="1"/>
    <x v="2"/>
    <s v="Long"/>
    <x v="1"/>
  </r>
  <r>
    <n v="55"/>
    <x v="1010"/>
    <x v="1"/>
    <x v="1"/>
    <n v="1"/>
    <n v="4"/>
    <x v="2"/>
    <n v="2"/>
    <x v="1"/>
    <n v="4"/>
    <n v="4"/>
    <x v="7"/>
    <x v="0"/>
    <s v="Divorced"/>
    <n v="14732"/>
    <n v="2"/>
    <x v="1"/>
    <n v="4"/>
    <n v="31"/>
    <n v="4"/>
    <n v="7"/>
    <n v="7"/>
    <n v="0"/>
    <n v="0"/>
    <x v="4"/>
    <n v="0"/>
    <x v="1"/>
    <x v="2"/>
    <s v="Long"/>
    <x v="2"/>
  </r>
  <r>
    <n v="36"/>
    <x v="1011"/>
    <x v="1"/>
    <x v="0"/>
    <n v="3"/>
    <n v="4"/>
    <x v="3"/>
    <n v="1"/>
    <x v="0"/>
    <n v="3"/>
    <n v="2"/>
    <x v="0"/>
    <x v="1"/>
    <s v="Single"/>
    <n v="9278"/>
    <n v="3"/>
    <x v="0"/>
    <n v="4"/>
    <n v="15"/>
    <n v="3"/>
    <n v="5"/>
    <n v="4"/>
    <n v="0"/>
    <n v="1"/>
    <x v="10"/>
    <n v="0"/>
    <x v="0"/>
    <x v="0"/>
    <s v="Mid"/>
    <x v="2"/>
  </r>
  <r>
    <n v="31"/>
    <x v="1012"/>
    <x v="0"/>
    <x v="0"/>
    <n v="1"/>
    <n v="4"/>
    <x v="0"/>
    <n v="2"/>
    <x v="0"/>
    <n v="1"/>
    <n v="1"/>
    <x v="6"/>
    <x v="2"/>
    <s v="Single"/>
    <n v="1359"/>
    <n v="1"/>
    <x v="1"/>
    <n v="2"/>
    <n v="1"/>
    <n v="3"/>
    <n v="1"/>
    <n v="0"/>
    <n v="0"/>
    <n v="0"/>
    <x v="3"/>
    <n v="1"/>
    <x v="0"/>
    <x v="1"/>
    <s v="Early"/>
    <x v="0"/>
  </r>
  <r>
    <n v="30"/>
    <x v="1013"/>
    <x v="1"/>
    <x v="0"/>
    <n v="7"/>
    <n v="4"/>
    <x v="3"/>
    <n v="4"/>
    <x v="0"/>
    <n v="3"/>
    <n v="2"/>
    <x v="0"/>
    <x v="3"/>
    <s v="Divorced"/>
    <n v="4779"/>
    <n v="7"/>
    <x v="1"/>
    <n v="2"/>
    <n v="8"/>
    <n v="3"/>
    <n v="3"/>
    <n v="2"/>
    <n v="0"/>
    <n v="2"/>
    <x v="9"/>
    <n v="0"/>
    <x v="0"/>
    <x v="1"/>
    <s v="Mid"/>
    <x v="2"/>
  </r>
  <r>
    <n v="31"/>
    <x v="1014"/>
    <x v="1"/>
    <x v="1"/>
    <n v="8"/>
    <n v="5"/>
    <x v="0"/>
    <n v="1"/>
    <x v="0"/>
    <n v="3"/>
    <n v="4"/>
    <x v="7"/>
    <x v="1"/>
    <s v="Single"/>
    <n v="16422"/>
    <n v="3"/>
    <x v="1"/>
    <n v="3"/>
    <n v="9"/>
    <n v="4"/>
    <n v="3"/>
    <n v="2"/>
    <n v="1"/>
    <n v="0"/>
    <x v="0"/>
    <n v="0"/>
    <x v="0"/>
    <x v="2"/>
    <s v="Mid"/>
    <x v="0"/>
  </r>
  <r>
    <n v="34"/>
    <x v="1015"/>
    <x v="1"/>
    <x v="1"/>
    <n v="1"/>
    <n v="4"/>
    <x v="1"/>
    <n v="4"/>
    <x v="1"/>
    <n v="3"/>
    <n v="1"/>
    <x v="1"/>
    <x v="3"/>
    <s v="Divorced"/>
    <n v="2996"/>
    <n v="5"/>
    <x v="1"/>
    <n v="3"/>
    <n v="10"/>
    <n v="3"/>
    <n v="4"/>
    <n v="3"/>
    <n v="1"/>
    <n v="3"/>
    <x v="9"/>
    <n v="0"/>
    <x v="0"/>
    <x v="1"/>
    <s v="Mid"/>
    <x v="2"/>
  </r>
  <r>
    <n v="31"/>
    <x v="1016"/>
    <x v="0"/>
    <x v="1"/>
    <n v="8"/>
    <n v="3"/>
    <x v="0"/>
    <n v="1"/>
    <x v="0"/>
    <n v="2"/>
    <n v="1"/>
    <x v="1"/>
    <x v="1"/>
    <s v="Single"/>
    <n v="1261"/>
    <n v="1"/>
    <x v="1"/>
    <n v="3"/>
    <n v="1"/>
    <n v="4"/>
    <n v="1"/>
    <n v="0"/>
    <n v="0"/>
    <n v="0"/>
    <x v="3"/>
    <n v="1"/>
    <x v="0"/>
    <x v="1"/>
    <s v="Early"/>
    <x v="0"/>
  </r>
  <r>
    <n v="27"/>
    <x v="1017"/>
    <x v="1"/>
    <x v="1"/>
    <n v="11"/>
    <n v="1"/>
    <x v="0"/>
    <n v="2"/>
    <x v="1"/>
    <n v="3"/>
    <n v="1"/>
    <x v="2"/>
    <x v="3"/>
    <s v="Married"/>
    <n v="2099"/>
    <n v="0"/>
    <x v="1"/>
    <n v="2"/>
    <n v="6"/>
    <n v="4"/>
    <n v="5"/>
    <n v="0"/>
    <n v="1"/>
    <n v="4"/>
    <x v="9"/>
    <n v="0"/>
    <x v="2"/>
    <x v="1"/>
    <s v="Mid"/>
    <x v="2"/>
  </r>
  <r>
    <n v="36"/>
    <x v="1018"/>
    <x v="1"/>
    <x v="1"/>
    <n v="4"/>
    <n v="4"/>
    <x v="0"/>
    <n v="1"/>
    <x v="1"/>
    <n v="2"/>
    <n v="2"/>
    <x v="2"/>
    <x v="0"/>
    <s v="Single"/>
    <n v="5810"/>
    <n v="1"/>
    <x v="1"/>
    <n v="3"/>
    <n v="10"/>
    <n v="2"/>
    <n v="10"/>
    <n v="4"/>
    <n v="1"/>
    <n v="8"/>
    <x v="10"/>
    <n v="0"/>
    <x v="0"/>
    <x v="0"/>
    <s v="Long"/>
    <x v="2"/>
  </r>
  <r>
    <n v="36"/>
    <x v="1019"/>
    <x v="1"/>
    <x v="0"/>
    <n v="16"/>
    <n v="4"/>
    <x v="3"/>
    <n v="3"/>
    <x v="0"/>
    <n v="2"/>
    <n v="2"/>
    <x v="0"/>
    <x v="3"/>
    <s v="Married"/>
    <n v="5647"/>
    <n v="4"/>
    <x v="1"/>
    <n v="1"/>
    <n v="11"/>
    <n v="2"/>
    <n v="3"/>
    <n v="2"/>
    <n v="0"/>
    <n v="2"/>
    <x v="4"/>
    <n v="0"/>
    <x v="0"/>
    <x v="0"/>
    <s v="Mid"/>
    <x v="2"/>
  </r>
  <r>
    <n v="47"/>
    <x v="1020"/>
    <x v="1"/>
    <x v="1"/>
    <n v="1"/>
    <n v="3"/>
    <x v="4"/>
    <n v="1"/>
    <x v="1"/>
    <n v="3"/>
    <n v="1"/>
    <x v="1"/>
    <x v="0"/>
    <s v="Married"/>
    <n v="3420"/>
    <n v="7"/>
    <x v="1"/>
    <n v="3"/>
    <n v="17"/>
    <n v="2"/>
    <n v="6"/>
    <n v="5"/>
    <n v="1"/>
    <n v="2"/>
    <x v="3"/>
    <n v="0"/>
    <x v="1"/>
    <x v="1"/>
    <s v="Mid"/>
    <x v="0"/>
  </r>
  <r>
    <n v="25"/>
    <x v="1021"/>
    <x v="0"/>
    <x v="0"/>
    <n v="9"/>
    <n v="2"/>
    <x v="0"/>
    <n v="1"/>
    <x v="1"/>
    <n v="2"/>
    <n v="1"/>
    <x v="6"/>
    <x v="3"/>
    <s v="Married"/>
    <n v="4400"/>
    <n v="3"/>
    <x v="1"/>
    <n v="1"/>
    <n v="6"/>
    <n v="3"/>
    <n v="3"/>
    <n v="2"/>
    <n v="2"/>
    <n v="2"/>
    <x v="3"/>
    <n v="1"/>
    <x v="2"/>
    <x v="1"/>
    <s v="Mid"/>
    <x v="0"/>
  </r>
  <r>
    <n v="37"/>
    <x v="1022"/>
    <x v="1"/>
    <x v="1"/>
    <n v="5"/>
    <n v="2"/>
    <x v="4"/>
    <n v="3"/>
    <x v="1"/>
    <n v="4"/>
    <n v="1"/>
    <x v="2"/>
    <x v="2"/>
    <s v="Single"/>
    <n v="3500"/>
    <n v="0"/>
    <x v="1"/>
    <n v="1"/>
    <n v="7"/>
    <n v="1"/>
    <n v="6"/>
    <n v="5"/>
    <n v="1"/>
    <n v="3"/>
    <x v="9"/>
    <n v="0"/>
    <x v="0"/>
    <x v="1"/>
    <s v="Mid"/>
    <x v="2"/>
  </r>
  <r>
    <n v="56"/>
    <x v="1023"/>
    <x v="1"/>
    <x v="1"/>
    <n v="1"/>
    <n v="2"/>
    <x v="0"/>
    <n v="1"/>
    <x v="0"/>
    <n v="3"/>
    <n v="1"/>
    <x v="1"/>
    <x v="3"/>
    <s v="Married"/>
    <n v="2066"/>
    <n v="2"/>
    <x v="1"/>
    <n v="4"/>
    <n v="5"/>
    <n v="4"/>
    <n v="3"/>
    <n v="2"/>
    <n v="1"/>
    <n v="0"/>
    <x v="6"/>
    <n v="0"/>
    <x v="1"/>
    <x v="1"/>
    <s v="Mid"/>
    <x v="1"/>
  </r>
  <r>
    <n v="47"/>
    <x v="1024"/>
    <x v="1"/>
    <x v="1"/>
    <n v="2"/>
    <n v="4"/>
    <x v="2"/>
    <n v="1"/>
    <x v="0"/>
    <n v="3"/>
    <n v="4"/>
    <x v="7"/>
    <x v="2"/>
    <s v="Married"/>
    <n v="17169"/>
    <n v="3"/>
    <x v="1"/>
    <n v="2"/>
    <n v="26"/>
    <n v="4"/>
    <n v="20"/>
    <n v="17"/>
    <n v="5"/>
    <n v="6"/>
    <x v="12"/>
    <n v="0"/>
    <x v="1"/>
    <x v="2"/>
    <s v="Long"/>
    <x v="1"/>
  </r>
  <r>
    <n v="24"/>
    <x v="1025"/>
    <x v="1"/>
    <x v="0"/>
    <n v="4"/>
    <n v="1"/>
    <x v="2"/>
    <n v="4"/>
    <x v="0"/>
    <n v="3"/>
    <n v="2"/>
    <x v="0"/>
    <x v="2"/>
    <s v="Married"/>
    <n v="4162"/>
    <n v="1"/>
    <x v="0"/>
    <n v="3"/>
    <n v="5"/>
    <n v="3"/>
    <n v="5"/>
    <n v="4"/>
    <n v="0"/>
    <n v="3"/>
    <x v="3"/>
    <n v="0"/>
    <x v="2"/>
    <x v="1"/>
    <s v="Mid"/>
    <x v="0"/>
  </r>
  <r>
    <n v="32"/>
    <x v="1026"/>
    <x v="1"/>
    <x v="0"/>
    <n v="7"/>
    <n v="5"/>
    <x v="3"/>
    <n v="4"/>
    <x v="1"/>
    <n v="3"/>
    <n v="2"/>
    <x v="0"/>
    <x v="0"/>
    <s v="Married"/>
    <n v="9204"/>
    <n v="4"/>
    <x v="1"/>
    <n v="3"/>
    <n v="7"/>
    <n v="2"/>
    <n v="4"/>
    <n v="3"/>
    <n v="0"/>
    <n v="3"/>
    <x v="3"/>
    <n v="0"/>
    <x v="0"/>
    <x v="0"/>
    <s v="Mid"/>
    <x v="0"/>
  </r>
  <r>
    <n v="34"/>
    <x v="1027"/>
    <x v="1"/>
    <x v="1"/>
    <n v="1"/>
    <n v="3"/>
    <x v="0"/>
    <n v="4"/>
    <x v="0"/>
    <n v="2"/>
    <n v="1"/>
    <x v="2"/>
    <x v="1"/>
    <s v="Married"/>
    <n v="3294"/>
    <n v="5"/>
    <x v="1"/>
    <n v="1"/>
    <n v="7"/>
    <n v="2"/>
    <n v="5"/>
    <n v="4"/>
    <n v="0"/>
    <n v="2"/>
    <x v="8"/>
    <n v="0"/>
    <x v="0"/>
    <x v="1"/>
    <s v="Mid"/>
    <x v="2"/>
  </r>
  <r>
    <n v="41"/>
    <x v="1028"/>
    <x v="1"/>
    <x v="1"/>
    <n v="5"/>
    <n v="5"/>
    <x v="2"/>
    <n v="2"/>
    <x v="1"/>
    <n v="4"/>
    <n v="1"/>
    <x v="1"/>
    <x v="2"/>
    <s v="Married"/>
    <n v="2127"/>
    <n v="2"/>
    <x v="0"/>
    <n v="1"/>
    <n v="7"/>
    <n v="2"/>
    <n v="4"/>
    <n v="2"/>
    <n v="0"/>
    <n v="3"/>
    <x v="3"/>
    <n v="0"/>
    <x v="0"/>
    <x v="1"/>
    <s v="Mid"/>
    <x v="0"/>
  </r>
  <r>
    <n v="40"/>
    <x v="1029"/>
    <x v="1"/>
    <x v="1"/>
    <n v="9"/>
    <n v="4"/>
    <x v="1"/>
    <n v="3"/>
    <x v="1"/>
    <n v="3"/>
    <n v="2"/>
    <x v="2"/>
    <x v="2"/>
    <s v="Divorced"/>
    <n v="3975"/>
    <n v="3"/>
    <x v="1"/>
    <n v="3"/>
    <n v="11"/>
    <n v="4"/>
    <n v="8"/>
    <n v="7"/>
    <n v="0"/>
    <n v="7"/>
    <x v="0"/>
    <n v="0"/>
    <x v="0"/>
    <x v="1"/>
    <s v="Long"/>
    <x v="0"/>
  </r>
  <r>
    <n v="31"/>
    <x v="1030"/>
    <x v="1"/>
    <x v="0"/>
    <n v="8"/>
    <n v="2"/>
    <x v="0"/>
    <n v="1"/>
    <x v="1"/>
    <n v="3"/>
    <n v="3"/>
    <x v="0"/>
    <x v="0"/>
    <s v="Divorced"/>
    <n v="10793"/>
    <n v="1"/>
    <x v="1"/>
    <n v="1"/>
    <n v="13"/>
    <n v="3"/>
    <n v="13"/>
    <n v="7"/>
    <n v="9"/>
    <n v="9"/>
    <x v="11"/>
    <n v="0"/>
    <x v="0"/>
    <x v="2"/>
    <s v="Long"/>
    <x v="1"/>
  </r>
  <r>
    <n v="46"/>
    <x v="1031"/>
    <x v="0"/>
    <x v="0"/>
    <n v="9"/>
    <n v="3"/>
    <x v="3"/>
    <n v="1"/>
    <x v="1"/>
    <n v="3"/>
    <n v="3"/>
    <x v="0"/>
    <x v="0"/>
    <s v="Divorced"/>
    <n v="10096"/>
    <n v="4"/>
    <x v="1"/>
    <n v="1"/>
    <n v="28"/>
    <n v="4"/>
    <n v="7"/>
    <n v="7"/>
    <n v="4"/>
    <n v="3"/>
    <x v="0"/>
    <n v="1"/>
    <x v="1"/>
    <x v="2"/>
    <s v="Long"/>
    <x v="0"/>
  </r>
  <r>
    <n v="39"/>
    <x v="1032"/>
    <x v="0"/>
    <x v="1"/>
    <n v="2"/>
    <n v="3"/>
    <x v="0"/>
    <n v="1"/>
    <x v="0"/>
    <n v="2"/>
    <n v="1"/>
    <x v="2"/>
    <x v="3"/>
    <s v="Single"/>
    <n v="3646"/>
    <n v="2"/>
    <x v="0"/>
    <n v="2"/>
    <n v="11"/>
    <n v="4"/>
    <n v="1"/>
    <n v="0"/>
    <n v="0"/>
    <n v="0"/>
    <x v="1"/>
    <n v="1"/>
    <x v="0"/>
    <x v="1"/>
    <s v="Early"/>
    <x v="1"/>
  </r>
  <r>
    <n v="31"/>
    <x v="1033"/>
    <x v="0"/>
    <x v="1"/>
    <n v="1"/>
    <n v="5"/>
    <x v="0"/>
    <n v="3"/>
    <x v="0"/>
    <n v="4"/>
    <n v="3"/>
    <x v="3"/>
    <x v="1"/>
    <s v="Single"/>
    <n v="7446"/>
    <n v="1"/>
    <x v="1"/>
    <n v="1"/>
    <n v="10"/>
    <n v="3"/>
    <n v="10"/>
    <n v="8"/>
    <n v="4"/>
    <n v="7"/>
    <x v="0"/>
    <n v="1"/>
    <x v="0"/>
    <x v="0"/>
    <s v="Long"/>
    <x v="0"/>
  </r>
  <r>
    <n v="45"/>
    <x v="1034"/>
    <x v="1"/>
    <x v="1"/>
    <n v="20"/>
    <n v="3"/>
    <x v="2"/>
    <n v="2"/>
    <x v="1"/>
    <n v="1"/>
    <n v="3"/>
    <x v="4"/>
    <x v="3"/>
    <s v="Divorced"/>
    <n v="10851"/>
    <n v="2"/>
    <x v="0"/>
    <n v="2"/>
    <n v="24"/>
    <n v="3"/>
    <n v="7"/>
    <n v="7"/>
    <n v="0"/>
    <n v="7"/>
    <x v="11"/>
    <n v="0"/>
    <x v="1"/>
    <x v="2"/>
    <s v="Long"/>
    <x v="1"/>
  </r>
  <r>
    <n v="31"/>
    <x v="1035"/>
    <x v="1"/>
    <x v="2"/>
    <n v="8"/>
    <n v="2"/>
    <x v="2"/>
    <n v="4"/>
    <x v="0"/>
    <n v="4"/>
    <n v="1"/>
    <x v="8"/>
    <x v="1"/>
    <s v="Single"/>
    <n v="2109"/>
    <n v="9"/>
    <x v="1"/>
    <n v="4"/>
    <n v="8"/>
    <n v="3"/>
    <n v="3"/>
    <n v="2"/>
    <n v="0"/>
    <n v="2"/>
    <x v="11"/>
    <n v="0"/>
    <x v="0"/>
    <x v="1"/>
    <s v="Mid"/>
    <x v="1"/>
  </r>
  <r>
    <n v="31"/>
    <x v="1036"/>
    <x v="0"/>
    <x v="1"/>
    <n v="2"/>
    <n v="3"/>
    <x v="0"/>
    <n v="2"/>
    <x v="1"/>
    <n v="3"/>
    <n v="1"/>
    <x v="2"/>
    <x v="0"/>
    <s v="Married"/>
    <n v="3722"/>
    <n v="6"/>
    <x v="0"/>
    <n v="3"/>
    <n v="7"/>
    <n v="1"/>
    <n v="2"/>
    <n v="2"/>
    <n v="2"/>
    <n v="2"/>
    <x v="4"/>
    <n v="1"/>
    <x v="0"/>
    <x v="1"/>
    <s v="Early"/>
    <x v="2"/>
  </r>
  <r>
    <n v="45"/>
    <x v="1037"/>
    <x v="1"/>
    <x v="1"/>
    <n v="29"/>
    <n v="3"/>
    <x v="4"/>
    <n v="2"/>
    <x v="1"/>
    <n v="3"/>
    <n v="3"/>
    <x v="3"/>
    <x v="0"/>
    <s v="Married"/>
    <n v="9380"/>
    <n v="4"/>
    <x v="0"/>
    <n v="4"/>
    <n v="10"/>
    <n v="4"/>
    <n v="3"/>
    <n v="1"/>
    <n v="1"/>
    <n v="2"/>
    <x v="11"/>
    <n v="0"/>
    <x v="1"/>
    <x v="0"/>
    <s v="Mid"/>
    <x v="1"/>
  </r>
  <r>
    <n v="48"/>
    <x v="1038"/>
    <x v="1"/>
    <x v="0"/>
    <n v="7"/>
    <n v="3"/>
    <x v="3"/>
    <n v="3"/>
    <x v="1"/>
    <n v="3"/>
    <n v="2"/>
    <x v="0"/>
    <x v="3"/>
    <s v="Divorced"/>
    <n v="5486"/>
    <n v="4"/>
    <x v="1"/>
    <n v="1"/>
    <n v="15"/>
    <n v="3"/>
    <n v="2"/>
    <n v="2"/>
    <n v="2"/>
    <n v="2"/>
    <x v="0"/>
    <n v="0"/>
    <x v="1"/>
    <x v="0"/>
    <s v="Early"/>
    <x v="0"/>
  </r>
  <r>
    <n v="34"/>
    <x v="1039"/>
    <x v="0"/>
    <x v="2"/>
    <n v="9"/>
    <n v="4"/>
    <x v="4"/>
    <n v="1"/>
    <x v="0"/>
    <n v="3"/>
    <n v="1"/>
    <x v="8"/>
    <x v="2"/>
    <s v="Married"/>
    <n v="2742"/>
    <n v="1"/>
    <x v="1"/>
    <n v="4"/>
    <n v="2"/>
    <n v="3"/>
    <n v="2"/>
    <n v="2"/>
    <n v="2"/>
    <n v="2"/>
    <x v="2"/>
    <n v="1"/>
    <x v="0"/>
    <x v="1"/>
    <s v="Early"/>
    <x v="2"/>
  </r>
  <r>
    <n v="40"/>
    <x v="1040"/>
    <x v="1"/>
    <x v="1"/>
    <n v="8"/>
    <n v="1"/>
    <x v="2"/>
    <n v="4"/>
    <x v="1"/>
    <n v="2"/>
    <n v="3"/>
    <x v="7"/>
    <x v="1"/>
    <s v="Divorced"/>
    <n v="13757"/>
    <n v="2"/>
    <x v="1"/>
    <n v="3"/>
    <n v="16"/>
    <n v="3"/>
    <n v="9"/>
    <n v="8"/>
    <n v="4"/>
    <n v="8"/>
    <x v="0"/>
    <n v="0"/>
    <x v="0"/>
    <x v="2"/>
    <s v="Long"/>
    <x v="0"/>
  </r>
  <r>
    <n v="28"/>
    <x v="1041"/>
    <x v="1"/>
    <x v="0"/>
    <n v="5"/>
    <n v="3"/>
    <x v="2"/>
    <n v="4"/>
    <x v="1"/>
    <n v="3"/>
    <n v="2"/>
    <x v="0"/>
    <x v="3"/>
    <s v="Single"/>
    <n v="8463"/>
    <n v="0"/>
    <x v="1"/>
    <n v="4"/>
    <n v="6"/>
    <n v="3"/>
    <n v="5"/>
    <n v="4"/>
    <n v="1"/>
    <n v="3"/>
    <x v="11"/>
    <n v="0"/>
    <x v="2"/>
    <x v="0"/>
    <s v="Mid"/>
    <x v="1"/>
  </r>
  <r>
    <n v="44"/>
    <x v="1042"/>
    <x v="1"/>
    <x v="1"/>
    <n v="5"/>
    <n v="3"/>
    <x v="0"/>
    <n v="3"/>
    <x v="1"/>
    <n v="2"/>
    <n v="1"/>
    <x v="2"/>
    <x v="2"/>
    <s v="Single"/>
    <n v="3162"/>
    <n v="3"/>
    <x v="1"/>
    <n v="4"/>
    <n v="7"/>
    <n v="3"/>
    <n v="5"/>
    <n v="2"/>
    <n v="0"/>
    <n v="3"/>
    <x v="9"/>
    <n v="0"/>
    <x v="0"/>
    <x v="1"/>
    <s v="Mid"/>
    <x v="2"/>
  </r>
  <r>
    <n v="53"/>
    <x v="1043"/>
    <x v="1"/>
    <x v="1"/>
    <n v="2"/>
    <n v="3"/>
    <x v="2"/>
    <n v="4"/>
    <x v="1"/>
    <n v="4"/>
    <n v="4"/>
    <x v="7"/>
    <x v="1"/>
    <s v="Single"/>
    <n v="16598"/>
    <n v="4"/>
    <x v="1"/>
    <n v="2"/>
    <n v="35"/>
    <n v="2"/>
    <n v="9"/>
    <n v="8"/>
    <n v="8"/>
    <n v="8"/>
    <x v="3"/>
    <n v="0"/>
    <x v="1"/>
    <x v="2"/>
    <s v="Long"/>
    <x v="0"/>
  </r>
  <r>
    <n v="49"/>
    <x v="1044"/>
    <x v="1"/>
    <x v="1"/>
    <n v="5"/>
    <n v="4"/>
    <x v="4"/>
    <n v="1"/>
    <x v="1"/>
    <n v="3"/>
    <n v="2"/>
    <x v="4"/>
    <x v="2"/>
    <s v="Married"/>
    <n v="6651"/>
    <n v="2"/>
    <x v="1"/>
    <n v="2"/>
    <n v="20"/>
    <n v="2"/>
    <n v="3"/>
    <n v="2"/>
    <n v="1"/>
    <n v="2"/>
    <x v="9"/>
    <n v="0"/>
    <x v="1"/>
    <x v="0"/>
    <s v="Mid"/>
    <x v="2"/>
  </r>
  <r>
    <n v="40"/>
    <x v="1045"/>
    <x v="1"/>
    <x v="1"/>
    <n v="2"/>
    <n v="3"/>
    <x v="2"/>
    <n v="3"/>
    <x v="1"/>
    <n v="3"/>
    <n v="1"/>
    <x v="1"/>
    <x v="2"/>
    <s v="Divorced"/>
    <n v="2345"/>
    <n v="2"/>
    <x v="1"/>
    <n v="3"/>
    <n v="8"/>
    <n v="4"/>
    <n v="3"/>
    <n v="1"/>
    <n v="1"/>
    <n v="2"/>
    <x v="9"/>
    <n v="0"/>
    <x v="0"/>
    <x v="1"/>
    <s v="Mid"/>
    <x v="2"/>
  </r>
  <r>
    <n v="44"/>
    <x v="1046"/>
    <x v="1"/>
    <x v="1"/>
    <n v="20"/>
    <n v="3"/>
    <x v="0"/>
    <n v="4"/>
    <x v="1"/>
    <n v="3"/>
    <n v="1"/>
    <x v="1"/>
    <x v="1"/>
    <s v="Single"/>
    <n v="3420"/>
    <n v="1"/>
    <x v="1"/>
    <n v="3"/>
    <n v="6"/>
    <n v="2"/>
    <n v="5"/>
    <n v="2"/>
    <n v="1"/>
    <n v="3"/>
    <x v="4"/>
    <n v="0"/>
    <x v="0"/>
    <x v="1"/>
    <s v="Mid"/>
    <x v="2"/>
  </r>
  <r>
    <n v="33"/>
    <x v="1047"/>
    <x v="1"/>
    <x v="0"/>
    <n v="7"/>
    <n v="3"/>
    <x v="2"/>
    <n v="4"/>
    <x v="1"/>
    <n v="3"/>
    <n v="2"/>
    <x v="0"/>
    <x v="3"/>
    <s v="Married"/>
    <n v="4373"/>
    <n v="0"/>
    <x v="1"/>
    <n v="1"/>
    <n v="5"/>
    <n v="3"/>
    <n v="4"/>
    <n v="3"/>
    <n v="0"/>
    <n v="3"/>
    <x v="9"/>
    <n v="0"/>
    <x v="0"/>
    <x v="1"/>
    <s v="Mid"/>
    <x v="2"/>
  </r>
  <r>
    <n v="34"/>
    <x v="1048"/>
    <x v="1"/>
    <x v="0"/>
    <n v="3"/>
    <n v="3"/>
    <x v="1"/>
    <n v="4"/>
    <x v="1"/>
    <n v="1"/>
    <n v="2"/>
    <x v="0"/>
    <x v="3"/>
    <s v="Single"/>
    <n v="4759"/>
    <n v="3"/>
    <x v="1"/>
    <n v="4"/>
    <n v="15"/>
    <n v="3"/>
    <n v="13"/>
    <n v="9"/>
    <n v="3"/>
    <n v="12"/>
    <x v="11"/>
    <n v="0"/>
    <x v="0"/>
    <x v="1"/>
    <s v="Long"/>
    <x v="1"/>
  </r>
  <r>
    <n v="30"/>
    <x v="1049"/>
    <x v="1"/>
    <x v="0"/>
    <n v="16"/>
    <n v="1"/>
    <x v="0"/>
    <n v="4"/>
    <x v="1"/>
    <n v="3"/>
    <n v="2"/>
    <x v="0"/>
    <x v="2"/>
    <s v="Married"/>
    <n v="5301"/>
    <n v="8"/>
    <x v="1"/>
    <n v="3"/>
    <n v="4"/>
    <n v="2"/>
    <n v="2"/>
    <n v="1"/>
    <n v="2"/>
    <n v="2"/>
    <x v="2"/>
    <n v="0"/>
    <x v="0"/>
    <x v="0"/>
    <s v="Early"/>
    <x v="2"/>
  </r>
  <r>
    <n v="42"/>
    <x v="1050"/>
    <x v="1"/>
    <x v="1"/>
    <n v="9"/>
    <n v="2"/>
    <x v="2"/>
    <n v="1"/>
    <x v="0"/>
    <n v="3"/>
    <n v="1"/>
    <x v="2"/>
    <x v="0"/>
    <s v="Single"/>
    <n v="3673"/>
    <n v="1"/>
    <x v="1"/>
    <n v="3"/>
    <n v="12"/>
    <n v="3"/>
    <n v="12"/>
    <n v="9"/>
    <n v="5"/>
    <n v="8"/>
    <x v="4"/>
    <n v="0"/>
    <x v="0"/>
    <x v="1"/>
    <s v="Long"/>
    <x v="2"/>
  </r>
  <r>
    <n v="44"/>
    <x v="1051"/>
    <x v="1"/>
    <x v="0"/>
    <n v="1"/>
    <n v="5"/>
    <x v="3"/>
    <n v="1"/>
    <x v="0"/>
    <n v="3"/>
    <n v="2"/>
    <x v="0"/>
    <x v="2"/>
    <s v="Married"/>
    <n v="4768"/>
    <n v="7"/>
    <x v="1"/>
    <n v="3"/>
    <n v="11"/>
    <n v="2"/>
    <n v="1"/>
    <n v="0"/>
    <n v="0"/>
    <n v="0"/>
    <x v="3"/>
    <n v="0"/>
    <x v="0"/>
    <x v="1"/>
    <s v="Early"/>
    <x v="0"/>
  </r>
  <r>
    <n v="30"/>
    <x v="1052"/>
    <x v="1"/>
    <x v="1"/>
    <n v="7"/>
    <n v="3"/>
    <x v="4"/>
    <n v="3"/>
    <x v="1"/>
    <n v="3"/>
    <n v="1"/>
    <x v="1"/>
    <x v="2"/>
    <s v="Divorced"/>
    <n v="1274"/>
    <n v="1"/>
    <x v="1"/>
    <n v="2"/>
    <n v="1"/>
    <n v="2"/>
    <n v="1"/>
    <n v="0"/>
    <n v="0"/>
    <n v="0"/>
    <x v="4"/>
    <n v="0"/>
    <x v="0"/>
    <x v="1"/>
    <s v="Early"/>
    <x v="2"/>
  </r>
  <r>
    <n v="57"/>
    <x v="1053"/>
    <x v="1"/>
    <x v="1"/>
    <n v="1"/>
    <n v="2"/>
    <x v="0"/>
    <n v="2"/>
    <x v="1"/>
    <n v="4"/>
    <n v="2"/>
    <x v="1"/>
    <x v="2"/>
    <s v="Married"/>
    <n v="4900"/>
    <n v="0"/>
    <x v="1"/>
    <n v="1"/>
    <n v="13"/>
    <n v="2"/>
    <n v="12"/>
    <n v="9"/>
    <n v="2"/>
    <n v="8"/>
    <x v="13"/>
    <n v="0"/>
    <x v="1"/>
    <x v="1"/>
    <s v="Long"/>
    <x v="1"/>
  </r>
  <r>
    <n v="49"/>
    <x v="1054"/>
    <x v="1"/>
    <x v="1"/>
    <n v="7"/>
    <n v="4"/>
    <x v="0"/>
    <n v="3"/>
    <x v="1"/>
    <n v="3"/>
    <n v="3"/>
    <x v="4"/>
    <x v="1"/>
    <s v="Divorced"/>
    <n v="10466"/>
    <n v="3"/>
    <x v="1"/>
    <n v="2"/>
    <n v="29"/>
    <n v="3"/>
    <n v="8"/>
    <n v="7"/>
    <n v="0"/>
    <n v="7"/>
    <x v="9"/>
    <n v="0"/>
    <x v="1"/>
    <x v="2"/>
    <s v="Long"/>
    <x v="2"/>
  </r>
  <r>
    <n v="34"/>
    <x v="1055"/>
    <x v="1"/>
    <x v="1"/>
    <n v="15"/>
    <n v="3"/>
    <x v="2"/>
    <n v="2"/>
    <x v="1"/>
    <n v="3"/>
    <n v="4"/>
    <x v="7"/>
    <x v="3"/>
    <s v="Divorced"/>
    <n v="17007"/>
    <n v="7"/>
    <x v="1"/>
    <n v="4"/>
    <n v="16"/>
    <n v="2"/>
    <n v="14"/>
    <n v="8"/>
    <n v="6"/>
    <n v="9"/>
    <x v="9"/>
    <n v="0"/>
    <x v="0"/>
    <x v="2"/>
    <s v="Long"/>
    <x v="2"/>
  </r>
  <r>
    <n v="28"/>
    <x v="1056"/>
    <x v="0"/>
    <x v="0"/>
    <n v="1"/>
    <n v="3"/>
    <x v="4"/>
    <n v="1"/>
    <x v="1"/>
    <n v="3"/>
    <n v="1"/>
    <x v="6"/>
    <x v="2"/>
    <s v="Married"/>
    <n v="2909"/>
    <n v="3"/>
    <x v="1"/>
    <n v="4"/>
    <n v="5"/>
    <n v="4"/>
    <n v="3"/>
    <n v="2"/>
    <n v="1"/>
    <n v="2"/>
    <x v="2"/>
    <n v="1"/>
    <x v="2"/>
    <x v="1"/>
    <s v="Mid"/>
    <x v="2"/>
  </r>
  <r>
    <n v="29"/>
    <x v="1057"/>
    <x v="0"/>
    <x v="0"/>
    <n v="13"/>
    <n v="3"/>
    <x v="4"/>
    <n v="1"/>
    <x v="0"/>
    <n v="3"/>
    <n v="2"/>
    <x v="0"/>
    <x v="1"/>
    <s v="Single"/>
    <n v="5765"/>
    <n v="5"/>
    <x v="1"/>
    <n v="1"/>
    <n v="7"/>
    <n v="1"/>
    <n v="5"/>
    <n v="3"/>
    <n v="0"/>
    <n v="0"/>
    <x v="0"/>
    <n v="1"/>
    <x v="2"/>
    <x v="0"/>
    <s v="Mid"/>
    <x v="0"/>
  </r>
  <r>
    <n v="34"/>
    <x v="1058"/>
    <x v="0"/>
    <x v="0"/>
    <n v="24"/>
    <n v="4"/>
    <x v="2"/>
    <n v="1"/>
    <x v="0"/>
    <n v="2"/>
    <n v="2"/>
    <x v="0"/>
    <x v="1"/>
    <s v="Single"/>
    <n v="4599"/>
    <n v="0"/>
    <x v="0"/>
    <n v="3"/>
    <n v="16"/>
    <n v="4"/>
    <n v="15"/>
    <n v="9"/>
    <n v="10"/>
    <n v="10"/>
    <x v="1"/>
    <n v="1"/>
    <x v="0"/>
    <x v="1"/>
    <s v="Long"/>
    <x v="1"/>
  </r>
  <r>
    <n v="35"/>
    <x v="1059"/>
    <x v="1"/>
    <x v="0"/>
    <n v="7"/>
    <n v="1"/>
    <x v="0"/>
    <n v="4"/>
    <x v="1"/>
    <n v="3"/>
    <n v="1"/>
    <x v="6"/>
    <x v="2"/>
    <s v="Married"/>
    <n v="2404"/>
    <n v="1"/>
    <x v="1"/>
    <n v="1"/>
    <n v="1"/>
    <n v="3"/>
    <n v="1"/>
    <n v="0"/>
    <n v="0"/>
    <n v="0"/>
    <x v="4"/>
    <n v="0"/>
    <x v="0"/>
    <x v="1"/>
    <s v="Early"/>
    <x v="2"/>
  </r>
  <r>
    <n v="24"/>
    <x v="1060"/>
    <x v="0"/>
    <x v="1"/>
    <n v="9"/>
    <n v="3"/>
    <x v="2"/>
    <n v="2"/>
    <x v="1"/>
    <n v="3"/>
    <n v="1"/>
    <x v="2"/>
    <x v="3"/>
    <s v="Single"/>
    <n v="3172"/>
    <n v="2"/>
    <x v="0"/>
    <n v="3"/>
    <n v="4"/>
    <n v="2"/>
    <n v="0"/>
    <n v="0"/>
    <n v="0"/>
    <n v="0"/>
    <x v="0"/>
    <n v="1"/>
    <x v="2"/>
    <x v="1"/>
    <s v="Early"/>
    <x v="0"/>
  </r>
  <r>
    <n v="24"/>
    <x v="1061"/>
    <x v="1"/>
    <x v="0"/>
    <n v="13"/>
    <n v="2"/>
    <x v="0"/>
    <n v="4"/>
    <x v="0"/>
    <n v="3"/>
    <n v="1"/>
    <x v="6"/>
    <x v="1"/>
    <s v="Married"/>
    <n v="2033"/>
    <n v="1"/>
    <x v="1"/>
    <n v="3"/>
    <n v="1"/>
    <n v="3"/>
    <n v="1"/>
    <n v="0"/>
    <n v="0"/>
    <n v="0"/>
    <x v="4"/>
    <n v="0"/>
    <x v="2"/>
    <x v="1"/>
    <s v="Early"/>
    <x v="2"/>
  </r>
  <r>
    <n v="44"/>
    <x v="1062"/>
    <x v="1"/>
    <x v="1"/>
    <n v="2"/>
    <n v="1"/>
    <x v="2"/>
    <n v="2"/>
    <x v="1"/>
    <n v="3"/>
    <n v="3"/>
    <x v="3"/>
    <x v="2"/>
    <s v="Single"/>
    <n v="10209"/>
    <n v="5"/>
    <x v="0"/>
    <n v="2"/>
    <n v="16"/>
    <n v="2"/>
    <n v="2"/>
    <n v="2"/>
    <n v="2"/>
    <n v="2"/>
    <x v="11"/>
    <n v="0"/>
    <x v="0"/>
    <x v="2"/>
    <s v="Early"/>
    <x v="1"/>
  </r>
  <r>
    <n v="29"/>
    <x v="1063"/>
    <x v="1"/>
    <x v="0"/>
    <n v="19"/>
    <n v="3"/>
    <x v="0"/>
    <n v="3"/>
    <x v="1"/>
    <n v="2"/>
    <n v="2"/>
    <x v="0"/>
    <x v="2"/>
    <s v="Divorced"/>
    <n v="8620"/>
    <n v="1"/>
    <x v="1"/>
    <n v="3"/>
    <n v="10"/>
    <n v="3"/>
    <n v="10"/>
    <n v="7"/>
    <n v="0"/>
    <n v="4"/>
    <x v="9"/>
    <n v="0"/>
    <x v="2"/>
    <x v="0"/>
    <s v="Long"/>
    <x v="2"/>
  </r>
  <r>
    <n v="30"/>
    <x v="1064"/>
    <x v="1"/>
    <x v="2"/>
    <n v="1"/>
    <n v="3"/>
    <x v="0"/>
    <n v="3"/>
    <x v="1"/>
    <n v="3"/>
    <n v="1"/>
    <x v="8"/>
    <x v="2"/>
    <s v="Divorced"/>
    <n v="2064"/>
    <n v="0"/>
    <x v="1"/>
    <n v="1"/>
    <n v="6"/>
    <n v="4"/>
    <n v="5"/>
    <n v="3"/>
    <n v="1"/>
    <n v="3"/>
    <x v="7"/>
    <n v="0"/>
    <x v="0"/>
    <x v="1"/>
    <s v="Mid"/>
    <x v="1"/>
  </r>
  <r>
    <n v="55"/>
    <x v="1065"/>
    <x v="1"/>
    <x v="1"/>
    <n v="4"/>
    <n v="4"/>
    <x v="0"/>
    <n v="4"/>
    <x v="1"/>
    <n v="3"/>
    <n v="2"/>
    <x v="4"/>
    <x v="2"/>
    <s v="Married"/>
    <n v="4035"/>
    <n v="0"/>
    <x v="0"/>
    <n v="2"/>
    <n v="4"/>
    <n v="3"/>
    <n v="3"/>
    <n v="2"/>
    <n v="1"/>
    <n v="2"/>
    <x v="10"/>
    <n v="0"/>
    <x v="1"/>
    <x v="1"/>
    <s v="Mid"/>
    <x v="2"/>
  </r>
  <r>
    <n v="33"/>
    <x v="1066"/>
    <x v="1"/>
    <x v="1"/>
    <n v="4"/>
    <n v="4"/>
    <x v="2"/>
    <n v="1"/>
    <x v="0"/>
    <n v="2"/>
    <n v="1"/>
    <x v="2"/>
    <x v="1"/>
    <s v="Married"/>
    <n v="3838"/>
    <n v="8"/>
    <x v="1"/>
    <n v="4"/>
    <n v="8"/>
    <n v="3"/>
    <n v="5"/>
    <n v="4"/>
    <n v="0"/>
    <n v="2"/>
    <x v="0"/>
    <n v="0"/>
    <x v="0"/>
    <x v="1"/>
    <s v="Mid"/>
    <x v="0"/>
  </r>
  <r>
    <n v="47"/>
    <x v="1067"/>
    <x v="1"/>
    <x v="0"/>
    <n v="14"/>
    <n v="3"/>
    <x v="2"/>
    <n v="3"/>
    <x v="0"/>
    <n v="3"/>
    <n v="2"/>
    <x v="0"/>
    <x v="2"/>
    <s v="Married"/>
    <n v="4591"/>
    <n v="3"/>
    <x v="0"/>
    <n v="3"/>
    <n v="11"/>
    <n v="2"/>
    <n v="5"/>
    <n v="4"/>
    <n v="1"/>
    <n v="2"/>
    <x v="8"/>
    <n v="0"/>
    <x v="1"/>
    <x v="1"/>
    <s v="Mid"/>
    <x v="2"/>
  </r>
  <r>
    <n v="28"/>
    <x v="1068"/>
    <x v="0"/>
    <x v="1"/>
    <n v="2"/>
    <n v="2"/>
    <x v="2"/>
    <n v="3"/>
    <x v="1"/>
    <n v="2"/>
    <n v="1"/>
    <x v="2"/>
    <x v="3"/>
    <s v="Single"/>
    <n v="2561"/>
    <n v="7"/>
    <x v="1"/>
    <n v="3"/>
    <n v="8"/>
    <n v="2"/>
    <n v="0"/>
    <n v="0"/>
    <n v="0"/>
    <n v="0"/>
    <x v="0"/>
    <n v="1"/>
    <x v="2"/>
    <x v="1"/>
    <s v="Early"/>
    <x v="0"/>
  </r>
  <r>
    <n v="28"/>
    <x v="1069"/>
    <x v="1"/>
    <x v="1"/>
    <n v="1"/>
    <n v="3"/>
    <x v="0"/>
    <n v="1"/>
    <x v="1"/>
    <n v="2"/>
    <n v="1"/>
    <x v="1"/>
    <x v="2"/>
    <s v="Divorced"/>
    <n v="1563"/>
    <n v="1"/>
    <x v="1"/>
    <n v="4"/>
    <n v="1"/>
    <n v="1"/>
    <n v="1"/>
    <n v="0"/>
    <n v="0"/>
    <n v="0"/>
    <x v="9"/>
    <n v="0"/>
    <x v="2"/>
    <x v="1"/>
    <s v="Early"/>
    <x v="2"/>
  </r>
  <r>
    <n v="28"/>
    <x v="1070"/>
    <x v="1"/>
    <x v="0"/>
    <n v="7"/>
    <n v="3"/>
    <x v="0"/>
    <n v="3"/>
    <x v="1"/>
    <n v="3"/>
    <n v="2"/>
    <x v="0"/>
    <x v="3"/>
    <s v="Single"/>
    <n v="4898"/>
    <n v="0"/>
    <x v="1"/>
    <n v="4"/>
    <n v="5"/>
    <n v="3"/>
    <n v="4"/>
    <n v="2"/>
    <n v="1"/>
    <n v="3"/>
    <x v="9"/>
    <n v="0"/>
    <x v="2"/>
    <x v="1"/>
    <s v="Mid"/>
    <x v="2"/>
  </r>
  <r>
    <n v="49"/>
    <x v="1071"/>
    <x v="1"/>
    <x v="1"/>
    <n v="3"/>
    <n v="2"/>
    <x v="2"/>
    <n v="3"/>
    <x v="0"/>
    <n v="2"/>
    <n v="2"/>
    <x v="2"/>
    <x v="3"/>
    <s v="Married"/>
    <n v="4789"/>
    <n v="4"/>
    <x v="1"/>
    <n v="1"/>
    <n v="10"/>
    <n v="3"/>
    <n v="3"/>
    <n v="2"/>
    <n v="1"/>
    <n v="2"/>
    <x v="14"/>
    <n v="0"/>
    <x v="1"/>
    <x v="1"/>
    <s v="Mid"/>
    <x v="1"/>
  </r>
  <r>
    <n v="29"/>
    <x v="1072"/>
    <x v="1"/>
    <x v="1"/>
    <n v="2"/>
    <n v="1"/>
    <x v="0"/>
    <n v="4"/>
    <x v="0"/>
    <n v="3"/>
    <n v="1"/>
    <x v="2"/>
    <x v="1"/>
    <s v="Married"/>
    <n v="3180"/>
    <n v="0"/>
    <x v="1"/>
    <n v="3"/>
    <n v="4"/>
    <n v="3"/>
    <n v="3"/>
    <n v="2"/>
    <n v="0"/>
    <n v="2"/>
    <x v="4"/>
    <n v="0"/>
    <x v="2"/>
    <x v="1"/>
    <s v="Mid"/>
    <x v="2"/>
  </r>
  <r>
    <n v="28"/>
    <x v="1073"/>
    <x v="1"/>
    <x v="1"/>
    <n v="29"/>
    <n v="1"/>
    <x v="0"/>
    <n v="3"/>
    <x v="1"/>
    <n v="1"/>
    <n v="2"/>
    <x v="3"/>
    <x v="1"/>
    <s v="Married"/>
    <n v="6549"/>
    <n v="1"/>
    <x v="1"/>
    <n v="2"/>
    <n v="8"/>
    <n v="2"/>
    <n v="8"/>
    <n v="6"/>
    <n v="1"/>
    <n v="7"/>
    <x v="9"/>
    <n v="0"/>
    <x v="2"/>
    <x v="0"/>
    <s v="Long"/>
    <x v="2"/>
  </r>
  <r>
    <n v="33"/>
    <x v="1074"/>
    <x v="1"/>
    <x v="1"/>
    <n v="8"/>
    <n v="5"/>
    <x v="0"/>
    <n v="4"/>
    <x v="1"/>
    <n v="3"/>
    <n v="2"/>
    <x v="4"/>
    <x v="2"/>
    <s v="Single"/>
    <n v="6388"/>
    <n v="2"/>
    <x v="0"/>
    <n v="1"/>
    <n v="14"/>
    <n v="3"/>
    <n v="0"/>
    <n v="0"/>
    <n v="0"/>
    <n v="0"/>
    <x v="8"/>
    <n v="0"/>
    <x v="0"/>
    <x v="0"/>
    <s v="Early"/>
    <x v="2"/>
  </r>
  <r>
    <n v="32"/>
    <x v="1075"/>
    <x v="1"/>
    <x v="1"/>
    <n v="10"/>
    <n v="3"/>
    <x v="2"/>
    <n v="3"/>
    <x v="1"/>
    <n v="3"/>
    <n v="3"/>
    <x v="5"/>
    <x v="0"/>
    <s v="Single"/>
    <n v="11244"/>
    <n v="2"/>
    <x v="1"/>
    <n v="2"/>
    <n v="10"/>
    <n v="4"/>
    <n v="5"/>
    <n v="2"/>
    <n v="0"/>
    <n v="0"/>
    <x v="14"/>
    <n v="0"/>
    <x v="0"/>
    <x v="2"/>
    <s v="Mid"/>
    <x v="1"/>
  </r>
  <r>
    <n v="54"/>
    <x v="1076"/>
    <x v="1"/>
    <x v="1"/>
    <n v="11"/>
    <n v="4"/>
    <x v="2"/>
    <n v="2"/>
    <x v="0"/>
    <n v="3"/>
    <n v="4"/>
    <x v="5"/>
    <x v="0"/>
    <s v="Divorced"/>
    <n v="16032"/>
    <n v="3"/>
    <x v="1"/>
    <n v="1"/>
    <n v="26"/>
    <n v="3"/>
    <n v="14"/>
    <n v="9"/>
    <n v="1"/>
    <n v="12"/>
    <x v="5"/>
    <n v="0"/>
    <x v="1"/>
    <x v="2"/>
    <s v="Long"/>
    <x v="1"/>
  </r>
  <r>
    <n v="29"/>
    <x v="1077"/>
    <x v="0"/>
    <x v="1"/>
    <n v="1"/>
    <n v="4"/>
    <x v="4"/>
    <n v="1"/>
    <x v="1"/>
    <n v="2"/>
    <n v="1"/>
    <x v="1"/>
    <x v="3"/>
    <s v="Single"/>
    <n v="2362"/>
    <n v="6"/>
    <x v="1"/>
    <n v="3"/>
    <n v="11"/>
    <n v="1"/>
    <n v="9"/>
    <n v="7"/>
    <n v="0"/>
    <n v="7"/>
    <x v="4"/>
    <n v="1"/>
    <x v="2"/>
    <x v="1"/>
    <s v="Long"/>
    <x v="2"/>
  </r>
  <r>
    <n v="44"/>
    <x v="1078"/>
    <x v="1"/>
    <x v="1"/>
    <n v="28"/>
    <n v="3"/>
    <x v="0"/>
    <n v="4"/>
    <x v="1"/>
    <n v="3"/>
    <n v="4"/>
    <x v="7"/>
    <x v="3"/>
    <s v="Married"/>
    <n v="16328"/>
    <n v="3"/>
    <x v="1"/>
    <n v="3"/>
    <n v="24"/>
    <n v="4"/>
    <n v="20"/>
    <n v="6"/>
    <n v="14"/>
    <n v="17"/>
    <x v="4"/>
    <n v="0"/>
    <x v="0"/>
    <x v="2"/>
    <s v="Long"/>
    <x v="2"/>
  </r>
  <r>
    <n v="39"/>
    <x v="1079"/>
    <x v="1"/>
    <x v="1"/>
    <n v="6"/>
    <n v="3"/>
    <x v="0"/>
    <n v="2"/>
    <x v="0"/>
    <n v="3"/>
    <n v="3"/>
    <x v="3"/>
    <x v="1"/>
    <s v="Single"/>
    <n v="8376"/>
    <n v="4"/>
    <x v="1"/>
    <n v="4"/>
    <n v="9"/>
    <n v="3"/>
    <n v="2"/>
    <n v="0"/>
    <n v="2"/>
    <n v="2"/>
    <x v="11"/>
    <n v="0"/>
    <x v="0"/>
    <x v="0"/>
    <s v="Early"/>
    <x v="1"/>
  </r>
  <r>
    <n v="46"/>
    <x v="1080"/>
    <x v="1"/>
    <x v="0"/>
    <n v="3"/>
    <n v="3"/>
    <x v="0"/>
    <n v="3"/>
    <x v="0"/>
    <n v="3"/>
    <n v="4"/>
    <x v="5"/>
    <x v="1"/>
    <s v="Married"/>
    <n v="16606"/>
    <n v="8"/>
    <x v="1"/>
    <n v="4"/>
    <n v="23"/>
    <n v="4"/>
    <n v="13"/>
    <n v="12"/>
    <n v="5"/>
    <n v="1"/>
    <x v="3"/>
    <n v="0"/>
    <x v="1"/>
    <x v="2"/>
    <s v="Long"/>
    <x v="0"/>
  </r>
  <r>
    <n v="35"/>
    <x v="1081"/>
    <x v="1"/>
    <x v="1"/>
    <n v="16"/>
    <n v="3"/>
    <x v="0"/>
    <n v="4"/>
    <x v="0"/>
    <n v="2"/>
    <n v="3"/>
    <x v="4"/>
    <x v="1"/>
    <s v="Single"/>
    <n v="8606"/>
    <n v="1"/>
    <x v="1"/>
    <n v="4"/>
    <n v="11"/>
    <n v="1"/>
    <n v="11"/>
    <n v="8"/>
    <n v="3"/>
    <n v="3"/>
    <x v="12"/>
    <n v="0"/>
    <x v="0"/>
    <x v="0"/>
    <s v="Long"/>
    <x v="1"/>
  </r>
  <r>
    <n v="23"/>
    <x v="1082"/>
    <x v="1"/>
    <x v="1"/>
    <n v="20"/>
    <n v="1"/>
    <x v="0"/>
    <n v="1"/>
    <x v="1"/>
    <n v="3"/>
    <n v="2"/>
    <x v="2"/>
    <x v="2"/>
    <s v="Single"/>
    <n v="2272"/>
    <n v="0"/>
    <x v="1"/>
    <n v="2"/>
    <n v="5"/>
    <n v="3"/>
    <n v="4"/>
    <n v="3"/>
    <n v="1"/>
    <n v="2"/>
    <x v="9"/>
    <n v="0"/>
    <x v="2"/>
    <x v="1"/>
    <s v="Mid"/>
    <x v="2"/>
  </r>
  <r>
    <n v="40"/>
    <x v="1083"/>
    <x v="0"/>
    <x v="1"/>
    <n v="9"/>
    <n v="4"/>
    <x v="0"/>
    <n v="4"/>
    <x v="1"/>
    <n v="3"/>
    <n v="1"/>
    <x v="2"/>
    <x v="3"/>
    <s v="Single"/>
    <n v="2018"/>
    <n v="3"/>
    <x v="1"/>
    <n v="2"/>
    <n v="15"/>
    <n v="1"/>
    <n v="5"/>
    <n v="4"/>
    <n v="1"/>
    <n v="0"/>
    <x v="9"/>
    <n v="1"/>
    <x v="0"/>
    <x v="1"/>
    <s v="Mid"/>
    <x v="2"/>
  </r>
  <r>
    <n v="34"/>
    <x v="1084"/>
    <x v="1"/>
    <x v="0"/>
    <n v="1"/>
    <n v="3"/>
    <x v="4"/>
    <n v="4"/>
    <x v="1"/>
    <n v="2"/>
    <n v="3"/>
    <x v="0"/>
    <x v="2"/>
    <s v="Married"/>
    <n v="7083"/>
    <n v="1"/>
    <x v="0"/>
    <n v="4"/>
    <n v="10"/>
    <n v="3"/>
    <n v="10"/>
    <n v="9"/>
    <n v="8"/>
    <n v="6"/>
    <x v="9"/>
    <n v="0"/>
    <x v="0"/>
    <x v="0"/>
    <s v="Long"/>
    <x v="2"/>
  </r>
  <r>
    <n v="31"/>
    <x v="1085"/>
    <x v="0"/>
    <x v="1"/>
    <n v="3"/>
    <n v="3"/>
    <x v="0"/>
    <n v="4"/>
    <x v="0"/>
    <n v="3"/>
    <n v="1"/>
    <x v="1"/>
    <x v="2"/>
    <s v="Single"/>
    <n v="4084"/>
    <n v="1"/>
    <x v="1"/>
    <n v="1"/>
    <n v="7"/>
    <n v="1"/>
    <n v="7"/>
    <n v="2"/>
    <n v="7"/>
    <n v="7"/>
    <x v="3"/>
    <n v="1"/>
    <x v="0"/>
    <x v="1"/>
    <s v="Long"/>
    <x v="0"/>
  </r>
  <r>
    <n v="50"/>
    <x v="1086"/>
    <x v="1"/>
    <x v="1"/>
    <n v="22"/>
    <n v="5"/>
    <x v="2"/>
    <n v="3"/>
    <x v="1"/>
    <n v="1"/>
    <n v="4"/>
    <x v="7"/>
    <x v="0"/>
    <s v="Single"/>
    <n v="14411"/>
    <n v="1"/>
    <x v="0"/>
    <n v="4"/>
    <n v="32"/>
    <n v="3"/>
    <n v="32"/>
    <n v="6"/>
    <n v="13"/>
    <n v="9"/>
    <x v="4"/>
    <n v="0"/>
    <x v="1"/>
    <x v="2"/>
    <s v="Long"/>
    <x v="2"/>
  </r>
  <r>
    <n v="34"/>
    <x v="1087"/>
    <x v="1"/>
    <x v="0"/>
    <n v="7"/>
    <n v="2"/>
    <x v="4"/>
    <n v="2"/>
    <x v="1"/>
    <n v="3"/>
    <n v="1"/>
    <x v="6"/>
    <x v="2"/>
    <s v="Married"/>
    <n v="2308"/>
    <n v="0"/>
    <x v="0"/>
    <n v="2"/>
    <n v="12"/>
    <n v="3"/>
    <n v="11"/>
    <n v="10"/>
    <n v="5"/>
    <n v="7"/>
    <x v="14"/>
    <n v="0"/>
    <x v="0"/>
    <x v="1"/>
    <s v="Long"/>
    <x v="1"/>
  </r>
  <r>
    <n v="42"/>
    <x v="1088"/>
    <x v="1"/>
    <x v="1"/>
    <n v="2"/>
    <n v="3"/>
    <x v="2"/>
    <n v="3"/>
    <x v="1"/>
    <n v="2"/>
    <n v="1"/>
    <x v="2"/>
    <x v="1"/>
    <s v="Married"/>
    <n v="4841"/>
    <n v="4"/>
    <x v="1"/>
    <n v="2"/>
    <n v="4"/>
    <n v="3"/>
    <n v="1"/>
    <n v="0"/>
    <n v="0"/>
    <n v="0"/>
    <x v="9"/>
    <n v="0"/>
    <x v="0"/>
    <x v="1"/>
    <s v="Early"/>
    <x v="2"/>
  </r>
  <r>
    <n v="37"/>
    <x v="1089"/>
    <x v="1"/>
    <x v="1"/>
    <n v="13"/>
    <n v="3"/>
    <x v="2"/>
    <n v="1"/>
    <x v="1"/>
    <n v="3"/>
    <n v="2"/>
    <x v="1"/>
    <x v="0"/>
    <s v="Married"/>
    <n v="4285"/>
    <n v="1"/>
    <x v="1"/>
    <n v="1"/>
    <n v="10"/>
    <n v="3"/>
    <n v="10"/>
    <n v="8"/>
    <n v="3"/>
    <n v="7"/>
    <x v="8"/>
    <n v="0"/>
    <x v="0"/>
    <x v="1"/>
    <s v="Long"/>
    <x v="2"/>
  </r>
  <r>
    <n v="29"/>
    <x v="1090"/>
    <x v="1"/>
    <x v="1"/>
    <n v="8"/>
    <n v="1"/>
    <x v="1"/>
    <n v="3"/>
    <x v="0"/>
    <n v="1"/>
    <n v="2"/>
    <x v="4"/>
    <x v="3"/>
    <s v="Married"/>
    <n v="9715"/>
    <n v="3"/>
    <x v="1"/>
    <n v="3"/>
    <n v="9"/>
    <n v="3"/>
    <n v="7"/>
    <n v="7"/>
    <n v="0"/>
    <n v="7"/>
    <x v="4"/>
    <n v="0"/>
    <x v="2"/>
    <x v="0"/>
    <s v="Long"/>
    <x v="2"/>
  </r>
  <r>
    <n v="33"/>
    <x v="1091"/>
    <x v="1"/>
    <x v="1"/>
    <n v="25"/>
    <n v="3"/>
    <x v="0"/>
    <n v="4"/>
    <x v="1"/>
    <n v="2"/>
    <n v="2"/>
    <x v="3"/>
    <x v="1"/>
    <s v="Single"/>
    <n v="4320"/>
    <n v="1"/>
    <x v="1"/>
    <n v="4"/>
    <n v="5"/>
    <n v="3"/>
    <n v="5"/>
    <n v="3"/>
    <n v="0"/>
    <n v="2"/>
    <x v="4"/>
    <n v="0"/>
    <x v="0"/>
    <x v="1"/>
    <s v="Mid"/>
    <x v="2"/>
  </r>
  <r>
    <n v="45"/>
    <x v="1092"/>
    <x v="1"/>
    <x v="1"/>
    <n v="28"/>
    <n v="3"/>
    <x v="4"/>
    <n v="4"/>
    <x v="1"/>
    <n v="3"/>
    <n v="1"/>
    <x v="1"/>
    <x v="0"/>
    <s v="Married"/>
    <n v="2132"/>
    <n v="4"/>
    <x v="1"/>
    <n v="4"/>
    <n v="8"/>
    <n v="3"/>
    <n v="5"/>
    <n v="4"/>
    <n v="0"/>
    <n v="3"/>
    <x v="5"/>
    <n v="0"/>
    <x v="1"/>
    <x v="1"/>
    <s v="Mid"/>
    <x v="1"/>
  </r>
  <r>
    <n v="42"/>
    <x v="1093"/>
    <x v="1"/>
    <x v="1"/>
    <n v="2"/>
    <n v="3"/>
    <x v="0"/>
    <n v="4"/>
    <x v="1"/>
    <n v="3"/>
    <n v="3"/>
    <x v="4"/>
    <x v="0"/>
    <s v="Married"/>
    <n v="10124"/>
    <n v="2"/>
    <x v="0"/>
    <n v="3"/>
    <n v="24"/>
    <n v="1"/>
    <n v="20"/>
    <n v="8"/>
    <n v="13"/>
    <n v="9"/>
    <x v="9"/>
    <n v="0"/>
    <x v="0"/>
    <x v="2"/>
    <s v="Long"/>
    <x v="2"/>
  </r>
  <r>
    <n v="40"/>
    <x v="1094"/>
    <x v="1"/>
    <x v="0"/>
    <n v="9"/>
    <n v="2"/>
    <x v="2"/>
    <n v="1"/>
    <x v="1"/>
    <n v="3"/>
    <n v="2"/>
    <x v="0"/>
    <x v="3"/>
    <s v="Married"/>
    <n v="5473"/>
    <n v="0"/>
    <x v="1"/>
    <n v="4"/>
    <n v="9"/>
    <n v="4"/>
    <n v="8"/>
    <n v="4"/>
    <n v="7"/>
    <n v="1"/>
    <x v="3"/>
    <n v="0"/>
    <x v="0"/>
    <x v="0"/>
    <s v="Long"/>
    <x v="0"/>
  </r>
  <r>
    <n v="33"/>
    <x v="1095"/>
    <x v="1"/>
    <x v="1"/>
    <n v="28"/>
    <n v="4"/>
    <x v="0"/>
    <n v="2"/>
    <x v="1"/>
    <n v="3"/>
    <n v="2"/>
    <x v="2"/>
    <x v="2"/>
    <s v="Married"/>
    <n v="5207"/>
    <n v="1"/>
    <x v="0"/>
    <n v="2"/>
    <n v="15"/>
    <n v="3"/>
    <n v="15"/>
    <n v="14"/>
    <n v="5"/>
    <n v="7"/>
    <x v="3"/>
    <n v="0"/>
    <x v="0"/>
    <x v="0"/>
    <s v="Long"/>
    <x v="0"/>
  </r>
  <r>
    <n v="40"/>
    <x v="1096"/>
    <x v="1"/>
    <x v="2"/>
    <n v="6"/>
    <n v="2"/>
    <x v="2"/>
    <n v="3"/>
    <x v="1"/>
    <n v="3"/>
    <n v="4"/>
    <x v="5"/>
    <x v="0"/>
    <s v="Single"/>
    <n v="16437"/>
    <n v="1"/>
    <x v="0"/>
    <n v="4"/>
    <n v="21"/>
    <n v="3"/>
    <n v="21"/>
    <n v="7"/>
    <n v="7"/>
    <n v="7"/>
    <x v="7"/>
    <n v="0"/>
    <x v="0"/>
    <x v="2"/>
    <s v="Long"/>
    <x v="1"/>
  </r>
  <r>
    <n v="24"/>
    <x v="1097"/>
    <x v="1"/>
    <x v="1"/>
    <n v="21"/>
    <n v="2"/>
    <x v="4"/>
    <n v="3"/>
    <x v="1"/>
    <n v="2"/>
    <n v="1"/>
    <x v="2"/>
    <x v="3"/>
    <s v="Divorced"/>
    <n v="2296"/>
    <n v="0"/>
    <x v="1"/>
    <n v="2"/>
    <n v="2"/>
    <n v="3"/>
    <n v="1"/>
    <n v="1"/>
    <n v="0"/>
    <n v="0"/>
    <x v="9"/>
    <n v="0"/>
    <x v="2"/>
    <x v="1"/>
    <s v="Early"/>
    <x v="2"/>
  </r>
  <r>
    <n v="40"/>
    <x v="1098"/>
    <x v="1"/>
    <x v="1"/>
    <n v="8"/>
    <n v="2"/>
    <x v="0"/>
    <n v="4"/>
    <x v="1"/>
    <n v="3"/>
    <n v="2"/>
    <x v="4"/>
    <x v="0"/>
    <s v="Divorced"/>
    <n v="4069"/>
    <n v="3"/>
    <x v="0"/>
    <n v="3"/>
    <n v="8"/>
    <n v="3"/>
    <n v="2"/>
    <n v="2"/>
    <n v="2"/>
    <n v="2"/>
    <x v="11"/>
    <n v="0"/>
    <x v="0"/>
    <x v="1"/>
    <s v="Early"/>
    <x v="1"/>
  </r>
  <r>
    <n v="45"/>
    <x v="1099"/>
    <x v="1"/>
    <x v="1"/>
    <n v="1"/>
    <n v="4"/>
    <x v="4"/>
    <n v="1"/>
    <x v="1"/>
    <n v="3"/>
    <n v="3"/>
    <x v="4"/>
    <x v="1"/>
    <s v="Divorced"/>
    <n v="7441"/>
    <n v="1"/>
    <x v="1"/>
    <n v="1"/>
    <n v="10"/>
    <n v="3"/>
    <n v="10"/>
    <n v="8"/>
    <n v="7"/>
    <n v="7"/>
    <x v="3"/>
    <n v="0"/>
    <x v="1"/>
    <x v="0"/>
    <s v="Long"/>
    <x v="0"/>
  </r>
  <r>
    <n v="35"/>
    <x v="1100"/>
    <x v="1"/>
    <x v="0"/>
    <n v="28"/>
    <n v="4"/>
    <x v="0"/>
    <n v="2"/>
    <x v="0"/>
    <n v="2"/>
    <n v="1"/>
    <x v="6"/>
    <x v="2"/>
    <s v="Married"/>
    <n v="2430"/>
    <n v="0"/>
    <x v="1"/>
    <n v="1"/>
    <n v="6"/>
    <n v="3"/>
    <n v="5"/>
    <n v="3"/>
    <n v="4"/>
    <n v="2"/>
    <x v="1"/>
    <n v="0"/>
    <x v="0"/>
    <x v="1"/>
    <s v="Mid"/>
    <x v="1"/>
  </r>
  <r>
    <n v="32"/>
    <x v="1101"/>
    <x v="1"/>
    <x v="1"/>
    <n v="5"/>
    <n v="2"/>
    <x v="0"/>
    <n v="4"/>
    <x v="0"/>
    <n v="2"/>
    <n v="2"/>
    <x v="1"/>
    <x v="1"/>
    <s v="Married"/>
    <n v="5878"/>
    <n v="3"/>
    <x v="1"/>
    <n v="1"/>
    <n v="12"/>
    <n v="3"/>
    <n v="7"/>
    <n v="1"/>
    <n v="2"/>
    <n v="5"/>
    <x v="3"/>
    <n v="0"/>
    <x v="0"/>
    <x v="0"/>
    <s v="Long"/>
    <x v="0"/>
  </r>
  <r>
    <n v="36"/>
    <x v="1102"/>
    <x v="1"/>
    <x v="0"/>
    <n v="2"/>
    <n v="4"/>
    <x v="0"/>
    <n v="3"/>
    <x v="1"/>
    <n v="3"/>
    <n v="1"/>
    <x v="6"/>
    <x v="0"/>
    <s v="Single"/>
    <n v="2644"/>
    <n v="3"/>
    <x v="0"/>
    <n v="4"/>
    <n v="7"/>
    <n v="2"/>
    <n v="3"/>
    <n v="2"/>
    <n v="1"/>
    <n v="2"/>
    <x v="7"/>
    <n v="0"/>
    <x v="0"/>
    <x v="1"/>
    <s v="Mid"/>
    <x v="1"/>
  </r>
  <r>
    <n v="48"/>
    <x v="1103"/>
    <x v="1"/>
    <x v="0"/>
    <n v="16"/>
    <n v="4"/>
    <x v="0"/>
    <n v="3"/>
    <x v="0"/>
    <n v="3"/>
    <n v="2"/>
    <x v="0"/>
    <x v="2"/>
    <s v="Divorced"/>
    <n v="6439"/>
    <n v="8"/>
    <x v="1"/>
    <n v="3"/>
    <n v="18"/>
    <n v="3"/>
    <n v="8"/>
    <n v="7"/>
    <n v="7"/>
    <n v="7"/>
    <x v="9"/>
    <n v="0"/>
    <x v="1"/>
    <x v="0"/>
    <s v="Long"/>
    <x v="2"/>
  </r>
  <r>
    <n v="29"/>
    <x v="1104"/>
    <x v="1"/>
    <x v="1"/>
    <n v="9"/>
    <n v="3"/>
    <x v="0"/>
    <n v="3"/>
    <x v="1"/>
    <n v="4"/>
    <n v="1"/>
    <x v="1"/>
    <x v="2"/>
    <s v="Married"/>
    <n v="2451"/>
    <n v="6"/>
    <x v="1"/>
    <n v="1"/>
    <n v="5"/>
    <n v="2"/>
    <n v="1"/>
    <n v="0"/>
    <n v="0"/>
    <n v="0"/>
    <x v="11"/>
    <n v="0"/>
    <x v="2"/>
    <x v="1"/>
    <s v="Early"/>
    <x v="1"/>
  </r>
  <r>
    <n v="33"/>
    <x v="1105"/>
    <x v="1"/>
    <x v="0"/>
    <n v="8"/>
    <n v="4"/>
    <x v="0"/>
    <n v="1"/>
    <x v="1"/>
    <n v="3"/>
    <n v="2"/>
    <x v="0"/>
    <x v="3"/>
    <s v="Married"/>
    <n v="6392"/>
    <n v="2"/>
    <x v="1"/>
    <n v="4"/>
    <n v="8"/>
    <n v="1"/>
    <n v="2"/>
    <n v="2"/>
    <n v="2"/>
    <n v="2"/>
    <x v="4"/>
    <n v="0"/>
    <x v="0"/>
    <x v="0"/>
    <s v="Early"/>
    <x v="2"/>
  </r>
  <r>
    <n v="30"/>
    <x v="1106"/>
    <x v="0"/>
    <x v="0"/>
    <n v="1"/>
    <n v="3"/>
    <x v="0"/>
    <n v="2"/>
    <x v="1"/>
    <n v="2"/>
    <n v="2"/>
    <x v="0"/>
    <x v="3"/>
    <s v="Married"/>
    <n v="9714"/>
    <n v="1"/>
    <x v="1"/>
    <n v="4"/>
    <n v="10"/>
    <n v="3"/>
    <n v="10"/>
    <n v="8"/>
    <n v="6"/>
    <n v="7"/>
    <x v="0"/>
    <n v="1"/>
    <x v="0"/>
    <x v="0"/>
    <s v="Long"/>
    <x v="0"/>
  </r>
  <r>
    <n v="38"/>
    <x v="1107"/>
    <x v="1"/>
    <x v="2"/>
    <n v="10"/>
    <n v="4"/>
    <x v="5"/>
    <n v="3"/>
    <x v="1"/>
    <n v="3"/>
    <n v="2"/>
    <x v="8"/>
    <x v="2"/>
    <s v="Married"/>
    <n v="6077"/>
    <n v="3"/>
    <x v="1"/>
    <n v="3"/>
    <n v="10"/>
    <n v="3"/>
    <n v="6"/>
    <n v="3"/>
    <n v="1"/>
    <n v="2"/>
    <x v="0"/>
    <n v="0"/>
    <x v="0"/>
    <x v="0"/>
    <s v="Mid"/>
    <x v="0"/>
  </r>
  <r>
    <n v="35"/>
    <x v="1108"/>
    <x v="1"/>
    <x v="1"/>
    <n v="1"/>
    <n v="3"/>
    <x v="2"/>
    <n v="4"/>
    <x v="1"/>
    <n v="2"/>
    <n v="1"/>
    <x v="2"/>
    <x v="3"/>
    <s v="Single"/>
    <n v="2450"/>
    <n v="1"/>
    <x v="1"/>
    <n v="2"/>
    <n v="3"/>
    <n v="3"/>
    <n v="3"/>
    <n v="0"/>
    <n v="1"/>
    <n v="2"/>
    <x v="12"/>
    <n v="0"/>
    <x v="0"/>
    <x v="1"/>
    <s v="Mid"/>
    <x v="1"/>
  </r>
  <r>
    <n v="30"/>
    <x v="1109"/>
    <x v="1"/>
    <x v="0"/>
    <n v="29"/>
    <n v="4"/>
    <x v="4"/>
    <n v="3"/>
    <x v="1"/>
    <n v="3"/>
    <n v="3"/>
    <x v="0"/>
    <x v="1"/>
    <s v="Married"/>
    <n v="9250"/>
    <n v="3"/>
    <x v="1"/>
    <n v="2"/>
    <n v="9"/>
    <n v="3"/>
    <n v="4"/>
    <n v="2"/>
    <n v="1"/>
    <n v="3"/>
    <x v="3"/>
    <n v="0"/>
    <x v="0"/>
    <x v="0"/>
    <s v="Mid"/>
    <x v="0"/>
  </r>
  <r>
    <n v="35"/>
    <x v="1110"/>
    <x v="0"/>
    <x v="1"/>
    <n v="2"/>
    <n v="3"/>
    <x v="0"/>
    <n v="1"/>
    <x v="0"/>
    <n v="3"/>
    <n v="1"/>
    <x v="2"/>
    <x v="3"/>
    <s v="Divorced"/>
    <n v="2074"/>
    <n v="1"/>
    <x v="0"/>
    <n v="4"/>
    <n v="1"/>
    <n v="3"/>
    <n v="1"/>
    <n v="0"/>
    <n v="0"/>
    <n v="0"/>
    <x v="3"/>
    <n v="1"/>
    <x v="0"/>
    <x v="1"/>
    <s v="Early"/>
    <x v="0"/>
  </r>
  <r>
    <n v="53"/>
    <x v="1111"/>
    <x v="0"/>
    <x v="1"/>
    <n v="2"/>
    <n v="5"/>
    <x v="4"/>
    <n v="3"/>
    <x v="0"/>
    <n v="2"/>
    <n v="3"/>
    <x v="3"/>
    <x v="0"/>
    <s v="Married"/>
    <n v="10169"/>
    <n v="0"/>
    <x v="1"/>
    <n v="2"/>
    <n v="34"/>
    <n v="3"/>
    <n v="33"/>
    <n v="7"/>
    <n v="1"/>
    <n v="9"/>
    <x v="10"/>
    <n v="1"/>
    <x v="1"/>
    <x v="2"/>
    <s v="Long"/>
    <x v="2"/>
  </r>
  <r>
    <n v="38"/>
    <x v="1112"/>
    <x v="0"/>
    <x v="1"/>
    <n v="2"/>
    <n v="3"/>
    <x v="2"/>
    <n v="3"/>
    <x v="1"/>
    <n v="3"/>
    <n v="2"/>
    <x v="3"/>
    <x v="1"/>
    <s v="Married"/>
    <n v="4855"/>
    <n v="4"/>
    <x v="1"/>
    <n v="1"/>
    <n v="7"/>
    <n v="3"/>
    <n v="5"/>
    <n v="2"/>
    <n v="1"/>
    <n v="4"/>
    <x v="0"/>
    <n v="1"/>
    <x v="0"/>
    <x v="1"/>
    <s v="Mid"/>
    <x v="0"/>
  </r>
  <r>
    <n v="32"/>
    <x v="1113"/>
    <x v="1"/>
    <x v="1"/>
    <n v="1"/>
    <n v="4"/>
    <x v="4"/>
    <n v="4"/>
    <x v="1"/>
    <n v="3"/>
    <n v="2"/>
    <x v="1"/>
    <x v="3"/>
    <s v="Married"/>
    <n v="4087"/>
    <n v="4"/>
    <x v="1"/>
    <n v="2"/>
    <n v="9"/>
    <n v="2"/>
    <n v="6"/>
    <n v="5"/>
    <n v="1"/>
    <n v="2"/>
    <x v="9"/>
    <n v="0"/>
    <x v="0"/>
    <x v="1"/>
    <s v="Mid"/>
    <x v="2"/>
  </r>
  <r>
    <n v="48"/>
    <x v="1114"/>
    <x v="1"/>
    <x v="1"/>
    <n v="15"/>
    <n v="4"/>
    <x v="1"/>
    <n v="3"/>
    <x v="0"/>
    <n v="3"/>
    <n v="1"/>
    <x v="1"/>
    <x v="3"/>
    <s v="Married"/>
    <n v="2367"/>
    <n v="8"/>
    <x v="1"/>
    <n v="4"/>
    <n v="10"/>
    <n v="2"/>
    <n v="8"/>
    <n v="2"/>
    <n v="7"/>
    <n v="6"/>
    <x v="3"/>
    <n v="0"/>
    <x v="1"/>
    <x v="1"/>
    <s v="Long"/>
    <x v="0"/>
  </r>
  <r>
    <n v="34"/>
    <x v="1115"/>
    <x v="1"/>
    <x v="1"/>
    <n v="7"/>
    <n v="4"/>
    <x v="2"/>
    <n v="1"/>
    <x v="1"/>
    <n v="3"/>
    <n v="1"/>
    <x v="1"/>
    <x v="0"/>
    <s v="Single"/>
    <n v="2972"/>
    <n v="1"/>
    <x v="1"/>
    <n v="3"/>
    <n v="1"/>
    <n v="1"/>
    <n v="1"/>
    <n v="0"/>
    <n v="0"/>
    <n v="0"/>
    <x v="4"/>
    <n v="0"/>
    <x v="0"/>
    <x v="1"/>
    <s v="Early"/>
    <x v="2"/>
  </r>
  <r>
    <n v="55"/>
    <x v="1116"/>
    <x v="1"/>
    <x v="0"/>
    <n v="26"/>
    <n v="5"/>
    <x v="3"/>
    <n v="3"/>
    <x v="1"/>
    <n v="2"/>
    <n v="5"/>
    <x v="5"/>
    <x v="0"/>
    <s v="Married"/>
    <n v="19586"/>
    <n v="1"/>
    <x v="1"/>
    <n v="3"/>
    <n v="36"/>
    <n v="3"/>
    <n v="36"/>
    <n v="6"/>
    <n v="2"/>
    <n v="13"/>
    <x v="7"/>
    <n v="0"/>
    <x v="1"/>
    <x v="2"/>
    <s v="Long"/>
    <x v="1"/>
  </r>
  <r>
    <n v="34"/>
    <x v="1117"/>
    <x v="1"/>
    <x v="1"/>
    <n v="1"/>
    <n v="4"/>
    <x v="0"/>
    <n v="2"/>
    <x v="1"/>
    <n v="3"/>
    <n v="2"/>
    <x v="1"/>
    <x v="0"/>
    <s v="Married"/>
    <n v="5484"/>
    <n v="9"/>
    <x v="1"/>
    <n v="2"/>
    <n v="9"/>
    <n v="2"/>
    <n v="2"/>
    <n v="2"/>
    <n v="2"/>
    <n v="1"/>
    <x v="8"/>
    <n v="0"/>
    <x v="0"/>
    <x v="0"/>
    <s v="Early"/>
    <x v="2"/>
  </r>
  <r>
    <n v="26"/>
    <x v="1118"/>
    <x v="1"/>
    <x v="1"/>
    <n v="3"/>
    <n v="3"/>
    <x v="0"/>
    <n v="1"/>
    <x v="0"/>
    <n v="3"/>
    <n v="1"/>
    <x v="1"/>
    <x v="0"/>
    <s v="Married"/>
    <n v="2061"/>
    <n v="1"/>
    <x v="1"/>
    <n v="1"/>
    <n v="1"/>
    <n v="3"/>
    <n v="1"/>
    <n v="0"/>
    <n v="0"/>
    <n v="0"/>
    <x v="7"/>
    <n v="0"/>
    <x v="2"/>
    <x v="1"/>
    <s v="Early"/>
    <x v="1"/>
  </r>
  <r>
    <n v="38"/>
    <x v="1119"/>
    <x v="1"/>
    <x v="0"/>
    <n v="14"/>
    <n v="3"/>
    <x v="0"/>
    <n v="3"/>
    <x v="1"/>
    <n v="3"/>
    <n v="2"/>
    <x v="0"/>
    <x v="1"/>
    <s v="Married"/>
    <n v="9924"/>
    <n v="0"/>
    <x v="1"/>
    <n v="4"/>
    <n v="10"/>
    <n v="3"/>
    <n v="9"/>
    <n v="8"/>
    <n v="7"/>
    <n v="7"/>
    <x v="0"/>
    <n v="0"/>
    <x v="0"/>
    <x v="0"/>
    <s v="Long"/>
    <x v="0"/>
  </r>
  <r>
    <n v="38"/>
    <x v="1120"/>
    <x v="1"/>
    <x v="0"/>
    <n v="16"/>
    <n v="3"/>
    <x v="0"/>
    <n v="2"/>
    <x v="0"/>
    <n v="3"/>
    <n v="2"/>
    <x v="0"/>
    <x v="1"/>
    <s v="Single"/>
    <n v="4198"/>
    <n v="2"/>
    <x v="1"/>
    <n v="2"/>
    <n v="8"/>
    <n v="4"/>
    <n v="3"/>
    <n v="2"/>
    <n v="1"/>
    <n v="2"/>
    <x v="3"/>
    <n v="0"/>
    <x v="0"/>
    <x v="1"/>
    <s v="Mid"/>
    <x v="0"/>
  </r>
  <r>
    <n v="36"/>
    <x v="1121"/>
    <x v="1"/>
    <x v="0"/>
    <n v="1"/>
    <n v="4"/>
    <x v="0"/>
    <n v="2"/>
    <x v="0"/>
    <n v="3"/>
    <n v="2"/>
    <x v="0"/>
    <x v="2"/>
    <s v="Single"/>
    <n v="6815"/>
    <n v="6"/>
    <x v="1"/>
    <n v="1"/>
    <n v="15"/>
    <n v="3"/>
    <n v="1"/>
    <n v="0"/>
    <n v="0"/>
    <n v="0"/>
    <x v="4"/>
    <n v="0"/>
    <x v="0"/>
    <x v="0"/>
    <s v="Early"/>
    <x v="2"/>
  </r>
  <r>
    <n v="29"/>
    <x v="1122"/>
    <x v="1"/>
    <x v="1"/>
    <n v="3"/>
    <n v="1"/>
    <x v="2"/>
    <n v="2"/>
    <x v="1"/>
    <n v="3"/>
    <n v="1"/>
    <x v="2"/>
    <x v="3"/>
    <s v="Single"/>
    <n v="4723"/>
    <n v="1"/>
    <x v="0"/>
    <n v="4"/>
    <n v="10"/>
    <n v="3"/>
    <n v="10"/>
    <n v="9"/>
    <n v="1"/>
    <n v="5"/>
    <x v="11"/>
    <n v="0"/>
    <x v="2"/>
    <x v="1"/>
    <s v="Long"/>
    <x v="1"/>
  </r>
  <r>
    <n v="35"/>
    <x v="1123"/>
    <x v="1"/>
    <x v="1"/>
    <n v="10"/>
    <n v="4"/>
    <x v="2"/>
    <n v="1"/>
    <x v="0"/>
    <n v="3"/>
    <n v="2"/>
    <x v="4"/>
    <x v="2"/>
    <s v="Single"/>
    <n v="6142"/>
    <n v="3"/>
    <x v="0"/>
    <n v="3"/>
    <n v="10"/>
    <n v="3"/>
    <n v="5"/>
    <n v="2"/>
    <n v="0"/>
    <n v="4"/>
    <x v="10"/>
    <n v="0"/>
    <x v="0"/>
    <x v="0"/>
    <s v="Mid"/>
    <x v="2"/>
  </r>
  <r>
    <n v="39"/>
    <x v="1124"/>
    <x v="1"/>
    <x v="0"/>
    <n v="6"/>
    <n v="3"/>
    <x v="2"/>
    <n v="4"/>
    <x v="1"/>
    <n v="4"/>
    <n v="3"/>
    <x v="0"/>
    <x v="2"/>
    <s v="Married"/>
    <n v="8237"/>
    <n v="2"/>
    <x v="1"/>
    <n v="1"/>
    <n v="11"/>
    <n v="3"/>
    <n v="7"/>
    <n v="6"/>
    <n v="7"/>
    <n v="6"/>
    <x v="0"/>
    <n v="0"/>
    <x v="0"/>
    <x v="0"/>
    <s v="Long"/>
    <x v="0"/>
  </r>
  <r>
    <n v="29"/>
    <x v="1125"/>
    <x v="1"/>
    <x v="1"/>
    <n v="2"/>
    <n v="1"/>
    <x v="0"/>
    <n v="1"/>
    <x v="1"/>
    <n v="3"/>
    <n v="2"/>
    <x v="4"/>
    <x v="0"/>
    <s v="Divorced"/>
    <n v="8853"/>
    <n v="1"/>
    <x v="1"/>
    <n v="4"/>
    <n v="6"/>
    <n v="4"/>
    <n v="6"/>
    <n v="4"/>
    <n v="1"/>
    <n v="3"/>
    <x v="12"/>
    <n v="0"/>
    <x v="2"/>
    <x v="0"/>
    <s v="Mid"/>
    <x v="1"/>
  </r>
  <r>
    <n v="50"/>
    <x v="1126"/>
    <x v="1"/>
    <x v="0"/>
    <n v="9"/>
    <n v="3"/>
    <x v="3"/>
    <n v="3"/>
    <x v="1"/>
    <n v="3"/>
    <n v="5"/>
    <x v="5"/>
    <x v="2"/>
    <s v="Married"/>
    <n v="19331"/>
    <n v="4"/>
    <x v="0"/>
    <n v="3"/>
    <n v="27"/>
    <n v="3"/>
    <n v="1"/>
    <n v="0"/>
    <n v="0"/>
    <n v="0"/>
    <x v="10"/>
    <n v="0"/>
    <x v="1"/>
    <x v="2"/>
    <s v="Early"/>
    <x v="2"/>
  </r>
  <r>
    <n v="23"/>
    <x v="1127"/>
    <x v="1"/>
    <x v="1"/>
    <n v="10"/>
    <n v="3"/>
    <x v="4"/>
    <n v="4"/>
    <x v="1"/>
    <n v="4"/>
    <n v="1"/>
    <x v="1"/>
    <x v="2"/>
    <s v="Married"/>
    <n v="2073"/>
    <n v="2"/>
    <x v="1"/>
    <n v="4"/>
    <n v="4"/>
    <n v="3"/>
    <n v="2"/>
    <n v="2"/>
    <n v="2"/>
    <n v="2"/>
    <x v="10"/>
    <n v="0"/>
    <x v="2"/>
    <x v="1"/>
    <s v="Early"/>
    <x v="2"/>
  </r>
  <r>
    <n v="36"/>
    <x v="1128"/>
    <x v="1"/>
    <x v="1"/>
    <n v="6"/>
    <n v="4"/>
    <x v="0"/>
    <n v="1"/>
    <x v="1"/>
    <n v="4"/>
    <n v="2"/>
    <x v="2"/>
    <x v="3"/>
    <s v="Married"/>
    <n v="5562"/>
    <n v="3"/>
    <x v="0"/>
    <n v="4"/>
    <n v="9"/>
    <n v="3"/>
    <n v="3"/>
    <n v="2"/>
    <n v="0"/>
    <n v="2"/>
    <x v="4"/>
    <n v="0"/>
    <x v="0"/>
    <x v="0"/>
    <s v="Mid"/>
    <x v="2"/>
  </r>
  <r>
    <n v="42"/>
    <x v="1129"/>
    <x v="1"/>
    <x v="1"/>
    <n v="9"/>
    <n v="2"/>
    <x v="1"/>
    <n v="4"/>
    <x v="1"/>
    <n v="2"/>
    <n v="5"/>
    <x v="5"/>
    <x v="0"/>
    <s v="Single"/>
    <n v="19613"/>
    <n v="8"/>
    <x v="1"/>
    <n v="4"/>
    <n v="24"/>
    <n v="3"/>
    <n v="1"/>
    <n v="0"/>
    <n v="0"/>
    <n v="1"/>
    <x v="6"/>
    <n v="0"/>
    <x v="0"/>
    <x v="2"/>
    <s v="Early"/>
    <x v="1"/>
  </r>
  <r>
    <n v="35"/>
    <x v="1130"/>
    <x v="1"/>
    <x v="1"/>
    <n v="28"/>
    <n v="3"/>
    <x v="0"/>
    <n v="2"/>
    <x v="1"/>
    <n v="4"/>
    <n v="2"/>
    <x v="2"/>
    <x v="2"/>
    <s v="Married"/>
    <n v="3407"/>
    <n v="1"/>
    <x v="1"/>
    <n v="4"/>
    <n v="10"/>
    <n v="2"/>
    <n v="10"/>
    <n v="9"/>
    <n v="6"/>
    <n v="8"/>
    <x v="8"/>
    <n v="0"/>
    <x v="0"/>
    <x v="1"/>
    <s v="Long"/>
    <x v="2"/>
  </r>
  <r>
    <n v="34"/>
    <x v="1131"/>
    <x v="1"/>
    <x v="1"/>
    <n v="10"/>
    <n v="4"/>
    <x v="4"/>
    <n v="4"/>
    <x v="1"/>
    <n v="2"/>
    <n v="2"/>
    <x v="4"/>
    <x v="2"/>
    <s v="Married"/>
    <n v="5063"/>
    <n v="1"/>
    <x v="1"/>
    <n v="2"/>
    <n v="8"/>
    <n v="2"/>
    <n v="8"/>
    <n v="2"/>
    <n v="7"/>
    <n v="7"/>
    <x v="9"/>
    <n v="0"/>
    <x v="0"/>
    <x v="0"/>
    <s v="Long"/>
    <x v="2"/>
  </r>
  <r>
    <n v="40"/>
    <x v="1132"/>
    <x v="1"/>
    <x v="0"/>
    <n v="14"/>
    <n v="2"/>
    <x v="0"/>
    <n v="4"/>
    <x v="0"/>
    <n v="3"/>
    <n v="2"/>
    <x v="0"/>
    <x v="3"/>
    <s v="Married"/>
    <n v="4639"/>
    <n v="1"/>
    <x v="1"/>
    <n v="3"/>
    <n v="5"/>
    <n v="3"/>
    <n v="5"/>
    <n v="4"/>
    <n v="1"/>
    <n v="2"/>
    <x v="2"/>
    <n v="0"/>
    <x v="0"/>
    <x v="1"/>
    <s v="Mid"/>
    <x v="2"/>
  </r>
  <r>
    <n v="43"/>
    <x v="1133"/>
    <x v="1"/>
    <x v="1"/>
    <n v="27"/>
    <n v="3"/>
    <x v="4"/>
    <n v="4"/>
    <x v="1"/>
    <n v="4"/>
    <n v="1"/>
    <x v="2"/>
    <x v="1"/>
    <s v="Divorced"/>
    <n v="4876"/>
    <n v="5"/>
    <x v="1"/>
    <n v="3"/>
    <n v="8"/>
    <n v="3"/>
    <n v="6"/>
    <n v="4"/>
    <n v="0"/>
    <n v="2"/>
    <x v="3"/>
    <n v="0"/>
    <x v="0"/>
    <x v="1"/>
    <s v="Mid"/>
    <x v="0"/>
  </r>
  <r>
    <n v="35"/>
    <x v="1134"/>
    <x v="1"/>
    <x v="1"/>
    <n v="7"/>
    <n v="2"/>
    <x v="0"/>
    <n v="3"/>
    <x v="1"/>
    <n v="2"/>
    <n v="1"/>
    <x v="2"/>
    <x v="0"/>
    <s v="Married"/>
    <n v="2690"/>
    <n v="1"/>
    <x v="1"/>
    <n v="4"/>
    <n v="1"/>
    <n v="2"/>
    <n v="1"/>
    <n v="0"/>
    <n v="0"/>
    <n v="1"/>
    <x v="11"/>
    <n v="0"/>
    <x v="0"/>
    <x v="1"/>
    <s v="Early"/>
    <x v="1"/>
  </r>
  <r>
    <n v="46"/>
    <x v="1135"/>
    <x v="1"/>
    <x v="0"/>
    <n v="1"/>
    <n v="4"/>
    <x v="0"/>
    <n v="4"/>
    <x v="1"/>
    <n v="4"/>
    <n v="4"/>
    <x v="5"/>
    <x v="3"/>
    <s v="Single"/>
    <n v="17567"/>
    <n v="1"/>
    <x v="1"/>
    <n v="2"/>
    <n v="27"/>
    <n v="1"/>
    <n v="26"/>
    <n v="0"/>
    <n v="0"/>
    <n v="12"/>
    <x v="2"/>
    <n v="0"/>
    <x v="1"/>
    <x v="2"/>
    <s v="Long"/>
    <x v="2"/>
  </r>
  <r>
    <n v="28"/>
    <x v="1136"/>
    <x v="0"/>
    <x v="1"/>
    <n v="24"/>
    <n v="3"/>
    <x v="2"/>
    <n v="3"/>
    <x v="1"/>
    <n v="3"/>
    <n v="1"/>
    <x v="2"/>
    <x v="1"/>
    <s v="Married"/>
    <n v="2408"/>
    <n v="1"/>
    <x v="0"/>
    <n v="3"/>
    <n v="1"/>
    <n v="3"/>
    <n v="1"/>
    <n v="1"/>
    <n v="0"/>
    <n v="0"/>
    <x v="8"/>
    <n v="1"/>
    <x v="2"/>
    <x v="1"/>
    <s v="Early"/>
    <x v="2"/>
  </r>
  <r>
    <n v="22"/>
    <x v="1137"/>
    <x v="1"/>
    <x v="1"/>
    <n v="26"/>
    <n v="2"/>
    <x v="1"/>
    <n v="2"/>
    <x v="0"/>
    <n v="2"/>
    <n v="1"/>
    <x v="1"/>
    <x v="2"/>
    <s v="Married"/>
    <n v="2814"/>
    <n v="1"/>
    <x v="0"/>
    <n v="2"/>
    <n v="4"/>
    <n v="2"/>
    <n v="4"/>
    <n v="2"/>
    <n v="1"/>
    <n v="3"/>
    <x v="9"/>
    <n v="0"/>
    <x v="2"/>
    <x v="1"/>
    <s v="Mid"/>
    <x v="2"/>
  </r>
  <r>
    <n v="50"/>
    <x v="1138"/>
    <x v="1"/>
    <x v="1"/>
    <n v="20"/>
    <n v="5"/>
    <x v="2"/>
    <n v="2"/>
    <x v="1"/>
    <n v="3"/>
    <n v="4"/>
    <x v="4"/>
    <x v="2"/>
    <s v="Married"/>
    <n v="11245"/>
    <n v="2"/>
    <x v="0"/>
    <n v="3"/>
    <n v="32"/>
    <n v="3"/>
    <n v="30"/>
    <n v="8"/>
    <n v="12"/>
    <n v="13"/>
    <x v="2"/>
    <n v="0"/>
    <x v="1"/>
    <x v="2"/>
    <s v="Long"/>
    <x v="2"/>
  </r>
  <r>
    <n v="32"/>
    <x v="1139"/>
    <x v="1"/>
    <x v="1"/>
    <n v="5"/>
    <n v="4"/>
    <x v="1"/>
    <n v="2"/>
    <x v="0"/>
    <n v="4"/>
    <n v="1"/>
    <x v="1"/>
    <x v="0"/>
    <s v="Married"/>
    <n v="3312"/>
    <n v="3"/>
    <x v="1"/>
    <n v="4"/>
    <n v="6"/>
    <n v="3"/>
    <n v="3"/>
    <n v="2"/>
    <n v="0"/>
    <n v="2"/>
    <x v="8"/>
    <n v="0"/>
    <x v="0"/>
    <x v="1"/>
    <s v="Mid"/>
    <x v="2"/>
  </r>
  <r>
    <n v="44"/>
    <x v="1140"/>
    <x v="1"/>
    <x v="1"/>
    <n v="7"/>
    <n v="3"/>
    <x v="2"/>
    <n v="2"/>
    <x v="0"/>
    <n v="3"/>
    <n v="5"/>
    <x v="7"/>
    <x v="0"/>
    <s v="Divorced"/>
    <n v="19049"/>
    <n v="0"/>
    <x v="0"/>
    <n v="4"/>
    <n v="23"/>
    <n v="2"/>
    <n v="22"/>
    <n v="7"/>
    <n v="1"/>
    <n v="10"/>
    <x v="9"/>
    <n v="0"/>
    <x v="0"/>
    <x v="2"/>
    <s v="Long"/>
    <x v="2"/>
  </r>
  <r>
    <n v="30"/>
    <x v="1141"/>
    <x v="1"/>
    <x v="1"/>
    <n v="7"/>
    <n v="3"/>
    <x v="2"/>
    <n v="2"/>
    <x v="1"/>
    <n v="2"/>
    <n v="1"/>
    <x v="1"/>
    <x v="1"/>
    <s v="Married"/>
    <n v="2141"/>
    <n v="1"/>
    <x v="1"/>
    <n v="2"/>
    <n v="6"/>
    <n v="2"/>
    <n v="6"/>
    <n v="4"/>
    <n v="1"/>
    <n v="1"/>
    <x v="3"/>
    <n v="0"/>
    <x v="0"/>
    <x v="1"/>
    <s v="Mid"/>
    <x v="0"/>
  </r>
  <r>
    <n v="45"/>
    <x v="1142"/>
    <x v="1"/>
    <x v="1"/>
    <n v="5"/>
    <n v="5"/>
    <x v="2"/>
    <n v="3"/>
    <x v="0"/>
    <n v="1"/>
    <n v="2"/>
    <x v="2"/>
    <x v="3"/>
    <s v="Single"/>
    <n v="5769"/>
    <n v="1"/>
    <x v="0"/>
    <n v="1"/>
    <n v="10"/>
    <n v="3"/>
    <n v="10"/>
    <n v="7"/>
    <n v="1"/>
    <n v="4"/>
    <x v="9"/>
    <n v="0"/>
    <x v="1"/>
    <x v="0"/>
    <s v="Long"/>
    <x v="2"/>
  </r>
  <r>
    <n v="45"/>
    <x v="1143"/>
    <x v="1"/>
    <x v="0"/>
    <n v="26"/>
    <n v="3"/>
    <x v="3"/>
    <n v="1"/>
    <x v="1"/>
    <n v="2"/>
    <n v="2"/>
    <x v="0"/>
    <x v="3"/>
    <s v="Married"/>
    <n v="4385"/>
    <n v="1"/>
    <x v="1"/>
    <n v="1"/>
    <n v="10"/>
    <n v="3"/>
    <n v="10"/>
    <n v="7"/>
    <n v="4"/>
    <n v="5"/>
    <x v="2"/>
    <n v="0"/>
    <x v="1"/>
    <x v="1"/>
    <s v="Long"/>
    <x v="2"/>
  </r>
  <r>
    <n v="31"/>
    <x v="1144"/>
    <x v="1"/>
    <x v="0"/>
    <n v="2"/>
    <n v="4"/>
    <x v="1"/>
    <n v="4"/>
    <x v="1"/>
    <n v="3"/>
    <n v="2"/>
    <x v="0"/>
    <x v="3"/>
    <s v="Single"/>
    <n v="5332"/>
    <n v="7"/>
    <x v="1"/>
    <n v="4"/>
    <n v="10"/>
    <n v="3"/>
    <n v="5"/>
    <n v="2"/>
    <n v="0"/>
    <n v="3"/>
    <x v="4"/>
    <n v="0"/>
    <x v="0"/>
    <x v="0"/>
    <s v="Mid"/>
    <x v="2"/>
  </r>
  <r>
    <n v="36"/>
    <x v="1145"/>
    <x v="1"/>
    <x v="1"/>
    <n v="12"/>
    <n v="4"/>
    <x v="0"/>
    <n v="3"/>
    <x v="0"/>
    <n v="3"/>
    <n v="2"/>
    <x v="3"/>
    <x v="2"/>
    <s v="Married"/>
    <n v="4663"/>
    <n v="9"/>
    <x v="0"/>
    <n v="2"/>
    <n v="7"/>
    <n v="3"/>
    <n v="3"/>
    <n v="2"/>
    <n v="1"/>
    <n v="1"/>
    <x v="3"/>
    <n v="0"/>
    <x v="0"/>
    <x v="1"/>
    <s v="Mid"/>
    <x v="0"/>
  </r>
  <r>
    <n v="34"/>
    <x v="1146"/>
    <x v="1"/>
    <x v="1"/>
    <n v="10"/>
    <n v="4"/>
    <x v="0"/>
    <n v="3"/>
    <x v="1"/>
    <n v="4"/>
    <n v="2"/>
    <x v="3"/>
    <x v="0"/>
    <s v="Divorced"/>
    <n v="4724"/>
    <n v="1"/>
    <x v="1"/>
    <n v="1"/>
    <n v="9"/>
    <n v="3"/>
    <n v="9"/>
    <n v="7"/>
    <n v="7"/>
    <n v="2"/>
    <x v="4"/>
    <n v="0"/>
    <x v="0"/>
    <x v="1"/>
    <s v="Long"/>
    <x v="2"/>
  </r>
  <r>
    <n v="49"/>
    <x v="1147"/>
    <x v="1"/>
    <x v="1"/>
    <n v="25"/>
    <n v="4"/>
    <x v="0"/>
    <n v="3"/>
    <x v="0"/>
    <n v="3"/>
    <n v="1"/>
    <x v="2"/>
    <x v="3"/>
    <s v="Married"/>
    <n v="3211"/>
    <n v="1"/>
    <x v="1"/>
    <n v="4"/>
    <n v="10"/>
    <n v="2"/>
    <n v="9"/>
    <n v="6"/>
    <n v="1"/>
    <n v="4"/>
    <x v="9"/>
    <n v="0"/>
    <x v="1"/>
    <x v="1"/>
    <s v="Long"/>
    <x v="2"/>
  </r>
  <r>
    <n v="39"/>
    <x v="1148"/>
    <x v="1"/>
    <x v="1"/>
    <n v="10"/>
    <n v="5"/>
    <x v="2"/>
    <n v="2"/>
    <x v="1"/>
    <n v="3"/>
    <n v="2"/>
    <x v="3"/>
    <x v="3"/>
    <s v="Married"/>
    <n v="5377"/>
    <n v="2"/>
    <x v="1"/>
    <n v="4"/>
    <n v="10"/>
    <n v="3"/>
    <n v="7"/>
    <n v="7"/>
    <n v="7"/>
    <n v="7"/>
    <x v="4"/>
    <n v="0"/>
    <x v="0"/>
    <x v="0"/>
    <s v="Long"/>
    <x v="2"/>
  </r>
  <r>
    <n v="27"/>
    <x v="1149"/>
    <x v="1"/>
    <x v="1"/>
    <n v="19"/>
    <n v="3"/>
    <x v="1"/>
    <n v="4"/>
    <x v="1"/>
    <n v="2"/>
    <n v="1"/>
    <x v="2"/>
    <x v="3"/>
    <s v="Divorced"/>
    <n v="4066"/>
    <n v="1"/>
    <x v="1"/>
    <n v="1"/>
    <n v="7"/>
    <n v="3"/>
    <n v="7"/>
    <n v="7"/>
    <n v="0"/>
    <n v="7"/>
    <x v="0"/>
    <n v="0"/>
    <x v="2"/>
    <x v="1"/>
    <s v="Long"/>
    <x v="0"/>
  </r>
  <r>
    <n v="35"/>
    <x v="1150"/>
    <x v="1"/>
    <x v="1"/>
    <n v="18"/>
    <n v="5"/>
    <x v="0"/>
    <n v="2"/>
    <x v="1"/>
    <n v="4"/>
    <n v="2"/>
    <x v="1"/>
    <x v="3"/>
    <s v="Married"/>
    <n v="5208"/>
    <n v="1"/>
    <x v="1"/>
    <n v="4"/>
    <n v="16"/>
    <n v="3"/>
    <n v="16"/>
    <n v="15"/>
    <n v="1"/>
    <n v="10"/>
    <x v="0"/>
    <n v="0"/>
    <x v="0"/>
    <x v="0"/>
    <s v="Long"/>
    <x v="0"/>
  </r>
  <r>
    <n v="28"/>
    <x v="1151"/>
    <x v="1"/>
    <x v="1"/>
    <n v="27"/>
    <n v="3"/>
    <x v="2"/>
    <n v="2"/>
    <x v="0"/>
    <n v="1"/>
    <n v="2"/>
    <x v="3"/>
    <x v="3"/>
    <s v="Divorced"/>
    <n v="4877"/>
    <n v="0"/>
    <x v="1"/>
    <n v="2"/>
    <n v="6"/>
    <n v="2"/>
    <n v="5"/>
    <n v="3"/>
    <n v="0"/>
    <n v="0"/>
    <x v="7"/>
    <n v="0"/>
    <x v="2"/>
    <x v="1"/>
    <s v="Mid"/>
    <x v="1"/>
  </r>
  <r>
    <n v="21"/>
    <x v="1152"/>
    <x v="1"/>
    <x v="1"/>
    <n v="5"/>
    <n v="1"/>
    <x v="2"/>
    <n v="3"/>
    <x v="1"/>
    <n v="3"/>
    <n v="1"/>
    <x v="1"/>
    <x v="0"/>
    <s v="Single"/>
    <n v="3117"/>
    <n v="1"/>
    <x v="1"/>
    <n v="3"/>
    <n v="3"/>
    <n v="3"/>
    <n v="2"/>
    <n v="2"/>
    <n v="2"/>
    <n v="2"/>
    <x v="11"/>
    <n v="0"/>
    <x v="2"/>
    <x v="1"/>
    <s v="Early"/>
    <x v="1"/>
  </r>
  <r>
    <n v="18"/>
    <x v="1153"/>
    <x v="0"/>
    <x v="0"/>
    <n v="3"/>
    <n v="2"/>
    <x v="2"/>
    <n v="2"/>
    <x v="0"/>
    <n v="3"/>
    <n v="1"/>
    <x v="6"/>
    <x v="0"/>
    <s v="Single"/>
    <n v="1569"/>
    <n v="1"/>
    <x v="0"/>
    <n v="3"/>
    <n v="0"/>
    <n v="4"/>
    <n v="0"/>
    <n v="0"/>
    <n v="0"/>
    <n v="0"/>
    <x v="3"/>
    <n v="1"/>
    <x v="2"/>
    <x v="1"/>
    <s v="Early"/>
    <x v="0"/>
  </r>
  <r>
    <n v="47"/>
    <x v="1154"/>
    <x v="1"/>
    <x v="2"/>
    <n v="26"/>
    <n v="4"/>
    <x v="0"/>
    <n v="4"/>
    <x v="0"/>
    <n v="3"/>
    <n v="5"/>
    <x v="5"/>
    <x v="2"/>
    <s v="Married"/>
    <n v="19658"/>
    <n v="3"/>
    <x v="1"/>
    <n v="3"/>
    <n v="27"/>
    <n v="3"/>
    <n v="5"/>
    <n v="2"/>
    <n v="1"/>
    <n v="0"/>
    <x v="0"/>
    <n v="0"/>
    <x v="1"/>
    <x v="2"/>
    <s v="Mid"/>
    <x v="0"/>
  </r>
  <r>
    <n v="39"/>
    <x v="1155"/>
    <x v="1"/>
    <x v="1"/>
    <n v="3"/>
    <n v="2"/>
    <x v="2"/>
    <n v="3"/>
    <x v="1"/>
    <n v="2"/>
    <n v="2"/>
    <x v="2"/>
    <x v="2"/>
    <s v="Divorced"/>
    <n v="3069"/>
    <n v="0"/>
    <x v="1"/>
    <n v="4"/>
    <n v="11"/>
    <n v="3"/>
    <n v="10"/>
    <n v="8"/>
    <n v="0"/>
    <n v="7"/>
    <x v="2"/>
    <n v="0"/>
    <x v="0"/>
    <x v="1"/>
    <s v="Long"/>
    <x v="2"/>
  </r>
  <r>
    <n v="40"/>
    <x v="1156"/>
    <x v="1"/>
    <x v="1"/>
    <n v="15"/>
    <n v="3"/>
    <x v="0"/>
    <n v="1"/>
    <x v="0"/>
    <n v="2"/>
    <n v="3"/>
    <x v="3"/>
    <x v="2"/>
    <s v="Married"/>
    <n v="10435"/>
    <n v="1"/>
    <x v="1"/>
    <n v="4"/>
    <n v="18"/>
    <n v="3"/>
    <n v="18"/>
    <n v="15"/>
    <n v="14"/>
    <n v="12"/>
    <x v="4"/>
    <n v="0"/>
    <x v="0"/>
    <x v="2"/>
    <s v="Long"/>
    <x v="2"/>
  </r>
  <r>
    <n v="35"/>
    <x v="1157"/>
    <x v="1"/>
    <x v="1"/>
    <n v="8"/>
    <n v="4"/>
    <x v="0"/>
    <n v="3"/>
    <x v="0"/>
    <n v="3"/>
    <n v="2"/>
    <x v="4"/>
    <x v="2"/>
    <s v="Married"/>
    <n v="4148"/>
    <n v="1"/>
    <x v="1"/>
    <n v="4"/>
    <n v="15"/>
    <n v="3"/>
    <n v="14"/>
    <n v="11"/>
    <n v="2"/>
    <n v="9"/>
    <x v="3"/>
    <n v="0"/>
    <x v="0"/>
    <x v="1"/>
    <s v="Long"/>
    <x v="0"/>
  </r>
  <r>
    <n v="37"/>
    <x v="1158"/>
    <x v="1"/>
    <x v="1"/>
    <n v="19"/>
    <n v="3"/>
    <x v="0"/>
    <n v="3"/>
    <x v="1"/>
    <n v="3"/>
    <n v="2"/>
    <x v="3"/>
    <x v="2"/>
    <s v="Married"/>
    <n v="5768"/>
    <n v="3"/>
    <x v="1"/>
    <n v="1"/>
    <n v="9"/>
    <n v="2"/>
    <n v="4"/>
    <n v="3"/>
    <n v="0"/>
    <n v="2"/>
    <x v="8"/>
    <n v="0"/>
    <x v="0"/>
    <x v="0"/>
    <s v="Mid"/>
    <x v="2"/>
  </r>
  <r>
    <n v="39"/>
    <x v="1159"/>
    <x v="1"/>
    <x v="1"/>
    <n v="4"/>
    <n v="3"/>
    <x v="2"/>
    <n v="1"/>
    <x v="0"/>
    <n v="3"/>
    <n v="2"/>
    <x v="3"/>
    <x v="2"/>
    <s v="Single"/>
    <n v="5042"/>
    <n v="0"/>
    <x v="1"/>
    <n v="4"/>
    <n v="10"/>
    <n v="1"/>
    <n v="9"/>
    <n v="2"/>
    <n v="3"/>
    <n v="8"/>
    <x v="4"/>
    <n v="0"/>
    <x v="0"/>
    <x v="0"/>
    <s v="Long"/>
    <x v="2"/>
  </r>
  <r>
    <n v="45"/>
    <x v="1160"/>
    <x v="1"/>
    <x v="1"/>
    <n v="2"/>
    <n v="2"/>
    <x v="1"/>
    <n v="4"/>
    <x v="0"/>
    <n v="2"/>
    <n v="2"/>
    <x v="3"/>
    <x v="0"/>
    <s v="Divorced"/>
    <n v="5770"/>
    <n v="1"/>
    <x v="1"/>
    <n v="1"/>
    <n v="10"/>
    <n v="3"/>
    <n v="10"/>
    <n v="7"/>
    <n v="3"/>
    <n v="9"/>
    <x v="12"/>
    <n v="0"/>
    <x v="1"/>
    <x v="0"/>
    <s v="Long"/>
    <x v="1"/>
  </r>
  <r>
    <n v="38"/>
    <x v="1161"/>
    <x v="1"/>
    <x v="1"/>
    <n v="2"/>
    <n v="2"/>
    <x v="2"/>
    <n v="4"/>
    <x v="0"/>
    <n v="2"/>
    <n v="3"/>
    <x v="3"/>
    <x v="2"/>
    <s v="Married"/>
    <n v="7756"/>
    <n v="3"/>
    <x v="0"/>
    <n v="4"/>
    <n v="10"/>
    <n v="4"/>
    <n v="5"/>
    <n v="4"/>
    <n v="0"/>
    <n v="2"/>
    <x v="12"/>
    <n v="0"/>
    <x v="0"/>
    <x v="0"/>
    <s v="Mid"/>
    <x v="1"/>
  </r>
  <r>
    <n v="35"/>
    <x v="1162"/>
    <x v="0"/>
    <x v="0"/>
    <n v="10"/>
    <n v="3"/>
    <x v="2"/>
    <n v="4"/>
    <x v="1"/>
    <n v="2"/>
    <n v="3"/>
    <x v="0"/>
    <x v="3"/>
    <s v="Married"/>
    <n v="10306"/>
    <n v="9"/>
    <x v="1"/>
    <n v="3"/>
    <n v="15"/>
    <n v="3"/>
    <n v="13"/>
    <n v="12"/>
    <n v="6"/>
    <n v="0"/>
    <x v="8"/>
    <n v="1"/>
    <x v="0"/>
    <x v="2"/>
    <s v="Long"/>
    <x v="2"/>
  </r>
  <r>
    <n v="37"/>
    <x v="1163"/>
    <x v="1"/>
    <x v="1"/>
    <n v="10"/>
    <n v="3"/>
    <x v="2"/>
    <n v="2"/>
    <x v="0"/>
    <n v="3"/>
    <n v="1"/>
    <x v="1"/>
    <x v="1"/>
    <s v="Married"/>
    <n v="3936"/>
    <n v="1"/>
    <x v="1"/>
    <n v="1"/>
    <n v="8"/>
    <n v="1"/>
    <n v="8"/>
    <n v="4"/>
    <n v="7"/>
    <n v="7"/>
    <x v="0"/>
    <n v="0"/>
    <x v="0"/>
    <x v="1"/>
    <s v="Long"/>
    <x v="0"/>
  </r>
  <r>
    <n v="40"/>
    <x v="1164"/>
    <x v="1"/>
    <x v="1"/>
    <n v="16"/>
    <n v="3"/>
    <x v="0"/>
    <n v="3"/>
    <x v="0"/>
    <n v="3"/>
    <n v="3"/>
    <x v="3"/>
    <x v="0"/>
    <s v="Single"/>
    <n v="7945"/>
    <n v="6"/>
    <x v="0"/>
    <n v="4"/>
    <n v="18"/>
    <n v="2"/>
    <n v="4"/>
    <n v="2"/>
    <n v="3"/>
    <n v="3"/>
    <x v="2"/>
    <n v="0"/>
    <x v="0"/>
    <x v="0"/>
    <s v="Mid"/>
    <x v="2"/>
  </r>
  <r>
    <n v="44"/>
    <x v="1165"/>
    <x v="1"/>
    <x v="2"/>
    <n v="1"/>
    <n v="5"/>
    <x v="5"/>
    <n v="1"/>
    <x v="1"/>
    <n v="3"/>
    <n v="2"/>
    <x v="8"/>
    <x v="0"/>
    <s v="Married"/>
    <n v="5743"/>
    <n v="4"/>
    <x v="0"/>
    <n v="3"/>
    <n v="14"/>
    <n v="3"/>
    <n v="10"/>
    <n v="7"/>
    <n v="0"/>
    <n v="2"/>
    <x v="0"/>
    <n v="0"/>
    <x v="0"/>
    <x v="0"/>
    <s v="Long"/>
    <x v="0"/>
  </r>
  <r>
    <n v="48"/>
    <x v="1166"/>
    <x v="1"/>
    <x v="1"/>
    <n v="4"/>
    <n v="5"/>
    <x v="2"/>
    <n v="3"/>
    <x v="1"/>
    <n v="2"/>
    <n v="4"/>
    <x v="5"/>
    <x v="0"/>
    <s v="Married"/>
    <n v="15202"/>
    <n v="2"/>
    <x v="1"/>
    <n v="2"/>
    <n v="23"/>
    <n v="3"/>
    <n v="2"/>
    <n v="2"/>
    <n v="2"/>
    <n v="2"/>
    <x v="14"/>
    <n v="0"/>
    <x v="1"/>
    <x v="2"/>
    <s v="Early"/>
    <x v="1"/>
  </r>
  <r>
    <n v="35"/>
    <x v="1167"/>
    <x v="0"/>
    <x v="0"/>
    <n v="15"/>
    <n v="2"/>
    <x v="2"/>
    <n v="1"/>
    <x v="1"/>
    <n v="1"/>
    <n v="2"/>
    <x v="0"/>
    <x v="0"/>
    <s v="Divorced"/>
    <n v="5440"/>
    <n v="6"/>
    <x v="0"/>
    <n v="4"/>
    <n v="7"/>
    <n v="2"/>
    <n v="2"/>
    <n v="2"/>
    <n v="2"/>
    <n v="2"/>
    <x v="9"/>
    <n v="1"/>
    <x v="0"/>
    <x v="0"/>
    <s v="Early"/>
    <x v="2"/>
  </r>
  <r>
    <n v="24"/>
    <x v="1168"/>
    <x v="1"/>
    <x v="1"/>
    <n v="2"/>
    <n v="1"/>
    <x v="4"/>
    <n v="1"/>
    <x v="0"/>
    <n v="3"/>
    <n v="1"/>
    <x v="1"/>
    <x v="0"/>
    <s v="Single"/>
    <n v="3760"/>
    <n v="1"/>
    <x v="0"/>
    <n v="3"/>
    <n v="6"/>
    <n v="3"/>
    <n v="6"/>
    <n v="3"/>
    <n v="1"/>
    <n v="3"/>
    <x v="4"/>
    <n v="0"/>
    <x v="2"/>
    <x v="1"/>
    <s v="Mid"/>
    <x v="2"/>
  </r>
  <r>
    <n v="27"/>
    <x v="1169"/>
    <x v="1"/>
    <x v="1"/>
    <n v="8"/>
    <n v="3"/>
    <x v="2"/>
    <n v="2"/>
    <x v="0"/>
    <n v="4"/>
    <n v="1"/>
    <x v="1"/>
    <x v="2"/>
    <s v="Married"/>
    <n v="3517"/>
    <n v="7"/>
    <x v="1"/>
    <n v="1"/>
    <n v="5"/>
    <n v="3"/>
    <n v="3"/>
    <n v="2"/>
    <n v="0"/>
    <n v="2"/>
    <x v="8"/>
    <n v="0"/>
    <x v="2"/>
    <x v="1"/>
    <s v="Mid"/>
    <x v="2"/>
  </r>
  <r>
    <n v="27"/>
    <x v="1170"/>
    <x v="1"/>
    <x v="1"/>
    <n v="2"/>
    <n v="3"/>
    <x v="2"/>
    <n v="4"/>
    <x v="1"/>
    <n v="3"/>
    <n v="1"/>
    <x v="1"/>
    <x v="0"/>
    <s v="Single"/>
    <n v="2580"/>
    <n v="2"/>
    <x v="1"/>
    <n v="3"/>
    <n v="6"/>
    <n v="2"/>
    <n v="4"/>
    <n v="2"/>
    <n v="1"/>
    <n v="2"/>
    <x v="4"/>
    <n v="0"/>
    <x v="2"/>
    <x v="1"/>
    <s v="Mid"/>
    <x v="2"/>
  </r>
  <r>
    <n v="40"/>
    <x v="1171"/>
    <x v="0"/>
    <x v="1"/>
    <n v="7"/>
    <n v="3"/>
    <x v="0"/>
    <n v="1"/>
    <x v="1"/>
    <n v="3"/>
    <n v="1"/>
    <x v="2"/>
    <x v="3"/>
    <s v="Single"/>
    <n v="2166"/>
    <n v="3"/>
    <x v="0"/>
    <n v="2"/>
    <n v="10"/>
    <n v="1"/>
    <n v="4"/>
    <n v="2"/>
    <n v="0"/>
    <n v="3"/>
    <x v="9"/>
    <n v="1"/>
    <x v="0"/>
    <x v="1"/>
    <s v="Mid"/>
    <x v="2"/>
  </r>
  <r>
    <n v="29"/>
    <x v="1172"/>
    <x v="1"/>
    <x v="0"/>
    <n v="10"/>
    <n v="3"/>
    <x v="2"/>
    <n v="3"/>
    <x v="1"/>
    <n v="2"/>
    <n v="2"/>
    <x v="0"/>
    <x v="2"/>
    <s v="Single"/>
    <n v="5869"/>
    <n v="9"/>
    <x v="1"/>
    <n v="3"/>
    <n v="8"/>
    <n v="3"/>
    <n v="5"/>
    <n v="2"/>
    <n v="1"/>
    <n v="4"/>
    <x v="0"/>
    <n v="0"/>
    <x v="2"/>
    <x v="0"/>
    <s v="Mid"/>
    <x v="0"/>
  </r>
  <r>
    <n v="36"/>
    <x v="1173"/>
    <x v="1"/>
    <x v="1"/>
    <n v="5"/>
    <n v="4"/>
    <x v="0"/>
    <n v="2"/>
    <x v="0"/>
    <n v="3"/>
    <n v="3"/>
    <x v="4"/>
    <x v="3"/>
    <s v="Married"/>
    <n v="8008"/>
    <n v="4"/>
    <x v="1"/>
    <n v="3"/>
    <n v="9"/>
    <n v="3"/>
    <n v="3"/>
    <n v="2"/>
    <n v="0"/>
    <n v="2"/>
    <x v="3"/>
    <n v="0"/>
    <x v="0"/>
    <x v="0"/>
    <s v="Mid"/>
    <x v="0"/>
  </r>
  <r>
    <n v="25"/>
    <x v="1174"/>
    <x v="1"/>
    <x v="1"/>
    <n v="2"/>
    <n v="1"/>
    <x v="0"/>
    <n v="4"/>
    <x v="1"/>
    <n v="4"/>
    <n v="2"/>
    <x v="3"/>
    <x v="2"/>
    <s v="Divorced"/>
    <n v="5206"/>
    <n v="1"/>
    <x v="1"/>
    <n v="3"/>
    <n v="7"/>
    <n v="3"/>
    <n v="7"/>
    <n v="7"/>
    <n v="0"/>
    <n v="7"/>
    <x v="8"/>
    <n v="0"/>
    <x v="2"/>
    <x v="0"/>
    <s v="Long"/>
    <x v="2"/>
  </r>
  <r>
    <n v="39"/>
    <x v="1175"/>
    <x v="1"/>
    <x v="1"/>
    <n v="12"/>
    <n v="3"/>
    <x v="2"/>
    <n v="4"/>
    <x v="1"/>
    <n v="3"/>
    <n v="2"/>
    <x v="3"/>
    <x v="1"/>
    <s v="Married"/>
    <n v="5295"/>
    <n v="4"/>
    <x v="1"/>
    <n v="3"/>
    <n v="7"/>
    <n v="3"/>
    <n v="5"/>
    <n v="4"/>
    <n v="1"/>
    <n v="0"/>
    <x v="7"/>
    <n v="0"/>
    <x v="0"/>
    <x v="0"/>
    <s v="Mid"/>
    <x v="1"/>
  </r>
  <r>
    <n v="49"/>
    <x v="1176"/>
    <x v="1"/>
    <x v="1"/>
    <n v="22"/>
    <n v="4"/>
    <x v="1"/>
    <n v="1"/>
    <x v="0"/>
    <n v="3"/>
    <n v="4"/>
    <x v="7"/>
    <x v="1"/>
    <s v="Married"/>
    <n v="16413"/>
    <n v="3"/>
    <x v="1"/>
    <n v="2"/>
    <n v="27"/>
    <n v="3"/>
    <n v="4"/>
    <n v="2"/>
    <n v="1"/>
    <n v="2"/>
    <x v="10"/>
    <n v="0"/>
    <x v="1"/>
    <x v="2"/>
    <s v="Mid"/>
    <x v="2"/>
  </r>
  <r>
    <n v="50"/>
    <x v="1177"/>
    <x v="1"/>
    <x v="1"/>
    <n v="17"/>
    <n v="5"/>
    <x v="0"/>
    <n v="4"/>
    <x v="0"/>
    <n v="2"/>
    <n v="3"/>
    <x v="7"/>
    <x v="3"/>
    <s v="Divorced"/>
    <n v="13269"/>
    <n v="5"/>
    <x v="1"/>
    <n v="3"/>
    <n v="19"/>
    <n v="3"/>
    <n v="14"/>
    <n v="11"/>
    <n v="1"/>
    <n v="11"/>
    <x v="2"/>
    <n v="0"/>
    <x v="1"/>
    <x v="2"/>
    <s v="Long"/>
    <x v="2"/>
  </r>
  <r>
    <n v="20"/>
    <x v="1178"/>
    <x v="1"/>
    <x v="0"/>
    <n v="2"/>
    <n v="3"/>
    <x v="2"/>
    <n v="3"/>
    <x v="0"/>
    <n v="3"/>
    <n v="1"/>
    <x v="6"/>
    <x v="2"/>
    <s v="Single"/>
    <n v="2783"/>
    <n v="1"/>
    <x v="1"/>
    <n v="1"/>
    <n v="2"/>
    <n v="3"/>
    <n v="2"/>
    <n v="2"/>
    <n v="2"/>
    <n v="2"/>
    <x v="12"/>
    <n v="0"/>
    <x v="2"/>
    <x v="1"/>
    <s v="Early"/>
    <x v="1"/>
  </r>
  <r>
    <n v="34"/>
    <x v="1179"/>
    <x v="1"/>
    <x v="1"/>
    <n v="3"/>
    <n v="3"/>
    <x v="0"/>
    <n v="4"/>
    <x v="0"/>
    <n v="3"/>
    <n v="2"/>
    <x v="1"/>
    <x v="1"/>
    <s v="Divorced"/>
    <n v="5433"/>
    <n v="1"/>
    <x v="1"/>
    <n v="3"/>
    <n v="11"/>
    <n v="3"/>
    <n v="11"/>
    <n v="8"/>
    <n v="7"/>
    <n v="9"/>
    <x v="3"/>
    <n v="0"/>
    <x v="0"/>
    <x v="0"/>
    <s v="Long"/>
    <x v="0"/>
  </r>
  <r>
    <n v="36"/>
    <x v="1180"/>
    <x v="1"/>
    <x v="1"/>
    <n v="7"/>
    <n v="3"/>
    <x v="0"/>
    <n v="1"/>
    <x v="1"/>
    <n v="3"/>
    <n v="1"/>
    <x v="2"/>
    <x v="1"/>
    <s v="Single"/>
    <n v="2013"/>
    <n v="2"/>
    <x v="1"/>
    <n v="3"/>
    <n v="15"/>
    <n v="3"/>
    <n v="4"/>
    <n v="3"/>
    <n v="1"/>
    <n v="3"/>
    <x v="0"/>
    <n v="0"/>
    <x v="0"/>
    <x v="1"/>
    <s v="Mid"/>
    <x v="0"/>
  </r>
  <r>
    <n v="49"/>
    <x v="1181"/>
    <x v="1"/>
    <x v="1"/>
    <n v="6"/>
    <n v="1"/>
    <x v="0"/>
    <n v="3"/>
    <x v="0"/>
    <n v="2"/>
    <n v="4"/>
    <x v="4"/>
    <x v="2"/>
    <s v="Married"/>
    <n v="13966"/>
    <n v="2"/>
    <x v="0"/>
    <n v="2"/>
    <n v="30"/>
    <n v="3"/>
    <n v="15"/>
    <n v="11"/>
    <n v="2"/>
    <n v="12"/>
    <x v="12"/>
    <n v="0"/>
    <x v="1"/>
    <x v="2"/>
    <s v="Long"/>
    <x v="1"/>
  </r>
  <r>
    <n v="36"/>
    <x v="1182"/>
    <x v="1"/>
    <x v="1"/>
    <n v="1"/>
    <n v="4"/>
    <x v="2"/>
    <n v="4"/>
    <x v="0"/>
    <n v="2"/>
    <n v="2"/>
    <x v="3"/>
    <x v="2"/>
    <s v="Married"/>
    <n v="4374"/>
    <n v="0"/>
    <x v="1"/>
    <n v="3"/>
    <n v="4"/>
    <n v="3"/>
    <n v="3"/>
    <n v="2"/>
    <n v="1"/>
    <n v="2"/>
    <x v="2"/>
    <n v="0"/>
    <x v="0"/>
    <x v="1"/>
    <s v="Mid"/>
    <x v="2"/>
  </r>
  <r>
    <n v="36"/>
    <x v="1183"/>
    <x v="1"/>
    <x v="1"/>
    <n v="3"/>
    <n v="2"/>
    <x v="0"/>
    <n v="4"/>
    <x v="1"/>
    <n v="4"/>
    <n v="2"/>
    <x v="4"/>
    <x v="3"/>
    <s v="Divorced"/>
    <n v="6842"/>
    <n v="6"/>
    <x v="1"/>
    <n v="1"/>
    <n v="13"/>
    <n v="3"/>
    <n v="5"/>
    <n v="4"/>
    <n v="0"/>
    <n v="4"/>
    <x v="5"/>
    <n v="0"/>
    <x v="0"/>
    <x v="0"/>
    <s v="Mid"/>
    <x v="1"/>
  </r>
  <r>
    <n v="54"/>
    <x v="1184"/>
    <x v="1"/>
    <x v="1"/>
    <n v="22"/>
    <n v="5"/>
    <x v="2"/>
    <n v="2"/>
    <x v="0"/>
    <n v="3"/>
    <n v="4"/>
    <x v="5"/>
    <x v="2"/>
    <s v="Married"/>
    <n v="17426"/>
    <n v="3"/>
    <x v="1"/>
    <n v="3"/>
    <n v="36"/>
    <n v="3"/>
    <n v="10"/>
    <n v="8"/>
    <n v="4"/>
    <n v="7"/>
    <x v="14"/>
    <n v="0"/>
    <x v="1"/>
    <x v="2"/>
    <s v="Long"/>
    <x v="1"/>
  </r>
  <r>
    <n v="43"/>
    <x v="1185"/>
    <x v="1"/>
    <x v="1"/>
    <n v="15"/>
    <n v="2"/>
    <x v="0"/>
    <n v="3"/>
    <x v="1"/>
    <n v="2"/>
    <n v="4"/>
    <x v="7"/>
    <x v="2"/>
    <s v="Married"/>
    <n v="17603"/>
    <n v="1"/>
    <x v="1"/>
    <n v="1"/>
    <n v="14"/>
    <n v="3"/>
    <n v="14"/>
    <n v="10"/>
    <n v="6"/>
    <n v="11"/>
    <x v="13"/>
    <n v="0"/>
    <x v="0"/>
    <x v="2"/>
    <s v="Long"/>
    <x v="1"/>
  </r>
  <r>
    <n v="35"/>
    <x v="1186"/>
    <x v="0"/>
    <x v="0"/>
    <n v="12"/>
    <n v="4"/>
    <x v="1"/>
    <n v="4"/>
    <x v="1"/>
    <n v="3"/>
    <n v="2"/>
    <x v="0"/>
    <x v="0"/>
    <s v="Single"/>
    <n v="4581"/>
    <n v="3"/>
    <x v="0"/>
    <n v="1"/>
    <n v="13"/>
    <n v="4"/>
    <n v="11"/>
    <n v="9"/>
    <n v="6"/>
    <n v="7"/>
    <x v="13"/>
    <n v="1"/>
    <x v="0"/>
    <x v="1"/>
    <s v="Long"/>
    <x v="1"/>
  </r>
  <r>
    <n v="38"/>
    <x v="1187"/>
    <x v="1"/>
    <x v="1"/>
    <n v="1"/>
    <n v="3"/>
    <x v="0"/>
    <n v="4"/>
    <x v="1"/>
    <n v="3"/>
    <n v="2"/>
    <x v="1"/>
    <x v="0"/>
    <s v="Married"/>
    <n v="4735"/>
    <n v="7"/>
    <x v="1"/>
    <n v="4"/>
    <n v="19"/>
    <n v="4"/>
    <n v="13"/>
    <n v="11"/>
    <n v="2"/>
    <n v="9"/>
    <x v="2"/>
    <n v="0"/>
    <x v="0"/>
    <x v="1"/>
    <s v="Long"/>
    <x v="2"/>
  </r>
  <r>
    <n v="29"/>
    <x v="1188"/>
    <x v="1"/>
    <x v="0"/>
    <n v="5"/>
    <n v="3"/>
    <x v="2"/>
    <n v="1"/>
    <x v="1"/>
    <n v="2"/>
    <n v="2"/>
    <x v="0"/>
    <x v="1"/>
    <s v="Divorced"/>
    <n v="4187"/>
    <n v="1"/>
    <x v="0"/>
    <n v="2"/>
    <n v="10"/>
    <n v="2"/>
    <n v="10"/>
    <n v="0"/>
    <n v="0"/>
    <n v="9"/>
    <x v="4"/>
    <n v="0"/>
    <x v="2"/>
    <x v="1"/>
    <s v="Long"/>
    <x v="2"/>
  </r>
  <r>
    <n v="33"/>
    <x v="1189"/>
    <x v="1"/>
    <x v="0"/>
    <n v="2"/>
    <n v="4"/>
    <x v="2"/>
    <n v="4"/>
    <x v="1"/>
    <n v="3"/>
    <n v="2"/>
    <x v="0"/>
    <x v="0"/>
    <s v="Divorced"/>
    <n v="5505"/>
    <n v="1"/>
    <x v="1"/>
    <n v="3"/>
    <n v="6"/>
    <n v="3"/>
    <n v="6"/>
    <n v="2"/>
    <n v="0"/>
    <n v="4"/>
    <x v="9"/>
    <n v="0"/>
    <x v="0"/>
    <x v="0"/>
    <s v="Mid"/>
    <x v="2"/>
  </r>
  <r>
    <n v="32"/>
    <x v="1190"/>
    <x v="1"/>
    <x v="1"/>
    <n v="2"/>
    <n v="3"/>
    <x v="2"/>
    <n v="4"/>
    <x v="1"/>
    <n v="3"/>
    <n v="2"/>
    <x v="1"/>
    <x v="1"/>
    <s v="Divorced"/>
    <n v="5470"/>
    <n v="0"/>
    <x v="1"/>
    <n v="3"/>
    <n v="10"/>
    <n v="2"/>
    <n v="9"/>
    <n v="5"/>
    <n v="1"/>
    <n v="6"/>
    <x v="4"/>
    <n v="0"/>
    <x v="0"/>
    <x v="0"/>
    <s v="Long"/>
    <x v="2"/>
  </r>
  <r>
    <n v="31"/>
    <x v="1191"/>
    <x v="1"/>
    <x v="0"/>
    <n v="5"/>
    <n v="4"/>
    <x v="0"/>
    <n v="1"/>
    <x v="0"/>
    <n v="3"/>
    <n v="2"/>
    <x v="0"/>
    <x v="0"/>
    <s v="Married"/>
    <n v="5476"/>
    <n v="1"/>
    <x v="1"/>
    <n v="1"/>
    <n v="10"/>
    <n v="3"/>
    <n v="10"/>
    <n v="0"/>
    <n v="0"/>
    <n v="2"/>
    <x v="0"/>
    <n v="0"/>
    <x v="0"/>
    <x v="0"/>
    <s v="Long"/>
    <x v="0"/>
  </r>
  <r>
    <n v="49"/>
    <x v="1192"/>
    <x v="1"/>
    <x v="1"/>
    <n v="16"/>
    <n v="3"/>
    <x v="2"/>
    <n v="4"/>
    <x v="0"/>
    <n v="3"/>
    <n v="1"/>
    <x v="2"/>
    <x v="3"/>
    <s v="Divorced"/>
    <n v="2587"/>
    <n v="4"/>
    <x v="0"/>
    <n v="2"/>
    <n v="17"/>
    <n v="2"/>
    <n v="2"/>
    <n v="2"/>
    <n v="2"/>
    <n v="2"/>
    <x v="10"/>
    <n v="0"/>
    <x v="1"/>
    <x v="1"/>
    <s v="Early"/>
    <x v="2"/>
  </r>
  <r>
    <n v="38"/>
    <x v="1193"/>
    <x v="1"/>
    <x v="1"/>
    <n v="2"/>
    <n v="3"/>
    <x v="2"/>
    <n v="4"/>
    <x v="0"/>
    <n v="2"/>
    <n v="1"/>
    <x v="2"/>
    <x v="1"/>
    <s v="Single"/>
    <n v="2440"/>
    <n v="1"/>
    <x v="1"/>
    <n v="2"/>
    <n v="4"/>
    <n v="3"/>
    <n v="4"/>
    <n v="3"/>
    <n v="3"/>
    <n v="3"/>
    <x v="6"/>
    <n v="0"/>
    <x v="0"/>
    <x v="1"/>
    <s v="Mid"/>
    <x v="1"/>
  </r>
  <r>
    <n v="47"/>
    <x v="1194"/>
    <x v="1"/>
    <x v="0"/>
    <n v="2"/>
    <n v="4"/>
    <x v="0"/>
    <n v="2"/>
    <x v="0"/>
    <n v="4"/>
    <n v="4"/>
    <x v="5"/>
    <x v="1"/>
    <s v="Divorced"/>
    <n v="15972"/>
    <n v="6"/>
    <x v="1"/>
    <n v="3"/>
    <n v="29"/>
    <n v="3"/>
    <n v="3"/>
    <n v="2"/>
    <n v="1"/>
    <n v="2"/>
    <x v="9"/>
    <n v="0"/>
    <x v="1"/>
    <x v="2"/>
    <s v="Mid"/>
    <x v="2"/>
  </r>
  <r>
    <n v="49"/>
    <x v="1195"/>
    <x v="1"/>
    <x v="1"/>
    <n v="1"/>
    <n v="3"/>
    <x v="0"/>
    <n v="3"/>
    <x v="1"/>
    <n v="3"/>
    <n v="4"/>
    <x v="5"/>
    <x v="2"/>
    <s v="Single"/>
    <n v="15379"/>
    <n v="4"/>
    <x v="1"/>
    <n v="1"/>
    <n v="23"/>
    <n v="3"/>
    <n v="8"/>
    <n v="7"/>
    <n v="0"/>
    <n v="0"/>
    <x v="9"/>
    <n v="0"/>
    <x v="1"/>
    <x v="2"/>
    <s v="Long"/>
    <x v="2"/>
  </r>
  <r>
    <n v="41"/>
    <x v="1196"/>
    <x v="1"/>
    <x v="0"/>
    <n v="23"/>
    <n v="2"/>
    <x v="0"/>
    <n v="4"/>
    <x v="1"/>
    <n v="3"/>
    <n v="3"/>
    <x v="0"/>
    <x v="2"/>
    <s v="Single"/>
    <n v="7082"/>
    <n v="3"/>
    <x v="0"/>
    <n v="4"/>
    <n v="21"/>
    <n v="3"/>
    <n v="2"/>
    <n v="0"/>
    <n v="0"/>
    <n v="2"/>
    <x v="10"/>
    <n v="0"/>
    <x v="0"/>
    <x v="0"/>
    <s v="Early"/>
    <x v="2"/>
  </r>
  <r>
    <n v="20"/>
    <x v="1197"/>
    <x v="1"/>
    <x v="0"/>
    <n v="9"/>
    <n v="1"/>
    <x v="0"/>
    <n v="4"/>
    <x v="1"/>
    <n v="3"/>
    <n v="1"/>
    <x v="6"/>
    <x v="3"/>
    <s v="Single"/>
    <n v="2728"/>
    <n v="1"/>
    <x v="1"/>
    <n v="1"/>
    <n v="2"/>
    <n v="3"/>
    <n v="2"/>
    <n v="2"/>
    <n v="0"/>
    <n v="2"/>
    <x v="0"/>
    <n v="0"/>
    <x v="2"/>
    <x v="1"/>
    <s v="Early"/>
    <x v="0"/>
  </r>
  <r>
    <n v="33"/>
    <x v="1198"/>
    <x v="1"/>
    <x v="0"/>
    <n v="16"/>
    <n v="3"/>
    <x v="0"/>
    <n v="3"/>
    <x v="0"/>
    <n v="3"/>
    <n v="2"/>
    <x v="0"/>
    <x v="0"/>
    <s v="Divorced"/>
    <n v="5368"/>
    <n v="1"/>
    <x v="0"/>
    <n v="3"/>
    <n v="7"/>
    <n v="3"/>
    <n v="6"/>
    <n v="5"/>
    <n v="1"/>
    <n v="2"/>
    <x v="14"/>
    <n v="0"/>
    <x v="0"/>
    <x v="0"/>
    <s v="Mid"/>
    <x v="1"/>
  </r>
  <r>
    <n v="36"/>
    <x v="1199"/>
    <x v="1"/>
    <x v="1"/>
    <n v="26"/>
    <n v="4"/>
    <x v="0"/>
    <n v="1"/>
    <x v="1"/>
    <n v="3"/>
    <n v="2"/>
    <x v="4"/>
    <x v="2"/>
    <s v="Married"/>
    <n v="5347"/>
    <n v="6"/>
    <x v="1"/>
    <n v="2"/>
    <n v="10"/>
    <n v="2"/>
    <n v="3"/>
    <n v="2"/>
    <n v="0"/>
    <n v="2"/>
    <x v="9"/>
    <n v="0"/>
    <x v="0"/>
    <x v="0"/>
    <s v="Mid"/>
    <x v="2"/>
  </r>
  <r>
    <n v="44"/>
    <x v="1200"/>
    <x v="1"/>
    <x v="2"/>
    <n v="1"/>
    <n v="3"/>
    <x v="0"/>
    <n v="3"/>
    <x v="0"/>
    <n v="3"/>
    <n v="1"/>
    <x v="8"/>
    <x v="0"/>
    <s v="Divorced"/>
    <n v="3195"/>
    <n v="4"/>
    <x v="0"/>
    <n v="1"/>
    <n v="8"/>
    <n v="3"/>
    <n v="2"/>
    <n v="2"/>
    <n v="2"/>
    <n v="2"/>
    <x v="11"/>
    <n v="0"/>
    <x v="0"/>
    <x v="1"/>
    <s v="Early"/>
    <x v="1"/>
  </r>
  <r>
    <n v="23"/>
    <x v="1201"/>
    <x v="0"/>
    <x v="1"/>
    <n v="8"/>
    <n v="1"/>
    <x v="2"/>
    <n v="4"/>
    <x v="1"/>
    <n v="2"/>
    <n v="1"/>
    <x v="2"/>
    <x v="2"/>
    <s v="Single"/>
    <n v="3989"/>
    <n v="1"/>
    <x v="0"/>
    <n v="1"/>
    <n v="5"/>
    <n v="3"/>
    <n v="5"/>
    <n v="4"/>
    <n v="1"/>
    <n v="2"/>
    <x v="0"/>
    <n v="1"/>
    <x v="2"/>
    <x v="1"/>
    <s v="Mid"/>
    <x v="0"/>
  </r>
  <r>
    <n v="38"/>
    <x v="1202"/>
    <x v="1"/>
    <x v="1"/>
    <n v="4"/>
    <n v="2"/>
    <x v="2"/>
    <n v="4"/>
    <x v="0"/>
    <n v="3"/>
    <n v="1"/>
    <x v="2"/>
    <x v="2"/>
    <s v="Married"/>
    <n v="3306"/>
    <n v="7"/>
    <x v="1"/>
    <n v="4"/>
    <n v="7"/>
    <n v="2"/>
    <n v="0"/>
    <n v="0"/>
    <n v="0"/>
    <n v="0"/>
    <x v="12"/>
    <n v="0"/>
    <x v="0"/>
    <x v="1"/>
    <s v="Early"/>
    <x v="1"/>
  </r>
  <r>
    <n v="53"/>
    <x v="1203"/>
    <x v="1"/>
    <x v="1"/>
    <n v="24"/>
    <n v="4"/>
    <x v="2"/>
    <n v="2"/>
    <x v="1"/>
    <n v="4"/>
    <n v="3"/>
    <x v="4"/>
    <x v="0"/>
    <s v="Married"/>
    <n v="7005"/>
    <n v="3"/>
    <x v="1"/>
    <n v="3"/>
    <n v="11"/>
    <n v="3"/>
    <n v="4"/>
    <n v="3"/>
    <n v="1"/>
    <n v="2"/>
    <x v="2"/>
    <n v="0"/>
    <x v="1"/>
    <x v="0"/>
    <s v="Mid"/>
    <x v="2"/>
  </r>
  <r>
    <n v="48"/>
    <x v="1204"/>
    <x v="0"/>
    <x v="0"/>
    <n v="7"/>
    <n v="2"/>
    <x v="2"/>
    <n v="4"/>
    <x v="0"/>
    <n v="3"/>
    <n v="1"/>
    <x v="6"/>
    <x v="2"/>
    <s v="Married"/>
    <n v="2655"/>
    <n v="2"/>
    <x v="0"/>
    <n v="3"/>
    <n v="19"/>
    <n v="3"/>
    <n v="9"/>
    <n v="7"/>
    <n v="7"/>
    <n v="7"/>
    <x v="0"/>
    <n v="1"/>
    <x v="1"/>
    <x v="1"/>
    <s v="Long"/>
    <x v="0"/>
  </r>
  <r>
    <n v="32"/>
    <x v="1205"/>
    <x v="0"/>
    <x v="1"/>
    <n v="2"/>
    <n v="4"/>
    <x v="0"/>
    <n v="4"/>
    <x v="1"/>
    <n v="3"/>
    <n v="1"/>
    <x v="2"/>
    <x v="1"/>
    <s v="Single"/>
    <n v="1393"/>
    <n v="1"/>
    <x v="1"/>
    <n v="1"/>
    <n v="1"/>
    <n v="3"/>
    <n v="1"/>
    <n v="0"/>
    <n v="0"/>
    <n v="0"/>
    <x v="3"/>
    <n v="1"/>
    <x v="0"/>
    <x v="1"/>
    <s v="Early"/>
    <x v="0"/>
  </r>
  <r>
    <n v="26"/>
    <x v="1206"/>
    <x v="1"/>
    <x v="1"/>
    <n v="7"/>
    <n v="3"/>
    <x v="2"/>
    <n v="4"/>
    <x v="1"/>
    <n v="3"/>
    <n v="1"/>
    <x v="2"/>
    <x v="0"/>
    <s v="Single"/>
    <n v="2570"/>
    <n v="1"/>
    <x v="1"/>
    <n v="3"/>
    <n v="7"/>
    <n v="3"/>
    <n v="7"/>
    <n v="7"/>
    <n v="5"/>
    <n v="7"/>
    <x v="5"/>
    <n v="0"/>
    <x v="2"/>
    <x v="1"/>
    <s v="Long"/>
    <x v="1"/>
  </r>
  <r>
    <n v="55"/>
    <x v="1207"/>
    <x v="1"/>
    <x v="1"/>
    <n v="22"/>
    <n v="3"/>
    <x v="4"/>
    <n v="1"/>
    <x v="1"/>
    <n v="2"/>
    <n v="1"/>
    <x v="1"/>
    <x v="1"/>
    <s v="Divorced"/>
    <n v="3537"/>
    <n v="5"/>
    <x v="1"/>
    <n v="4"/>
    <n v="8"/>
    <n v="3"/>
    <n v="4"/>
    <n v="2"/>
    <n v="1"/>
    <n v="2"/>
    <x v="3"/>
    <n v="0"/>
    <x v="1"/>
    <x v="1"/>
    <s v="Mid"/>
    <x v="0"/>
  </r>
  <r>
    <n v="34"/>
    <x v="1208"/>
    <x v="1"/>
    <x v="1"/>
    <n v="5"/>
    <n v="2"/>
    <x v="2"/>
    <n v="2"/>
    <x v="1"/>
    <n v="2"/>
    <n v="2"/>
    <x v="2"/>
    <x v="0"/>
    <s v="Married"/>
    <n v="3986"/>
    <n v="1"/>
    <x v="1"/>
    <n v="3"/>
    <n v="15"/>
    <n v="4"/>
    <n v="15"/>
    <n v="10"/>
    <n v="4"/>
    <n v="13"/>
    <x v="9"/>
    <n v="0"/>
    <x v="0"/>
    <x v="1"/>
    <s v="Long"/>
    <x v="2"/>
  </r>
  <r>
    <n v="60"/>
    <x v="1209"/>
    <x v="1"/>
    <x v="1"/>
    <n v="1"/>
    <n v="4"/>
    <x v="2"/>
    <n v="3"/>
    <x v="1"/>
    <n v="1"/>
    <n v="3"/>
    <x v="4"/>
    <x v="0"/>
    <s v="Divorced"/>
    <n v="10883"/>
    <n v="3"/>
    <x v="1"/>
    <n v="3"/>
    <n v="19"/>
    <n v="4"/>
    <n v="1"/>
    <n v="0"/>
    <n v="0"/>
    <n v="0"/>
    <x v="5"/>
    <n v="0"/>
    <x v="1"/>
    <x v="2"/>
    <s v="Early"/>
    <x v="1"/>
  </r>
  <r>
    <n v="33"/>
    <x v="1210"/>
    <x v="1"/>
    <x v="1"/>
    <n v="21"/>
    <n v="3"/>
    <x v="2"/>
    <n v="2"/>
    <x v="1"/>
    <n v="4"/>
    <n v="1"/>
    <x v="2"/>
    <x v="1"/>
    <s v="Married"/>
    <n v="2028"/>
    <n v="1"/>
    <x v="1"/>
    <n v="4"/>
    <n v="14"/>
    <n v="3"/>
    <n v="14"/>
    <n v="11"/>
    <n v="2"/>
    <n v="13"/>
    <x v="11"/>
    <n v="0"/>
    <x v="0"/>
    <x v="1"/>
    <s v="Long"/>
    <x v="1"/>
  </r>
  <r>
    <n v="37"/>
    <x v="1211"/>
    <x v="1"/>
    <x v="0"/>
    <n v="1"/>
    <n v="4"/>
    <x v="2"/>
    <n v="3"/>
    <x v="1"/>
    <n v="1"/>
    <n v="2"/>
    <x v="0"/>
    <x v="0"/>
    <s v="Divorced"/>
    <n v="9525"/>
    <n v="1"/>
    <x v="1"/>
    <n v="3"/>
    <n v="6"/>
    <n v="2"/>
    <n v="6"/>
    <n v="3"/>
    <n v="1"/>
    <n v="3"/>
    <x v="9"/>
    <n v="0"/>
    <x v="0"/>
    <x v="0"/>
    <s v="Mid"/>
    <x v="2"/>
  </r>
  <r>
    <n v="34"/>
    <x v="1212"/>
    <x v="1"/>
    <x v="1"/>
    <n v="19"/>
    <n v="3"/>
    <x v="0"/>
    <n v="2"/>
    <x v="0"/>
    <n v="2"/>
    <n v="1"/>
    <x v="1"/>
    <x v="0"/>
    <s v="Married"/>
    <n v="2929"/>
    <n v="1"/>
    <x v="1"/>
    <n v="2"/>
    <n v="10"/>
    <n v="3"/>
    <n v="10"/>
    <n v="9"/>
    <n v="8"/>
    <n v="7"/>
    <x v="3"/>
    <n v="0"/>
    <x v="0"/>
    <x v="1"/>
    <s v="Long"/>
    <x v="0"/>
  </r>
  <r>
    <n v="23"/>
    <x v="1213"/>
    <x v="0"/>
    <x v="0"/>
    <n v="7"/>
    <n v="3"/>
    <x v="0"/>
    <n v="3"/>
    <x v="1"/>
    <n v="3"/>
    <n v="1"/>
    <x v="6"/>
    <x v="0"/>
    <s v="Divorced"/>
    <n v="2275"/>
    <n v="1"/>
    <x v="0"/>
    <n v="2"/>
    <n v="3"/>
    <n v="3"/>
    <n v="3"/>
    <n v="2"/>
    <n v="0"/>
    <n v="2"/>
    <x v="7"/>
    <n v="1"/>
    <x v="2"/>
    <x v="1"/>
    <s v="Mid"/>
    <x v="1"/>
  </r>
  <r>
    <n v="44"/>
    <x v="1214"/>
    <x v="1"/>
    <x v="1"/>
    <n v="2"/>
    <n v="3"/>
    <x v="0"/>
    <n v="3"/>
    <x v="0"/>
    <n v="4"/>
    <n v="3"/>
    <x v="4"/>
    <x v="0"/>
    <s v="Married"/>
    <n v="7879"/>
    <n v="1"/>
    <x v="0"/>
    <n v="2"/>
    <n v="9"/>
    <n v="3"/>
    <n v="8"/>
    <n v="7"/>
    <n v="6"/>
    <n v="7"/>
    <x v="12"/>
    <n v="0"/>
    <x v="0"/>
    <x v="0"/>
    <s v="Long"/>
    <x v="1"/>
  </r>
  <r>
    <n v="35"/>
    <x v="1215"/>
    <x v="1"/>
    <x v="1"/>
    <n v="2"/>
    <n v="4"/>
    <x v="2"/>
    <n v="1"/>
    <x v="1"/>
    <n v="2"/>
    <n v="1"/>
    <x v="1"/>
    <x v="0"/>
    <s v="Single"/>
    <n v="4930"/>
    <n v="0"/>
    <x v="0"/>
    <n v="3"/>
    <n v="6"/>
    <n v="4"/>
    <n v="5"/>
    <n v="4"/>
    <n v="1"/>
    <n v="4"/>
    <x v="9"/>
    <n v="0"/>
    <x v="0"/>
    <x v="1"/>
    <s v="Mid"/>
    <x v="2"/>
  </r>
  <r>
    <n v="43"/>
    <x v="1216"/>
    <x v="1"/>
    <x v="0"/>
    <n v="2"/>
    <n v="3"/>
    <x v="2"/>
    <n v="4"/>
    <x v="1"/>
    <n v="3"/>
    <n v="2"/>
    <x v="0"/>
    <x v="0"/>
    <s v="Married"/>
    <n v="7847"/>
    <n v="1"/>
    <x v="0"/>
    <n v="1"/>
    <n v="10"/>
    <n v="3"/>
    <n v="10"/>
    <n v="9"/>
    <n v="8"/>
    <n v="8"/>
    <x v="8"/>
    <n v="0"/>
    <x v="0"/>
    <x v="0"/>
    <s v="Long"/>
    <x v="2"/>
  </r>
  <r>
    <n v="24"/>
    <x v="1217"/>
    <x v="1"/>
    <x v="1"/>
    <n v="9"/>
    <n v="3"/>
    <x v="2"/>
    <n v="3"/>
    <x v="1"/>
    <n v="4"/>
    <n v="1"/>
    <x v="1"/>
    <x v="2"/>
    <s v="Married"/>
    <n v="4401"/>
    <n v="1"/>
    <x v="1"/>
    <n v="4"/>
    <n v="5"/>
    <n v="3"/>
    <n v="5"/>
    <n v="3"/>
    <n v="0"/>
    <n v="4"/>
    <x v="10"/>
    <n v="0"/>
    <x v="2"/>
    <x v="1"/>
    <s v="Mid"/>
    <x v="2"/>
  </r>
  <r>
    <n v="41"/>
    <x v="1218"/>
    <x v="1"/>
    <x v="0"/>
    <n v="6"/>
    <n v="3"/>
    <x v="3"/>
    <n v="4"/>
    <x v="1"/>
    <n v="3"/>
    <n v="3"/>
    <x v="0"/>
    <x v="2"/>
    <s v="Single"/>
    <n v="9241"/>
    <n v="1"/>
    <x v="1"/>
    <n v="2"/>
    <n v="10"/>
    <n v="3"/>
    <n v="10"/>
    <n v="8"/>
    <n v="8"/>
    <n v="7"/>
    <x v="3"/>
    <n v="0"/>
    <x v="0"/>
    <x v="0"/>
    <s v="Long"/>
    <x v="0"/>
  </r>
  <r>
    <n v="29"/>
    <x v="1219"/>
    <x v="1"/>
    <x v="1"/>
    <n v="9"/>
    <n v="4"/>
    <x v="2"/>
    <n v="4"/>
    <x v="0"/>
    <n v="3"/>
    <n v="1"/>
    <x v="2"/>
    <x v="2"/>
    <s v="Married"/>
    <n v="2974"/>
    <n v="9"/>
    <x v="1"/>
    <n v="3"/>
    <n v="9"/>
    <n v="3"/>
    <n v="5"/>
    <n v="3"/>
    <n v="1"/>
    <n v="2"/>
    <x v="8"/>
    <n v="0"/>
    <x v="2"/>
    <x v="1"/>
    <s v="Mid"/>
    <x v="2"/>
  </r>
  <r>
    <n v="36"/>
    <x v="1220"/>
    <x v="1"/>
    <x v="0"/>
    <n v="2"/>
    <n v="4"/>
    <x v="0"/>
    <n v="3"/>
    <x v="0"/>
    <n v="3"/>
    <n v="2"/>
    <x v="6"/>
    <x v="0"/>
    <s v="Single"/>
    <n v="4502"/>
    <n v="3"/>
    <x v="1"/>
    <n v="3"/>
    <n v="17"/>
    <n v="2"/>
    <n v="13"/>
    <n v="7"/>
    <n v="6"/>
    <n v="7"/>
    <x v="2"/>
    <n v="0"/>
    <x v="0"/>
    <x v="1"/>
    <s v="Long"/>
    <x v="2"/>
  </r>
  <r>
    <n v="45"/>
    <x v="1221"/>
    <x v="1"/>
    <x v="1"/>
    <n v="1"/>
    <n v="1"/>
    <x v="0"/>
    <n v="3"/>
    <x v="1"/>
    <n v="2"/>
    <n v="3"/>
    <x v="4"/>
    <x v="2"/>
    <s v="Married"/>
    <n v="10748"/>
    <n v="3"/>
    <x v="1"/>
    <n v="4"/>
    <n v="25"/>
    <n v="2"/>
    <n v="23"/>
    <n v="15"/>
    <n v="14"/>
    <n v="4"/>
    <x v="1"/>
    <n v="0"/>
    <x v="1"/>
    <x v="2"/>
    <s v="Long"/>
    <x v="1"/>
  </r>
  <r>
    <n v="24"/>
    <x v="1222"/>
    <x v="0"/>
    <x v="2"/>
    <n v="22"/>
    <n v="1"/>
    <x v="5"/>
    <n v="4"/>
    <x v="1"/>
    <n v="1"/>
    <n v="1"/>
    <x v="8"/>
    <x v="2"/>
    <s v="Married"/>
    <n v="1555"/>
    <n v="1"/>
    <x v="1"/>
    <n v="3"/>
    <n v="1"/>
    <n v="3"/>
    <n v="1"/>
    <n v="0"/>
    <n v="0"/>
    <n v="0"/>
    <x v="0"/>
    <n v="1"/>
    <x v="2"/>
    <x v="1"/>
    <s v="Early"/>
    <x v="0"/>
  </r>
  <r>
    <n v="47"/>
    <x v="1223"/>
    <x v="0"/>
    <x v="0"/>
    <n v="9"/>
    <n v="3"/>
    <x v="0"/>
    <n v="3"/>
    <x v="1"/>
    <n v="1"/>
    <n v="4"/>
    <x v="0"/>
    <x v="2"/>
    <s v="Married"/>
    <n v="12936"/>
    <n v="7"/>
    <x v="1"/>
    <n v="3"/>
    <n v="25"/>
    <n v="1"/>
    <n v="23"/>
    <n v="5"/>
    <n v="14"/>
    <n v="10"/>
    <x v="0"/>
    <n v="1"/>
    <x v="1"/>
    <x v="2"/>
    <s v="Long"/>
    <x v="0"/>
  </r>
  <r>
    <n v="26"/>
    <x v="1224"/>
    <x v="1"/>
    <x v="1"/>
    <n v="17"/>
    <n v="4"/>
    <x v="2"/>
    <n v="4"/>
    <x v="1"/>
    <n v="1"/>
    <n v="1"/>
    <x v="2"/>
    <x v="2"/>
    <s v="Married"/>
    <n v="2305"/>
    <n v="1"/>
    <x v="1"/>
    <n v="3"/>
    <n v="3"/>
    <n v="4"/>
    <n v="3"/>
    <n v="2"/>
    <n v="0"/>
    <n v="2"/>
    <x v="2"/>
    <n v="0"/>
    <x v="2"/>
    <x v="1"/>
    <s v="Mid"/>
    <x v="2"/>
  </r>
  <r>
    <n v="45"/>
    <x v="1225"/>
    <x v="1"/>
    <x v="1"/>
    <n v="28"/>
    <n v="2"/>
    <x v="4"/>
    <n v="4"/>
    <x v="0"/>
    <n v="2"/>
    <n v="4"/>
    <x v="7"/>
    <x v="1"/>
    <s v="Single"/>
    <n v="16704"/>
    <n v="1"/>
    <x v="1"/>
    <n v="3"/>
    <n v="21"/>
    <n v="3"/>
    <n v="21"/>
    <n v="6"/>
    <n v="8"/>
    <n v="6"/>
    <x v="0"/>
    <n v="0"/>
    <x v="1"/>
    <x v="2"/>
    <s v="Long"/>
    <x v="0"/>
  </r>
  <r>
    <n v="32"/>
    <x v="1226"/>
    <x v="1"/>
    <x v="1"/>
    <n v="10"/>
    <n v="3"/>
    <x v="0"/>
    <n v="1"/>
    <x v="1"/>
    <n v="3"/>
    <n v="1"/>
    <x v="1"/>
    <x v="2"/>
    <s v="Married"/>
    <n v="3433"/>
    <n v="6"/>
    <x v="1"/>
    <n v="1"/>
    <n v="10"/>
    <n v="2"/>
    <n v="5"/>
    <n v="2"/>
    <n v="1"/>
    <n v="3"/>
    <x v="4"/>
    <n v="0"/>
    <x v="0"/>
    <x v="1"/>
    <s v="Mid"/>
    <x v="2"/>
  </r>
  <r>
    <n v="31"/>
    <x v="1227"/>
    <x v="1"/>
    <x v="1"/>
    <n v="2"/>
    <n v="4"/>
    <x v="0"/>
    <n v="2"/>
    <x v="1"/>
    <n v="3"/>
    <n v="1"/>
    <x v="2"/>
    <x v="2"/>
    <s v="Married"/>
    <n v="3477"/>
    <n v="1"/>
    <x v="1"/>
    <n v="4"/>
    <n v="6"/>
    <n v="4"/>
    <n v="5"/>
    <n v="2"/>
    <n v="0"/>
    <n v="3"/>
    <x v="9"/>
    <n v="0"/>
    <x v="0"/>
    <x v="1"/>
    <s v="Mid"/>
    <x v="2"/>
  </r>
  <r>
    <n v="41"/>
    <x v="1228"/>
    <x v="1"/>
    <x v="2"/>
    <n v="4"/>
    <n v="3"/>
    <x v="5"/>
    <n v="3"/>
    <x v="1"/>
    <n v="1"/>
    <n v="2"/>
    <x v="8"/>
    <x v="1"/>
    <s v="Married"/>
    <n v="6430"/>
    <n v="6"/>
    <x v="1"/>
    <n v="2"/>
    <n v="10"/>
    <n v="3"/>
    <n v="3"/>
    <n v="2"/>
    <n v="1"/>
    <n v="2"/>
    <x v="12"/>
    <n v="0"/>
    <x v="0"/>
    <x v="0"/>
    <s v="Mid"/>
    <x v="1"/>
  </r>
  <r>
    <n v="40"/>
    <x v="1229"/>
    <x v="1"/>
    <x v="1"/>
    <n v="8"/>
    <n v="2"/>
    <x v="0"/>
    <n v="2"/>
    <x v="0"/>
    <n v="3"/>
    <n v="2"/>
    <x v="3"/>
    <x v="3"/>
    <s v="Married"/>
    <n v="6516"/>
    <n v="2"/>
    <x v="0"/>
    <n v="2"/>
    <n v="18"/>
    <n v="3"/>
    <n v="1"/>
    <n v="0"/>
    <n v="0"/>
    <n v="0"/>
    <x v="10"/>
    <n v="0"/>
    <x v="0"/>
    <x v="0"/>
    <s v="Early"/>
    <x v="2"/>
  </r>
  <r>
    <n v="24"/>
    <x v="1230"/>
    <x v="1"/>
    <x v="1"/>
    <n v="29"/>
    <n v="1"/>
    <x v="2"/>
    <n v="2"/>
    <x v="1"/>
    <n v="3"/>
    <n v="1"/>
    <x v="2"/>
    <x v="3"/>
    <s v="Divorced"/>
    <n v="3907"/>
    <n v="1"/>
    <x v="1"/>
    <n v="2"/>
    <n v="6"/>
    <n v="4"/>
    <n v="6"/>
    <n v="2"/>
    <n v="1"/>
    <n v="2"/>
    <x v="4"/>
    <n v="0"/>
    <x v="2"/>
    <x v="1"/>
    <s v="Mid"/>
    <x v="2"/>
  </r>
  <r>
    <n v="46"/>
    <x v="1231"/>
    <x v="1"/>
    <x v="1"/>
    <n v="13"/>
    <n v="4"/>
    <x v="0"/>
    <n v="3"/>
    <x v="1"/>
    <n v="3"/>
    <n v="2"/>
    <x v="4"/>
    <x v="1"/>
    <s v="Single"/>
    <n v="5562"/>
    <n v="6"/>
    <x v="1"/>
    <n v="4"/>
    <n v="19"/>
    <n v="3"/>
    <n v="10"/>
    <n v="7"/>
    <n v="0"/>
    <n v="9"/>
    <x v="9"/>
    <n v="0"/>
    <x v="1"/>
    <x v="0"/>
    <s v="Long"/>
    <x v="2"/>
  </r>
  <r>
    <n v="35"/>
    <x v="1232"/>
    <x v="1"/>
    <x v="1"/>
    <n v="27"/>
    <n v="4"/>
    <x v="0"/>
    <n v="4"/>
    <x v="1"/>
    <n v="3"/>
    <n v="2"/>
    <x v="3"/>
    <x v="2"/>
    <s v="Married"/>
    <n v="6883"/>
    <n v="2"/>
    <x v="1"/>
    <n v="2"/>
    <n v="17"/>
    <n v="3"/>
    <n v="7"/>
    <n v="7"/>
    <n v="0"/>
    <n v="7"/>
    <x v="10"/>
    <n v="0"/>
    <x v="0"/>
    <x v="0"/>
    <s v="Long"/>
    <x v="2"/>
  </r>
  <r>
    <n v="30"/>
    <x v="1233"/>
    <x v="1"/>
    <x v="1"/>
    <n v="16"/>
    <n v="1"/>
    <x v="0"/>
    <n v="2"/>
    <x v="1"/>
    <n v="3"/>
    <n v="1"/>
    <x v="1"/>
    <x v="0"/>
    <s v="Married"/>
    <n v="2862"/>
    <n v="1"/>
    <x v="1"/>
    <n v="2"/>
    <n v="10"/>
    <n v="2"/>
    <n v="10"/>
    <n v="0"/>
    <n v="0"/>
    <n v="8"/>
    <x v="3"/>
    <n v="0"/>
    <x v="0"/>
    <x v="1"/>
    <s v="Long"/>
    <x v="0"/>
  </r>
  <r>
    <n v="47"/>
    <x v="1234"/>
    <x v="1"/>
    <x v="0"/>
    <n v="2"/>
    <n v="4"/>
    <x v="3"/>
    <n v="3"/>
    <x v="1"/>
    <n v="3"/>
    <n v="2"/>
    <x v="0"/>
    <x v="1"/>
    <s v="Married"/>
    <n v="4978"/>
    <n v="7"/>
    <x v="1"/>
    <n v="4"/>
    <n v="4"/>
    <n v="1"/>
    <n v="1"/>
    <n v="0"/>
    <n v="0"/>
    <n v="0"/>
    <x v="0"/>
    <n v="0"/>
    <x v="1"/>
    <x v="1"/>
    <s v="Early"/>
    <x v="0"/>
  </r>
  <r>
    <n v="46"/>
    <x v="1235"/>
    <x v="1"/>
    <x v="0"/>
    <n v="2"/>
    <n v="3"/>
    <x v="0"/>
    <n v="3"/>
    <x v="1"/>
    <n v="3"/>
    <n v="3"/>
    <x v="0"/>
    <x v="0"/>
    <s v="Divorced"/>
    <n v="10368"/>
    <n v="4"/>
    <x v="0"/>
    <n v="2"/>
    <n v="13"/>
    <n v="2"/>
    <n v="10"/>
    <n v="6"/>
    <n v="0"/>
    <n v="3"/>
    <x v="3"/>
    <n v="0"/>
    <x v="1"/>
    <x v="2"/>
    <s v="Long"/>
    <x v="0"/>
  </r>
  <r>
    <n v="36"/>
    <x v="1236"/>
    <x v="0"/>
    <x v="0"/>
    <n v="13"/>
    <n v="5"/>
    <x v="3"/>
    <n v="2"/>
    <x v="1"/>
    <n v="2"/>
    <n v="2"/>
    <x v="0"/>
    <x v="3"/>
    <s v="Divorced"/>
    <n v="6134"/>
    <n v="5"/>
    <x v="0"/>
    <n v="2"/>
    <n v="16"/>
    <n v="3"/>
    <n v="2"/>
    <n v="2"/>
    <n v="2"/>
    <n v="2"/>
    <x v="4"/>
    <n v="1"/>
    <x v="0"/>
    <x v="0"/>
    <s v="Early"/>
    <x v="2"/>
  </r>
  <r>
    <n v="32"/>
    <x v="1237"/>
    <x v="0"/>
    <x v="0"/>
    <n v="1"/>
    <n v="2"/>
    <x v="0"/>
    <n v="1"/>
    <x v="1"/>
    <n v="1"/>
    <n v="2"/>
    <x v="0"/>
    <x v="1"/>
    <s v="Single"/>
    <n v="6735"/>
    <n v="6"/>
    <x v="1"/>
    <n v="2"/>
    <n v="10"/>
    <n v="3"/>
    <n v="0"/>
    <n v="0"/>
    <n v="0"/>
    <n v="0"/>
    <x v="2"/>
    <n v="1"/>
    <x v="0"/>
    <x v="0"/>
    <s v="Early"/>
    <x v="2"/>
  </r>
  <r>
    <n v="23"/>
    <x v="1238"/>
    <x v="1"/>
    <x v="1"/>
    <n v="4"/>
    <n v="1"/>
    <x v="2"/>
    <n v="3"/>
    <x v="0"/>
    <n v="3"/>
    <n v="1"/>
    <x v="2"/>
    <x v="1"/>
    <s v="Single"/>
    <n v="3295"/>
    <n v="1"/>
    <x v="1"/>
    <n v="3"/>
    <n v="3"/>
    <n v="1"/>
    <n v="3"/>
    <n v="2"/>
    <n v="1"/>
    <n v="2"/>
    <x v="4"/>
    <n v="0"/>
    <x v="2"/>
    <x v="1"/>
    <s v="Mid"/>
    <x v="2"/>
  </r>
  <r>
    <n v="31"/>
    <x v="1239"/>
    <x v="1"/>
    <x v="1"/>
    <n v="24"/>
    <n v="1"/>
    <x v="4"/>
    <n v="4"/>
    <x v="0"/>
    <n v="3"/>
    <n v="2"/>
    <x v="3"/>
    <x v="0"/>
    <s v="Single"/>
    <n v="5238"/>
    <n v="2"/>
    <x v="1"/>
    <n v="4"/>
    <n v="9"/>
    <n v="2"/>
    <n v="5"/>
    <n v="4"/>
    <n v="1"/>
    <n v="4"/>
    <x v="5"/>
    <n v="0"/>
    <x v="0"/>
    <x v="0"/>
    <s v="Mid"/>
    <x v="1"/>
  </r>
  <r>
    <n v="39"/>
    <x v="1240"/>
    <x v="1"/>
    <x v="1"/>
    <n v="1"/>
    <n v="3"/>
    <x v="0"/>
    <n v="4"/>
    <x v="1"/>
    <n v="3"/>
    <n v="2"/>
    <x v="2"/>
    <x v="0"/>
    <s v="Married"/>
    <n v="6472"/>
    <n v="1"/>
    <x v="0"/>
    <n v="4"/>
    <n v="9"/>
    <n v="3"/>
    <n v="9"/>
    <n v="8"/>
    <n v="5"/>
    <n v="8"/>
    <x v="2"/>
    <n v="0"/>
    <x v="0"/>
    <x v="0"/>
    <s v="Long"/>
    <x v="2"/>
  </r>
  <r>
    <n v="32"/>
    <x v="1241"/>
    <x v="1"/>
    <x v="0"/>
    <n v="19"/>
    <n v="3"/>
    <x v="0"/>
    <n v="4"/>
    <x v="1"/>
    <n v="1"/>
    <n v="3"/>
    <x v="0"/>
    <x v="2"/>
    <s v="Married"/>
    <n v="9610"/>
    <n v="3"/>
    <x v="1"/>
    <n v="3"/>
    <n v="10"/>
    <n v="1"/>
    <n v="4"/>
    <n v="3"/>
    <n v="0"/>
    <n v="2"/>
    <x v="4"/>
    <n v="0"/>
    <x v="0"/>
    <x v="0"/>
    <s v="Mid"/>
    <x v="2"/>
  </r>
  <r>
    <n v="40"/>
    <x v="1242"/>
    <x v="1"/>
    <x v="0"/>
    <n v="7"/>
    <n v="4"/>
    <x v="2"/>
    <n v="2"/>
    <x v="1"/>
    <n v="3"/>
    <n v="5"/>
    <x v="5"/>
    <x v="1"/>
    <s v="Single"/>
    <n v="19833"/>
    <n v="1"/>
    <x v="1"/>
    <n v="2"/>
    <n v="21"/>
    <n v="2"/>
    <n v="21"/>
    <n v="8"/>
    <n v="12"/>
    <n v="8"/>
    <x v="9"/>
    <n v="0"/>
    <x v="0"/>
    <x v="2"/>
    <s v="Long"/>
    <x v="2"/>
  </r>
  <r>
    <n v="45"/>
    <x v="1243"/>
    <x v="1"/>
    <x v="2"/>
    <n v="4"/>
    <n v="3"/>
    <x v="0"/>
    <n v="3"/>
    <x v="0"/>
    <n v="1"/>
    <n v="3"/>
    <x v="8"/>
    <x v="2"/>
    <s v="Married"/>
    <n v="9756"/>
    <n v="4"/>
    <x v="1"/>
    <n v="3"/>
    <n v="9"/>
    <n v="4"/>
    <n v="5"/>
    <n v="0"/>
    <n v="0"/>
    <n v="3"/>
    <x v="7"/>
    <n v="0"/>
    <x v="1"/>
    <x v="0"/>
    <s v="Mid"/>
    <x v="1"/>
  </r>
  <r>
    <n v="30"/>
    <x v="1244"/>
    <x v="1"/>
    <x v="1"/>
    <n v="2"/>
    <n v="4"/>
    <x v="4"/>
    <n v="4"/>
    <x v="0"/>
    <n v="2"/>
    <n v="1"/>
    <x v="1"/>
    <x v="3"/>
    <s v="Single"/>
    <n v="4968"/>
    <n v="0"/>
    <x v="1"/>
    <n v="4"/>
    <n v="10"/>
    <n v="3"/>
    <n v="9"/>
    <n v="7"/>
    <n v="0"/>
    <n v="7"/>
    <x v="10"/>
    <n v="0"/>
    <x v="0"/>
    <x v="1"/>
    <s v="Long"/>
    <x v="2"/>
  </r>
  <r>
    <n v="24"/>
    <x v="1245"/>
    <x v="1"/>
    <x v="2"/>
    <n v="10"/>
    <n v="3"/>
    <x v="2"/>
    <n v="1"/>
    <x v="1"/>
    <n v="3"/>
    <n v="1"/>
    <x v="8"/>
    <x v="0"/>
    <s v="Married"/>
    <n v="2145"/>
    <n v="0"/>
    <x v="1"/>
    <n v="4"/>
    <n v="3"/>
    <n v="3"/>
    <n v="2"/>
    <n v="2"/>
    <n v="2"/>
    <n v="1"/>
    <x v="9"/>
    <n v="0"/>
    <x v="2"/>
    <x v="1"/>
    <s v="Early"/>
    <x v="2"/>
  </r>
  <r>
    <n v="30"/>
    <x v="1246"/>
    <x v="0"/>
    <x v="2"/>
    <n v="8"/>
    <n v="3"/>
    <x v="5"/>
    <n v="3"/>
    <x v="0"/>
    <n v="2"/>
    <n v="1"/>
    <x v="8"/>
    <x v="0"/>
    <s v="Divorced"/>
    <n v="2180"/>
    <n v="6"/>
    <x v="1"/>
    <n v="3"/>
    <n v="6"/>
    <n v="2"/>
    <n v="4"/>
    <n v="2"/>
    <n v="1"/>
    <n v="2"/>
    <x v="0"/>
    <n v="1"/>
    <x v="0"/>
    <x v="1"/>
    <s v="Mid"/>
    <x v="0"/>
  </r>
  <r>
    <n v="31"/>
    <x v="1247"/>
    <x v="1"/>
    <x v="0"/>
    <n v="5"/>
    <n v="3"/>
    <x v="4"/>
    <n v="1"/>
    <x v="1"/>
    <n v="3"/>
    <n v="2"/>
    <x v="0"/>
    <x v="2"/>
    <s v="Married"/>
    <n v="8346"/>
    <n v="1"/>
    <x v="1"/>
    <n v="3"/>
    <n v="6"/>
    <n v="3"/>
    <n v="5"/>
    <n v="2"/>
    <n v="0"/>
    <n v="2"/>
    <x v="12"/>
    <n v="0"/>
    <x v="0"/>
    <x v="0"/>
    <s v="Mid"/>
    <x v="1"/>
  </r>
  <r>
    <n v="27"/>
    <x v="1248"/>
    <x v="1"/>
    <x v="1"/>
    <n v="8"/>
    <n v="3"/>
    <x v="2"/>
    <n v="3"/>
    <x v="0"/>
    <n v="3"/>
    <n v="1"/>
    <x v="1"/>
    <x v="0"/>
    <s v="Single"/>
    <n v="3445"/>
    <n v="1"/>
    <x v="1"/>
    <n v="3"/>
    <n v="6"/>
    <n v="2"/>
    <n v="6"/>
    <n v="2"/>
    <n v="1"/>
    <n v="4"/>
    <x v="0"/>
    <n v="0"/>
    <x v="2"/>
    <x v="1"/>
    <s v="Mid"/>
    <x v="0"/>
  </r>
  <r>
    <n v="29"/>
    <x v="1249"/>
    <x v="0"/>
    <x v="0"/>
    <n v="9"/>
    <n v="3"/>
    <x v="3"/>
    <n v="2"/>
    <x v="0"/>
    <n v="1"/>
    <n v="1"/>
    <x v="6"/>
    <x v="1"/>
    <s v="Single"/>
    <n v="2760"/>
    <n v="1"/>
    <x v="1"/>
    <n v="3"/>
    <n v="2"/>
    <n v="3"/>
    <n v="2"/>
    <n v="2"/>
    <n v="2"/>
    <n v="2"/>
    <x v="4"/>
    <n v="1"/>
    <x v="2"/>
    <x v="1"/>
    <s v="Early"/>
    <x v="2"/>
  </r>
  <r>
    <n v="29"/>
    <x v="1250"/>
    <x v="1"/>
    <x v="1"/>
    <n v="1"/>
    <n v="3"/>
    <x v="0"/>
    <n v="4"/>
    <x v="1"/>
    <n v="4"/>
    <n v="2"/>
    <x v="4"/>
    <x v="2"/>
    <s v="Single"/>
    <n v="6294"/>
    <n v="8"/>
    <x v="0"/>
    <n v="4"/>
    <n v="10"/>
    <n v="4"/>
    <n v="3"/>
    <n v="2"/>
    <n v="0"/>
    <n v="2"/>
    <x v="3"/>
    <n v="0"/>
    <x v="2"/>
    <x v="0"/>
    <s v="Mid"/>
    <x v="0"/>
  </r>
  <r>
    <n v="30"/>
    <x v="1251"/>
    <x v="1"/>
    <x v="0"/>
    <n v="15"/>
    <n v="2"/>
    <x v="3"/>
    <n v="3"/>
    <x v="1"/>
    <n v="2"/>
    <n v="3"/>
    <x v="0"/>
    <x v="3"/>
    <s v="Divorced"/>
    <n v="7140"/>
    <n v="2"/>
    <x v="1"/>
    <n v="1"/>
    <n v="12"/>
    <n v="3"/>
    <n v="7"/>
    <n v="7"/>
    <n v="1"/>
    <n v="7"/>
    <x v="0"/>
    <n v="0"/>
    <x v="0"/>
    <x v="0"/>
    <s v="Long"/>
    <x v="0"/>
  </r>
  <r>
    <n v="34"/>
    <x v="1252"/>
    <x v="1"/>
    <x v="1"/>
    <n v="2"/>
    <n v="4"/>
    <x v="2"/>
    <n v="4"/>
    <x v="1"/>
    <n v="4"/>
    <n v="1"/>
    <x v="1"/>
    <x v="0"/>
    <s v="Married"/>
    <n v="2932"/>
    <n v="0"/>
    <x v="0"/>
    <n v="1"/>
    <n v="6"/>
    <n v="3"/>
    <n v="5"/>
    <n v="0"/>
    <n v="1"/>
    <n v="2"/>
    <x v="9"/>
    <n v="0"/>
    <x v="0"/>
    <x v="1"/>
    <s v="Mid"/>
    <x v="2"/>
  </r>
  <r>
    <n v="33"/>
    <x v="1253"/>
    <x v="1"/>
    <x v="0"/>
    <n v="2"/>
    <n v="3"/>
    <x v="3"/>
    <n v="4"/>
    <x v="0"/>
    <n v="3"/>
    <n v="2"/>
    <x v="0"/>
    <x v="1"/>
    <s v="Single"/>
    <n v="5147"/>
    <n v="8"/>
    <x v="1"/>
    <n v="4"/>
    <n v="13"/>
    <n v="2"/>
    <n v="11"/>
    <n v="7"/>
    <n v="1"/>
    <n v="7"/>
    <x v="2"/>
    <n v="0"/>
    <x v="0"/>
    <x v="0"/>
    <s v="Long"/>
    <x v="2"/>
  </r>
  <r>
    <n v="49"/>
    <x v="1254"/>
    <x v="1"/>
    <x v="0"/>
    <n v="11"/>
    <n v="4"/>
    <x v="3"/>
    <n v="4"/>
    <x v="0"/>
    <n v="3"/>
    <n v="2"/>
    <x v="0"/>
    <x v="0"/>
    <s v="Single"/>
    <n v="4507"/>
    <n v="3"/>
    <x v="1"/>
    <n v="3"/>
    <n v="8"/>
    <n v="4"/>
    <n v="5"/>
    <n v="1"/>
    <n v="0"/>
    <n v="4"/>
    <x v="3"/>
    <n v="0"/>
    <x v="1"/>
    <x v="1"/>
    <s v="Mid"/>
    <x v="0"/>
  </r>
  <r>
    <n v="33"/>
    <x v="1255"/>
    <x v="0"/>
    <x v="0"/>
    <n v="16"/>
    <n v="3"/>
    <x v="0"/>
    <n v="1"/>
    <x v="0"/>
    <n v="3"/>
    <n v="3"/>
    <x v="0"/>
    <x v="3"/>
    <s v="Single"/>
    <n v="8564"/>
    <n v="2"/>
    <x v="0"/>
    <n v="3"/>
    <n v="11"/>
    <n v="2"/>
    <n v="0"/>
    <n v="0"/>
    <n v="0"/>
    <n v="0"/>
    <x v="5"/>
    <n v="1"/>
    <x v="0"/>
    <x v="0"/>
    <s v="Early"/>
    <x v="1"/>
  </r>
  <r>
    <n v="38"/>
    <x v="1256"/>
    <x v="1"/>
    <x v="1"/>
    <n v="2"/>
    <n v="2"/>
    <x v="2"/>
    <n v="3"/>
    <x v="0"/>
    <n v="2"/>
    <n v="1"/>
    <x v="2"/>
    <x v="1"/>
    <s v="Married"/>
    <n v="2468"/>
    <n v="4"/>
    <x v="1"/>
    <n v="2"/>
    <n v="9"/>
    <n v="2"/>
    <n v="6"/>
    <n v="1"/>
    <n v="0"/>
    <n v="5"/>
    <x v="9"/>
    <n v="0"/>
    <x v="0"/>
    <x v="1"/>
    <s v="Mid"/>
    <x v="2"/>
  </r>
  <r>
    <n v="31"/>
    <x v="1257"/>
    <x v="0"/>
    <x v="0"/>
    <n v="16"/>
    <n v="4"/>
    <x v="3"/>
    <n v="1"/>
    <x v="1"/>
    <n v="3"/>
    <n v="3"/>
    <x v="0"/>
    <x v="2"/>
    <s v="Married"/>
    <n v="8161"/>
    <n v="2"/>
    <x v="1"/>
    <n v="1"/>
    <n v="10"/>
    <n v="3"/>
    <n v="1"/>
    <n v="0"/>
    <n v="0"/>
    <n v="0"/>
    <x v="4"/>
    <n v="1"/>
    <x v="0"/>
    <x v="0"/>
    <s v="Early"/>
    <x v="2"/>
  </r>
  <r>
    <n v="29"/>
    <x v="1258"/>
    <x v="1"/>
    <x v="1"/>
    <n v="4"/>
    <n v="3"/>
    <x v="4"/>
    <n v="4"/>
    <x v="0"/>
    <n v="2"/>
    <n v="1"/>
    <x v="1"/>
    <x v="3"/>
    <s v="Divorced"/>
    <n v="2109"/>
    <n v="1"/>
    <x v="1"/>
    <n v="3"/>
    <n v="1"/>
    <n v="3"/>
    <n v="1"/>
    <n v="0"/>
    <n v="0"/>
    <n v="0"/>
    <x v="4"/>
    <n v="0"/>
    <x v="2"/>
    <x v="1"/>
    <s v="Early"/>
    <x v="2"/>
  </r>
  <r>
    <n v="30"/>
    <x v="1259"/>
    <x v="1"/>
    <x v="1"/>
    <n v="16"/>
    <n v="3"/>
    <x v="0"/>
    <n v="3"/>
    <x v="1"/>
    <n v="4"/>
    <n v="2"/>
    <x v="4"/>
    <x v="2"/>
    <s v="Married"/>
    <n v="5294"/>
    <n v="3"/>
    <x v="1"/>
    <n v="3"/>
    <n v="10"/>
    <n v="3"/>
    <n v="7"/>
    <n v="0"/>
    <n v="1"/>
    <n v="7"/>
    <x v="10"/>
    <n v="0"/>
    <x v="0"/>
    <x v="0"/>
    <s v="Long"/>
    <x v="2"/>
  </r>
  <r>
    <n v="32"/>
    <x v="1260"/>
    <x v="1"/>
    <x v="1"/>
    <n v="5"/>
    <n v="4"/>
    <x v="4"/>
    <n v="2"/>
    <x v="1"/>
    <n v="3"/>
    <n v="1"/>
    <x v="1"/>
    <x v="1"/>
    <s v="Single"/>
    <n v="2718"/>
    <n v="2"/>
    <x v="1"/>
    <n v="2"/>
    <n v="12"/>
    <n v="3"/>
    <n v="7"/>
    <n v="7"/>
    <n v="0"/>
    <n v="7"/>
    <x v="9"/>
    <n v="0"/>
    <x v="0"/>
    <x v="1"/>
    <s v="Long"/>
    <x v="2"/>
  </r>
  <r>
    <n v="38"/>
    <x v="1261"/>
    <x v="1"/>
    <x v="1"/>
    <n v="18"/>
    <n v="3"/>
    <x v="2"/>
    <n v="2"/>
    <x v="1"/>
    <n v="1"/>
    <n v="2"/>
    <x v="4"/>
    <x v="0"/>
    <s v="Married"/>
    <n v="5811"/>
    <n v="3"/>
    <x v="0"/>
    <n v="3"/>
    <n v="15"/>
    <n v="3"/>
    <n v="1"/>
    <n v="0"/>
    <n v="1"/>
    <n v="0"/>
    <x v="10"/>
    <n v="0"/>
    <x v="0"/>
    <x v="0"/>
    <s v="Early"/>
    <x v="2"/>
  </r>
  <r>
    <n v="43"/>
    <x v="1262"/>
    <x v="0"/>
    <x v="1"/>
    <n v="17"/>
    <n v="3"/>
    <x v="4"/>
    <n v="3"/>
    <x v="1"/>
    <n v="2"/>
    <n v="1"/>
    <x v="1"/>
    <x v="2"/>
    <s v="Married"/>
    <n v="2437"/>
    <n v="9"/>
    <x v="0"/>
    <n v="4"/>
    <n v="6"/>
    <n v="3"/>
    <n v="1"/>
    <n v="0"/>
    <n v="0"/>
    <n v="0"/>
    <x v="10"/>
    <n v="1"/>
    <x v="0"/>
    <x v="1"/>
    <s v="Early"/>
    <x v="2"/>
  </r>
  <r>
    <n v="42"/>
    <x v="1263"/>
    <x v="1"/>
    <x v="1"/>
    <n v="12"/>
    <n v="3"/>
    <x v="2"/>
    <n v="2"/>
    <x v="1"/>
    <n v="3"/>
    <n v="1"/>
    <x v="2"/>
    <x v="1"/>
    <s v="Divorced"/>
    <n v="2766"/>
    <n v="8"/>
    <x v="1"/>
    <n v="2"/>
    <n v="7"/>
    <n v="2"/>
    <n v="5"/>
    <n v="3"/>
    <n v="0"/>
    <n v="4"/>
    <x v="6"/>
    <n v="0"/>
    <x v="0"/>
    <x v="1"/>
    <s v="Mid"/>
    <x v="1"/>
  </r>
  <r>
    <n v="55"/>
    <x v="1264"/>
    <x v="1"/>
    <x v="1"/>
    <n v="2"/>
    <n v="3"/>
    <x v="2"/>
    <n v="3"/>
    <x v="1"/>
    <n v="2"/>
    <n v="5"/>
    <x v="7"/>
    <x v="3"/>
    <s v="Married"/>
    <n v="19038"/>
    <n v="8"/>
    <x v="1"/>
    <n v="2"/>
    <n v="34"/>
    <n v="3"/>
    <n v="1"/>
    <n v="0"/>
    <n v="0"/>
    <n v="0"/>
    <x v="3"/>
    <n v="0"/>
    <x v="1"/>
    <x v="2"/>
    <s v="Early"/>
    <x v="0"/>
  </r>
  <r>
    <n v="33"/>
    <x v="1265"/>
    <x v="1"/>
    <x v="1"/>
    <n v="4"/>
    <n v="3"/>
    <x v="4"/>
    <n v="4"/>
    <x v="1"/>
    <n v="3"/>
    <n v="2"/>
    <x v="1"/>
    <x v="1"/>
    <s v="Divorced"/>
    <n v="3055"/>
    <n v="5"/>
    <x v="1"/>
    <n v="4"/>
    <n v="11"/>
    <n v="2"/>
    <n v="9"/>
    <n v="8"/>
    <n v="1"/>
    <n v="7"/>
    <x v="2"/>
    <n v="0"/>
    <x v="0"/>
    <x v="1"/>
    <s v="Long"/>
    <x v="2"/>
  </r>
  <r>
    <n v="41"/>
    <x v="1266"/>
    <x v="1"/>
    <x v="1"/>
    <n v="9"/>
    <n v="4"/>
    <x v="0"/>
    <n v="3"/>
    <x v="1"/>
    <n v="3"/>
    <n v="1"/>
    <x v="2"/>
    <x v="3"/>
    <s v="Divorced"/>
    <n v="2289"/>
    <n v="1"/>
    <x v="1"/>
    <n v="2"/>
    <n v="5"/>
    <n v="3"/>
    <n v="5"/>
    <n v="3"/>
    <n v="0"/>
    <n v="4"/>
    <x v="5"/>
    <n v="0"/>
    <x v="0"/>
    <x v="1"/>
    <s v="Mid"/>
    <x v="1"/>
  </r>
  <r>
    <n v="34"/>
    <x v="1267"/>
    <x v="1"/>
    <x v="0"/>
    <n v="10"/>
    <n v="3"/>
    <x v="0"/>
    <n v="4"/>
    <x v="1"/>
    <n v="3"/>
    <n v="2"/>
    <x v="0"/>
    <x v="2"/>
    <s v="Divorced"/>
    <n v="4001"/>
    <n v="1"/>
    <x v="0"/>
    <n v="3"/>
    <n v="15"/>
    <n v="3"/>
    <n v="15"/>
    <n v="14"/>
    <n v="0"/>
    <n v="7"/>
    <x v="9"/>
    <n v="0"/>
    <x v="0"/>
    <x v="1"/>
    <s v="Long"/>
    <x v="2"/>
  </r>
  <r>
    <n v="53"/>
    <x v="1268"/>
    <x v="1"/>
    <x v="1"/>
    <n v="1"/>
    <n v="4"/>
    <x v="2"/>
    <n v="1"/>
    <x v="0"/>
    <n v="2"/>
    <n v="4"/>
    <x v="3"/>
    <x v="2"/>
    <s v="Married"/>
    <n v="12965"/>
    <n v="4"/>
    <x v="0"/>
    <n v="4"/>
    <n v="27"/>
    <n v="2"/>
    <n v="3"/>
    <n v="2"/>
    <n v="0"/>
    <n v="2"/>
    <x v="5"/>
    <n v="0"/>
    <x v="1"/>
    <x v="2"/>
    <s v="Mid"/>
    <x v="1"/>
  </r>
  <r>
    <n v="43"/>
    <x v="1269"/>
    <x v="1"/>
    <x v="2"/>
    <n v="2"/>
    <n v="3"/>
    <x v="0"/>
    <n v="2"/>
    <x v="1"/>
    <n v="3"/>
    <n v="1"/>
    <x v="8"/>
    <x v="0"/>
    <s v="Single"/>
    <n v="3539"/>
    <n v="0"/>
    <x v="1"/>
    <n v="2"/>
    <n v="10"/>
    <n v="3"/>
    <n v="9"/>
    <n v="7"/>
    <n v="1"/>
    <n v="8"/>
    <x v="4"/>
    <n v="0"/>
    <x v="0"/>
    <x v="1"/>
    <s v="Long"/>
    <x v="2"/>
  </r>
  <r>
    <n v="34"/>
    <x v="1270"/>
    <x v="1"/>
    <x v="0"/>
    <n v="3"/>
    <n v="2"/>
    <x v="0"/>
    <n v="4"/>
    <x v="0"/>
    <n v="1"/>
    <n v="2"/>
    <x v="0"/>
    <x v="0"/>
    <s v="Single"/>
    <n v="6029"/>
    <n v="5"/>
    <x v="1"/>
    <n v="1"/>
    <n v="6"/>
    <n v="3"/>
    <n v="2"/>
    <n v="2"/>
    <n v="2"/>
    <n v="2"/>
    <x v="3"/>
    <n v="0"/>
    <x v="0"/>
    <x v="0"/>
    <s v="Early"/>
    <x v="0"/>
  </r>
  <r>
    <n v="21"/>
    <x v="1271"/>
    <x v="0"/>
    <x v="0"/>
    <n v="7"/>
    <n v="1"/>
    <x v="3"/>
    <n v="2"/>
    <x v="1"/>
    <n v="3"/>
    <n v="1"/>
    <x v="6"/>
    <x v="1"/>
    <s v="Single"/>
    <n v="2679"/>
    <n v="1"/>
    <x v="1"/>
    <n v="2"/>
    <n v="1"/>
    <n v="3"/>
    <n v="1"/>
    <n v="0"/>
    <n v="1"/>
    <n v="0"/>
    <x v="4"/>
    <n v="1"/>
    <x v="2"/>
    <x v="1"/>
    <s v="Early"/>
    <x v="2"/>
  </r>
  <r>
    <n v="38"/>
    <x v="1272"/>
    <x v="1"/>
    <x v="1"/>
    <n v="6"/>
    <n v="2"/>
    <x v="1"/>
    <n v="4"/>
    <x v="0"/>
    <n v="2"/>
    <n v="1"/>
    <x v="2"/>
    <x v="2"/>
    <s v="Married"/>
    <n v="3702"/>
    <n v="1"/>
    <x v="1"/>
    <n v="2"/>
    <n v="5"/>
    <n v="3"/>
    <n v="5"/>
    <n v="4"/>
    <n v="0"/>
    <n v="4"/>
    <x v="0"/>
    <n v="0"/>
    <x v="0"/>
    <x v="1"/>
    <s v="Mid"/>
    <x v="0"/>
  </r>
  <r>
    <n v="22"/>
    <x v="1273"/>
    <x v="0"/>
    <x v="1"/>
    <n v="8"/>
    <n v="1"/>
    <x v="2"/>
    <n v="3"/>
    <x v="0"/>
    <n v="3"/>
    <n v="1"/>
    <x v="2"/>
    <x v="3"/>
    <s v="Married"/>
    <n v="2398"/>
    <n v="1"/>
    <x v="0"/>
    <n v="3"/>
    <n v="1"/>
    <n v="3"/>
    <n v="1"/>
    <n v="0"/>
    <n v="0"/>
    <n v="0"/>
    <x v="8"/>
    <n v="1"/>
    <x v="2"/>
    <x v="1"/>
    <s v="Early"/>
    <x v="2"/>
  </r>
  <r>
    <n v="31"/>
    <x v="1274"/>
    <x v="1"/>
    <x v="0"/>
    <n v="29"/>
    <n v="4"/>
    <x v="3"/>
    <n v="1"/>
    <x v="0"/>
    <n v="2"/>
    <n v="2"/>
    <x v="0"/>
    <x v="0"/>
    <s v="Married"/>
    <n v="5468"/>
    <n v="1"/>
    <x v="1"/>
    <n v="1"/>
    <n v="13"/>
    <n v="3"/>
    <n v="12"/>
    <n v="7"/>
    <n v="5"/>
    <n v="7"/>
    <x v="9"/>
    <n v="0"/>
    <x v="0"/>
    <x v="0"/>
    <s v="Long"/>
    <x v="2"/>
  </r>
  <r>
    <n v="51"/>
    <x v="1275"/>
    <x v="1"/>
    <x v="1"/>
    <n v="3"/>
    <n v="3"/>
    <x v="4"/>
    <n v="1"/>
    <x v="0"/>
    <n v="3"/>
    <n v="3"/>
    <x v="5"/>
    <x v="2"/>
    <s v="Married"/>
    <n v="13116"/>
    <n v="2"/>
    <x v="1"/>
    <n v="4"/>
    <n v="15"/>
    <n v="3"/>
    <n v="2"/>
    <n v="2"/>
    <n v="2"/>
    <n v="2"/>
    <x v="0"/>
    <n v="0"/>
    <x v="1"/>
    <x v="2"/>
    <s v="Early"/>
    <x v="0"/>
  </r>
  <r>
    <n v="37"/>
    <x v="1276"/>
    <x v="1"/>
    <x v="0"/>
    <n v="9"/>
    <n v="2"/>
    <x v="3"/>
    <n v="2"/>
    <x v="1"/>
    <n v="2"/>
    <n v="2"/>
    <x v="0"/>
    <x v="1"/>
    <s v="Married"/>
    <n v="4189"/>
    <n v="1"/>
    <x v="1"/>
    <n v="1"/>
    <n v="5"/>
    <n v="3"/>
    <n v="5"/>
    <n v="2"/>
    <n v="0"/>
    <n v="3"/>
    <x v="9"/>
    <n v="0"/>
    <x v="0"/>
    <x v="1"/>
    <s v="Mid"/>
    <x v="2"/>
  </r>
  <r>
    <n v="46"/>
    <x v="1277"/>
    <x v="1"/>
    <x v="1"/>
    <n v="2"/>
    <n v="4"/>
    <x v="2"/>
    <n v="3"/>
    <x v="1"/>
    <n v="3"/>
    <n v="5"/>
    <x v="7"/>
    <x v="0"/>
    <s v="Divorced"/>
    <n v="19328"/>
    <n v="7"/>
    <x v="0"/>
    <n v="3"/>
    <n v="24"/>
    <n v="3"/>
    <n v="2"/>
    <n v="1"/>
    <n v="2"/>
    <n v="2"/>
    <x v="8"/>
    <n v="0"/>
    <x v="1"/>
    <x v="2"/>
    <s v="Early"/>
    <x v="2"/>
  </r>
  <r>
    <n v="36"/>
    <x v="1278"/>
    <x v="1"/>
    <x v="1"/>
    <n v="10"/>
    <n v="3"/>
    <x v="0"/>
    <n v="4"/>
    <x v="1"/>
    <n v="3"/>
    <n v="3"/>
    <x v="4"/>
    <x v="3"/>
    <s v="Married"/>
    <n v="8321"/>
    <n v="7"/>
    <x v="0"/>
    <n v="4"/>
    <n v="15"/>
    <n v="3"/>
    <n v="12"/>
    <n v="8"/>
    <n v="5"/>
    <n v="7"/>
    <x v="4"/>
    <n v="0"/>
    <x v="0"/>
    <x v="0"/>
    <s v="Long"/>
    <x v="2"/>
  </r>
  <r>
    <n v="44"/>
    <x v="1279"/>
    <x v="0"/>
    <x v="1"/>
    <n v="1"/>
    <n v="2"/>
    <x v="2"/>
    <n v="3"/>
    <x v="1"/>
    <n v="3"/>
    <n v="1"/>
    <x v="1"/>
    <x v="1"/>
    <s v="Divorced"/>
    <n v="2342"/>
    <n v="1"/>
    <x v="0"/>
    <n v="3"/>
    <n v="6"/>
    <n v="2"/>
    <n v="5"/>
    <n v="3"/>
    <n v="2"/>
    <n v="3"/>
    <x v="3"/>
    <n v="1"/>
    <x v="0"/>
    <x v="1"/>
    <s v="Mid"/>
    <x v="0"/>
  </r>
  <r>
    <n v="37"/>
    <x v="1280"/>
    <x v="1"/>
    <x v="2"/>
    <n v="8"/>
    <n v="2"/>
    <x v="1"/>
    <n v="3"/>
    <x v="1"/>
    <n v="3"/>
    <n v="2"/>
    <x v="8"/>
    <x v="1"/>
    <s v="Divorced"/>
    <n v="4071"/>
    <n v="2"/>
    <x v="1"/>
    <n v="3"/>
    <n v="19"/>
    <n v="2"/>
    <n v="10"/>
    <n v="0"/>
    <n v="4"/>
    <n v="7"/>
    <x v="4"/>
    <n v="0"/>
    <x v="0"/>
    <x v="1"/>
    <s v="Long"/>
    <x v="2"/>
  </r>
  <r>
    <n v="35"/>
    <x v="1281"/>
    <x v="0"/>
    <x v="0"/>
    <n v="27"/>
    <n v="3"/>
    <x v="0"/>
    <n v="3"/>
    <x v="1"/>
    <n v="3"/>
    <n v="2"/>
    <x v="0"/>
    <x v="0"/>
    <s v="Single"/>
    <n v="5813"/>
    <n v="1"/>
    <x v="0"/>
    <n v="4"/>
    <n v="10"/>
    <n v="3"/>
    <n v="10"/>
    <n v="7"/>
    <n v="7"/>
    <n v="7"/>
    <x v="11"/>
    <n v="1"/>
    <x v="0"/>
    <x v="0"/>
    <s v="Long"/>
    <x v="1"/>
  </r>
  <r>
    <n v="33"/>
    <x v="1282"/>
    <x v="1"/>
    <x v="1"/>
    <n v="8"/>
    <n v="4"/>
    <x v="0"/>
    <n v="4"/>
    <x v="1"/>
    <n v="4"/>
    <n v="1"/>
    <x v="1"/>
    <x v="3"/>
    <s v="Married"/>
    <n v="3143"/>
    <n v="6"/>
    <x v="1"/>
    <n v="2"/>
    <n v="14"/>
    <n v="3"/>
    <n v="10"/>
    <n v="8"/>
    <n v="7"/>
    <n v="6"/>
    <x v="12"/>
    <n v="0"/>
    <x v="0"/>
    <x v="1"/>
    <s v="Long"/>
    <x v="1"/>
  </r>
  <r>
    <n v="28"/>
    <x v="1283"/>
    <x v="1"/>
    <x v="1"/>
    <n v="1"/>
    <n v="3"/>
    <x v="0"/>
    <n v="3"/>
    <x v="1"/>
    <n v="3"/>
    <n v="1"/>
    <x v="1"/>
    <x v="0"/>
    <s v="Married"/>
    <n v="2044"/>
    <n v="1"/>
    <x v="1"/>
    <n v="3"/>
    <n v="5"/>
    <n v="4"/>
    <n v="5"/>
    <n v="3"/>
    <n v="0"/>
    <n v="3"/>
    <x v="0"/>
    <n v="0"/>
    <x v="2"/>
    <x v="1"/>
    <s v="Mid"/>
    <x v="0"/>
  </r>
  <r>
    <n v="39"/>
    <x v="1284"/>
    <x v="1"/>
    <x v="1"/>
    <n v="10"/>
    <n v="1"/>
    <x v="2"/>
    <n v="3"/>
    <x v="1"/>
    <n v="3"/>
    <n v="3"/>
    <x v="7"/>
    <x v="2"/>
    <s v="Single"/>
    <n v="13464"/>
    <n v="7"/>
    <x v="1"/>
    <n v="3"/>
    <n v="9"/>
    <n v="3"/>
    <n v="4"/>
    <n v="3"/>
    <n v="2"/>
    <n v="2"/>
    <x v="7"/>
    <n v="0"/>
    <x v="0"/>
    <x v="2"/>
    <s v="Mid"/>
    <x v="1"/>
  </r>
  <r>
    <n v="46"/>
    <x v="1285"/>
    <x v="1"/>
    <x v="0"/>
    <n v="26"/>
    <n v="2"/>
    <x v="0"/>
    <n v="2"/>
    <x v="1"/>
    <n v="2"/>
    <n v="2"/>
    <x v="0"/>
    <x v="1"/>
    <s v="Single"/>
    <n v="7991"/>
    <n v="8"/>
    <x v="1"/>
    <n v="3"/>
    <n v="6"/>
    <n v="3"/>
    <n v="2"/>
    <n v="2"/>
    <n v="2"/>
    <n v="2"/>
    <x v="2"/>
    <n v="0"/>
    <x v="1"/>
    <x v="0"/>
    <s v="Early"/>
    <x v="2"/>
  </r>
  <r>
    <n v="40"/>
    <x v="1286"/>
    <x v="1"/>
    <x v="1"/>
    <n v="2"/>
    <n v="2"/>
    <x v="0"/>
    <n v="3"/>
    <x v="0"/>
    <n v="3"/>
    <n v="1"/>
    <x v="2"/>
    <x v="3"/>
    <s v="Married"/>
    <n v="3377"/>
    <n v="4"/>
    <x v="1"/>
    <n v="4"/>
    <n v="7"/>
    <n v="2"/>
    <n v="4"/>
    <n v="3"/>
    <n v="0"/>
    <n v="2"/>
    <x v="8"/>
    <n v="0"/>
    <x v="0"/>
    <x v="1"/>
    <s v="Mid"/>
    <x v="2"/>
  </r>
  <r>
    <n v="42"/>
    <x v="1287"/>
    <x v="1"/>
    <x v="1"/>
    <n v="13"/>
    <n v="3"/>
    <x v="2"/>
    <n v="2"/>
    <x v="1"/>
    <n v="4"/>
    <n v="2"/>
    <x v="4"/>
    <x v="3"/>
    <s v="Married"/>
    <n v="5538"/>
    <n v="5"/>
    <x v="1"/>
    <n v="3"/>
    <n v="10"/>
    <n v="2"/>
    <n v="0"/>
    <n v="0"/>
    <n v="0"/>
    <n v="0"/>
    <x v="11"/>
    <n v="0"/>
    <x v="0"/>
    <x v="0"/>
    <s v="Early"/>
    <x v="1"/>
  </r>
  <r>
    <n v="35"/>
    <x v="1288"/>
    <x v="1"/>
    <x v="1"/>
    <n v="2"/>
    <n v="2"/>
    <x v="2"/>
    <n v="2"/>
    <x v="1"/>
    <n v="3"/>
    <n v="2"/>
    <x v="3"/>
    <x v="0"/>
    <s v="Divorced"/>
    <n v="5762"/>
    <n v="2"/>
    <x v="1"/>
    <n v="3"/>
    <n v="15"/>
    <n v="3"/>
    <n v="7"/>
    <n v="7"/>
    <n v="1"/>
    <n v="7"/>
    <x v="9"/>
    <n v="0"/>
    <x v="0"/>
    <x v="0"/>
    <s v="Long"/>
    <x v="2"/>
  </r>
  <r>
    <n v="38"/>
    <x v="1289"/>
    <x v="1"/>
    <x v="2"/>
    <n v="2"/>
    <n v="3"/>
    <x v="5"/>
    <n v="1"/>
    <x v="1"/>
    <n v="3"/>
    <n v="1"/>
    <x v="8"/>
    <x v="1"/>
    <s v="Divorced"/>
    <n v="2592"/>
    <n v="5"/>
    <x v="1"/>
    <n v="4"/>
    <n v="13"/>
    <n v="3"/>
    <n v="11"/>
    <n v="10"/>
    <n v="3"/>
    <n v="8"/>
    <x v="4"/>
    <n v="0"/>
    <x v="0"/>
    <x v="1"/>
    <s v="Long"/>
    <x v="2"/>
  </r>
  <r>
    <n v="34"/>
    <x v="1290"/>
    <x v="0"/>
    <x v="1"/>
    <n v="9"/>
    <n v="4"/>
    <x v="0"/>
    <n v="4"/>
    <x v="1"/>
    <n v="3"/>
    <n v="2"/>
    <x v="2"/>
    <x v="3"/>
    <s v="Married"/>
    <n v="5346"/>
    <n v="4"/>
    <x v="1"/>
    <n v="3"/>
    <n v="11"/>
    <n v="2"/>
    <n v="7"/>
    <n v="1"/>
    <n v="0"/>
    <n v="7"/>
    <x v="8"/>
    <n v="1"/>
    <x v="0"/>
    <x v="0"/>
    <s v="Long"/>
    <x v="2"/>
  </r>
  <r>
    <n v="37"/>
    <x v="1291"/>
    <x v="0"/>
    <x v="1"/>
    <n v="10"/>
    <n v="4"/>
    <x v="2"/>
    <n v="4"/>
    <x v="1"/>
    <n v="3"/>
    <n v="2"/>
    <x v="3"/>
    <x v="3"/>
    <s v="Single"/>
    <n v="4213"/>
    <n v="1"/>
    <x v="1"/>
    <n v="2"/>
    <n v="10"/>
    <n v="1"/>
    <n v="10"/>
    <n v="3"/>
    <n v="0"/>
    <n v="8"/>
    <x v="2"/>
    <n v="1"/>
    <x v="0"/>
    <x v="1"/>
    <s v="Long"/>
    <x v="2"/>
  </r>
  <r>
    <n v="39"/>
    <x v="1292"/>
    <x v="1"/>
    <x v="0"/>
    <n v="20"/>
    <n v="3"/>
    <x v="0"/>
    <n v="3"/>
    <x v="1"/>
    <n v="3"/>
    <n v="2"/>
    <x v="0"/>
    <x v="0"/>
    <s v="Divorced"/>
    <n v="4127"/>
    <n v="2"/>
    <x v="1"/>
    <n v="4"/>
    <n v="7"/>
    <n v="3"/>
    <n v="2"/>
    <n v="1"/>
    <n v="2"/>
    <n v="2"/>
    <x v="11"/>
    <n v="0"/>
    <x v="0"/>
    <x v="1"/>
    <s v="Early"/>
    <x v="1"/>
  </r>
  <r>
    <n v="43"/>
    <x v="1293"/>
    <x v="1"/>
    <x v="1"/>
    <n v="9"/>
    <n v="3"/>
    <x v="0"/>
    <n v="1"/>
    <x v="1"/>
    <n v="3"/>
    <n v="1"/>
    <x v="1"/>
    <x v="2"/>
    <s v="Single"/>
    <n v="2438"/>
    <n v="4"/>
    <x v="1"/>
    <n v="3"/>
    <n v="7"/>
    <n v="2"/>
    <n v="3"/>
    <n v="2"/>
    <n v="1"/>
    <n v="2"/>
    <x v="4"/>
    <n v="0"/>
    <x v="0"/>
    <x v="1"/>
    <s v="Mid"/>
    <x v="2"/>
  </r>
  <r>
    <n v="41"/>
    <x v="1294"/>
    <x v="1"/>
    <x v="1"/>
    <n v="5"/>
    <n v="3"/>
    <x v="0"/>
    <n v="2"/>
    <x v="1"/>
    <n v="4"/>
    <n v="2"/>
    <x v="4"/>
    <x v="1"/>
    <s v="Single"/>
    <n v="6870"/>
    <n v="3"/>
    <x v="1"/>
    <n v="1"/>
    <n v="11"/>
    <n v="1"/>
    <n v="3"/>
    <n v="2"/>
    <n v="1"/>
    <n v="2"/>
    <x v="3"/>
    <n v="0"/>
    <x v="0"/>
    <x v="0"/>
    <s v="Mid"/>
    <x v="0"/>
  </r>
  <r>
    <n v="41"/>
    <x v="1295"/>
    <x v="1"/>
    <x v="0"/>
    <n v="4"/>
    <n v="1"/>
    <x v="3"/>
    <n v="3"/>
    <x v="0"/>
    <n v="3"/>
    <n v="3"/>
    <x v="0"/>
    <x v="2"/>
    <s v="Divorced"/>
    <n v="10447"/>
    <n v="0"/>
    <x v="0"/>
    <n v="4"/>
    <n v="23"/>
    <n v="4"/>
    <n v="22"/>
    <n v="14"/>
    <n v="13"/>
    <n v="5"/>
    <x v="4"/>
    <n v="0"/>
    <x v="0"/>
    <x v="2"/>
    <s v="Long"/>
    <x v="2"/>
  </r>
  <r>
    <n v="30"/>
    <x v="1296"/>
    <x v="1"/>
    <x v="1"/>
    <n v="10"/>
    <n v="3"/>
    <x v="2"/>
    <n v="1"/>
    <x v="0"/>
    <n v="3"/>
    <n v="3"/>
    <x v="3"/>
    <x v="2"/>
    <s v="Single"/>
    <n v="9667"/>
    <n v="9"/>
    <x v="1"/>
    <n v="2"/>
    <n v="9"/>
    <n v="3"/>
    <n v="7"/>
    <n v="7"/>
    <n v="0"/>
    <n v="2"/>
    <x v="9"/>
    <n v="0"/>
    <x v="0"/>
    <x v="0"/>
    <s v="Long"/>
    <x v="2"/>
  </r>
  <r>
    <n v="26"/>
    <x v="1297"/>
    <x v="0"/>
    <x v="2"/>
    <n v="20"/>
    <n v="2"/>
    <x v="2"/>
    <n v="4"/>
    <x v="0"/>
    <n v="3"/>
    <n v="1"/>
    <x v="8"/>
    <x v="1"/>
    <s v="Married"/>
    <n v="2148"/>
    <n v="0"/>
    <x v="0"/>
    <n v="3"/>
    <n v="6"/>
    <n v="3"/>
    <n v="5"/>
    <n v="1"/>
    <n v="1"/>
    <n v="4"/>
    <x v="0"/>
    <n v="1"/>
    <x v="2"/>
    <x v="1"/>
    <s v="Mid"/>
    <x v="0"/>
  </r>
  <r>
    <n v="46"/>
    <x v="1298"/>
    <x v="0"/>
    <x v="1"/>
    <n v="21"/>
    <n v="2"/>
    <x v="2"/>
    <n v="4"/>
    <x v="0"/>
    <n v="3"/>
    <n v="2"/>
    <x v="4"/>
    <x v="1"/>
    <s v="Married"/>
    <n v="8926"/>
    <n v="4"/>
    <x v="1"/>
    <n v="4"/>
    <n v="13"/>
    <n v="4"/>
    <n v="9"/>
    <n v="7"/>
    <n v="3"/>
    <n v="7"/>
    <x v="6"/>
    <n v="1"/>
    <x v="1"/>
    <x v="0"/>
    <s v="Long"/>
    <x v="1"/>
  </r>
  <r>
    <n v="40"/>
    <x v="1299"/>
    <x v="1"/>
    <x v="1"/>
    <n v="1"/>
    <n v="3"/>
    <x v="0"/>
    <n v="3"/>
    <x v="0"/>
    <n v="3"/>
    <n v="2"/>
    <x v="4"/>
    <x v="0"/>
    <s v="Divorced"/>
    <n v="6513"/>
    <n v="4"/>
    <x v="1"/>
    <n v="4"/>
    <n v="12"/>
    <n v="3"/>
    <n v="5"/>
    <n v="3"/>
    <n v="0"/>
    <n v="3"/>
    <x v="8"/>
    <n v="0"/>
    <x v="0"/>
    <x v="0"/>
    <s v="Mid"/>
    <x v="2"/>
  </r>
  <r>
    <n v="34"/>
    <x v="1300"/>
    <x v="1"/>
    <x v="0"/>
    <n v="8"/>
    <n v="2"/>
    <x v="4"/>
    <n v="2"/>
    <x v="1"/>
    <n v="4"/>
    <n v="2"/>
    <x v="0"/>
    <x v="2"/>
    <s v="Married"/>
    <n v="6799"/>
    <n v="1"/>
    <x v="1"/>
    <n v="3"/>
    <n v="10"/>
    <n v="3"/>
    <n v="10"/>
    <n v="8"/>
    <n v="4"/>
    <n v="8"/>
    <x v="7"/>
    <n v="0"/>
    <x v="0"/>
    <x v="0"/>
    <s v="Long"/>
    <x v="1"/>
  </r>
  <r>
    <n v="58"/>
    <x v="1301"/>
    <x v="1"/>
    <x v="0"/>
    <n v="2"/>
    <n v="3"/>
    <x v="2"/>
    <n v="2"/>
    <x v="1"/>
    <n v="3"/>
    <n v="4"/>
    <x v="5"/>
    <x v="1"/>
    <s v="Divorced"/>
    <n v="16291"/>
    <n v="4"/>
    <x v="1"/>
    <n v="4"/>
    <n v="37"/>
    <n v="2"/>
    <n v="16"/>
    <n v="9"/>
    <n v="14"/>
    <n v="14"/>
    <x v="6"/>
    <n v="0"/>
    <x v="1"/>
    <x v="2"/>
    <s v="Long"/>
    <x v="1"/>
  </r>
  <r>
    <n v="35"/>
    <x v="1302"/>
    <x v="1"/>
    <x v="1"/>
    <n v="23"/>
    <n v="4"/>
    <x v="2"/>
    <n v="2"/>
    <x v="1"/>
    <n v="1"/>
    <n v="1"/>
    <x v="2"/>
    <x v="2"/>
    <s v="Married"/>
    <n v="2705"/>
    <n v="0"/>
    <x v="1"/>
    <n v="2"/>
    <n v="6"/>
    <n v="4"/>
    <n v="5"/>
    <n v="4"/>
    <n v="0"/>
    <n v="3"/>
    <x v="10"/>
    <n v="0"/>
    <x v="0"/>
    <x v="1"/>
    <s v="Mid"/>
    <x v="2"/>
  </r>
  <r>
    <n v="47"/>
    <x v="1303"/>
    <x v="1"/>
    <x v="1"/>
    <n v="4"/>
    <n v="3"/>
    <x v="0"/>
    <n v="3"/>
    <x v="0"/>
    <n v="2"/>
    <n v="3"/>
    <x v="3"/>
    <x v="1"/>
    <s v="Divorced"/>
    <n v="10333"/>
    <n v="8"/>
    <x v="0"/>
    <n v="3"/>
    <n v="28"/>
    <n v="3"/>
    <n v="22"/>
    <n v="11"/>
    <n v="14"/>
    <n v="10"/>
    <x v="3"/>
    <n v="0"/>
    <x v="1"/>
    <x v="2"/>
    <s v="Long"/>
    <x v="0"/>
  </r>
  <r>
    <n v="40"/>
    <x v="1304"/>
    <x v="1"/>
    <x v="1"/>
    <n v="12"/>
    <n v="3"/>
    <x v="0"/>
    <n v="2"/>
    <x v="0"/>
    <n v="3"/>
    <n v="2"/>
    <x v="4"/>
    <x v="3"/>
    <s v="Divorced"/>
    <n v="4448"/>
    <n v="2"/>
    <x v="1"/>
    <n v="2"/>
    <n v="15"/>
    <n v="3"/>
    <n v="7"/>
    <n v="4"/>
    <n v="7"/>
    <n v="7"/>
    <x v="3"/>
    <n v="0"/>
    <x v="0"/>
    <x v="1"/>
    <s v="Long"/>
    <x v="0"/>
  </r>
  <r>
    <n v="54"/>
    <x v="1305"/>
    <x v="1"/>
    <x v="1"/>
    <n v="7"/>
    <n v="4"/>
    <x v="2"/>
    <n v="4"/>
    <x v="0"/>
    <n v="3"/>
    <n v="2"/>
    <x v="1"/>
    <x v="0"/>
    <s v="Married"/>
    <n v="6854"/>
    <n v="4"/>
    <x v="1"/>
    <n v="2"/>
    <n v="14"/>
    <n v="2"/>
    <n v="7"/>
    <n v="1"/>
    <n v="1"/>
    <n v="7"/>
    <x v="2"/>
    <n v="0"/>
    <x v="1"/>
    <x v="0"/>
    <s v="Long"/>
    <x v="2"/>
  </r>
  <r>
    <n v="31"/>
    <x v="1306"/>
    <x v="1"/>
    <x v="0"/>
    <n v="7"/>
    <n v="4"/>
    <x v="3"/>
    <n v="1"/>
    <x v="0"/>
    <n v="3"/>
    <n v="3"/>
    <x v="0"/>
    <x v="3"/>
    <s v="Married"/>
    <n v="9637"/>
    <n v="2"/>
    <x v="1"/>
    <n v="4"/>
    <n v="9"/>
    <n v="3"/>
    <n v="3"/>
    <n v="2"/>
    <n v="2"/>
    <n v="2"/>
    <x v="9"/>
    <n v="0"/>
    <x v="0"/>
    <x v="0"/>
    <s v="Mid"/>
    <x v="2"/>
  </r>
  <r>
    <n v="28"/>
    <x v="1307"/>
    <x v="1"/>
    <x v="1"/>
    <n v="1"/>
    <n v="3"/>
    <x v="2"/>
    <n v="3"/>
    <x v="0"/>
    <n v="3"/>
    <n v="1"/>
    <x v="1"/>
    <x v="3"/>
    <s v="Married"/>
    <n v="3591"/>
    <n v="1"/>
    <x v="1"/>
    <n v="3"/>
    <n v="3"/>
    <n v="3"/>
    <n v="3"/>
    <n v="2"/>
    <n v="1"/>
    <n v="2"/>
    <x v="14"/>
    <n v="0"/>
    <x v="2"/>
    <x v="1"/>
    <s v="Mid"/>
    <x v="1"/>
  </r>
  <r>
    <n v="38"/>
    <x v="1308"/>
    <x v="1"/>
    <x v="0"/>
    <n v="2"/>
    <n v="4"/>
    <x v="3"/>
    <n v="2"/>
    <x v="0"/>
    <n v="1"/>
    <n v="2"/>
    <x v="6"/>
    <x v="0"/>
    <s v="Married"/>
    <n v="5405"/>
    <n v="2"/>
    <x v="0"/>
    <n v="1"/>
    <n v="20"/>
    <n v="2"/>
    <n v="4"/>
    <n v="2"/>
    <n v="0"/>
    <n v="3"/>
    <x v="5"/>
    <n v="0"/>
    <x v="0"/>
    <x v="0"/>
    <s v="Mid"/>
    <x v="1"/>
  </r>
  <r>
    <n v="26"/>
    <x v="1309"/>
    <x v="1"/>
    <x v="0"/>
    <n v="10"/>
    <n v="3"/>
    <x v="2"/>
    <n v="3"/>
    <x v="1"/>
    <n v="3"/>
    <n v="2"/>
    <x v="0"/>
    <x v="0"/>
    <s v="Single"/>
    <n v="4684"/>
    <n v="1"/>
    <x v="1"/>
    <n v="1"/>
    <n v="5"/>
    <n v="3"/>
    <n v="5"/>
    <n v="3"/>
    <n v="1"/>
    <n v="2"/>
    <x v="4"/>
    <n v="0"/>
    <x v="2"/>
    <x v="1"/>
    <s v="Mid"/>
    <x v="2"/>
  </r>
  <r>
    <n v="58"/>
    <x v="1310"/>
    <x v="1"/>
    <x v="1"/>
    <n v="15"/>
    <n v="4"/>
    <x v="0"/>
    <n v="1"/>
    <x v="1"/>
    <n v="3"/>
    <n v="4"/>
    <x v="7"/>
    <x v="2"/>
    <s v="Married"/>
    <n v="15787"/>
    <n v="2"/>
    <x v="0"/>
    <n v="2"/>
    <n v="23"/>
    <n v="3"/>
    <n v="2"/>
    <n v="2"/>
    <n v="2"/>
    <n v="2"/>
    <x v="9"/>
    <n v="0"/>
    <x v="1"/>
    <x v="2"/>
    <s v="Early"/>
    <x v="2"/>
  </r>
  <r>
    <n v="18"/>
    <x v="1311"/>
    <x v="1"/>
    <x v="1"/>
    <n v="14"/>
    <n v="3"/>
    <x v="2"/>
    <n v="2"/>
    <x v="0"/>
    <n v="3"/>
    <n v="1"/>
    <x v="1"/>
    <x v="2"/>
    <s v="Single"/>
    <n v="1514"/>
    <n v="1"/>
    <x v="1"/>
    <n v="3"/>
    <n v="0"/>
    <n v="1"/>
    <n v="0"/>
    <n v="0"/>
    <n v="0"/>
    <n v="0"/>
    <x v="10"/>
    <n v="0"/>
    <x v="2"/>
    <x v="1"/>
    <s v="Early"/>
    <x v="2"/>
  </r>
  <r>
    <n v="31"/>
    <x v="1312"/>
    <x v="0"/>
    <x v="2"/>
    <n v="18"/>
    <n v="5"/>
    <x v="5"/>
    <n v="4"/>
    <x v="1"/>
    <n v="4"/>
    <n v="1"/>
    <x v="8"/>
    <x v="3"/>
    <s v="Married"/>
    <n v="2956"/>
    <n v="0"/>
    <x v="1"/>
    <n v="3"/>
    <n v="2"/>
    <n v="3"/>
    <n v="1"/>
    <n v="0"/>
    <n v="0"/>
    <n v="0"/>
    <x v="8"/>
    <n v="1"/>
    <x v="0"/>
    <x v="1"/>
    <s v="Early"/>
    <x v="2"/>
  </r>
  <r>
    <n v="29"/>
    <x v="1313"/>
    <x v="0"/>
    <x v="2"/>
    <n v="13"/>
    <n v="3"/>
    <x v="5"/>
    <n v="1"/>
    <x v="1"/>
    <n v="2"/>
    <n v="1"/>
    <x v="8"/>
    <x v="3"/>
    <s v="Divorced"/>
    <n v="2335"/>
    <n v="4"/>
    <x v="0"/>
    <n v="4"/>
    <n v="4"/>
    <n v="3"/>
    <n v="2"/>
    <n v="2"/>
    <n v="2"/>
    <n v="0"/>
    <x v="2"/>
    <n v="1"/>
    <x v="2"/>
    <x v="1"/>
    <s v="Early"/>
    <x v="2"/>
  </r>
  <r>
    <n v="45"/>
    <x v="1314"/>
    <x v="1"/>
    <x v="0"/>
    <n v="2"/>
    <n v="4"/>
    <x v="0"/>
    <n v="3"/>
    <x v="0"/>
    <n v="3"/>
    <n v="2"/>
    <x v="0"/>
    <x v="2"/>
    <s v="Married"/>
    <n v="5154"/>
    <n v="4"/>
    <x v="1"/>
    <n v="2"/>
    <n v="10"/>
    <n v="4"/>
    <n v="8"/>
    <n v="7"/>
    <n v="5"/>
    <n v="7"/>
    <x v="6"/>
    <n v="0"/>
    <x v="1"/>
    <x v="0"/>
    <s v="Long"/>
    <x v="1"/>
  </r>
  <r>
    <n v="36"/>
    <x v="1315"/>
    <x v="1"/>
    <x v="1"/>
    <n v="2"/>
    <n v="4"/>
    <x v="1"/>
    <n v="4"/>
    <x v="0"/>
    <n v="3"/>
    <n v="2"/>
    <x v="1"/>
    <x v="1"/>
    <s v="Married"/>
    <n v="6962"/>
    <n v="4"/>
    <x v="0"/>
    <n v="4"/>
    <n v="15"/>
    <n v="3"/>
    <n v="1"/>
    <n v="0"/>
    <n v="0"/>
    <n v="0"/>
    <x v="6"/>
    <n v="0"/>
    <x v="0"/>
    <x v="0"/>
    <s v="Early"/>
    <x v="1"/>
  </r>
  <r>
    <n v="43"/>
    <x v="1316"/>
    <x v="1"/>
    <x v="0"/>
    <n v="2"/>
    <n v="4"/>
    <x v="0"/>
    <n v="1"/>
    <x v="1"/>
    <n v="3"/>
    <n v="2"/>
    <x v="0"/>
    <x v="0"/>
    <s v="Married"/>
    <n v="5675"/>
    <n v="1"/>
    <x v="1"/>
    <n v="3"/>
    <n v="7"/>
    <n v="3"/>
    <n v="7"/>
    <n v="7"/>
    <n v="7"/>
    <n v="7"/>
    <x v="5"/>
    <n v="0"/>
    <x v="0"/>
    <x v="0"/>
    <s v="Long"/>
    <x v="1"/>
  </r>
  <r>
    <n v="27"/>
    <x v="1317"/>
    <x v="1"/>
    <x v="1"/>
    <n v="5"/>
    <n v="2"/>
    <x v="0"/>
    <n v="4"/>
    <x v="0"/>
    <n v="3"/>
    <n v="1"/>
    <x v="2"/>
    <x v="0"/>
    <s v="Single"/>
    <n v="2379"/>
    <n v="0"/>
    <x v="0"/>
    <n v="3"/>
    <n v="6"/>
    <n v="2"/>
    <n v="5"/>
    <n v="4"/>
    <n v="0"/>
    <n v="2"/>
    <x v="9"/>
    <n v="0"/>
    <x v="2"/>
    <x v="1"/>
    <s v="Mid"/>
    <x v="2"/>
  </r>
  <r>
    <n v="29"/>
    <x v="1318"/>
    <x v="1"/>
    <x v="1"/>
    <n v="20"/>
    <n v="1"/>
    <x v="2"/>
    <n v="4"/>
    <x v="1"/>
    <n v="3"/>
    <n v="1"/>
    <x v="2"/>
    <x v="0"/>
    <s v="Married"/>
    <n v="3812"/>
    <n v="1"/>
    <x v="1"/>
    <n v="2"/>
    <n v="11"/>
    <n v="4"/>
    <n v="11"/>
    <n v="8"/>
    <n v="3"/>
    <n v="10"/>
    <x v="4"/>
    <n v="0"/>
    <x v="2"/>
    <x v="1"/>
    <s v="Long"/>
    <x v="2"/>
  </r>
  <r>
    <n v="32"/>
    <x v="1319"/>
    <x v="1"/>
    <x v="0"/>
    <n v="10"/>
    <n v="4"/>
    <x v="3"/>
    <n v="4"/>
    <x v="1"/>
    <n v="3"/>
    <n v="2"/>
    <x v="0"/>
    <x v="0"/>
    <s v="Single"/>
    <n v="4648"/>
    <n v="8"/>
    <x v="1"/>
    <n v="3"/>
    <n v="4"/>
    <n v="4"/>
    <n v="0"/>
    <n v="0"/>
    <n v="0"/>
    <n v="0"/>
    <x v="4"/>
    <n v="0"/>
    <x v="0"/>
    <x v="1"/>
    <s v="Early"/>
    <x v="2"/>
  </r>
  <r>
    <n v="42"/>
    <x v="1320"/>
    <x v="1"/>
    <x v="1"/>
    <n v="10"/>
    <n v="4"/>
    <x v="4"/>
    <n v="3"/>
    <x v="1"/>
    <n v="3"/>
    <n v="1"/>
    <x v="1"/>
    <x v="2"/>
    <s v="Married"/>
    <n v="2936"/>
    <n v="3"/>
    <x v="1"/>
    <n v="2"/>
    <n v="10"/>
    <n v="2"/>
    <n v="6"/>
    <n v="3"/>
    <n v="3"/>
    <n v="3"/>
    <x v="6"/>
    <n v="0"/>
    <x v="0"/>
    <x v="1"/>
    <s v="Mid"/>
    <x v="1"/>
  </r>
  <r>
    <n v="47"/>
    <x v="1321"/>
    <x v="1"/>
    <x v="1"/>
    <n v="9"/>
    <n v="4"/>
    <x v="0"/>
    <n v="2"/>
    <x v="0"/>
    <n v="3"/>
    <n v="1"/>
    <x v="2"/>
    <x v="2"/>
    <s v="Single"/>
    <n v="2105"/>
    <n v="4"/>
    <x v="1"/>
    <n v="3"/>
    <n v="7"/>
    <n v="3"/>
    <n v="2"/>
    <n v="2"/>
    <n v="2"/>
    <n v="0"/>
    <x v="3"/>
    <n v="0"/>
    <x v="1"/>
    <x v="1"/>
    <s v="Early"/>
    <x v="0"/>
  </r>
  <r>
    <n v="46"/>
    <x v="1322"/>
    <x v="1"/>
    <x v="1"/>
    <n v="2"/>
    <n v="2"/>
    <x v="0"/>
    <n v="4"/>
    <x v="1"/>
    <n v="3"/>
    <n v="3"/>
    <x v="3"/>
    <x v="0"/>
    <s v="Divorced"/>
    <n v="8578"/>
    <n v="3"/>
    <x v="1"/>
    <n v="3"/>
    <n v="12"/>
    <n v="2"/>
    <n v="9"/>
    <n v="8"/>
    <n v="4"/>
    <n v="7"/>
    <x v="9"/>
    <n v="0"/>
    <x v="1"/>
    <x v="0"/>
    <s v="Long"/>
    <x v="2"/>
  </r>
  <r>
    <n v="28"/>
    <x v="1323"/>
    <x v="1"/>
    <x v="2"/>
    <n v="1"/>
    <n v="2"/>
    <x v="0"/>
    <n v="3"/>
    <x v="1"/>
    <n v="3"/>
    <n v="1"/>
    <x v="8"/>
    <x v="0"/>
    <s v="Divorced"/>
    <n v="2706"/>
    <n v="1"/>
    <x v="1"/>
    <n v="2"/>
    <n v="3"/>
    <n v="3"/>
    <n v="3"/>
    <n v="2"/>
    <n v="2"/>
    <n v="2"/>
    <x v="2"/>
    <n v="0"/>
    <x v="2"/>
    <x v="1"/>
    <s v="Mid"/>
    <x v="2"/>
  </r>
  <r>
    <n v="29"/>
    <x v="1324"/>
    <x v="1"/>
    <x v="1"/>
    <n v="29"/>
    <n v="1"/>
    <x v="0"/>
    <n v="4"/>
    <x v="1"/>
    <n v="1"/>
    <n v="2"/>
    <x v="4"/>
    <x v="2"/>
    <s v="Divorced"/>
    <n v="6384"/>
    <n v="8"/>
    <x v="1"/>
    <n v="4"/>
    <n v="11"/>
    <n v="3"/>
    <n v="7"/>
    <n v="0"/>
    <n v="1"/>
    <n v="6"/>
    <x v="8"/>
    <n v="0"/>
    <x v="2"/>
    <x v="0"/>
    <s v="Long"/>
    <x v="2"/>
  </r>
  <r>
    <n v="42"/>
    <x v="1325"/>
    <x v="1"/>
    <x v="1"/>
    <n v="8"/>
    <n v="3"/>
    <x v="0"/>
    <n v="4"/>
    <x v="1"/>
    <n v="3"/>
    <n v="1"/>
    <x v="2"/>
    <x v="2"/>
    <s v="Single"/>
    <n v="3968"/>
    <n v="4"/>
    <x v="1"/>
    <n v="4"/>
    <n v="8"/>
    <n v="3"/>
    <n v="0"/>
    <n v="0"/>
    <n v="0"/>
    <n v="0"/>
    <x v="4"/>
    <n v="0"/>
    <x v="0"/>
    <x v="1"/>
    <s v="Early"/>
    <x v="2"/>
  </r>
  <r>
    <n v="32"/>
    <x v="1326"/>
    <x v="0"/>
    <x v="0"/>
    <n v="2"/>
    <n v="4"/>
    <x v="3"/>
    <n v="3"/>
    <x v="1"/>
    <n v="2"/>
    <n v="2"/>
    <x v="0"/>
    <x v="1"/>
    <s v="Single"/>
    <n v="9907"/>
    <n v="7"/>
    <x v="0"/>
    <n v="3"/>
    <n v="7"/>
    <n v="2"/>
    <n v="2"/>
    <n v="2"/>
    <n v="2"/>
    <n v="2"/>
    <x v="3"/>
    <n v="1"/>
    <x v="0"/>
    <x v="0"/>
    <s v="Early"/>
    <x v="0"/>
  </r>
  <r>
    <n v="46"/>
    <x v="1327"/>
    <x v="1"/>
    <x v="0"/>
    <n v="3"/>
    <n v="3"/>
    <x v="4"/>
    <n v="1"/>
    <x v="0"/>
    <n v="4"/>
    <n v="4"/>
    <x v="0"/>
    <x v="3"/>
    <s v="Divorced"/>
    <n v="13225"/>
    <n v="2"/>
    <x v="1"/>
    <n v="4"/>
    <n v="25"/>
    <n v="3"/>
    <n v="19"/>
    <n v="17"/>
    <n v="2"/>
    <n v="8"/>
    <x v="3"/>
    <n v="0"/>
    <x v="1"/>
    <x v="2"/>
    <s v="Long"/>
    <x v="0"/>
  </r>
  <r>
    <n v="27"/>
    <x v="1328"/>
    <x v="1"/>
    <x v="0"/>
    <n v="23"/>
    <n v="1"/>
    <x v="2"/>
    <n v="2"/>
    <x v="0"/>
    <n v="2"/>
    <n v="2"/>
    <x v="6"/>
    <x v="2"/>
    <s v="Married"/>
    <n v="3540"/>
    <n v="1"/>
    <x v="1"/>
    <n v="4"/>
    <n v="9"/>
    <n v="3"/>
    <n v="9"/>
    <n v="8"/>
    <n v="5"/>
    <n v="8"/>
    <x v="7"/>
    <n v="0"/>
    <x v="2"/>
    <x v="1"/>
    <s v="Long"/>
    <x v="1"/>
  </r>
  <r>
    <n v="29"/>
    <x v="1329"/>
    <x v="1"/>
    <x v="2"/>
    <n v="6"/>
    <n v="1"/>
    <x v="2"/>
    <n v="4"/>
    <x v="1"/>
    <n v="2"/>
    <n v="1"/>
    <x v="8"/>
    <x v="1"/>
    <s v="Married"/>
    <n v="2804"/>
    <n v="1"/>
    <x v="1"/>
    <n v="4"/>
    <n v="1"/>
    <n v="3"/>
    <n v="1"/>
    <n v="0"/>
    <n v="0"/>
    <n v="0"/>
    <x v="0"/>
    <n v="0"/>
    <x v="2"/>
    <x v="1"/>
    <s v="Early"/>
    <x v="0"/>
  </r>
  <r>
    <n v="43"/>
    <x v="1330"/>
    <x v="1"/>
    <x v="1"/>
    <n v="6"/>
    <n v="3"/>
    <x v="2"/>
    <n v="1"/>
    <x v="0"/>
    <n v="2"/>
    <n v="5"/>
    <x v="5"/>
    <x v="2"/>
    <s v="Married"/>
    <n v="19392"/>
    <n v="7"/>
    <x v="1"/>
    <n v="4"/>
    <n v="21"/>
    <n v="3"/>
    <n v="16"/>
    <n v="12"/>
    <n v="6"/>
    <n v="14"/>
    <x v="4"/>
    <n v="0"/>
    <x v="0"/>
    <x v="2"/>
    <s v="Long"/>
    <x v="2"/>
  </r>
  <r>
    <n v="48"/>
    <x v="1331"/>
    <x v="1"/>
    <x v="1"/>
    <n v="10"/>
    <n v="3"/>
    <x v="0"/>
    <n v="4"/>
    <x v="1"/>
    <n v="2"/>
    <n v="5"/>
    <x v="7"/>
    <x v="1"/>
    <s v="Married"/>
    <n v="19665"/>
    <n v="4"/>
    <x v="1"/>
    <n v="4"/>
    <n v="29"/>
    <n v="3"/>
    <n v="22"/>
    <n v="10"/>
    <n v="12"/>
    <n v="9"/>
    <x v="3"/>
    <n v="0"/>
    <x v="1"/>
    <x v="2"/>
    <s v="Long"/>
    <x v="0"/>
  </r>
  <r>
    <n v="29"/>
    <x v="1332"/>
    <x v="0"/>
    <x v="1"/>
    <n v="24"/>
    <n v="2"/>
    <x v="0"/>
    <n v="4"/>
    <x v="1"/>
    <n v="2"/>
    <n v="1"/>
    <x v="1"/>
    <x v="0"/>
    <s v="Single"/>
    <n v="2439"/>
    <n v="1"/>
    <x v="0"/>
    <n v="2"/>
    <n v="1"/>
    <n v="2"/>
    <n v="1"/>
    <n v="0"/>
    <n v="1"/>
    <n v="0"/>
    <x v="13"/>
    <n v="1"/>
    <x v="2"/>
    <x v="1"/>
    <s v="Early"/>
    <x v="1"/>
  </r>
  <r>
    <n v="46"/>
    <x v="1333"/>
    <x v="0"/>
    <x v="0"/>
    <n v="10"/>
    <n v="3"/>
    <x v="0"/>
    <n v="3"/>
    <x v="0"/>
    <n v="3"/>
    <n v="3"/>
    <x v="0"/>
    <x v="1"/>
    <s v="Married"/>
    <n v="7314"/>
    <n v="5"/>
    <x v="1"/>
    <n v="3"/>
    <n v="14"/>
    <n v="3"/>
    <n v="8"/>
    <n v="7"/>
    <n v="0"/>
    <n v="7"/>
    <x v="7"/>
    <n v="1"/>
    <x v="1"/>
    <x v="0"/>
    <s v="Long"/>
    <x v="1"/>
  </r>
  <r>
    <n v="27"/>
    <x v="1334"/>
    <x v="1"/>
    <x v="1"/>
    <n v="15"/>
    <n v="3"/>
    <x v="0"/>
    <n v="4"/>
    <x v="0"/>
    <n v="2"/>
    <n v="1"/>
    <x v="1"/>
    <x v="3"/>
    <s v="Married"/>
    <n v="4774"/>
    <n v="0"/>
    <x v="1"/>
    <n v="4"/>
    <n v="8"/>
    <n v="2"/>
    <n v="7"/>
    <n v="6"/>
    <n v="7"/>
    <n v="3"/>
    <x v="12"/>
    <n v="0"/>
    <x v="2"/>
    <x v="1"/>
    <s v="Long"/>
    <x v="1"/>
  </r>
  <r>
    <n v="39"/>
    <x v="1335"/>
    <x v="1"/>
    <x v="1"/>
    <n v="19"/>
    <n v="4"/>
    <x v="1"/>
    <n v="4"/>
    <x v="1"/>
    <n v="3"/>
    <n v="2"/>
    <x v="1"/>
    <x v="0"/>
    <s v="Divorced"/>
    <n v="3902"/>
    <n v="8"/>
    <x v="1"/>
    <n v="2"/>
    <n v="7"/>
    <n v="3"/>
    <n v="2"/>
    <n v="2"/>
    <n v="2"/>
    <n v="2"/>
    <x v="9"/>
    <n v="0"/>
    <x v="0"/>
    <x v="1"/>
    <s v="Early"/>
    <x v="2"/>
  </r>
  <r>
    <n v="55"/>
    <x v="1336"/>
    <x v="1"/>
    <x v="1"/>
    <n v="2"/>
    <n v="4"/>
    <x v="4"/>
    <n v="2"/>
    <x v="1"/>
    <n v="2"/>
    <n v="1"/>
    <x v="1"/>
    <x v="0"/>
    <s v="Married"/>
    <n v="2662"/>
    <n v="8"/>
    <x v="1"/>
    <n v="2"/>
    <n v="19"/>
    <n v="4"/>
    <n v="5"/>
    <n v="2"/>
    <n v="0"/>
    <n v="4"/>
    <x v="5"/>
    <n v="0"/>
    <x v="1"/>
    <x v="1"/>
    <s v="Mid"/>
    <x v="1"/>
  </r>
  <r>
    <n v="28"/>
    <x v="1337"/>
    <x v="1"/>
    <x v="0"/>
    <n v="3"/>
    <n v="3"/>
    <x v="2"/>
    <n v="2"/>
    <x v="0"/>
    <n v="3"/>
    <n v="1"/>
    <x v="6"/>
    <x v="1"/>
    <s v="Married"/>
    <n v="2856"/>
    <n v="1"/>
    <x v="1"/>
    <n v="4"/>
    <n v="1"/>
    <n v="3"/>
    <n v="1"/>
    <n v="0"/>
    <n v="0"/>
    <n v="0"/>
    <x v="12"/>
    <n v="0"/>
    <x v="2"/>
    <x v="1"/>
    <s v="Early"/>
    <x v="1"/>
  </r>
  <r>
    <n v="30"/>
    <x v="1338"/>
    <x v="0"/>
    <x v="0"/>
    <n v="9"/>
    <n v="3"/>
    <x v="2"/>
    <n v="2"/>
    <x v="1"/>
    <n v="3"/>
    <n v="1"/>
    <x v="6"/>
    <x v="0"/>
    <s v="Single"/>
    <n v="1081"/>
    <n v="1"/>
    <x v="1"/>
    <n v="3"/>
    <n v="1"/>
    <n v="2"/>
    <n v="1"/>
    <n v="0"/>
    <n v="0"/>
    <n v="0"/>
    <x v="4"/>
    <n v="1"/>
    <x v="0"/>
    <x v="1"/>
    <s v="Early"/>
    <x v="2"/>
  </r>
  <r>
    <n v="22"/>
    <x v="1339"/>
    <x v="0"/>
    <x v="1"/>
    <n v="7"/>
    <n v="1"/>
    <x v="0"/>
    <n v="4"/>
    <x v="1"/>
    <n v="3"/>
    <n v="1"/>
    <x v="1"/>
    <x v="1"/>
    <s v="Single"/>
    <n v="2472"/>
    <n v="1"/>
    <x v="0"/>
    <n v="1"/>
    <n v="1"/>
    <n v="3"/>
    <n v="1"/>
    <n v="0"/>
    <n v="0"/>
    <n v="0"/>
    <x v="1"/>
    <n v="1"/>
    <x v="2"/>
    <x v="1"/>
    <s v="Early"/>
    <x v="1"/>
  </r>
  <r>
    <n v="36"/>
    <x v="1340"/>
    <x v="1"/>
    <x v="0"/>
    <n v="10"/>
    <n v="4"/>
    <x v="4"/>
    <n v="2"/>
    <x v="0"/>
    <n v="2"/>
    <n v="2"/>
    <x v="0"/>
    <x v="2"/>
    <s v="Married"/>
    <n v="5673"/>
    <n v="1"/>
    <x v="0"/>
    <n v="1"/>
    <n v="10"/>
    <n v="3"/>
    <n v="10"/>
    <n v="9"/>
    <n v="1"/>
    <n v="7"/>
    <x v="4"/>
    <n v="0"/>
    <x v="0"/>
    <x v="0"/>
    <s v="Long"/>
    <x v="2"/>
  </r>
  <r>
    <n v="31"/>
    <x v="1341"/>
    <x v="1"/>
    <x v="1"/>
    <n v="20"/>
    <n v="3"/>
    <x v="0"/>
    <n v="2"/>
    <x v="1"/>
    <n v="3"/>
    <n v="2"/>
    <x v="2"/>
    <x v="2"/>
    <s v="Divorced"/>
    <n v="4197"/>
    <n v="1"/>
    <x v="1"/>
    <n v="1"/>
    <n v="10"/>
    <n v="3"/>
    <n v="10"/>
    <n v="8"/>
    <n v="0"/>
    <n v="2"/>
    <x v="0"/>
    <n v="0"/>
    <x v="0"/>
    <x v="1"/>
    <s v="Long"/>
    <x v="0"/>
  </r>
  <r>
    <n v="34"/>
    <x v="1342"/>
    <x v="1"/>
    <x v="0"/>
    <n v="4"/>
    <n v="3"/>
    <x v="0"/>
    <n v="3"/>
    <x v="1"/>
    <n v="3"/>
    <n v="3"/>
    <x v="0"/>
    <x v="0"/>
    <s v="Married"/>
    <n v="9713"/>
    <n v="2"/>
    <x v="0"/>
    <n v="4"/>
    <n v="9"/>
    <n v="3"/>
    <n v="5"/>
    <n v="3"/>
    <n v="1"/>
    <n v="0"/>
    <x v="4"/>
    <n v="0"/>
    <x v="0"/>
    <x v="0"/>
    <s v="Mid"/>
    <x v="2"/>
  </r>
  <r>
    <n v="29"/>
    <x v="1343"/>
    <x v="1"/>
    <x v="1"/>
    <n v="7"/>
    <n v="3"/>
    <x v="0"/>
    <n v="4"/>
    <x v="1"/>
    <n v="3"/>
    <n v="1"/>
    <x v="2"/>
    <x v="3"/>
    <s v="Single"/>
    <n v="2062"/>
    <n v="3"/>
    <x v="1"/>
    <n v="2"/>
    <n v="11"/>
    <n v="3"/>
    <n v="3"/>
    <n v="2"/>
    <n v="1"/>
    <n v="2"/>
    <x v="9"/>
    <n v="0"/>
    <x v="2"/>
    <x v="1"/>
    <s v="Mid"/>
    <x v="2"/>
  </r>
  <r>
    <n v="37"/>
    <x v="1344"/>
    <x v="1"/>
    <x v="1"/>
    <n v="7"/>
    <n v="4"/>
    <x v="2"/>
    <n v="4"/>
    <x v="1"/>
    <n v="3"/>
    <n v="2"/>
    <x v="1"/>
    <x v="3"/>
    <s v="Married"/>
    <n v="4284"/>
    <n v="5"/>
    <x v="0"/>
    <n v="3"/>
    <n v="16"/>
    <n v="3"/>
    <n v="5"/>
    <n v="3"/>
    <n v="0"/>
    <n v="4"/>
    <x v="6"/>
    <n v="0"/>
    <x v="0"/>
    <x v="1"/>
    <s v="Mid"/>
    <x v="1"/>
  </r>
  <r>
    <n v="35"/>
    <x v="1345"/>
    <x v="1"/>
    <x v="1"/>
    <n v="16"/>
    <n v="2"/>
    <x v="1"/>
    <n v="4"/>
    <x v="0"/>
    <n v="2"/>
    <n v="2"/>
    <x v="3"/>
    <x v="1"/>
    <s v="Married"/>
    <n v="4788"/>
    <n v="0"/>
    <x v="0"/>
    <n v="4"/>
    <n v="4"/>
    <n v="3"/>
    <n v="3"/>
    <n v="2"/>
    <n v="0"/>
    <n v="2"/>
    <x v="0"/>
    <n v="0"/>
    <x v="0"/>
    <x v="1"/>
    <s v="Mid"/>
    <x v="0"/>
  </r>
  <r>
    <n v="45"/>
    <x v="1346"/>
    <x v="1"/>
    <x v="1"/>
    <n v="25"/>
    <n v="2"/>
    <x v="0"/>
    <n v="2"/>
    <x v="0"/>
    <n v="2"/>
    <n v="2"/>
    <x v="3"/>
    <x v="0"/>
    <s v="Married"/>
    <n v="5906"/>
    <n v="0"/>
    <x v="1"/>
    <n v="4"/>
    <n v="10"/>
    <n v="2"/>
    <n v="9"/>
    <n v="8"/>
    <n v="3"/>
    <n v="8"/>
    <x v="4"/>
    <n v="0"/>
    <x v="1"/>
    <x v="0"/>
    <s v="Long"/>
    <x v="2"/>
  </r>
  <r>
    <n v="36"/>
    <x v="1347"/>
    <x v="1"/>
    <x v="2"/>
    <n v="2"/>
    <n v="1"/>
    <x v="5"/>
    <n v="2"/>
    <x v="1"/>
    <n v="2"/>
    <n v="2"/>
    <x v="8"/>
    <x v="0"/>
    <s v="Single"/>
    <n v="3886"/>
    <n v="1"/>
    <x v="1"/>
    <n v="4"/>
    <n v="10"/>
    <n v="2"/>
    <n v="10"/>
    <n v="1"/>
    <n v="0"/>
    <n v="8"/>
    <x v="7"/>
    <n v="0"/>
    <x v="0"/>
    <x v="1"/>
    <s v="Long"/>
    <x v="1"/>
  </r>
  <r>
    <n v="40"/>
    <x v="1348"/>
    <x v="1"/>
    <x v="1"/>
    <n v="1"/>
    <n v="4"/>
    <x v="0"/>
    <n v="1"/>
    <x v="1"/>
    <n v="3"/>
    <n v="4"/>
    <x v="5"/>
    <x v="3"/>
    <s v="Divorced"/>
    <n v="16823"/>
    <n v="2"/>
    <x v="1"/>
    <n v="1"/>
    <n v="22"/>
    <n v="3"/>
    <n v="19"/>
    <n v="7"/>
    <n v="11"/>
    <n v="16"/>
    <x v="0"/>
    <n v="0"/>
    <x v="0"/>
    <x v="2"/>
    <s v="Long"/>
    <x v="0"/>
  </r>
  <r>
    <n v="26"/>
    <x v="1349"/>
    <x v="1"/>
    <x v="1"/>
    <n v="1"/>
    <n v="2"/>
    <x v="0"/>
    <n v="2"/>
    <x v="0"/>
    <n v="2"/>
    <n v="1"/>
    <x v="1"/>
    <x v="2"/>
    <s v="Married"/>
    <n v="2933"/>
    <n v="1"/>
    <x v="0"/>
    <n v="3"/>
    <n v="1"/>
    <n v="2"/>
    <n v="1"/>
    <n v="0"/>
    <n v="1"/>
    <n v="0"/>
    <x v="4"/>
    <n v="0"/>
    <x v="2"/>
    <x v="1"/>
    <s v="Early"/>
    <x v="2"/>
  </r>
  <r>
    <n v="27"/>
    <x v="1350"/>
    <x v="1"/>
    <x v="0"/>
    <n v="2"/>
    <n v="2"/>
    <x v="2"/>
    <n v="1"/>
    <x v="0"/>
    <n v="4"/>
    <n v="2"/>
    <x v="0"/>
    <x v="2"/>
    <s v="Single"/>
    <n v="6500"/>
    <n v="0"/>
    <x v="1"/>
    <n v="2"/>
    <n v="9"/>
    <n v="2"/>
    <n v="8"/>
    <n v="7"/>
    <n v="0"/>
    <n v="7"/>
    <x v="9"/>
    <n v="0"/>
    <x v="2"/>
    <x v="0"/>
    <s v="Long"/>
    <x v="2"/>
  </r>
  <r>
    <n v="48"/>
    <x v="1351"/>
    <x v="1"/>
    <x v="1"/>
    <n v="22"/>
    <n v="3"/>
    <x v="2"/>
    <n v="4"/>
    <x v="0"/>
    <n v="3"/>
    <n v="4"/>
    <x v="5"/>
    <x v="0"/>
    <s v="Divorced"/>
    <n v="17174"/>
    <n v="3"/>
    <x v="1"/>
    <n v="2"/>
    <n v="24"/>
    <n v="3"/>
    <n v="22"/>
    <n v="17"/>
    <n v="4"/>
    <n v="7"/>
    <x v="0"/>
    <n v="0"/>
    <x v="1"/>
    <x v="2"/>
    <s v="Long"/>
    <x v="0"/>
  </r>
  <r>
    <n v="44"/>
    <x v="1352"/>
    <x v="1"/>
    <x v="1"/>
    <n v="1"/>
    <n v="4"/>
    <x v="0"/>
    <n v="2"/>
    <x v="1"/>
    <n v="4"/>
    <n v="2"/>
    <x v="4"/>
    <x v="3"/>
    <s v="Married"/>
    <n v="5033"/>
    <n v="2"/>
    <x v="1"/>
    <n v="4"/>
    <n v="10"/>
    <n v="3"/>
    <n v="2"/>
    <n v="0"/>
    <n v="2"/>
    <n v="2"/>
    <x v="2"/>
    <n v="0"/>
    <x v="0"/>
    <x v="0"/>
    <s v="Early"/>
    <x v="2"/>
  </r>
  <r>
    <n v="34"/>
    <x v="1353"/>
    <x v="0"/>
    <x v="1"/>
    <n v="16"/>
    <n v="4"/>
    <x v="4"/>
    <n v="4"/>
    <x v="1"/>
    <n v="1"/>
    <n v="1"/>
    <x v="1"/>
    <x v="3"/>
    <s v="Married"/>
    <n v="2307"/>
    <n v="1"/>
    <x v="0"/>
    <n v="2"/>
    <n v="5"/>
    <n v="3"/>
    <n v="5"/>
    <n v="2"/>
    <n v="3"/>
    <n v="0"/>
    <x v="1"/>
    <n v="1"/>
    <x v="0"/>
    <x v="1"/>
    <s v="Mid"/>
    <x v="1"/>
  </r>
  <r>
    <n v="56"/>
    <x v="1354"/>
    <x v="0"/>
    <x v="1"/>
    <n v="24"/>
    <n v="2"/>
    <x v="0"/>
    <n v="1"/>
    <x v="1"/>
    <n v="3"/>
    <n v="1"/>
    <x v="2"/>
    <x v="0"/>
    <s v="Single"/>
    <n v="2587"/>
    <n v="1"/>
    <x v="1"/>
    <n v="4"/>
    <n v="5"/>
    <n v="3"/>
    <n v="4"/>
    <n v="2"/>
    <n v="1"/>
    <n v="0"/>
    <x v="10"/>
    <n v="1"/>
    <x v="1"/>
    <x v="1"/>
    <s v="Mid"/>
    <x v="2"/>
  </r>
  <r>
    <n v="36"/>
    <x v="1355"/>
    <x v="1"/>
    <x v="0"/>
    <n v="17"/>
    <n v="2"/>
    <x v="3"/>
    <n v="3"/>
    <x v="1"/>
    <n v="2"/>
    <n v="2"/>
    <x v="0"/>
    <x v="1"/>
    <s v="Married"/>
    <n v="5507"/>
    <n v="2"/>
    <x v="1"/>
    <n v="3"/>
    <n v="12"/>
    <n v="1"/>
    <n v="4"/>
    <n v="2"/>
    <n v="1"/>
    <n v="3"/>
    <x v="10"/>
    <n v="0"/>
    <x v="0"/>
    <x v="0"/>
    <s v="Mid"/>
    <x v="2"/>
  </r>
  <r>
    <n v="41"/>
    <x v="1356"/>
    <x v="1"/>
    <x v="0"/>
    <n v="8"/>
    <n v="3"/>
    <x v="3"/>
    <n v="3"/>
    <x v="0"/>
    <n v="3"/>
    <n v="2"/>
    <x v="0"/>
    <x v="1"/>
    <s v="Married"/>
    <n v="4393"/>
    <n v="5"/>
    <x v="1"/>
    <n v="3"/>
    <n v="14"/>
    <n v="3"/>
    <n v="5"/>
    <n v="4"/>
    <n v="1"/>
    <n v="4"/>
    <x v="7"/>
    <n v="0"/>
    <x v="0"/>
    <x v="1"/>
    <s v="Mid"/>
    <x v="1"/>
  </r>
  <r>
    <n v="42"/>
    <x v="1357"/>
    <x v="1"/>
    <x v="1"/>
    <n v="6"/>
    <n v="3"/>
    <x v="2"/>
    <n v="3"/>
    <x v="1"/>
    <n v="3"/>
    <n v="3"/>
    <x v="7"/>
    <x v="3"/>
    <s v="Married"/>
    <n v="13348"/>
    <n v="9"/>
    <x v="1"/>
    <n v="2"/>
    <n v="18"/>
    <n v="4"/>
    <n v="13"/>
    <n v="7"/>
    <n v="5"/>
    <n v="7"/>
    <x v="4"/>
    <n v="0"/>
    <x v="0"/>
    <x v="2"/>
    <s v="Long"/>
    <x v="2"/>
  </r>
  <r>
    <n v="31"/>
    <x v="1358"/>
    <x v="1"/>
    <x v="0"/>
    <n v="10"/>
    <n v="2"/>
    <x v="2"/>
    <n v="3"/>
    <x v="0"/>
    <n v="3"/>
    <n v="2"/>
    <x v="0"/>
    <x v="0"/>
    <s v="Divorced"/>
    <n v="6583"/>
    <n v="2"/>
    <x v="0"/>
    <n v="4"/>
    <n v="8"/>
    <n v="3"/>
    <n v="5"/>
    <n v="2"/>
    <n v="1"/>
    <n v="4"/>
    <x v="0"/>
    <n v="0"/>
    <x v="0"/>
    <x v="0"/>
    <s v="Mid"/>
    <x v="0"/>
  </r>
  <r>
    <n v="34"/>
    <x v="1359"/>
    <x v="1"/>
    <x v="0"/>
    <n v="3"/>
    <n v="1"/>
    <x v="2"/>
    <n v="4"/>
    <x v="0"/>
    <n v="2"/>
    <n v="2"/>
    <x v="0"/>
    <x v="0"/>
    <s v="Married"/>
    <n v="8103"/>
    <n v="3"/>
    <x v="0"/>
    <n v="3"/>
    <n v="9"/>
    <n v="2"/>
    <n v="4"/>
    <n v="2"/>
    <n v="0"/>
    <n v="1"/>
    <x v="3"/>
    <n v="0"/>
    <x v="0"/>
    <x v="0"/>
    <s v="Mid"/>
    <x v="0"/>
  </r>
  <r>
    <n v="31"/>
    <x v="1360"/>
    <x v="1"/>
    <x v="1"/>
    <n v="4"/>
    <n v="3"/>
    <x v="2"/>
    <n v="1"/>
    <x v="0"/>
    <n v="4"/>
    <n v="1"/>
    <x v="2"/>
    <x v="2"/>
    <s v="Divorced"/>
    <n v="3978"/>
    <n v="8"/>
    <x v="1"/>
    <n v="2"/>
    <n v="4"/>
    <n v="2"/>
    <n v="2"/>
    <n v="2"/>
    <n v="2"/>
    <n v="2"/>
    <x v="3"/>
    <n v="0"/>
    <x v="0"/>
    <x v="1"/>
    <s v="Early"/>
    <x v="0"/>
  </r>
  <r>
    <n v="26"/>
    <x v="1361"/>
    <x v="1"/>
    <x v="1"/>
    <n v="6"/>
    <n v="3"/>
    <x v="1"/>
    <n v="3"/>
    <x v="1"/>
    <n v="4"/>
    <n v="1"/>
    <x v="2"/>
    <x v="0"/>
    <s v="Married"/>
    <n v="2544"/>
    <n v="0"/>
    <x v="1"/>
    <n v="1"/>
    <n v="8"/>
    <n v="3"/>
    <n v="7"/>
    <n v="7"/>
    <n v="7"/>
    <n v="7"/>
    <x v="11"/>
    <n v="0"/>
    <x v="2"/>
    <x v="1"/>
    <s v="Long"/>
    <x v="1"/>
  </r>
  <r>
    <n v="45"/>
    <x v="1362"/>
    <x v="1"/>
    <x v="1"/>
    <n v="1"/>
    <n v="4"/>
    <x v="2"/>
    <n v="2"/>
    <x v="1"/>
    <n v="3"/>
    <n v="2"/>
    <x v="4"/>
    <x v="2"/>
    <s v="Single"/>
    <n v="5399"/>
    <n v="4"/>
    <x v="1"/>
    <n v="3"/>
    <n v="12"/>
    <n v="3"/>
    <n v="4"/>
    <n v="2"/>
    <n v="0"/>
    <n v="3"/>
    <x v="3"/>
    <n v="0"/>
    <x v="1"/>
    <x v="0"/>
    <s v="Mid"/>
    <x v="0"/>
  </r>
  <r>
    <n v="33"/>
    <x v="1363"/>
    <x v="1"/>
    <x v="0"/>
    <n v="10"/>
    <n v="4"/>
    <x v="3"/>
    <n v="2"/>
    <x v="1"/>
    <n v="3"/>
    <n v="2"/>
    <x v="0"/>
    <x v="2"/>
    <s v="Single"/>
    <n v="5487"/>
    <n v="1"/>
    <x v="1"/>
    <n v="2"/>
    <n v="10"/>
    <n v="2"/>
    <n v="10"/>
    <n v="4"/>
    <n v="0"/>
    <n v="9"/>
    <x v="9"/>
    <n v="0"/>
    <x v="0"/>
    <x v="0"/>
    <s v="Long"/>
    <x v="2"/>
  </r>
  <r>
    <n v="28"/>
    <x v="1364"/>
    <x v="1"/>
    <x v="0"/>
    <n v="1"/>
    <n v="2"/>
    <x v="0"/>
    <n v="3"/>
    <x v="1"/>
    <n v="2"/>
    <n v="2"/>
    <x v="0"/>
    <x v="0"/>
    <s v="Married"/>
    <n v="6834"/>
    <n v="1"/>
    <x v="0"/>
    <n v="3"/>
    <n v="7"/>
    <n v="3"/>
    <n v="7"/>
    <n v="7"/>
    <n v="0"/>
    <n v="7"/>
    <x v="3"/>
    <n v="0"/>
    <x v="2"/>
    <x v="0"/>
    <s v="Long"/>
    <x v="0"/>
  </r>
  <r>
    <n v="29"/>
    <x v="1365"/>
    <x v="0"/>
    <x v="0"/>
    <n v="24"/>
    <n v="3"/>
    <x v="4"/>
    <n v="3"/>
    <x v="1"/>
    <n v="4"/>
    <n v="1"/>
    <x v="6"/>
    <x v="3"/>
    <s v="Single"/>
    <n v="1091"/>
    <n v="1"/>
    <x v="1"/>
    <n v="4"/>
    <n v="1"/>
    <n v="3"/>
    <n v="1"/>
    <n v="0"/>
    <n v="0"/>
    <n v="0"/>
    <x v="8"/>
    <n v="1"/>
    <x v="2"/>
    <x v="1"/>
    <s v="Early"/>
    <x v="2"/>
  </r>
  <r>
    <n v="39"/>
    <x v="1366"/>
    <x v="1"/>
    <x v="0"/>
    <n v="21"/>
    <n v="4"/>
    <x v="0"/>
    <n v="1"/>
    <x v="0"/>
    <n v="1"/>
    <n v="2"/>
    <x v="0"/>
    <x v="2"/>
    <s v="Married"/>
    <n v="5736"/>
    <n v="6"/>
    <x v="1"/>
    <n v="3"/>
    <n v="10"/>
    <n v="3"/>
    <n v="3"/>
    <n v="2"/>
    <n v="1"/>
    <n v="2"/>
    <x v="12"/>
    <n v="0"/>
    <x v="0"/>
    <x v="0"/>
    <s v="Mid"/>
    <x v="1"/>
  </r>
  <r>
    <n v="27"/>
    <x v="1367"/>
    <x v="1"/>
    <x v="1"/>
    <n v="2"/>
    <n v="4"/>
    <x v="4"/>
    <n v="2"/>
    <x v="1"/>
    <n v="3"/>
    <n v="1"/>
    <x v="1"/>
    <x v="1"/>
    <s v="Married"/>
    <n v="2226"/>
    <n v="1"/>
    <x v="1"/>
    <n v="3"/>
    <n v="6"/>
    <n v="2"/>
    <n v="5"/>
    <n v="3"/>
    <n v="1"/>
    <n v="2"/>
    <x v="0"/>
    <n v="0"/>
    <x v="2"/>
    <x v="1"/>
    <s v="Mid"/>
    <x v="0"/>
  </r>
  <r>
    <n v="34"/>
    <x v="1368"/>
    <x v="1"/>
    <x v="1"/>
    <n v="22"/>
    <n v="4"/>
    <x v="1"/>
    <n v="3"/>
    <x v="1"/>
    <n v="2"/>
    <n v="2"/>
    <x v="1"/>
    <x v="0"/>
    <s v="Married"/>
    <n v="5747"/>
    <n v="1"/>
    <x v="0"/>
    <n v="2"/>
    <n v="16"/>
    <n v="3"/>
    <n v="15"/>
    <n v="10"/>
    <n v="6"/>
    <n v="11"/>
    <x v="2"/>
    <n v="0"/>
    <x v="0"/>
    <x v="0"/>
    <s v="Long"/>
    <x v="2"/>
  </r>
  <r>
    <n v="28"/>
    <x v="1369"/>
    <x v="0"/>
    <x v="0"/>
    <n v="13"/>
    <n v="2"/>
    <x v="3"/>
    <n v="4"/>
    <x v="0"/>
    <n v="3"/>
    <n v="2"/>
    <x v="0"/>
    <x v="2"/>
    <s v="Single"/>
    <n v="9854"/>
    <n v="3"/>
    <x v="0"/>
    <n v="4"/>
    <n v="6"/>
    <n v="3"/>
    <n v="2"/>
    <n v="0"/>
    <n v="2"/>
    <n v="2"/>
    <x v="0"/>
    <n v="1"/>
    <x v="2"/>
    <x v="0"/>
    <s v="Early"/>
    <x v="0"/>
  </r>
  <r>
    <n v="47"/>
    <x v="1370"/>
    <x v="1"/>
    <x v="1"/>
    <n v="14"/>
    <n v="4"/>
    <x v="4"/>
    <n v="3"/>
    <x v="1"/>
    <n v="3"/>
    <n v="2"/>
    <x v="1"/>
    <x v="1"/>
    <s v="Married"/>
    <n v="5467"/>
    <n v="8"/>
    <x v="1"/>
    <n v="3"/>
    <n v="16"/>
    <n v="4"/>
    <n v="8"/>
    <n v="7"/>
    <n v="1"/>
    <n v="7"/>
    <x v="11"/>
    <n v="0"/>
    <x v="1"/>
    <x v="0"/>
    <s v="Long"/>
    <x v="1"/>
  </r>
  <r>
    <n v="56"/>
    <x v="1371"/>
    <x v="1"/>
    <x v="0"/>
    <n v="11"/>
    <n v="5"/>
    <x v="3"/>
    <n v="4"/>
    <x v="0"/>
    <n v="2"/>
    <n v="2"/>
    <x v="0"/>
    <x v="3"/>
    <s v="Married"/>
    <n v="5380"/>
    <n v="4"/>
    <x v="1"/>
    <n v="3"/>
    <n v="6"/>
    <n v="3"/>
    <n v="0"/>
    <n v="0"/>
    <n v="0"/>
    <n v="0"/>
    <x v="10"/>
    <n v="0"/>
    <x v="1"/>
    <x v="0"/>
    <s v="Early"/>
    <x v="2"/>
  </r>
  <r>
    <n v="39"/>
    <x v="1372"/>
    <x v="1"/>
    <x v="1"/>
    <n v="9"/>
    <n v="2"/>
    <x v="2"/>
    <n v="1"/>
    <x v="1"/>
    <n v="3"/>
    <n v="2"/>
    <x v="3"/>
    <x v="3"/>
    <s v="Married"/>
    <n v="5151"/>
    <n v="1"/>
    <x v="1"/>
    <n v="4"/>
    <n v="10"/>
    <n v="3"/>
    <n v="10"/>
    <n v="0"/>
    <n v="7"/>
    <n v="9"/>
    <x v="14"/>
    <n v="0"/>
    <x v="0"/>
    <x v="0"/>
    <s v="Long"/>
    <x v="1"/>
  </r>
  <r>
    <n v="38"/>
    <x v="1373"/>
    <x v="1"/>
    <x v="1"/>
    <n v="8"/>
    <n v="3"/>
    <x v="2"/>
    <n v="4"/>
    <x v="0"/>
    <n v="2"/>
    <n v="2"/>
    <x v="1"/>
    <x v="1"/>
    <s v="Divorced"/>
    <n v="2133"/>
    <n v="1"/>
    <x v="0"/>
    <n v="3"/>
    <n v="20"/>
    <n v="3"/>
    <n v="20"/>
    <n v="11"/>
    <n v="0"/>
    <n v="7"/>
    <x v="10"/>
    <n v="0"/>
    <x v="0"/>
    <x v="1"/>
    <s v="Long"/>
    <x v="2"/>
  </r>
  <r>
    <n v="58"/>
    <x v="1374"/>
    <x v="1"/>
    <x v="0"/>
    <n v="21"/>
    <n v="3"/>
    <x v="0"/>
    <n v="4"/>
    <x v="0"/>
    <n v="3"/>
    <n v="4"/>
    <x v="5"/>
    <x v="0"/>
    <s v="Married"/>
    <n v="17875"/>
    <n v="4"/>
    <x v="0"/>
    <n v="3"/>
    <n v="29"/>
    <n v="2"/>
    <n v="1"/>
    <n v="0"/>
    <n v="0"/>
    <n v="0"/>
    <x v="4"/>
    <n v="0"/>
    <x v="1"/>
    <x v="2"/>
    <s v="Early"/>
    <x v="2"/>
  </r>
  <r>
    <n v="32"/>
    <x v="1375"/>
    <x v="0"/>
    <x v="1"/>
    <n v="5"/>
    <n v="2"/>
    <x v="0"/>
    <n v="1"/>
    <x v="0"/>
    <n v="4"/>
    <n v="1"/>
    <x v="1"/>
    <x v="2"/>
    <s v="Single"/>
    <n v="2432"/>
    <n v="3"/>
    <x v="0"/>
    <n v="1"/>
    <n v="8"/>
    <n v="3"/>
    <n v="4"/>
    <n v="1"/>
    <n v="0"/>
    <n v="3"/>
    <x v="9"/>
    <n v="1"/>
    <x v="0"/>
    <x v="1"/>
    <s v="Mid"/>
    <x v="2"/>
  </r>
  <r>
    <n v="38"/>
    <x v="1376"/>
    <x v="1"/>
    <x v="1"/>
    <n v="9"/>
    <n v="2"/>
    <x v="0"/>
    <n v="2"/>
    <x v="1"/>
    <n v="3"/>
    <n v="1"/>
    <x v="1"/>
    <x v="0"/>
    <s v="Divorced"/>
    <n v="4771"/>
    <n v="2"/>
    <x v="1"/>
    <n v="4"/>
    <n v="10"/>
    <n v="4"/>
    <n v="5"/>
    <n v="2"/>
    <n v="0"/>
    <n v="3"/>
    <x v="12"/>
    <n v="0"/>
    <x v="0"/>
    <x v="1"/>
    <s v="Mid"/>
    <x v="1"/>
  </r>
  <r>
    <n v="49"/>
    <x v="1377"/>
    <x v="1"/>
    <x v="1"/>
    <n v="2"/>
    <n v="1"/>
    <x v="0"/>
    <n v="2"/>
    <x v="1"/>
    <n v="3"/>
    <n v="5"/>
    <x v="7"/>
    <x v="0"/>
    <s v="Married"/>
    <n v="19161"/>
    <n v="3"/>
    <x v="1"/>
    <n v="4"/>
    <n v="28"/>
    <n v="3"/>
    <n v="5"/>
    <n v="4"/>
    <n v="4"/>
    <n v="3"/>
    <x v="2"/>
    <n v="0"/>
    <x v="1"/>
    <x v="2"/>
    <s v="Mid"/>
    <x v="2"/>
  </r>
  <r>
    <n v="42"/>
    <x v="1378"/>
    <x v="1"/>
    <x v="0"/>
    <n v="12"/>
    <n v="4"/>
    <x v="3"/>
    <n v="2"/>
    <x v="1"/>
    <n v="3"/>
    <n v="2"/>
    <x v="0"/>
    <x v="0"/>
    <s v="Divorced"/>
    <n v="5087"/>
    <n v="3"/>
    <x v="0"/>
    <n v="3"/>
    <n v="14"/>
    <n v="3"/>
    <n v="0"/>
    <n v="0"/>
    <n v="0"/>
    <n v="0"/>
    <x v="3"/>
    <n v="0"/>
    <x v="0"/>
    <x v="0"/>
    <s v="Early"/>
    <x v="0"/>
  </r>
  <r>
    <n v="27"/>
    <x v="1379"/>
    <x v="0"/>
    <x v="2"/>
    <n v="22"/>
    <n v="3"/>
    <x v="5"/>
    <n v="1"/>
    <x v="0"/>
    <n v="2"/>
    <n v="1"/>
    <x v="8"/>
    <x v="1"/>
    <s v="Married"/>
    <n v="2863"/>
    <n v="1"/>
    <x v="1"/>
    <n v="1"/>
    <n v="1"/>
    <n v="3"/>
    <n v="1"/>
    <n v="0"/>
    <n v="0"/>
    <n v="0"/>
    <x v="3"/>
    <n v="1"/>
    <x v="2"/>
    <x v="1"/>
    <s v="Early"/>
    <x v="0"/>
  </r>
  <r>
    <n v="35"/>
    <x v="1380"/>
    <x v="1"/>
    <x v="0"/>
    <n v="18"/>
    <n v="4"/>
    <x v="2"/>
    <n v="2"/>
    <x v="1"/>
    <n v="3"/>
    <n v="2"/>
    <x v="0"/>
    <x v="3"/>
    <s v="Married"/>
    <n v="5561"/>
    <n v="0"/>
    <x v="1"/>
    <n v="4"/>
    <n v="6"/>
    <n v="1"/>
    <n v="5"/>
    <n v="3"/>
    <n v="0"/>
    <n v="4"/>
    <x v="10"/>
    <n v="0"/>
    <x v="0"/>
    <x v="0"/>
    <s v="Mid"/>
    <x v="2"/>
  </r>
  <r>
    <n v="28"/>
    <x v="1381"/>
    <x v="1"/>
    <x v="1"/>
    <n v="16"/>
    <n v="3"/>
    <x v="2"/>
    <n v="3"/>
    <x v="1"/>
    <n v="3"/>
    <n v="1"/>
    <x v="1"/>
    <x v="2"/>
    <s v="Single"/>
    <n v="2144"/>
    <n v="1"/>
    <x v="1"/>
    <n v="3"/>
    <n v="5"/>
    <n v="2"/>
    <n v="5"/>
    <n v="3"/>
    <n v="1"/>
    <n v="4"/>
    <x v="9"/>
    <n v="0"/>
    <x v="2"/>
    <x v="1"/>
    <s v="Mid"/>
    <x v="2"/>
  </r>
  <r>
    <n v="31"/>
    <x v="1382"/>
    <x v="1"/>
    <x v="1"/>
    <n v="3"/>
    <n v="2"/>
    <x v="2"/>
    <n v="3"/>
    <x v="1"/>
    <n v="3"/>
    <n v="1"/>
    <x v="1"/>
    <x v="3"/>
    <s v="Divorced"/>
    <n v="3065"/>
    <n v="1"/>
    <x v="0"/>
    <n v="4"/>
    <n v="4"/>
    <n v="4"/>
    <n v="4"/>
    <n v="2"/>
    <n v="2"/>
    <n v="3"/>
    <x v="4"/>
    <n v="0"/>
    <x v="0"/>
    <x v="1"/>
    <s v="Mid"/>
    <x v="2"/>
  </r>
  <r>
    <n v="36"/>
    <x v="1383"/>
    <x v="1"/>
    <x v="1"/>
    <n v="9"/>
    <n v="4"/>
    <x v="0"/>
    <n v="1"/>
    <x v="1"/>
    <n v="4"/>
    <n v="1"/>
    <x v="2"/>
    <x v="1"/>
    <s v="Married"/>
    <n v="2810"/>
    <n v="1"/>
    <x v="1"/>
    <n v="2"/>
    <n v="5"/>
    <n v="3"/>
    <n v="5"/>
    <n v="4"/>
    <n v="0"/>
    <n v="2"/>
    <x v="6"/>
    <n v="0"/>
    <x v="0"/>
    <x v="1"/>
    <s v="Mid"/>
    <x v="1"/>
  </r>
  <r>
    <n v="34"/>
    <x v="1384"/>
    <x v="1"/>
    <x v="0"/>
    <n v="1"/>
    <n v="3"/>
    <x v="3"/>
    <n v="1"/>
    <x v="1"/>
    <n v="3"/>
    <n v="3"/>
    <x v="0"/>
    <x v="0"/>
    <s v="Single"/>
    <n v="9888"/>
    <n v="1"/>
    <x v="1"/>
    <n v="1"/>
    <n v="14"/>
    <n v="2"/>
    <n v="14"/>
    <n v="8"/>
    <n v="2"/>
    <n v="1"/>
    <x v="7"/>
    <n v="0"/>
    <x v="0"/>
    <x v="0"/>
    <s v="Long"/>
    <x v="1"/>
  </r>
  <r>
    <n v="34"/>
    <x v="1385"/>
    <x v="1"/>
    <x v="0"/>
    <n v="13"/>
    <n v="4"/>
    <x v="2"/>
    <n v="4"/>
    <x v="1"/>
    <n v="3"/>
    <n v="3"/>
    <x v="0"/>
    <x v="2"/>
    <s v="Divorced"/>
    <n v="8628"/>
    <n v="1"/>
    <x v="1"/>
    <n v="3"/>
    <n v="9"/>
    <n v="2"/>
    <n v="8"/>
    <n v="7"/>
    <n v="1"/>
    <n v="1"/>
    <x v="11"/>
    <n v="0"/>
    <x v="0"/>
    <x v="0"/>
    <s v="Long"/>
    <x v="1"/>
  </r>
  <r>
    <n v="26"/>
    <x v="1386"/>
    <x v="1"/>
    <x v="1"/>
    <n v="1"/>
    <n v="3"/>
    <x v="2"/>
    <n v="3"/>
    <x v="1"/>
    <n v="3"/>
    <n v="1"/>
    <x v="2"/>
    <x v="3"/>
    <s v="Single"/>
    <n v="2867"/>
    <n v="0"/>
    <x v="1"/>
    <n v="4"/>
    <n v="8"/>
    <n v="2"/>
    <n v="7"/>
    <n v="7"/>
    <n v="7"/>
    <n v="6"/>
    <x v="4"/>
    <n v="0"/>
    <x v="2"/>
    <x v="1"/>
    <s v="Long"/>
    <x v="2"/>
  </r>
  <r>
    <n v="29"/>
    <x v="1387"/>
    <x v="1"/>
    <x v="1"/>
    <n v="1"/>
    <n v="3"/>
    <x v="0"/>
    <n v="1"/>
    <x v="1"/>
    <n v="3"/>
    <n v="2"/>
    <x v="4"/>
    <x v="3"/>
    <s v="Married"/>
    <n v="5373"/>
    <n v="0"/>
    <x v="1"/>
    <n v="1"/>
    <n v="6"/>
    <n v="2"/>
    <n v="5"/>
    <n v="3"/>
    <n v="0"/>
    <n v="2"/>
    <x v="3"/>
    <n v="0"/>
    <x v="2"/>
    <x v="0"/>
    <s v="Mid"/>
    <x v="0"/>
  </r>
  <r>
    <n v="32"/>
    <x v="1388"/>
    <x v="1"/>
    <x v="1"/>
    <n v="15"/>
    <n v="4"/>
    <x v="2"/>
    <n v="3"/>
    <x v="0"/>
    <n v="3"/>
    <n v="2"/>
    <x v="4"/>
    <x v="0"/>
    <s v="Divorced"/>
    <n v="6667"/>
    <n v="5"/>
    <x v="1"/>
    <n v="2"/>
    <n v="9"/>
    <n v="3"/>
    <n v="5"/>
    <n v="1"/>
    <n v="1"/>
    <n v="2"/>
    <x v="11"/>
    <n v="0"/>
    <x v="0"/>
    <x v="0"/>
    <s v="Mid"/>
    <x v="1"/>
  </r>
  <r>
    <n v="31"/>
    <x v="1389"/>
    <x v="1"/>
    <x v="1"/>
    <n v="1"/>
    <n v="3"/>
    <x v="0"/>
    <n v="4"/>
    <x v="1"/>
    <n v="1"/>
    <n v="2"/>
    <x v="1"/>
    <x v="3"/>
    <s v="Married"/>
    <n v="5003"/>
    <n v="1"/>
    <x v="1"/>
    <n v="2"/>
    <n v="10"/>
    <n v="3"/>
    <n v="10"/>
    <n v="8"/>
    <n v="8"/>
    <n v="7"/>
    <x v="7"/>
    <n v="0"/>
    <x v="0"/>
    <x v="0"/>
    <s v="Long"/>
    <x v="1"/>
  </r>
  <r>
    <n v="28"/>
    <x v="1390"/>
    <x v="0"/>
    <x v="1"/>
    <n v="17"/>
    <n v="3"/>
    <x v="4"/>
    <n v="3"/>
    <x v="1"/>
    <n v="2"/>
    <n v="1"/>
    <x v="2"/>
    <x v="0"/>
    <s v="Divorced"/>
    <n v="2367"/>
    <n v="5"/>
    <x v="1"/>
    <n v="1"/>
    <n v="6"/>
    <n v="2"/>
    <n v="4"/>
    <n v="1"/>
    <n v="0"/>
    <n v="3"/>
    <x v="3"/>
    <n v="1"/>
    <x v="2"/>
    <x v="1"/>
    <s v="Mid"/>
    <x v="0"/>
  </r>
  <r>
    <n v="38"/>
    <x v="1391"/>
    <x v="1"/>
    <x v="0"/>
    <n v="1"/>
    <n v="3"/>
    <x v="0"/>
    <n v="1"/>
    <x v="1"/>
    <n v="2"/>
    <n v="1"/>
    <x v="6"/>
    <x v="3"/>
    <s v="Single"/>
    <n v="2858"/>
    <n v="4"/>
    <x v="1"/>
    <n v="1"/>
    <n v="20"/>
    <n v="2"/>
    <n v="1"/>
    <n v="0"/>
    <n v="0"/>
    <n v="0"/>
    <x v="9"/>
    <n v="0"/>
    <x v="0"/>
    <x v="1"/>
    <s v="Early"/>
    <x v="2"/>
  </r>
  <r>
    <n v="35"/>
    <x v="1392"/>
    <x v="1"/>
    <x v="0"/>
    <n v="7"/>
    <n v="4"/>
    <x v="0"/>
    <n v="3"/>
    <x v="0"/>
    <n v="3"/>
    <n v="2"/>
    <x v="0"/>
    <x v="0"/>
    <s v="Married"/>
    <n v="5204"/>
    <n v="1"/>
    <x v="0"/>
    <n v="4"/>
    <n v="10"/>
    <n v="3"/>
    <n v="10"/>
    <n v="8"/>
    <n v="0"/>
    <n v="9"/>
    <x v="0"/>
    <n v="0"/>
    <x v="0"/>
    <x v="0"/>
    <s v="Long"/>
    <x v="0"/>
  </r>
  <r>
    <n v="27"/>
    <x v="1393"/>
    <x v="1"/>
    <x v="0"/>
    <n v="9"/>
    <n v="3"/>
    <x v="3"/>
    <n v="4"/>
    <x v="1"/>
    <n v="3"/>
    <n v="2"/>
    <x v="0"/>
    <x v="0"/>
    <s v="Single"/>
    <n v="4105"/>
    <n v="1"/>
    <x v="1"/>
    <n v="1"/>
    <n v="7"/>
    <n v="3"/>
    <n v="7"/>
    <n v="7"/>
    <n v="0"/>
    <n v="7"/>
    <x v="9"/>
    <n v="0"/>
    <x v="2"/>
    <x v="1"/>
    <s v="Long"/>
    <x v="2"/>
  </r>
  <r>
    <n v="32"/>
    <x v="1394"/>
    <x v="1"/>
    <x v="1"/>
    <n v="5"/>
    <n v="4"/>
    <x v="0"/>
    <n v="4"/>
    <x v="1"/>
    <n v="2"/>
    <n v="2"/>
    <x v="3"/>
    <x v="0"/>
    <s v="Single"/>
    <n v="9679"/>
    <n v="8"/>
    <x v="1"/>
    <n v="2"/>
    <n v="8"/>
    <n v="3"/>
    <n v="1"/>
    <n v="0"/>
    <n v="0"/>
    <n v="0"/>
    <x v="13"/>
    <n v="0"/>
    <x v="0"/>
    <x v="0"/>
    <s v="Early"/>
    <x v="1"/>
  </r>
  <r>
    <n v="31"/>
    <x v="1395"/>
    <x v="0"/>
    <x v="0"/>
    <n v="26"/>
    <n v="4"/>
    <x v="3"/>
    <n v="1"/>
    <x v="1"/>
    <n v="3"/>
    <n v="2"/>
    <x v="0"/>
    <x v="0"/>
    <s v="Married"/>
    <n v="5617"/>
    <n v="1"/>
    <x v="0"/>
    <n v="3"/>
    <n v="10"/>
    <n v="3"/>
    <n v="10"/>
    <n v="7"/>
    <n v="0"/>
    <n v="8"/>
    <x v="0"/>
    <n v="1"/>
    <x v="0"/>
    <x v="0"/>
    <s v="Long"/>
    <x v="0"/>
  </r>
  <r>
    <n v="53"/>
    <x v="1396"/>
    <x v="0"/>
    <x v="0"/>
    <n v="24"/>
    <n v="4"/>
    <x v="0"/>
    <n v="1"/>
    <x v="1"/>
    <n v="3"/>
    <n v="3"/>
    <x v="0"/>
    <x v="3"/>
    <s v="Single"/>
    <n v="10448"/>
    <n v="6"/>
    <x v="0"/>
    <n v="2"/>
    <n v="15"/>
    <n v="2"/>
    <n v="2"/>
    <n v="2"/>
    <n v="2"/>
    <n v="2"/>
    <x v="4"/>
    <n v="1"/>
    <x v="1"/>
    <x v="2"/>
    <s v="Early"/>
    <x v="2"/>
  </r>
  <r>
    <n v="54"/>
    <x v="1397"/>
    <x v="1"/>
    <x v="1"/>
    <n v="9"/>
    <n v="2"/>
    <x v="0"/>
    <n v="1"/>
    <x v="0"/>
    <n v="3"/>
    <n v="2"/>
    <x v="1"/>
    <x v="2"/>
    <s v="Married"/>
    <n v="2897"/>
    <n v="3"/>
    <x v="1"/>
    <n v="3"/>
    <n v="9"/>
    <n v="2"/>
    <n v="4"/>
    <n v="3"/>
    <n v="2"/>
    <n v="3"/>
    <x v="0"/>
    <n v="0"/>
    <x v="1"/>
    <x v="1"/>
    <s v="Mid"/>
    <x v="0"/>
  </r>
  <r>
    <n v="33"/>
    <x v="1398"/>
    <x v="1"/>
    <x v="1"/>
    <n v="7"/>
    <n v="2"/>
    <x v="0"/>
    <n v="4"/>
    <x v="1"/>
    <n v="3"/>
    <n v="2"/>
    <x v="4"/>
    <x v="2"/>
    <s v="Divorced"/>
    <n v="5968"/>
    <n v="1"/>
    <x v="1"/>
    <n v="3"/>
    <n v="9"/>
    <n v="3"/>
    <n v="9"/>
    <n v="7"/>
    <n v="2"/>
    <n v="8"/>
    <x v="5"/>
    <n v="0"/>
    <x v="0"/>
    <x v="0"/>
    <s v="Long"/>
    <x v="1"/>
  </r>
  <r>
    <n v="43"/>
    <x v="1399"/>
    <x v="1"/>
    <x v="1"/>
    <n v="11"/>
    <n v="3"/>
    <x v="0"/>
    <n v="1"/>
    <x v="1"/>
    <n v="3"/>
    <n v="3"/>
    <x v="4"/>
    <x v="2"/>
    <s v="Married"/>
    <n v="7510"/>
    <n v="1"/>
    <x v="1"/>
    <n v="2"/>
    <n v="10"/>
    <n v="3"/>
    <n v="10"/>
    <n v="9"/>
    <n v="0"/>
    <n v="9"/>
    <x v="8"/>
    <n v="0"/>
    <x v="0"/>
    <x v="0"/>
    <s v="Long"/>
    <x v="2"/>
  </r>
  <r>
    <n v="38"/>
    <x v="1400"/>
    <x v="1"/>
    <x v="2"/>
    <n v="1"/>
    <n v="4"/>
    <x v="1"/>
    <n v="4"/>
    <x v="1"/>
    <n v="3"/>
    <n v="1"/>
    <x v="8"/>
    <x v="1"/>
    <s v="Married"/>
    <n v="2991"/>
    <n v="0"/>
    <x v="0"/>
    <n v="2"/>
    <n v="7"/>
    <n v="3"/>
    <n v="6"/>
    <n v="2"/>
    <n v="1"/>
    <n v="2"/>
    <x v="0"/>
    <n v="0"/>
    <x v="0"/>
    <x v="1"/>
    <s v="Mid"/>
    <x v="0"/>
  </r>
  <r>
    <n v="55"/>
    <x v="1401"/>
    <x v="1"/>
    <x v="2"/>
    <n v="26"/>
    <n v="4"/>
    <x v="5"/>
    <n v="3"/>
    <x v="1"/>
    <n v="4"/>
    <n v="5"/>
    <x v="5"/>
    <x v="1"/>
    <s v="Married"/>
    <n v="19636"/>
    <n v="4"/>
    <x v="0"/>
    <n v="1"/>
    <n v="35"/>
    <n v="3"/>
    <n v="10"/>
    <n v="9"/>
    <n v="1"/>
    <n v="4"/>
    <x v="11"/>
    <n v="0"/>
    <x v="1"/>
    <x v="2"/>
    <s v="Long"/>
    <x v="1"/>
  </r>
  <r>
    <n v="31"/>
    <x v="1402"/>
    <x v="1"/>
    <x v="1"/>
    <n v="2"/>
    <n v="1"/>
    <x v="2"/>
    <n v="4"/>
    <x v="0"/>
    <n v="1"/>
    <n v="1"/>
    <x v="2"/>
    <x v="0"/>
    <s v="Divorced"/>
    <n v="1129"/>
    <n v="1"/>
    <x v="0"/>
    <n v="3"/>
    <n v="1"/>
    <n v="3"/>
    <n v="1"/>
    <n v="0"/>
    <n v="0"/>
    <n v="0"/>
    <x v="0"/>
    <n v="0"/>
    <x v="0"/>
    <x v="1"/>
    <s v="Early"/>
    <x v="0"/>
  </r>
  <r>
    <n v="39"/>
    <x v="1403"/>
    <x v="1"/>
    <x v="0"/>
    <n v="15"/>
    <n v="4"/>
    <x v="3"/>
    <n v="2"/>
    <x v="1"/>
    <n v="3"/>
    <n v="4"/>
    <x v="0"/>
    <x v="3"/>
    <s v="Single"/>
    <n v="13341"/>
    <n v="0"/>
    <x v="1"/>
    <n v="1"/>
    <n v="21"/>
    <n v="3"/>
    <n v="20"/>
    <n v="8"/>
    <n v="11"/>
    <n v="10"/>
    <x v="3"/>
    <n v="0"/>
    <x v="0"/>
    <x v="2"/>
    <s v="Long"/>
    <x v="0"/>
  </r>
  <r>
    <n v="42"/>
    <x v="1404"/>
    <x v="1"/>
    <x v="1"/>
    <n v="23"/>
    <n v="2"/>
    <x v="0"/>
    <n v="4"/>
    <x v="1"/>
    <n v="2"/>
    <n v="2"/>
    <x v="1"/>
    <x v="2"/>
    <s v="Single"/>
    <n v="4332"/>
    <n v="1"/>
    <x v="1"/>
    <n v="4"/>
    <n v="20"/>
    <n v="3"/>
    <n v="20"/>
    <n v="9"/>
    <n v="3"/>
    <n v="7"/>
    <x v="3"/>
    <n v="0"/>
    <x v="0"/>
    <x v="1"/>
    <s v="Long"/>
    <x v="0"/>
  </r>
  <r>
    <n v="31"/>
    <x v="1405"/>
    <x v="1"/>
    <x v="1"/>
    <n v="10"/>
    <n v="3"/>
    <x v="2"/>
    <n v="3"/>
    <x v="0"/>
    <n v="3"/>
    <n v="3"/>
    <x v="7"/>
    <x v="2"/>
    <s v="Married"/>
    <n v="11031"/>
    <n v="4"/>
    <x v="1"/>
    <n v="3"/>
    <n v="13"/>
    <n v="4"/>
    <n v="11"/>
    <n v="7"/>
    <n v="4"/>
    <n v="8"/>
    <x v="5"/>
    <n v="0"/>
    <x v="0"/>
    <x v="2"/>
    <s v="Long"/>
    <x v="1"/>
  </r>
  <r>
    <n v="54"/>
    <x v="1406"/>
    <x v="1"/>
    <x v="1"/>
    <n v="10"/>
    <n v="3"/>
    <x v="2"/>
    <n v="3"/>
    <x v="0"/>
    <n v="3"/>
    <n v="2"/>
    <x v="3"/>
    <x v="3"/>
    <s v="Single"/>
    <n v="4440"/>
    <n v="6"/>
    <x v="0"/>
    <n v="4"/>
    <n v="9"/>
    <n v="3"/>
    <n v="5"/>
    <n v="2"/>
    <n v="1"/>
    <n v="4"/>
    <x v="12"/>
    <n v="0"/>
    <x v="1"/>
    <x v="1"/>
    <s v="Mid"/>
    <x v="1"/>
  </r>
  <r>
    <n v="24"/>
    <x v="1407"/>
    <x v="1"/>
    <x v="1"/>
    <n v="1"/>
    <n v="2"/>
    <x v="0"/>
    <n v="2"/>
    <x v="1"/>
    <n v="2"/>
    <n v="2"/>
    <x v="4"/>
    <x v="2"/>
    <s v="Single"/>
    <n v="4617"/>
    <n v="1"/>
    <x v="1"/>
    <n v="2"/>
    <n v="4"/>
    <n v="2"/>
    <n v="4"/>
    <n v="3"/>
    <n v="1"/>
    <n v="2"/>
    <x v="3"/>
    <n v="0"/>
    <x v="2"/>
    <x v="1"/>
    <s v="Mid"/>
    <x v="0"/>
  </r>
  <r>
    <n v="23"/>
    <x v="1408"/>
    <x v="1"/>
    <x v="1"/>
    <n v="12"/>
    <n v="2"/>
    <x v="1"/>
    <n v="4"/>
    <x v="1"/>
    <n v="3"/>
    <n v="1"/>
    <x v="2"/>
    <x v="0"/>
    <s v="Single"/>
    <n v="2647"/>
    <n v="1"/>
    <x v="1"/>
    <n v="3"/>
    <n v="5"/>
    <n v="4"/>
    <n v="5"/>
    <n v="2"/>
    <n v="1"/>
    <n v="4"/>
    <x v="4"/>
    <n v="0"/>
    <x v="2"/>
    <x v="1"/>
    <s v="Mid"/>
    <x v="2"/>
  </r>
  <r>
    <n v="40"/>
    <x v="1409"/>
    <x v="1"/>
    <x v="1"/>
    <n v="11"/>
    <n v="3"/>
    <x v="4"/>
    <n v="4"/>
    <x v="0"/>
    <n v="3"/>
    <n v="2"/>
    <x v="2"/>
    <x v="2"/>
    <s v="Married"/>
    <n v="6323"/>
    <n v="1"/>
    <x v="1"/>
    <n v="1"/>
    <n v="10"/>
    <n v="4"/>
    <n v="10"/>
    <n v="9"/>
    <n v="9"/>
    <n v="4"/>
    <x v="0"/>
    <n v="0"/>
    <x v="0"/>
    <x v="0"/>
    <s v="Long"/>
    <x v="0"/>
  </r>
  <r>
    <n v="40"/>
    <x v="1410"/>
    <x v="1"/>
    <x v="0"/>
    <n v="2"/>
    <n v="2"/>
    <x v="3"/>
    <n v="2"/>
    <x v="0"/>
    <n v="3"/>
    <n v="2"/>
    <x v="0"/>
    <x v="1"/>
    <s v="Married"/>
    <n v="5677"/>
    <n v="3"/>
    <x v="1"/>
    <n v="3"/>
    <n v="15"/>
    <n v="3"/>
    <n v="11"/>
    <n v="8"/>
    <n v="5"/>
    <n v="10"/>
    <x v="9"/>
    <n v="0"/>
    <x v="0"/>
    <x v="0"/>
    <s v="Long"/>
    <x v="2"/>
  </r>
  <r>
    <n v="25"/>
    <x v="1411"/>
    <x v="1"/>
    <x v="2"/>
    <n v="2"/>
    <n v="3"/>
    <x v="5"/>
    <n v="3"/>
    <x v="0"/>
    <n v="3"/>
    <n v="1"/>
    <x v="8"/>
    <x v="1"/>
    <s v="Married"/>
    <n v="2187"/>
    <n v="4"/>
    <x v="1"/>
    <n v="3"/>
    <n v="6"/>
    <n v="3"/>
    <n v="2"/>
    <n v="0"/>
    <n v="1"/>
    <n v="2"/>
    <x v="9"/>
    <n v="0"/>
    <x v="2"/>
    <x v="1"/>
    <s v="Early"/>
    <x v="2"/>
  </r>
  <r>
    <n v="30"/>
    <x v="1412"/>
    <x v="1"/>
    <x v="1"/>
    <n v="1"/>
    <n v="2"/>
    <x v="2"/>
    <n v="4"/>
    <x v="1"/>
    <n v="3"/>
    <n v="1"/>
    <x v="2"/>
    <x v="1"/>
    <s v="Married"/>
    <n v="3748"/>
    <n v="1"/>
    <x v="1"/>
    <n v="3"/>
    <n v="12"/>
    <n v="2"/>
    <n v="12"/>
    <n v="8"/>
    <n v="1"/>
    <n v="7"/>
    <x v="4"/>
    <n v="0"/>
    <x v="0"/>
    <x v="1"/>
    <s v="Long"/>
    <x v="2"/>
  </r>
  <r>
    <n v="25"/>
    <x v="1413"/>
    <x v="1"/>
    <x v="1"/>
    <n v="2"/>
    <n v="1"/>
    <x v="1"/>
    <n v="4"/>
    <x v="1"/>
    <n v="3"/>
    <n v="1"/>
    <x v="2"/>
    <x v="2"/>
    <s v="Divorced"/>
    <n v="3977"/>
    <n v="6"/>
    <x v="0"/>
    <n v="3"/>
    <n v="7"/>
    <n v="2"/>
    <n v="2"/>
    <n v="2"/>
    <n v="0"/>
    <n v="2"/>
    <x v="12"/>
    <n v="0"/>
    <x v="2"/>
    <x v="1"/>
    <s v="Early"/>
    <x v="1"/>
  </r>
  <r>
    <n v="47"/>
    <x v="1414"/>
    <x v="1"/>
    <x v="1"/>
    <n v="25"/>
    <n v="3"/>
    <x v="2"/>
    <n v="1"/>
    <x v="1"/>
    <n v="3"/>
    <n v="3"/>
    <x v="4"/>
    <x v="2"/>
    <s v="Single"/>
    <n v="8633"/>
    <n v="2"/>
    <x v="1"/>
    <n v="2"/>
    <n v="25"/>
    <n v="3"/>
    <n v="17"/>
    <n v="14"/>
    <n v="12"/>
    <n v="11"/>
    <x v="1"/>
    <n v="0"/>
    <x v="1"/>
    <x v="0"/>
    <s v="Long"/>
    <x v="1"/>
  </r>
  <r>
    <n v="33"/>
    <x v="1415"/>
    <x v="1"/>
    <x v="1"/>
    <n v="1"/>
    <n v="2"/>
    <x v="2"/>
    <n v="2"/>
    <x v="1"/>
    <n v="2"/>
    <n v="1"/>
    <x v="2"/>
    <x v="2"/>
    <s v="Divorced"/>
    <n v="2008"/>
    <n v="1"/>
    <x v="1"/>
    <n v="3"/>
    <n v="1"/>
    <n v="2"/>
    <n v="1"/>
    <n v="1"/>
    <n v="0"/>
    <n v="0"/>
    <x v="3"/>
    <n v="0"/>
    <x v="0"/>
    <x v="1"/>
    <s v="Early"/>
    <x v="0"/>
  </r>
  <r>
    <n v="38"/>
    <x v="1416"/>
    <x v="1"/>
    <x v="0"/>
    <n v="1"/>
    <n v="4"/>
    <x v="0"/>
    <n v="4"/>
    <x v="1"/>
    <n v="3"/>
    <n v="2"/>
    <x v="0"/>
    <x v="1"/>
    <s v="Married"/>
    <n v="4440"/>
    <n v="0"/>
    <x v="1"/>
    <n v="1"/>
    <n v="16"/>
    <n v="3"/>
    <n v="15"/>
    <n v="13"/>
    <n v="5"/>
    <n v="8"/>
    <x v="2"/>
    <n v="0"/>
    <x v="0"/>
    <x v="1"/>
    <s v="Long"/>
    <x v="2"/>
  </r>
  <r>
    <n v="31"/>
    <x v="1417"/>
    <x v="1"/>
    <x v="0"/>
    <n v="2"/>
    <n v="2"/>
    <x v="0"/>
    <n v="1"/>
    <x v="1"/>
    <n v="3"/>
    <n v="1"/>
    <x v="6"/>
    <x v="2"/>
    <s v="Married"/>
    <n v="3067"/>
    <n v="0"/>
    <x v="1"/>
    <n v="3"/>
    <n v="3"/>
    <n v="3"/>
    <n v="2"/>
    <n v="2"/>
    <n v="1"/>
    <n v="2"/>
    <x v="12"/>
    <n v="0"/>
    <x v="0"/>
    <x v="1"/>
    <s v="Early"/>
    <x v="1"/>
  </r>
  <r>
    <n v="38"/>
    <x v="1418"/>
    <x v="1"/>
    <x v="1"/>
    <n v="6"/>
    <n v="4"/>
    <x v="0"/>
    <n v="1"/>
    <x v="1"/>
    <n v="2"/>
    <n v="2"/>
    <x v="3"/>
    <x v="2"/>
    <s v="Married"/>
    <n v="5321"/>
    <n v="2"/>
    <x v="1"/>
    <n v="4"/>
    <n v="10"/>
    <n v="3"/>
    <n v="8"/>
    <n v="3"/>
    <n v="7"/>
    <n v="7"/>
    <x v="0"/>
    <n v="0"/>
    <x v="0"/>
    <x v="0"/>
    <s v="Long"/>
    <x v="0"/>
  </r>
  <r>
    <n v="42"/>
    <x v="1419"/>
    <x v="1"/>
    <x v="1"/>
    <n v="18"/>
    <n v="4"/>
    <x v="0"/>
    <n v="4"/>
    <x v="1"/>
    <n v="3"/>
    <n v="2"/>
    <x v="1"/>
    <x v="3"/>
    <s v="Divorced"/>
    <n v="5410"/>
    <n v="6"/>
    <x v="0"/>
    <n v="3"/>
    <n v="9"/>
    <n v="2"/>
    <n v="4"/>
    <n v="3"/>
    <n v="1"/>
    <n v="2"/>
    <x v="8"/>
    <n v="0"/>
    <x v="0"/>
    <x v="0"/>
    <s v="Mid"/>
    <x v="2"/>
  </r>
  <r>
    <n v="41"/>
    <x v="1420"/>
    <x v="1"/>
    <x v="1"/>
    <n v="1"/>
    <n v="3"/>
    <x v="0"/>
    <n v="4"/>
    <x v="1"/>
    <n v="3"/>
    <n v="1"/>
    <x v="1"/>
    <x v="0"/>
    <s v="Married"/>
    <n v="2782"/>
    <n v="3"/>
    <x v="1"/>
    <n v="1"/>
    <n v="12"/>
    <n v="3"/>
    <n v="5"/>
    <n v="3"/>
    <n v="1"/>
    <n v="0"/>
    <x v="6"/>
    <n v="0"/>
    <x v="0"/>
    <x v="1"/>
    <s v="Mid"/>
    <x v="1"/>
  </r>
  <r>
    <n v="47"/>
    <x v="1421"/>
    <x v="1"/>
    <x v="1"/>
    <n v="1"/>
    <n v="1"/>
    <x v="2"/>
    <n v="3"/>
    <x v="0"/>
    <n v="3"/>
    <n v="3"/>
    <x v="7"/>
    <x v="1"/>
    <s v="Married"/>
    <n v="11957"/>
    <n v="0"/>
    <x v="1"/>
    <n v="1"/>
    <n v="14"/>
    <n v="1"/>
    <n v="13"/>
    <n v="8"/>
    <n v="5"/>
    <n v="12"/>
    <x v="11"/>
    <n v="0"/>
    <x v="1"/>
    <x v="2"/>
    <s v="Long"/>
    <x v="1"/>
  </r>
  <r>
    <n v="35"/>
    <x v="1422"/>
    <x v="1"/>
    <x v="1"/>
    <n v="11"/>
    <n v="4"/>
    <x v="2"/>
    <n v="4"/>
    <x v="1"/>
    <n v="3"/>
    <n v="1"/>
    <x v="2"/>
    <x v="2"/>
    <s v="Married"/>
    <n v="2660"/>
    <n v="7"/>
    <x v="0"/>
    <n v="3"/>
    <n v="5"/>
    <n v="3"/>
    <n v="2"/>
    <n v="2"/>
    <n v="2"/>
    <n v="2"/>
    <x v="0"/>
    <n v="0"/>
    <x v="0"/>
    <x v="1"/>
    <s v="Early"/>
    <x v="0"/>
  </r>
  <r>
    <n v="22"/>
    <x v="1423"/>
    <x v="1"/>
    <x v="1"/>
    <n v="1"/>
    <n v="2"/>
    <x v="0"/>
    <n v="4"/>
    <x v="1"/>
    <n v="3"/>
    <n v="1"/>
    <x v="1"/>
    <x v="2"/>
    <s v="Single"/>
    <n v="3375"/>
    <n v="0"/>
    <x v="1"/>
    <n v="4"/>
    <n v="4"/>
    <n v="4"/>
    <n v="3"/>
    <n v="2"/>
    <n v="1"/>
    <n v="2"/>
    <x v="3"/>
    <n v="0"/>
    <x v="2"/>
    <x v="1"/>
    <s v="Mid"/>
    <x v="0"/>
  </r>
  <r>
    <n v="35"/>
    <x v="1424"/>
    <x v="1"/>
    <x v="1"/>
    <n v="9"/>
    <n v="4"/>
    <x v="2"/>
    <n v="2"/>
    <x v="1"/>
    <n v="3"/>
    <n v="2"/>
    <x v="1"/>
    <x v="2"/>
    <s v="Single"/>
    <n v="5098"/>
    <n v="1"/>
    <x v="1"/>
    <n v="2"/>
    <n v="10"/>
    <n v="3"/>
    <n v="10"/>
    <n v="7"/>
    <n v="0"/>
    <n v="8"/>
    <x v="12"/>
    <n v="0"/>
    <x v="0"/>
    <x v="0"/>
    <s v="Long"/>
    <x v="1"/>
  </r>
  <r>
    <n v="33"/>
    <x v="1425"/>
    <x v="1"/>
    <x v="1"/>
    <n v="15"/>
    <n v="2"/>
    <x v="2"/>
    <n v="2"/>
    <x v="0"/>
    <n v="3"/>
    <n v="2"/>
    <x v="4"/>
    <x v="0"/>
    <s v="Married"/>
    <n v="4878"/>
    <n v="0"/>
    <x v="0"/>
    <n v="1"/>
    <n v="10"/>
    <n v="3"/>
    <n v="9"/>
    <n v="7"/>
    <n v="8"/>
    <n v="1"/>
    <x v="4"/>
    <n v="0"/>
    <x v="0"/>
    <x v="1"/>
    <s v="Long"/>
    <x v="2"/>
  </r>
  <r>
    <n v="32"/>
    <x v="1426"/>
    <x v="1"/>
    <x v="1"/>
    <n v="29"/>
    <n v="4"/>
    <x v="0"/>
    <n v="3"/>
    <x v="0"/>
    <n v="2"/>
    <n v="1"/>
    <x v="2"/>
    <x v="1"/>
    <s v="Single"/>
    <n v="2837"/>
    <n v="1"/>
    <x v="1"/>
    <n v="3"/>
    <n v="6"/>
    <n v="3"/>
    <n v="6"/>
    <n v="2"/>
    <n v="4"/>
    <n v="1"/>
    <x v="4"/>
    <n v="0"/>
    <x v="0"/>
    <x v="1"/>
    <s v="Mid"/>
    <x v="2"/>
  </r>
  <r>
    <n v="40"/>
    <x v="1427"/>
    <x v="1"/>
    <x v="1"/>
    <n v="1"/>
    <n v="4"/>
    <x v="0"/>
    <n v="1"/>
    <x v="1"/>
    <n v="3"/>
    <n v="1"/>
    <x v="2"/>
    <x v="0"/>
    <s v="Married"/>
    <n v="2406"/>
    <n v="8"/>
    <x v="1"/>
    <n v="3"/>
    <n v="8"/>
    <n v="2"/>
    <n v="1"/>
    <n v="0"/>
    <n v="0"/>
    <n v="0"/>
    <x v="12"/>
    <n v="0"/>
    <x v="0"/>
    <x v="1"/>
    <s v="Early"/>
    <x v="1"/>
  </r>
  <r>
    <n v="32"/>
    <x v="1428"/>
    <x v="1"/>
    <x v="0"/>
    <n v="1"/>
    <n v="4"/>
    <x v="2"/>
    <n v="2"/>
    <x v="1"/>
    <n v="2"/>
    <n v="1"/>
    <x v="6"/>
    <x v="1"/>
    <s v="Married"/>
    <n v="2269"/>
    <n v="0"/>
    <x v="1"/>
    <n v="2"/>
    <n v="3"/>
    <n v="3"/>
    <n v="2"/>
    <n v="2"/>
    <n v="2"/>
    <n v="2"/>
    <x v="9"/>
    <n v="0"/>
    <x v="0"/>
    <x v="1"/>
    <s v="Early"/>
    <x v="2"/>
  </r>
  <r>
    <n v="39"/>
    <x v="1429"/>
    <x v="1"/>
    <x v="1"/>
    <n v="24"/>
    <n v="1"/>
    <x v="0"/>
    <n v="1"/>
    <x v="1"/>
    <n v="3"/>
    <n v="2"/>
    <x v="1"/>
    <x v="0"/>
    <s v="Single"/>
    <n v="4108"/>
    <n v="7"/>
    <x v="1"/>
    <n v="1"/>
    <n v="18"/>
    <n v="3"/>
    <n v="7"/>
    <n v="7"/>
    <n v="1"/>
    <n v="7"/>
    <x v="4"/>
    <n v="0"/>
    <x v="0"/>
    <x v="1"/>
    <s v="Long"/>
    <x v="2"/>
  </r>
  <r>
    <n v="38"/>
    <x v="1430"/>
    <x v="1"/>
    <x v="1"/>
    <n v="10"/>
    <n v="3"/>
    <x v="2"/>
    <n v="2"/>
    <x v="0"/>
    <n v="1"/>
    <n v="3"/>
    <x v="7"/>
    <x v="2"/>
    <s v="Married"/>
    <n v="13206"/>
    <n v="3"/>
    <x v="1"/>
    <n v="1"/>
    <n v="20"/>
    <n v="3"/>
    <n v="18"/>
    <n v="16"/>
    <n v="1"/>
    <n v="11"/>
    <x v="3"/>
    <n v="0"/>
    <x v="0"/>
    <x v="2"/>
    <s v="Long"/>
    <x v="0"/>
  </r>
  <r>
    <n v="32"/>
    <x v="1431"/>
    <x v="1"/>
    <x v="0"/>
    <n v="1"/>
    <n v="4"/>
    <x v="3"/>
    <n v="3"/>
    <x v="0"/>
    <n v="3"/>
    <n v="3"/>
    <x v="0"/>
    <x v="0"/>
    <s v="Married"/>
    <n v="10422"/>
    <n v="1"/>
    <x v="1"/>
    <n v="3"/>
    <n v="14"/>
    <n v="3"/>
    <n v="14"/>
    <n v="10"/>
    <n v="5"/>
    <n v="7"/>
    <x v="12"/>
    <n v="0"/>
    <x v="0"/>
    <x v="2"/>
    <s v="Long"/>
    <x v="1"/>
  </r>
  <r>
    <n v="37"/>
    <x v="1432"/>
    <x v="1"/>
    <x v="1"/>
    <n v="10"/>
    <n v="3"/>
    <x v="0"/>
    <n v="3"/>
    <x v="0"/>
    <n v="4"/>
    <n v="3"/>
    <x v="7"/>
    <x v="0"/>
    <s v="Married"/>
    <n v="13744"/>
    <n v="1"/>
    <x v="0"/>
    <n v="1"/>
    <n v="16"/>
    <n v="3"/>
    <n v="16"/>
    <n v="11"/>
    <n v="6"/>
    <n v="8"/>
    <x v="14"/>
    <n v="0"/>
    <x v="0"/>
    <x v="2"/>
    <s v="Long"/>
    <x v="1"/>
  </r>
  <r>
    <n v="25"/>
    <x v="1433"/>
    <x v="1"/>
    <x v="0"/>
    <n v="8"/>
    <n v="2"/>
    <x v="1"/>
    <n v="1"/>
    <x v="0"/>
    <n v="3"/>
    <n v="2"/>
    <x v="0"/>
    <x v="2"/>
    <s v="Divorced"/>
    <n v="4907"/>
    <n v="0"/>
    <x v="0"/>
    <n v="2"/>
    <n v="6"/>
    <n v="2"/>
    <n v="5"/>
    <n v="3"/>
    <n v="0"/>
    <n v="4"/>
    <x v="6"/>
    <n v="0"/>
    <x v="2"/>
    <x v="1"/>
    <s v="Mid"/>
    <x v="1"/>
  </r>
  <r>
    <n v="52"/>
    <x v="1434"/>
    <x v="1"/>
    <x v="0"/>
    <n v="29"/>
    <n v="4"/>
    <x v="0"/>
    <n v="1"/>
    <x v="1"/>
    <n v="3"/>
    <n v="1"/>
    <x v="6"/>
    <x v="0"/>
    <s v="Divorced"/>
    <n v="3482"/>
    <n v="2"/>
    <x v="1"/>
    <n v="2"/>
    <n v="16"/>
    <n v="2"/>
    <n v="9"/>
    <n v="8"/>
    <n v="0"/>
    <n v="0"/>
    <x v="2"/>
    <n v="0"/>
    <x v="1"/>
    <x v="1"/>
    <s v="Long"/>
    <x v="2"/>
  </r>
  <r>
    <n v="44"/>
    <x v="1435"/>
    <x v="1"/>
    <x v="1"/>
    <n v="1"/>
    <n v="3"/>
    <x v="2"/>
    <n v="2"/>
    <x v="1"/>
    <n v="3"/>
    <n v="1"/>
    <x v="1"/>
    <x v="0"/>
    <s v="Single"/>
    <n v="2436"/>
    <n v="6"/>
    <x v="0"/>
    <n v="3"/>
    <n v="6"/>
    <n v="3"/>
    <n v="4"/>
    <n v="3"/>
    <n v="1"/>
    <n v="2"/>
    <x v="3"/>
    <n v="0"/>
    <x v="0"/>
    <x v="1"/>
    <s v="Mid"/>
    <x v="0"/>
  </r>
  <r>
    <n v="21"/>
    <x v="1436"/>
    <x v="1"/>
    <x v="0"/>
    <n v="5"/>
    <n v="1"/>
    <x v="2"/>
    <n v="3"/>
    <x v="1"/>
    <n v="3"/>
    <n v="1"/>
    <x v="6"/>
    <x v="3"/>
    <s v="Single"/>
    <n v="2380"/>
    <n v="1"/>
    <x v="0"/>
    <n v="4"/>
    <n v="2"/>
    <n v="3"/>
    <n v="2"/>
    <n v="2"/>
    <n v="1"/>
    <n v="2"/>
    <x v="0"/>
    <n v="0"/>
    <x v="2"/>
    <x v="1"/>
    <s v="Early"/>
    <x v="0"/>
  </r>
  <r>
    <n v="39"/>
    <x v="1437"/>
    <x v="1"/>
    <x v="1"/>
    <n v="9"/>
    <n v="3"/>
    <x v="0"/>
    <n v="4"/>
    <x v="1"/>
    <n v="3"/>
    <n v="5"/>
    <x v="5"/>
    <x v="0"/>
    <s v="Single"/>
    <n v="19431"/>
    <n v="2"/>
    <x v="1"/>
    <n v="3"/>
    <n v="21"/>
    <n v="2"/>
    <n v="6"/>
    <n v="0"/>
    <n v="1"/>
    <n v="3"/>
    <x v="4"/>
    <n v="0"/>
    <x v="0"/>
    <x v="2"/>
    <s v="Mid"/>
    <x v="2"/>
  </r>
  <r>
    <n v="23"/>
    <x v="1438"/>
    <x v="0"/>
    <x v="0"/>
    <n v="9"/>
    <n v="3"/>
    <x v="3"/>
    <n v="4"/>
    <x v="1"/>
    <n v="3"/>
    <n v="1"/>
    <x v="6"/>
    <x v="3"/>
    <s v="Married"/>
    <n v="1790"/>
    <n v="1"/>
    <x v="1"/>
    <n v="1"/>
    <n v="1"/>
    <n v="2"/>
    <n v="1"/>
    <n v="0"/>
    <n v="1"/>
    <n v="0"/>
    <x v="12"/>
    <n v="1"/>
    <x v="2"/>
    <x v="1"/>
    <s v="Early"/>
    <x v="1"/>
  </r>
  <r>
    <n v="36"/>
    <x v="1439"/>
    <x v="1"/>
    <x v="0"/>
    <n v="3"/>
    <n v="3"/>
    <x v="2"/>
    <n v="1"/>
    <x v="0"/>
    <n v="2"/>
    <n v="3"/>
    <x v="0"/>
    <x v="0"/>
    <s v="Married"/>
    <n v="7644"/>
    <n v="0"/>
    <x v="1"/>
    <n v="3"/>
    <n v="10"/>
    <n v="3"/>
    <n v="9"/>
    <n v="7"/>
    <n v="3"/>
    <n v="4"/>
    <x v="12"/>
    <n v="0"/>
    <x v="0"/>
    <x v="0"/>
    <s v="Long"/>
    <x v="1"/>
  </r>
  <r>
    <n v="36"/>
    <x v="1440"/>
    <x v="1"/>
    <x v="1"/>
    <n v="4"/>
    <n v="2"/>
    <x v="0"/>
    <n v="4"/>
    <x v="0"/>
    <n v="3"/>
    <n v="2"/>
    <x v="3"/>
    <x v="1"/>
    <s v="Divorced"/>
    <n v="5131"/>
    <n v="7"/>
    <x v="1"/>
    <n v="2"/>
    <n v="18"/>
    <n v="3"/>
    <n v="4"/>
    <n v="2"/>
    <n v="0"/>
    <n v="2"/>
    <x v="4"/>
    <n v="0"/>
    <x v="0"/>
    <x v="0"/>
    <s v="Mid"/>
    <x v="2"/>
  </r>
  <r>
    <n v="56"/>
    <x v="1441"/>
    <x v="1"/>
    <x v="1"/>
    <n v="1"/>
    <n v="4"/>
    <x v="0"/>
    <n v="3"/>
    <x v="1"/>
    <n v="3"/>
    <n v="2"/>
    <x v="4"/>
    <x v="2"/>
    <s v="Divorced"/>
    <n v="6306"/>
    <n v="1"/>
    <x v="1"/>
    <n v="1"/>
    <n v="13"/>
    <n v="2"/>
    <n v="13"/>
    <n v="12"/>
    <n v="1"/>
    <n v="9"/>
    <x v="7"/>
    <n v="0"/>
    <x v="1"/>
    <x v="0"/>
    <s v="Long"/>
    <x v="1"/>
  </r>
  <r>
    <n v="29"/>
    <x v="1442"/>
    <x v="0"/>
    <x v="1"/>
    <n v="1"/>
    <n v="4"/>
    <x v="2"/>
    <n v="1"/>
    <x v="1"/>
    <n v="3"/>
    <n v="1"/>
    <x v="1"/>
    <x v="0"/>
    <s v="Married"/>
    <n v="4787"/>
    <n v="9"/>
    <x v="0"/>
    <n v="2"/>
    <n v="4"/>
    <n v="4"/>
    <n v="2"/>
    <n v="2"/>
    <n v="2"/>
    <n v="2"/>
    <x v="9"/>
    <n v="1"/>
    <x v="2"/>
    <x v="1"/>
    <s v="Early"/>
    <x v="2"/>
  </r>
  <r>
    <n v="42"/>
    <x v="1443"/>
    <x v="1"/>
    <x v="1"/>
    <n v="2"/>
    <n v="3"/>
    <x v="0"/>
    <n v="1"/>
    <x v="1"/>
    <n v="3"/>
    <n v="5"/>
    <x v="5"/>
    <x v="2"/>
    <s v="Married"/>
    <n v="18880"/>
    <n v="5"/>
    <x v="1"/>
    <n v="1"/>
    <n v="24"/>
    <n v="2"/>
    <n v="22"/>
    <n v="6"/>
    <n v="4"/>
    <n v="14"/>
    <x v="0"/>
    <n v="0"/>
    <x v="0"/>
    <x v="2"/>
    <s v="Long"/>
    <x v="0"/>
  </r>
  <r>
    <n v="56"/>
    <x v="1444"/>
    <x v="0"/>
    <x v="1"/>
    <n v="7"/>
    <n v="2"/>
    <x v="4"/>
    <n v="4"/>
    <x v="1"/>
    <n v="3"/>
    <n v="1"/>
    <x v="2"/>
    <x v="2"/>
    <s v="Married"/>
    <n v="2339"/>
    <n v="8"/>
    <x v="1"/>
    <n v="4"/>
    <n v="14"/>
    <n v="1"/>
    <n v="10"/>
    <n v="9"/>
    <n v="9"/>
    <n v="8"/>
    <x v="0"/>
    <n v="1"/>
    <x v="1"/>
    <x v="1"/>
    <s v="Long"/>
    <x v="0"/>
  </r>
  <r>
    <n v="41"/>
    <x v="1445"/>
    <x v="1"/>
    <x v="1"/>
    <n v="28"/>
    <n v="4"/>
    <x v="0"/>
    <n v="1"/>
    <x v="0"/>
    <n v="2"/>
    <n v="4"/>
    <x v="3"/>
    <x v="1"/>
    <s v="Married"/>
    <n v="13570"/>
    <n v="0"/>
    <x v="1"/>
    <n v="3"/>
    <n v="21"/>
    <n v="3"/>
    <n v="20"/>
    <n v="7"/>
    <n v="0"/>
    <n v="10"/>
    <x v="1"/>
    <n v="0"/>
    <x v="0"/>
    <x v="2"/>
    <s v="Long"/>
    <x v="1"/>
  </r>
  <r>
    <n v="34"/>
    <x v="1446"/>
    <x v="1"/>
    <x v="0"/>
    <n v="28"/>
    <n v="3"/>
    <x v="3"/>
    <n v="4"/>
    <x v="0"/>
    <n v="2"/>
    <n v="2"/>
    <x v="0"/>
    <x v="2"/>
    <s v="Married"/>
    <n v="6712"/>
    <n v="1"/>
    <x v="1"/>
    <n v="4"/>
    <n v="8"/>
    <n v="3"/>
    <n v="8"/>
    <n v="7"/>
    <n v="1"/>
    <n v="7"/>
    <x v="7"/>
    <n v="0"/>
    <x v="0"/>
    <x v="0"/>
    <s v="Long"/>
    <x v="1"/>
  </r>
  <r>
    <n v="36"/>
    <x v="1447"/>
    <x v="1"/>
    <x v="0"/>
    <n v="15"/>
    <n v="4"/>
    <x v="3"/>
    <n v="4"/>
    <x v="1"/>
    <n v="1"/>
    <n v="2"/>
    <x v="0"/>
    <x v="0"/>
    <s v="Divorced"/>
    <n v="5406"/>
    <n v="1"/>
    <x v="1"/>
    <n v="1"/>
    <n v="15"/>
    <n v="2"/>
    <n v="15"/>
    <n v="12"/>
    <n v="11"/>
    <n v="11"/>
    <x v="13"/>
    <n v="0"/>
    <x v="0"/>
    <x v="0"/>
    <s v="Long"/>
    <x v="1"/>
  </r>
  <r>
    <n v="41"/>
    <x v="1448"/>
    <x v="1"/>
    <x v="0"/>
    <n v="3"/>
    <n v="3"/>
    <x v="0"/>
    <n v="3"/>
    <x v="1"/>
    <n v="2"/>
    <n v="2"/>
    <x v="0"/>
    <x v="1"/>
    <s v="Divorced"/>
    <n v="8938"/>
    <n v="2"/>
    <x v="1"/>
    <n v="3"/>
    <n v="14"/>
    <n v="3"/>
    <n v="5"/>
    <n v="4"/>
    <n v="0"/>
    <n v="4"/>
    <x v="0"/>
    <n v="0"/>
    <x v="0"/>
    <x v="0"/>
    <s v="Mid"/>
    <x v="0"/>
  </r>
  <r>
    <n v="32"/>
    <x v="1449"/>
    <x v="1"/>
    <x v="1"/>
    <n v="2"/>
    <n v="3"/>
    <x v="4"/>
    <n v="4"/>
    <x v="1"/>
    <n v="3"/>
    <n v="1"/>
    <x v="1"/>
    <x v="3"/>
    <s v="Single"/>
    <n v="2439"/>
    <n v="1"/>
    <x v="1"/>
    <n v="4"/>
    <n v="4"/>
    <n v="3"/>
    <n v="4"/>
    <n v="2"/>
    <n v="1"/>
    <n v="2"/>
    <x v="9"/>
    <n v="0"/>
    <x v="0"/>
    <x v="1"/>
    <s v="Mid"/>
    <x v="2"/>
  </r>
  <r>
    <n v="35"/>
    <x v="1450"/>
    <x v="1"/>
    <x v="2"/>
    <n v="26"/>
    <n v="4"/>
    <x v="0"/>
    <n v="3"/>
    <x v="0"/>
    <n v="3"/>
    <n v="3"/>
    <x v="8"/>
    <x v="0"/>
    <s v="Single"/>
    <n v="8837"/>
    <n v="1"/>
    <x v="0"/>
    <n v="3"/>
    <n v="9"/>
    <n v="3"/>
    <n v="9"/>
    <n v="0"/>
    <n v="1"/>
    <n v="7"/>
    <x v="10"/>
    <n v="0"/>
    <x v="0"/>
    <x v="0"/>
    <s v="Long"/>
    <x v="2"/>
  </r>
  <r>
    <n v="38"/>
    <x v="1451"/>
    <x v="1"/>
    <x v="0"/>
    <n v="10"/>
    <n v="2"/>
    <x v="0"/>
    <n v="1"/>
    <x v="0"/>
    <n v="3"/>
    <n v="2"/>
    <x v="0"/>
    <x v="0"/>
    <s v="Married"/>
    <n v="5343"/>
    <n v="1"/>
    <x v="1"/>
    <n v="3"/>
    <n v="10"/>
    <n v="3"/>
    <n v="10"/>
    <n v="7"/>
    <n v="1"/>
    <n v="9"/>
    <x v="0"/>
    <n v="0"/>
    <x v="0"/>
    <x v="0"/>
    <s v="Long"/>
    <x v="0"/>
  </r>
  <r>
    <n v="50"/>
    <x v="1452"/>
    <x v="0"/>
    <x v="0"/>
    <n v="1"/>
    <n v="4"/>
    <x v="0"/>
    <n v="2"/>
    <x v="1"/>
    <n v="3"/>
    <n v="2"/>
    <x v="0"/>
    <x v="2"/>
    <s v="Divorced"/>
    <n v="6728"/>
    <n v="7"/>
    <x v="1"/>
    <n v="4"/>
    <n v="12"/>
    <n v="3"/>
    <n v="6"/>
    <n v="3"/>
    <n v="0"/>
    <n v="1"/>
    <x v="3"/>
    <n v="1"/>
    <x v="1"/>
    <x v="0"/>
    <s v="Mid"/>
    <x v="0"/>
  </r>
  <r>
    <n v="36"/>
    <x v="1453"/>
    <x v="1"/>
    <x v="0"/>
    <n v="11"/>
    <n v="4"/>
    <x v="3"/>
    <n v="2"/>
    <x v="0"/>
    <n v="2"/>
    <n v="2"/>
    <x v="0"/>
    <x v="0"/>
    <s v="Married"/>
    <n v="6652"/>
    <n v="4"/>
    <x v="1"/>
    <n v="1"/>
    <n v="8"/>
    <n v="2"/>
    <n v="6"/>
    <n v="3"/>
    <n v="0"/>
    <n v="0"/>
    <x v="4"/>
    <n v="0"/>
    <x v="0"/>
    <x v="0"/>
    <s v="Mid"/>
    <x v="2"/>
  </r>
  <r>
    <n v="45"/>
    <x v="1454"/>
    <x v="1"/>
    <x v="0"/>
    <n v="20"/>
    <n v="3"/>
    <x v="0"/>
    <n v="4"/>
    <x v="0"/>
    <n v="3"/>
    <n v="2"/>
    <x v="0"/>
    <x v="2"/>
    <s v="Single"/>
    <n v="4850"/>
    <n v="8"/>
    <x v="1"/>
    <n v="3"/>
    <n v="8"/>
    <n v="3"/>
    <n v="5"/>
    <n v="3"/>
    <n v="0"/>
    <n v="1"/>
    <x v="2"/>
    <n v="0"/>
    <x v="1"/>
    <x v="1"/>
    <s v="Mid"/>
    <x v="2"/>
  </r>
  <r>
    <n v="40"/>
    <x v="1455"/>
    <x v="1"/>
    <x v="1"/>
    <n v="2"/>
    <n v="4"/>
    <x v="0"/>
    <n v="3"/>
    <x v="1"/>
    <n v="2"/>
    <n v="1"/>
    <x v="1"/>
    <x v="2"/>
    <s v="Single"/>
    <n v="2809"/>
    <n v="2"/>
    <x v="1"/>
    <n v="4"/>
    <n v="8"/>
    <n v="3"/>
    <n v="2"/>
    <n v="2"/>
    <n v="2"/>
    <n v="2"/>
    <x v="9"/>
    <n v="0"/>
    <x v="0"/>
    <x v="1"/>
    <s v="Early"/>
    <x v="2"/>
  </r>
  <r>
    <n v="35"/>
    <x v="1456"/>
    <x v="1"/>
    <x v="1"/>
    <n v="18"/>
    <n v="4"/>
    <x v="0"/>
    <n v="3"/>
    <x v="1"/>
    <n v="3"/>
    <n v="2"/>
    <x v="4"/>
    <x v="2"/>
    <s v="Married"/>
    <n v="5689"/>
    <n v="1"/>
    <x v="0"/>
    <n v="4"/>
    <n v="10"/>
    <n v="4"/>
    <n v="10"/>
    <n v="2"/>
    <n v="0"/>
    <n v="2"/>
    <x v="9"/>
    <n v="0"/>
    <x v="0"/>
    <x v="0"/>
    <s v="Long"/>
    <x v="2"/>
  </r>
  <r>
    <n v="40"/>
    <x v="1457"/>
    <x v="1"/>
    <x v="1"/>
    <n v="2"/>
    <n v="4"/>
    <x v="2"/>
    <n v="3"/>
    <x v="0"/>
    <n v="3"/>
    <n v="1"/>
    <x v="1"/>
    <x v="2"/>
    <s v="Married"/>
    <n v="2001"/>
    <n v="2"/>
    <x v="1"/>
    <n v="2"/>
    <n v="20"/>
    <n v="3"/>
    <n v="5"/>
    <n v="3"/>
    <n v="0"/>
    <n v="2"/>
    <x v="9"/>
    <n v="0"/>
    <x v="0"/>
    <x v="1"/>
    <s v="Mid"/>
    <x v="2"/>
  </r>
  <r>
    <n v="35"/>
    <x v="1458"/>
    <x v="1"/>
    <x v="1"/>
    <n v="1"/>
    <n v="4"/>
    <x v="0"/>
    <n v="3"/>
    <x v="0"/>
    <n v="1"/>
    <n v="1"/>
    <x v="1"/>
    <x v="0"/>
    <s v="Married"/>
    <n v="2977"/>
    <n v="1"/>
    <x v="1"/>
    <n v="4"/>
    <n v="4"/>
    <n v="3"/>
    <n v="4"/>
    <n v="3"/>
    <n v="1"/>
    <n v="1"/>
    <x v="3"/>
    <n v="0"/>
    <x v="0"/>
    <x v="1"/>
    <s v="Mid"/>
    <x v="0"/>
  </r>
  <r>
    <n v="29"/>
    <x v="1459"/>
    <x v="1"/>
    <x v="1"/>
    <n v="13"/>
    <n v="2"/>
    <x v="1"/>
    <n v="4"/>
    <x v="1"/>
    <n v="2"/>
    <n v="2"/>
    <x v="2"/>
    <x v="1"/>
    <s v="Married"/>
    <n v="4025"/>
    <n v="4"/>
    <x v="0"/>
    <n v="1"/>
    <n v="10"/>
    <n v="3"/>
    <n v="4"/>
    <n v="3"/>
    <n v="0"/>
    <n v="3"/>
    <x v="4"/>
    <n v="0"/>
    <x v="2"/>
    <x v="1"/>
    <s v="Mid"/>
    <x v="2"/>
  </r>
  <r>
    <n v="29"/>
    <x v="1460"/>
    <x v="1"/>
    <x v="1"/>
    <n v="28"/>
    <n v="4"/>
    <x v="2"/>
    <n v="4"/>
    <x v="0"/>
    <n v="2"/>
    <n v="1"/>
    <x v="1"/>
    <x v="3"/>
    <s v="Single"/>
    <n v="3785"/>
    <n v="1"/>
    <x v="1"/>
    <n v="2"/>
    <n v="5"/>
    <n v="1"/>
    <n v="5"/>
    <n v="4"/>
    <n v="0"/>
    <n v="4"/>
    <x v="9"/>
    <n v="0"/>
    <x v="2"/>
    <x v="1"/>
    <s v="Mid"/>
    <x v="2"/>
  </r>
  <r>
    <n v="50"/>
    <x v="1461"/>
    <x v="0"/>
    <x v="0"/>
    <n v="28"/>
    <n v="3"/>
    <x v="3"/>
    <n v="4"/>
    <x v="1"/>
    <n v="2"/>
    <n v="3"/>
    <x v="0"/>
    <x v="3"/>
    <s v="Divorced"/>
    <n v="10854"/>
    <n v="4"/>
    <x v="0"/>
    <n v="2"/>
    <n v="20"/>
    <n v="3"/>
    <n v="3"/>
    <n v="2"/>
    <n v="2"/>
    <n v="0"/>
    <x v="4"/>
    <n v="1"/>
    <x v="1"/>
    <x v="2"/>
    <s v="Mid"/>
    <x v="2"/>
  </r>
  <r>
    <n v="39"/>
    <x v="1462"/>
    <x v="1"/>
    <x v="0"/>
    <n v="24"/>
    <n v="1"/>
    <x v="3"/>
    <n v="2"/>
    <x v="0"/>
    <n v="2"/>
    <n v="4"/>
    <x v="0"/>
    <x v="0"/>
    <s v="Married"/>
    <n v="12031"/>
    <n v="0"/>
    <x v="1"/>
    <n v="1"/>
    <n v="21"/>
    <n v="2"/>
    <n v="20"/>
    <n v="9"/>
    <n v="9"/>
    <n v="6"/>
    <x v="0"/>
    <n v="0"/>
    <x v="0"/>
    <x v="2"/>
    <s v="Long"/>
    <x v="0"/>
  </r>
  <r>
    <n v="31"/>
    <x v="1463"/>
    <x v="1"/>
    <x v="1"/>
    <n v="5"/>
    <n v="3"/>
    <x v="2"/>
    <n v="2"/>
    <x v="1"/>
    <n v="3"/>
    <n v="2"/>
    <x v="3"/>
    <x v="3"/>
    <s v="Single"/>
    <n v="9936"/>
    <n v="0"/>
    <x v="1"/>
    <n v="2"/>
    <n v="10"/>
    <n v="3"/>
    <n v="9"/>
    <n v="4"/>
    <n v="1"/>
    <n v="7"/>
    <x v="12"/>
    <n v="0"/>
    <x v="0"/>
    <x v="0"/>
    <s v="Long"/>
    <x v="1"/>
  </r>
  <r>
    <n v="26"/>
    <x v="1464"/>
    <x v="1"/>
    <x v="0"/>
    <n v="5"/>
    <n v="3"/>
    <x v="1"/>
    <n v="4"/>
    <x v="0"/>
    <n v="2"/>
    <n v="1"/>
    <x v="6"/>
    <x v="2"/>
    <s v="Single"/>
    <n v="2966"/>
    <n v="0"/>
    <x v="1"/>
    <n v="4"/>
    <n v="5"/>
    <n v="3"/>
    <n v="4"/>
    <n v="2"/>
    <n v="0"/>
    <n v="0"/>
    <x v="11"/>
    <n v="0"/>
    <x v="2"/>
    <x v="1"/>
    <s v="Mid"/>
    <x v="1"/>
  </r>
  <r>
    <n v="36"/>
    <x v="1465"/>
    <x v="1"/>
    <x v="1"/>
    <n v="23"/>
    <n v="2"/>
    <x v="2"/>
    <n v="3"/>
    <x v="1"/>
    <n v="4"/>
    <n v="2"/>
    <x v="2"/>
    <x v="0"/>
    <s v="Married"/>
    <n v="2571"/>
    <n v="4"/>
    <x v="1"/>
    <n v="3"/>
    <n v="17"/>
    <n v="3"/>
    <n v="5"/>
    <n v="2"/>
    <n v="0"/>
    <n v="3"/>
    <x v="8"/>
    <n v="0"/>
    <x v="0"/>
    <x v="1"/>
    <s v="Mid"/>
    <x v="2"/>
  </r>
  <r>
    <n v="39"/>
    <x v="1466"/>
    <x v="1"/>
    <x v="1"/>
    <n v="6"/>
    <n v="1"/>
    <x v="2"/>
    <n v="4"/>
    <x v="1"/>
    <n v="2"/>
    <n v="3"/>
    <x v="4"/>
    <x v="3"/>
    <s v="Married"/>
    <n v="9991"/>
    <n v="4"/>
    <x v="1"/>
    <n v="1"/>
    <n v="9"/>
    <n v="3"/>
    <n v="7"/>
    <n v="7"/>
    <n v="1"/>
    <n v="7"/>
    <x v="2"/>
    <n v="0"/>
    <x v="0"/>
    <x v="0"/>
    <s v="Long"/>
    <x v="2"/>
  </r>
  <r>
    <n v="27"/>
    <x v="1467"/>
    <x v="1"/>
    <x v="1"/>
    <n v="4"/>
    <n v="3"/>
    <x v="0"/>
    <n v="2"/>
    <x v="1"/>
    <n v="4"/>
    <n v="2"/>
    <x v="3"/>
    <x v="1"/>
    <s v="Married"/>
    <n v="6142"/>
    <n v="1"/>
    <x v="0"/>
    <n v="2"/>
    <n v="6"/>
    <n v="3"/>
    <n v="6"/>
    <n v="2"/>
    <n v="0"/>
    <n v="3"/>
    <x v="5"/>
    <n v="0"/>
    <x v="2"/>
    <x v="0"/>
    <s v="Mid"/>
    <x v="1"/>
  </r>
  <r>
    <n v="49"/>
    <x v="1468"/>
    <x v="1"/>
    <x v="0"/>
    <n v="2"/>
    <n v="3"/>
    <x v="2"/>
    <n v="4"/>
    <x v="1"/>
    <n v="2"/>
    <n v="2"/>
    <x v="0"/>
    <x v="1"/>
    <s v="Married"/>
    <n v="5390"/>
    <n v="2"/>
    <x v="1"/>
    <n v="4"/>
    <n v="17"/>
    <n v="2"/>
    <n v="9"/>
    <n v="6"/>
    <n v="0"/>
    <n v="8"/>
    <x v="9"/>
    <n v="0"/>
    <x v="1"/>
    <x v="0"/>
    <s v="Long"/>
    <x v="2"/>
  </r>
  <r>
    <n v="34"/>
    <x v="1469"/>
    <x v="1"/>
    <x v="1"/>
    <n v="8"/>
    <n v="3"/>
    <x v="2"/>
    <n v="2"/>
    <x v="1"/>
    <n v="4"/>
    <n v="2"/>
    <x v="2"/>
    <x v="2"/>
    <s v="Married"/>
    <n v="4404"/>
    <n v="2"/>
    <x v="1"/>
    <n v="1"/>
    <n v="6"/>
    <n v="4"/>
    <n v="4"/>
    <n v="3"/>
    <n v="1"/>
    <n v="2"/>
    <x v="3"/>
    <n v="0"/>
    <x v="0"/>
    <x v="1"/>
    <s v="Mi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C2EF82-161A-46E8-A343-BB88BE5822D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B13" firstHeaderRow="1" firstDataRow="1" firstDataCol="1"/>
  <pivotFields count="30">
    <pivotField showAll="0"/>
    <pivotField dataField="1" showAll="0"/>
    <pivotField showAll="0"/>
    <pivotField axis="axisRow" showAll="0">
      <items count="4">
        <item x="0"/>
        <item x="2"/>
        <item x="1"/>
        <item t="default"/>
      </items>
    </pivotField>
    <pivotField showAll="0"/>
    <pivotField showAll="0"/>
    <pivotField showAll="0"/>
    <pivotField showAll="0"/>
    <pivotField showAll="0">
      <items count="3">
        <item h="1"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Department-wise Employees" fld="1" subtotal="count" baseField="3"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B26D37-0758-4D7C-A5B7-3CD38CB8161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9:F11" firstHeaderRow="1" firstDataRow="1" firstDataCol="1"/>
  <pivotFields count="30">
    <pivotField showAll="0"/>
    <pivotField dataField="1" showAll="0"/>
    <pivotField showAll="0"/>
    <pivotField showAll="0">
      <items count="4">
        <item x="0"/>
        <item x="2"/>
        <item x="1"/>
        <item t="default"/>
      </items>
    </pivotField>
    <pivotField showAll="0"/>
    <pivotField showAll="0"/>
    <pivotField showAll="0"/>
    <pivotField showAll="0"/>
    <pivotField axis="axisRow" showAll="0">
      <items count="3">
        <item h="1"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Gender Distribution" fld="1" subtotal="count" baseField="8"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B7D60-333B-4A57-BDAF-102B2455CC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rowPageCount="1" colPageCount="1"/>
  <pivotFields count="30">
    <pivotField showAll="0"/>
    <pivotField dataField="1" showAll="0"/>
    <pivotField axis="axisPage" multipleItemSelectionAllowed="1" showAll="0">
      <items count="3">
        <item x="1"/>
        <item h="1" x="0"/>
        <item t="default"/>
      </items>
    </pivotField>
    <pivotField showAll="0">
      <items count="4">
        <item x="0"/>
        <item x="2"/>
        <item x="1"/>
        <item t="default"/>
      </items>
    </pivotField>
    <pivotField showAll="0"/>
    <pivotField showAll="0"/>
    <pivotField showAll="0"/>
    <pivotField showAll="0"/>
    <pivotField showAll="0">
      <items count="3">
        <item h="1"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2" hier="-1"/>
  </pageFields>
  <dataFields count="1">
    <dataField name="Active Employees" fld="1"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A67AFD-5B3B-4B80-BD50-7166A4CEEAE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3:H4" firstHeaderRow="1" firstDataRow="1" firstDataCol="0" rowPageCount="1" colPageCount="1"/>
  <pivotFields count="30">
    <pivotField showAll="0"/>
    <pivotField dataField="1" showAll="0"/>
    <pivotField showAll="0"/>
    <pivotField showAll="0">
      <items count="4">
        <item x="0"/>
        <item x="2"/>
        <item x="1"/>
        <item t="default"/>
      </items>
    </pivotField>
    <pivotField showAll="0"/>
    <pivotField showAll="0"/>
    <pivotField showAll="0"/>
    <pivotField showAll="0"/>
    <pivotField axis="axisPage" multipleItemSelectionAllowed="1" showAll="0">
      <items count="3">
        <item h="1"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8" hier="-1"/>
  </pageFields>
  <dataFields count="1">
    <dataField name="Female Employees" fld="1"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1CCCCA-0C03-4469-99D4-BE57453B78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rowPageCount="1" colPageCount="1"/>
  <pivotFields count="3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4">
        <item x="0"/>
        <item x="2"/>
        <item x="1"/>
        <item t="default"/>
      </items>
    </pivotField>
    <pivotField showAll="0"/>
    <pivotField showAll="0"/>
    <pivotField showAll="0"/>
    <pivotField showAll="0"/>
    <pivotField axis="axisPage" multipleItemSelectionAllowed="1" showAll="0">
      <items count="3">
        <item h="1"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8" hier="-1"/>
  </pageFields>
  <dataFields count="1">
    <dataField name="Male Employe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C22E11-557C-45D6-9EC2-D6BDA8A19C4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8:F32" firstHeaderRow="1" firstDataRow="1" firstDataCol="1"/>
  <pivotFields count="30">
    <pivotField showAll="0"/>
    <pivotField dataField="1" showAll="0"/>
    <pivotField showAll="0"/>
    <pivotField showAll="0">
      <items count="4">
        <item x="0"/>
        <item x="2"/>
        <item x="1"/>
        <item t="default"/>
      </items>
    </pivotField>
    <pivotField showAll="0"/>
    <pivotField showAll="0"/>
    <pivotField showAll="0"/>
    <pivotField showAll="0"/>
    <pivotField showAll="0">
      <items count="3">
        <item h="1"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s>
  <rowFields count="1">
    <field x="26"/>
  </rowFields>
  <rowItems count="4">
    <i>
      <x/>
    </i>
    <i>
      <x v="1"/>
    </i>
    <i>
      <x v="2"/>
    </i>
    <i t="grand">
      <x/>
    </i>
  </rowItems>
  <colItems count="1">
    <i/>
  </colItems>
  <dataFields count="1">
    <dataField name="Age Group Distribution" fld="1" subtotal="count" baseField="2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E38CA4-A29D-4D66-881F-878E4BC8DB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0">
    <pivotField showAll="0"/>
    <pivotField dataField="1" showAll="0"/>
    <pivotField showAll="0"/>
    <pivotField showAll="0">
      <items count="4">
        <item x="0"/>
        <item x="2"/>
        <item x="1"/>
        <item t="default"/>
      </items>
    </pivotField>
    <pivotField showAll="0"/>
    <pivotField showAll="0"/>
    <pivotField showAll="0"/>
    <pivotField showAll="0"/>
    <pivotField showAll="0">
      <items count="3">
        <item h="1"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F2FD88-E4E6-47AA-A9E9-61625C455B5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7:F24" firstHeaderRow="1" firstDataRow="1" firstDataCol="1"/>
  <pivotFields count="30">
    <pivotField showAll="0"/>
    <pivotField dataField="1" showAll="0"/>
    <pivotField showAll="0"/>
    <pivotField showAll="0">
      <items count="4">
        <item x="0"/>
        <item x="2"/>
        <item x="1"/>
        <item t="default"/>
      </items>
    </pivotField>
    <pivotField showAll="0"/>
    <pivotField showAll="0"/>
    <pivotField axis="axisRow" showAll="0">
      <items count="7">
        <item x="3"/>
        <item x="5"/>
        <item x="0"/>
        <item x="2"/>
        <item x="1"/>
        <item x="4"/>
        <item t="default"/>
      </items>
    </pivotField>
    <pivotField showAll="0"/>
    <pivotField showAll="0">
      <items count="3">
        <item h="1"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Education Field-wise Employees" fld="1" subtotal="count"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EB126C-3DAD-436E-B119-F4B06344941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27" firstHeaderRow="1" firstDataRow="1" firstDataCol="1"/>
  <pivotFields count="30">
    <pivotField showAll="0"/>
    <pivotField dataField="1" showAll="0"/>
    <pivotField showAll="0"/>
    <pivotField showAll="0">
      <items count="4">
        <item x="0"/>
        <item x="2"/>
        <item x="1"/>
        <item t="default"/>
      </items>
    </pivotField>
    <pivotField showAll="0"/>
    <pivotField showAll="0"/>
    <pivotField showAll="0"/>
    <pivotField showAll="0"/>
    <pivotField showAll="0">
      <items count="3">
        <item h="1" x="0"/>
        <item x="1"/>
        <item t="default"/>
      </items>
    </pivotField>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0">
    <i>
      <x/>
    </i>
    <i>
      <x v="1"/>
    </i>
    <i>
      <x v="2"/>
    </i>
    <i>
      <x v="3"/>
    </i>
    <i>
      <x v="4"/>
    </i>
    <i>
      <x v="5"/>
    </i>
    <i>
      <x v="6"/>
    </i>
    <i>
      <x v="7"/>
    </i>
    <i>
      <x v="8"/>
    </i>
    <i t="grand">
      <x/>
    </i>
  </rowItems>
  <colItems count="1">
    <i/>
  </colItems>
  <dataFields count="1">
    <dataField name="Job Role-wise Employees" fld="1" subtotal="count" baseField="1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2752A5-7A8A-4E57-A56A-2D7E5E7C1B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30">
    <pivotField dataField="1" showAll="0"/>
    <pivotField showAll="0"/>
    <pivotField showAll="0"/>
    <pivotField showAll="0">
      <items count="4">
        <item x="0"/>
        <item x="2"/>
        <item x="1"/>
        <item t="default"/>
      </items>
    </pivotField>
    <pivotField showAll="0"/>
    <pivotField showAll="0"/>
    <pivotField showAll="0"/>
    <pivotField showAll="0"/>
    <pivotField showAll="0">
      <items count="3">
        <item h="1"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Age" fld="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6CAE52-0FC5-4B94-A7BB-724A0DDF82C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9:F19" firstHeaderRow="1" firstDataRow="1" firstDataCol="1" rowPageCount="1" colPageCount="1"/>
  <pivotFields count="30">
    <pivotField showAll="0"/>
    <pivotField dataField="1" showAll="0"/>
    <pivotField axis="axisPage" showAll="0">
      <items count="3">
        <item x="1"/>
        <item x="0"/>
        <item t="default"/>
      </items>
    </pivotField>
    <pivotField showAll="0">
      <items count="4">
        <item x="0"/>
        <item x="2"/>
        <item x="1"/>
        <item t="default"/>
      </items>
    </pivotField>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items count="4">
        <item x="2"/>
        <item x="1"/>
        <item x="0"/>
        <item t="default"/>
      </items>
    </pivotField>
    <pivotField showAll="0"/>
    <pivotField showAll="0">
      <items count="4">
        <item x="1"/>
        <item x="0"/>
        <item x="2"/>
        <item t="default"/>
      </items>
    </pivotField>
  </pivotFields>
  <rowFields count="1">
    <field x="11"/>
  </rowFields>
  <rowItems count="10">
    <i>
      <x/>
    </i>
    <i>
      <x v="1"/>
    </i>
    <i>
      <x v="2"/>
    </i>
    <i>
      <x v="3"/>
    </i>
    <i>
      <x v="4"/>
    </i>
    <i>
      <x v="5"/>
    </i>
    <i>
      <x v="6"/>
    </i>
    <i>
      <x v="7"/>
    </i>
    <i>
      <x v="8"/>
    </i>
    <i t="grand">
      <x/>
    </i>
  </rowItems>
  <colItems count="1">
    <i/>
  </colItems>
  <pageFields count="1">
    <pageField fld="2" item="1" hier="-1"/>
  </pageFields>
  <dataFields count="1">
    <dataField name="Attrition by Job Role" fld="1" subtotal="count" baseField="1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76379E-A72F-461A-8532-C3BA7AAE4A6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B13" firstHeaderRow="1" firstDataRow="1" firstDataCol="1" rowPageCount="1" colPageCount="1"/>
  <pivotFields count="30">
    <pivotField showAll="0"/>
    <pivotField dataField="1" showAll="0"/>
    <pivotField axis="axisPage" showAll="0">
      <items count="3">
        <item x="1"/>
        <item x="0"/>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items count="4">
        <item x="2"/>
        <item x="1"/>
        <item x="0"/>
        <item t="default"/>
      </items>
    </pivotField>
    <pivotField showAll="0"/>
    <pivotField showAll="0">
      <items count="4">
        <item x="1"/>
        <item x="0"/>
        <item x="2"/>
        <item t="default"/>
      </items>
    </pivotField>
  </pivotFields>
  <rowFields count="1">
    <field x="3"/>
  </rowFields>
  <rowItems count="4">
    <i>
      <x/>
    </i>
    <i>
      <x v="1"/>
    </i>
    <i>
      <x v="2"/>
    </i>
    <i t="grand">
      <x/>
    </i>
  </rowItems>
  <colItems count="1">
    <i/>
  </colItems>
  <pageFields count="1">
    <pageField fld="2" item="1" hier="-1"/>
  </pageFields>
  <dataFields count="1">
    <dataField name="Attrition by Department" fld="1" subtotal="count" baseField="3"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6B9393-C561-4F4D-BACF-8506C2B9ED4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B21" firstHeaderRow="1" firstDataRow="1" firstDataCol="1"/>
  <pivotFields count="30">
    <pivotField showAll="0"/>
    <pivotField dataField="1" showAll="0"/>
    <pivotField showAll="0"/>
    <pivotField showAll="0">
      <items count="4">
        <item x="0"/>
        <item x="2"/>
        <item x="1"/>
        <item t="default"/>
      </items>
    </pivotField>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4">
        <item x="2"/>
        <item x="1"/>
        <item x="0"/>
        <item t="default"/>
      </items>
    </pivotField>
    <pivotField showAll="0"/>
    <pivotField showAll="0">
      <items count="4">
        <item x="1"/>
        <item x="0"/>
        <item x="2"/>
        <item t="default"/>
      </items>
    </pivotField>
  </pivotFields>
  <rowFields count="1">
    <field x="26"/>
  </rowFields>
  <rowItems count="4">
    <i>
      <x/>
    </i>
    <i>
      <x v="1"/>
    </i>
    <i>
      <x v="2"/>
    </i>
    <i t="grand">
      <x/>
    </i>
  </rowItems>
  <colItems count="1">
    <i/>
  </colItems>
  <dataFields count="1">
    <dataField name="Attrition by Age Group" fld="1" subtotal="count" baseField="26"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6" count="1" selected="0">
            <x v="0"/>
          </reference>
        </references>
      </pivotArea>
    </chartFormat>
    <chartFormat chart="2" format="7">
      <pivotArea type="data" outline="0" fieldPosition="0">
        <references count="2">
          <reference field="4294967294" count="1" selected="0">
            <x v="0"/>
          </reference>
          <reference field="26" count="1" selected="0">
            <x v="1"/>
          </reference>
        </references>
      </pivotArea>
    </chartFormat>
    <chartFormat chart="2" format="8">
      <pivotArea type="data" outline="0" fieldPosition="0">
        <references count="2">
          <reference field="4294967294" count="1" selected="0">
            <x v="0"/>
          </reference>
          <reference field="26" count="1" selected="0">
            <x v="2"/>
          </reference>
        </references>
      </pivotArea>
    </chartFormat>
    <chartFormat chart="0" format="1">
      <pivotArea type="data" outline="0" fieldPosition="0">
        <references count="2">
          <reference field="4294967294" count="1" selected="0">
            <x v="0"/>
          </reference>
          <reference field="26" count="1" selected="0">
            <x v="0"/>
          </reference>
        </references>
      </pivotArea>
    </chartFormat>
    <chartFormat chart="0" format="2">
      <pivotArea type="data" outline="0" fieldPosition="0">
        <references count="2">
          <reference field="4294967294" count="1" selected="0">
            <x v="0"/>
          </reference>
          <reference field="26" count="1" selected="0">
            <x v="1"/>
          </reference>
        </references>
      </pivotArea>
    </chartFormat>
    <chartFormat chart="0" format="3">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2AEFF4-991D-4987-93DA-7070CD31A88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B28" firstHeaderRow="1" firstDataRow="1" firstDataCol="1"/>
  <pivotFields count="30">
    <pivotField showAll="0"/>
    <pivotField dataField="1" showAll="0"/>
    <pivotField showAll="0">
      <items count="3">
        <item x="1"/>
        <item x="0"/>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axis="axisRow" showAll="0">
      <items count="4">
        <item x="2"/>
        <item x="1"/>
        <item x="0"/>
        <item t="default"/>
      </items>
    </pivotField>
    <pivotField showAll="0"/>
    <pivotField showAll="0">
      <items count="4">
        <item x="1"/>
        <item x="0"/>
        <item x="2"/>
        <item t="default"/>
      </items>
    </pivotField>
  </pivotFields>
  <rowFields count="1">
    <field x="27"/>
  </rowFields>
  <rowItems count="4">
    <i>
      <x/>
    </i>
    <i>
      <x v="1"/>
    </i>
    <i>
      <x v="2"/>
    </i>
    <i t="grand">
      <x/>
    </i>
  </rowItems>
  <colItems count="1">
    <i/>
  </colItems>
  <dataFields count="1">
    <dataField name="Attrition by Income Group" fld="1" subtotal="count" baseField="27"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AB95DF-8F9B-4522-B005-A66A9ECAFFD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rowPageCount="1" colPageCount="1"/>
  <pivotFields count="30">
    <pivotField showAll="0"/>
    <pivotField dataField="1" showAll="0"/>
    <pivotField showAll="0">
      <items count="3">
        <item x="1"/>
        <item x="0"/>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showAll="0">
      <items count="4">
        <item x="2"/>
        <item x="1"/>
        <item x="0"/>
        <item t="default"/>
      </items>
    </pivotField>
    <pivotField showAll="0"/>
    <pivotField showAll="0">
      <items count="4">
        <item x="1"/>
        <item x="0"/>
        <item x="2"/>
        <item t="default"/>
      </items>
    </pivotField>
  </pivotFields>
  <rowItems count="1">
    <i/>
  </rowItems>
  <colItems count="1">
    <i/>
  </colItems>
  <pageFields count="1">
    <pageField fld="26" item="2" hier="-1"/>
  </pageFields>
  <dataFields count="1">
    <dataField name="Attrition by Age Group"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60F4B95-F044-4DF3-8482-5FB02BBD6ED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0">
    <pivotField showAll="0"/>
    <pivotField dataField="1" showAll="0"/>
    <pivotField showAll="0">
      <items count="3">
        <item x="1"/>
        <item x="0"/>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items count="4">
        <item x="2"/>
        <item x="1"/>
        <item x="0"/>
        <item t="default"/>
      </items>
    </pivotField>
    <pivotField showAll="0"/>
    <pivotField showAll="0">
      <items count="4">
        <item x="1"/>
        <item x="0"/>
        <item x="2"/>
        <item t="default"/>
      </items>
    </pivotField>
  </pivotFields>
  <rowItems count="1">
    <i/>
  </rowItems>
  <colItems count="1">
    <i/>
  </colItems>
  <dataFields count="1">
    <dataField name="Total Employe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44B6F68-45DF-4FB4-BAA1-A1F0F6E3733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rowPageCount="1" colPageCount="1"/>
  <pivotFields count="30">
    <pivotField showAll="0"/>
    <pivotField dataField="1" showAll="0"/>
    <pivotField showAll="0">
      <items count="3">
        <item x="1"/>
        <item x="0"/>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items count="4">
        <item x="2"/>
        <item x="1"/>
        <item x="0"/>
        <item t="default"/>
      </items>
    </pivotField>
    <pivotField showAll="0"/>
    <pivotField showAll="0">
      <items count="4">
        <item x="1"/>
        <item x="0"/>
        <item x="2"/>
        <item t="default"/>
      </items>
    </pivotField>
  </pivotFields>
  <rowItems count="1">
    <i/>
  </rowItems>
  <colItems count="1">
    <i/>
  </colItems>
  <pageFields count="1">
    <pageField fld="16" hier="-1"/>
  </pageFields>
  <dataFields count="1">
    <dataField name="Overtime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A9FD943-2494-4D97-8D7E-F684D2D7CE6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4:F28" firstHeaderRow="1" firstDataRow="1" firstDataCol="1" rowPageCount="1" colPageCount="1"/>
  <pivotFields count="30">
    <pivotField showAll="0"/>
    <pivotField dataField="1" showAll="0"/>
    <pivotField axis="axisPage" showAll="0">
      <items count="3">
        <item x="1"/>
        <item x="0"/>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6">
        <item x="0"/>
        <item x="3"/>
        <item x="4"/>
        <item x="9"/>
        <item x="2"/>
        <item x="10"/>
        <item x="8"/>
        <item x="11"/>
        <item x="12"/>
        <item x="5"/>
        <item x="7"/>
        <item x="6"/>
        <item x="1"/>
        <item x="13"/>
        <item x="14"/>
        <item t="default"/>
      </items>
    </pivotField>
    <pivotField showAll="0"/>
    <pivotField showAll="0">
      <items count="4">
        <item h="1" x="0"/>
        <item h="1" x="1"/>
        <item x="2"/>
        <item t="default"/>
      </items>
    </pivotField>
    <pivotField showAll="0">
      <items count="4">
        <item x="2"/>
        <item x="1"/>
        <item x="0"/>
        <item t="default"/>
      </items>
    </pivotField>
    <pivotField showAll="0"/>
    <pivotField axis="axisRow" showAll="0">
      <items count="4">
        <item x="1"/>
        <item x="0"/>
        <item x="2"/>
        <item t="default"/>
      </items>
    </pivotField>
  </pivotFields>
  <rowFields count="1">
    <field x="29"/>
  </rowFields>
  <rowItems count="4">
    <i>
      <x/>
    </i>
    <i>
      <x v="1"/>
    </i>
    <i>
      <x v="2"/>
    </i>
    <i t="grand">
      <x/>
    </i>
  </rowItems>
  <colItems count="1">
    <i/>
  </colItems>
  <pageFields count="1">
    <pageField fld="2" item="1" hier="-1"/>
  </pageFields>
  <dataFields count="1">
    <dataField name="Attrition by Salary Hike" fld="1" subtotal="count" baseField="29"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C4E56EB-541F-48EE-B41E-3832FFCF326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rowPageCount="1" colPageCount="1"/>
  <pivotFields count="30">
    <pivotField showAll="0"/>
    <pivotField dataField="1" showAll="0"/>
    <pivotField axis="axisPage" showAll="0">
      <items count="3">
        <item x="1"/>
        <item x="0"/>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items count="4">
        <item x="2"/>
        <item x="1"/>
        <item x="0"/>
        <item t="default"/>
      </items>
    </pivotField>
    <pivotField showAll="0"/>
    <pivotField showAll="0">
      <items count="4">
        <item x="1"/>
        <item x="0"/>
        <item x="2"/>
        <item t="default"/>
      </items>
    </pivotField>
  </pivotFields>
  <rowItems count="1">
    <i/>
  </rowItems>
  <colItems count="1">
    <i/>
  </colItems>
  <pageFields count="1">
    <pageField fld="2" item="1" hier="-1"/>
  </pageFields>
  <dataFields count="1">
    <dataField name="Total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9A065A1-6588-40C5-B5F4-4BB8BA77FA0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rowPageCount="1" colPageCount="1"/>
  <pivotFields count="30">
    <pivotField showAll="0"/>
    <pivotField dataField="1" showAll="0"/>
    <pivotField showAll="0"/>
    <pivotField showAll="0">
      <items count="4">
        <item x="0"/>
        <item x="2"/>
        <item x="1"/>
        <item t="default"/>
      </items>
    </pivotField>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axis="axisPage"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items count="4">
        <item x="2"/>
        <item x="1"/>
        <item x="0"/>
        <item t="default"/>
      </items>
    </pivotField>
    <pivotField showAll="0"/>
    <pivotField showAll="0">
      <items count="4">
        <item x="1"/>
        <item x="0"/>
        <item x="2"/>
        <item t="default"/>
      </items>
    </pivotField>
  </pivotFields>
  <rowItems count="1">
    <i/>
  </rowItems>
  <colItems count="1">
    <i/>
  </colItems>
  <pageFields count="1">
    <pageField fld="12" item="0" hier="-1"/>
  </pageFields>
  <dataFields count="1">
    <dataField name="Attrition by Low Engagemen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7FF1A4B-2906-4363-9A45-D4FC179AD4A3}" sourceName="Department">
  <pivotTables>
    <pivotTable tabId="2" name="PivotTable11"/>
    <pivotTable tabId="2" name="PivotTable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s>
  <data>
    <tabular pivotCacheId="80235661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A0AA2E-E5CF-44A0-B11C-5649699918BF}" sourceName="Gender">
  <pivotTables>
    <pivotTable tabId="2" name="PivotTable11"/>
    <pivotTable tabId="2" name="PivotTable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s>
  <data>
    <tabular pivotCacheId="802356613">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1EBAEC3F-4900-464B-ABA0-DFA298C120B6}" sourceName="JobRole">
  <pivotTables>
    <pivotTable tabId="2" name="PivotTable11"/>
    <pivotTable tabId="3" name="PivotTable10"/>
    <pivotTable tabId="3" name="PivotTable16"/>
    <pivotTable tabId="3" name="PivotTable17"/>
    <pivotTable tabId="3" name="PivotTable18"/>
    <pivotTable tabId="3" name="PivotTable19"/>
    <pivotTable tabId="3" name="PivotTable20"/>
    <pivotTable tabId="3" name="PivotTable6"/>
    <pivotTable tabId="3" name="PivotTable7"/>
    <pivotTable tabId="3" name="PivotTable8"/>
    <pivotTable tabId="3" name="PivotTable9"/>
    <pivotTable tabId="2" name="PivotTable1"/>
    <pivotTable tabId="2" name="PivotTable12"/>
    <pivotTable tabId="2" name="PivotTable14"/>
    <pivotTable tabId="2" name="PivotTable15"/>
    <pivotTable tabId="2" name="PivotTable2"/>
    <pivotTable tabId="2" name="PivotTable3"/>
    <pivotTable tabId="2" name="PivotTable4"/>
    <pivotTable tabId="2" name="PivotTable5"/>
    <pivotTable tabId="2" name="PivotTable13"/>
  </pivotTables>
  <data>
    <tabular pivotCacheId="802356613">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4084203-8454-4F76-A4B2-265AA24CC3F2}" sourceName="Department">
  <pivotTables>
    <pivotTable tabId="3" name="PivotTable16"/>
    <pivotTable tabId="3" name="PivotTable10"/>
    <pivotTable tabId="3" name="PivotTable17"/>
    <pivotTable tabId="3" name="PivotTable18"/>
    <pivotTable tabId="3" name="PivotTable19"/>
    <pivotTable tabId="3" name="PivotTable20"/>
    <pivotTable tabId="3" name="PivotTable6"/>
    <pivotTable tabId="3" name="PivotTable7"/>
    <pivotTable tabId="3" name="PivotTable8"/>
    <pivotTable tabId="3" name="PivotTable9"/>
  </pivotTables>
  <data>
    <tabular pivotCacheId="802356613">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DD330A52-7271-4898-9C8E-ECA471C6264F}" sourceName="Income Group">
  <pivotTables>
    <pivotTable tabId="3" name="PivotTable16"/>
    <pivotTable tabId="3" name="PivotTable10"/>
    <pivotTable tabId="3" name="PivotTable17"/>
    <pivotTable tabId="3" name="PivotTable18"/>
    <pivotTable tabId="3" name="PivotTable19"/>
    <pivotTable tabId="3" name="PivotTable20"/>
    <pivotTable tabId="3" name="PivotTable6"/>
    <pivotTable tabId="3" name="PivotTable7"/>
    <pivotTable tabId="3" name="PivotTable8"/>
    <pivotTable tabId="3" name="PivotTable9"/>
  </pivotTables>
  <data>
    <tabular pivotCacheId="802356613">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Hike_Group" xr10:uid="{9A765FD4-3F8C-4A27-ABF6-F1547D875755}" sourceName="Salary Hike Group">
  <pivotTables>
    <pivotTable tabId="3" name="PivotTable16"/>
    <pivotTable tabId="3" name="PivotTable10"/>
    <pivotTable tabId="3" name="PivotTable17"/>
    <pivotTable tabId="3" name="PivotTable18"/>
    <pivotTable tabId="3" name="PivotTable19"/>
    <pivotTable tabId="3" name="PivotTable20"/>
    <pivotTable tabId="3" name="PivotTable6"/>
    <pivotTable tabId="3" name="PivotTable7"/>
    <pivotTable tabId="3" name="PivotTable8"/>
    <pivotTable tabId="3" name="PivotTable9"/>
  </pivotTables>
  <data>
    <tabular pivotCacheId="80235661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D327E19-351E-4592-B95C-FA083ADC6D25}" cache="Slicer_Department" caption="Department" style="Slicer Style 1 2" rowHeight="247650"/>
  <slicer name="Gender" xr10:uid="{6040CE2C-E245-4286-A141-EE8D1964153B}" cache="Slicer_Gender" caption="Gender" style="Slicer Style 1 2" rowHeight="247650"/>
  <slicer name="JobRole" xr10:uid="{E1A1BA08-11CF-49AD-8E25-DD6EA2989B60}" cache="Slicer_JobRole" caption="JobRole" style="Slicer Style 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11C88A9-20D9-45CC-8D18-E6DC1DC8030A}" cache="Slicer_Department1" caption="Department" style="Slicer Style 3 2" rowHeight="247650"/>
  <slicer name="Income Group" xr10:uid="{3A2D2ED9-2E15-46B6-B2FB-91B1743A2A73}" cache="Slicer_Income_Group" caption="Income Group" style="Slicer Style 3 2" rowHeight="247650"/>
  <slicer name="Salary Hike Group" xr10:uid="{39DFA01F-E43D-4029-B843-09466A6DFE0C}" cache="Slicer_Salary_Hike_Group" caption="Salary Hike Group" style="Slicer Style 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9F3ECC-F395-4A28-ACE7-F587E8FDD1A7}" name="H_A" displayName="H_A" ref="A1:AD1471" totalsRowShown="0">
  <autoFilter ref="A1:AD1471" xr:uid="{4031B372-6393-4ABB-A9EF-95AFDE08C6D7}"/>
  <tableColumns count="30">
    <tableColumn id="1" xr3:uid="{2DDDBF20-9874-4062-9288-971DFDA05942}" name="Age"/>
    <tableColumn id="30" xr3:uid="{58AC0930-E3C5-49AB-8DFB-31FA3AB40013}" name="EmployeeNumber"/>
    <tableColumn id="2" xr3:uid="{9349552F-16A9-4D46-9D78-923873408761}" name="Attrition"/>
    <tableColumn id="3" xr3:uid="{8C41E5DA-DB3F-4E33-8822-6D4ADB7C47D7}" name="Department"/>
    <tableColumn id="4" xr3:uid="{C2DD7964-DB18-436B-BC10-AD764E3AF5DB}" name="DistanceFromHome"/>
    <tableColumn id="5" xr3:uid="{E52E2D9B-4F0A-4A23-93E7-DE706C053D43}" name="Education"/>
    <tableColumn id="6" xr3:uid="{CA080367-058E-4584-A528-D3831756F20C}" name="EducationField"/>
    <tableColumn id="7" xr3:uid="{EBD0C418-CC1A-462C-908A-727EE3512EC6}" name="EnvironmentSatisfaction"/>
    <tableColumn id="8" xr3:uid="{C8154003-EB74-4D0E-BE98-F3469F094F3F}" name="Gender"/>
    <tableColumn id="9" xr3:uid="{FA54D886-A629-4C3E-9697-FF5B82808E76}" name="JobInvolvement"/>
    <tableColumn id="10" xr3:uid="{CAED845A-F934-4BFF-869E-539844AD791D}" name="JobLevel"/>
    <tableColumn id="11" xr3:uid="{554AEAB3-C2AA-41F8-9829-CB20EF6C58D5}" name="JobRole"/>
    <tableColumn id="12" xr3:uid="{2809B5EE-5437-41C0-985C-98B8A1CF32C2}" name="JobSatisfaction"/>
    <tableColumn id="13" xr3:uid="{DFFCC63A-2D6F-4BD0-8B42-12419FFB81E6}" name="MaritalStatus"/>
    <tableColumn id="14" xr3:uid="{CAED3B67-1629-406C-88D3-48941948C3C0}" name="MonthlyIncome"/>
    <tableColumn id="15" xr3:uid="{09FC467D-4D99-493C-86FB-FCCBE4599741}" name="NumCompaniesWorked"/>
    <tableColumn id="16" xr3:uid="{D2E8CE8D-0F98-4522-9EF2-0770B5C071AD}" name="OverTime"/>
    <tableColumn id="17" xr3:uid="{BAFDD23C-D3F7-49E5-959D-8FA8CA89146A}" name="RelationshipSatisfaction"/>
    <tableColumn id="18" xr3:uid="{085F548C-F171-4B54-9994-C33A4CC0D5AA}" name="TotalWorkingYears"/>
    <tableColumn id="19" xr3:uid="{4C44E869-38D9-48FA-9075-C143DD3565A3}" name="WorkLifeBalance"/>
    <tableColumn id="20" xr3:uid="{3FE20037-D312-4741-836F-AF4FB15A8EC3}" name="YearsAtCompany"/>
    <tableColumn id="21" xr3:uid="{7216BCB7-BEA9-4772-809D-DA3A5C82771F}" name="YearsInCurrentRole"/>
    <tableColumn id="22" xr3:uid="{9F7949B4-2DBA-4541-A66E-FF69437D5908}" name="YearsSinceLastPromotion"/>
    <tableColumn id="23" xr3:uid="{D3F2023A-3C25-4297-9070-ECBC65802B08}" name="YearsWithCurrManager"/>
    <tableColumn id="24" xr3:uid="{A7880FE4-E000-4DBC-BDAE-2CA672B4F8FD}" name="PercentSalaryHike"/>
    <tableColumn id="25" xr3:uid="{9251C049-AA8C-4B94-8477-2D0CF5CA48D3}" name="Attrition Flag" dataDxfId="4">
      <calculatedColumnFormula>IF(H_A[[#This Row],[Attrition]]="Yes",1,0)</calculatedColumnFormula>
    </tableColumn>
    <tableColumn id="26" xr3:uid="{39851A62-4B22-4128-B260-1FDF14E9D757}" name="Age Group" dataDxfId="3">
      <calculatedColumnFormula>IF(H_A[[#This Row],[Age]]&lt;30,"Young",IF(H_A[[#This Row],[Age]]&lt;45,"Mid","Senior"))</calculatedColumnFormula>
    </tableColumn>
    <tableColumn id="27" xr3:uid="{88C1C86D-B52C-4656-A7F0-D264D7031628}" name="Income Group" dataDxfId="2">
      <calculatedColumnFormula>IF(H_A[[#This Row],[MonthlyIncome]]&lt;5000,"Low",IF(H_A[[#This Row],[MonthlyIncome]]&lt;10000,"Medium","High"))</calculatedColumnFormula>
    </tableColumn>
    <tableColumn id="28" xr3:uid="{6029C974-2255-418C-914B-9A53D2E3CB0A}" name="Tenure Group" dataDxfId="1">
      <calculatedColumnFormula>IF(H_A[[#This Row],[YearsAtCompany]]&lt;3,"Early",IF(H_A[[#This Row],[YearsAtCompany]]&lt;7,"Mid","Long"))</calculatedColumnFormula>
    </tableColumn>
    <tableColumn id="29" xr3:uid="{75A52F60-DB13-49BB-ADFA-4FCC93B197D4}" name="Salary Hike Group" dataDxfId="0">
      <calculatedColumnFormula>IF(H_A[[#This Row],[PercentSalaryHike]]&lt;13,"Low",IF(H_A[[#This Row],[PercentSalaryHike]]&lt;18,"Medium","High"))</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2.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FED8-968B-48C5-BB7B-0FDEC0F84ED9}">
  <dimension ref="A1:AO1471"/>
  <sheetViews>
    <sheetView topLeftCell="AC1" zoomScale="134" workbookViewId="0">
      <pane ySplit="1" topLeftCell="A1296" activePane="bottomLeft" state="frozen"/>
      <selection pane="bottomLeft" activeCell="AQ1368" sqref="AQ1368"/>
    </sheetView>
  </sheetViews>
  <sheetFormatPr defaultRowHeight="14.4" x14ac:dyDescent="0.3"/>
  <cols>
    <col min="1" max="1" width="17.88671875" customWidth="1"/>
    <col min="2" max="2" width="18.6640625" bestFit="1" customWidth="1"/>
    <col min="3" max="4" width="21.44140625" bestFit="1" customWidth="1"/>
    <col min="5" max="5" width="19.6640625" bestFit="1" customWidth="1"/>
    <col min="6" max="6" width="15.88671875" bestFit="1" customWidth="1"/>
    <col min="7" max="7" width="24" bestFit="1" customWidth="1"/>
    <col min="8" max="8" width="23.33203125" customWidth="1"/>
    <col min="9" max="9" width="9" customWidth="1"/>
    <col min="10" max="10" width="15.88671875" customWidth="1"/>
    <col min="11" max="11" width="10" customWidth="1"/>
    <col min="12" max="12" width="9.33203125" customWidth="1"/>
    <col min="13" max="13" width="15.6640625" customWidth="1"/>
    <col min="14" max="14" width="14.109375" customWidth="1"/>
    <col min="15" max="15" width="15.6640625" customWidth="1"/>
    <col min="16" max="16" width="22.77734375" customWidth="1"/>
    <col min="17" max="17" width="10.88671875" customWidth="1"/>
    <col min="18" max="18" width="23.33203125" customWidth="1"/>
    <col min="19" max="19" width="18.33203125" customWidth="1"/>
    <col min="20" max="20" width="17" bestFit="1" customWidth="1"/>
    <col min="21" max="21" width="17.109375" bestFit="1" customWidth="1"/>
    <col min="22" max="22" width="19" bestFit="1" customWidth="1"/>
    <col min="23" max="23" width="24.21875" customWidth="1"/>
    <col min="24" max="24" width="22.21875" bestFit="1" customWidth="1"/>
    <col min="28" max="28" width="14.88671875" bestFit="1" customWidth="1"/>
    <col min="29" max="30" width="20.109375" customWidth="1"/>
    <col min="31" max="31" width="18.33203125" bestFit="1" customWidth="1"/>
    <col min="41" max="41" width="10.88671875" bestFit="1" customWidth="1"/>
  </cols>
  <sheetData>
    <row r="1" spans="1:30" x14ac:dyDescent="0.3">
      <c r="A1" t="s">
        <v>0</v>
      </c>
      <c r="B1" t="s">
        <v>29</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row>
    <row r="2" spans="1:30" x14ac:dyDescent="0.3">
      <c r="A2">
        <v>41</v>
      </c>
      <c r="B2">
        <v>1</v>
      </c>
      <c r="C2" t="s">
        <v>30</v>
      </c>
      <c r="D2" t="s">
        <v>31</v>
      </c>
      <c r="E2">
        <v>1</v>
      </c>
      <c r="F2">
        <v>2</v>
      </c>
      <c r="G2" t="s">
        <v>32</v>
      </c>
      <c r="H2">
        <v>2</v>
      </c>
      <c r="I2" t="s">
        <v>33</v>
      </c>
      <c r="J2">
        <v>3</v>
      </c>
      <c r="K2">
        <v>2</v>
      </c>
      <c r="L2" t="s">
        <v>34</v>
      </c>
      <c r="M2">
        <v>4</v>
      </c>
      <c r="N2" t="s">
        <v>35</v>
      </c>
      <c r="O2">
        <v>5993</v>
      </c>
      <c r="P2">
        <v>8</v>
      </c>
      <c r="Q2" t="s">
        <v>30</v>
      </c>
      <c r="R2">
        <v>1</v>
      </c>
      <c r="S2">
        <v>8</v>
      </c>
      <c r="T2">
        <v>1</v>
      </c>
      <c r="U2">
        <v>6</v>
      </c>
      <c r="V2">
        <v>4</v>
      </c>
      <c r="W2">
        <v>0</v>
      </c>
      <c r="X2">
        <v>5</v>
      </c>
      <c r="Y2">
        <v>11</v>
      </c>
      <c r="Z2">
        <f>IF(H_A[[#This Row],[Attrition]]="Yes",1,0)</f>
        <v>1</v>
      </c>
      <c r="AA2" t="str">
        <f>IF(H_A[[#This Row],[Age]]&lt;30,"Young",IF(H_A[[#This Row],[Age]]&lt;45,"Mid","Senior"))</f>
        <v>Mid</v>
      </c>
      <c r="AB2" t="str">
        <f>IF(H_A[[#This Row],[MonthlyIncome]]&lt;5000,"Low",IF(H_A[[#This Row],[MonthlyIncome]]&lt;10000,"Medium","High"))</f>
        <v>Medium</v>
      </c>
      <c r="AC2" t="str">
        <f>IF(H_A[[#This Row],[YearsAtCompany]]&lt;3,"Early",IF(H_A[[#This Row],[YearsAtCompany]]&lt;7,"Mid","Long"))</f>
        <v>Mid</v>
      </c>
      <c r="AD2" t="str">
        <f>IF(H_A[[#This Row],[PercentSalaryHike]]&lt;13,"Low",IF(H_A[[#This Row],[PercentSalaryHike]]&lt;18,"Medium","High"))</f>
        <v>Low</v>
      </c>
    </row>
    <row r="3" spans="1:30" x14ac:dyDescent="0.3">
      <c r="A3">
        <v>49</v>
      </c>
      <c r="B3">
        <v>2</v>
      </c>
      <c r="C3" t="s">
        <v>36</v>
      </c>
      <c r="D3" t="s">
        <v>37</v>
      </c>
      <c r="E3">
        <v>8</v>
      </c>
      <c r="F3">
        <v>1</v>
      </c>
      <c r="G3" t="s">
        <v>32</v>
      </c>
      <c r="H3">
        <v>3</v>
      </c>
      <c r="I3" t="s">
        <v>38</v>
      </c>
      <c r="J3">
        <v>2</v>
      </c>
      <c r="K3">
        <v>2</v>
      </c>
      <c r="L3" t="s">
        <v>39</v>
      </c>
      <c r="M3">
        <v>2</v>
      </c>
      <c r="N3" t="s">
        <v>40</v>
      </c>
      <c r="O3">
        <v>5130</v>
      </c>
      <c r="P3">
        <v>1</v>
      </c>
      <c r="Q3" t="s">
        <v>36</v>
      </c>
      <c r="R3">
        <v>4</v>
      </c>
      <c r="S3">
        <v>10</v>
      </c>
      <c r="T3">
        <v>3</v>
      </c>
      <c r="U3">
        <v>10</v>
      </c>
      <c r="V3">
        <v>7</v>
      </c>
      <c r="W3">
        <v>1</v>
      </c>
      <c r="X3">
        <v>7</v>
      </c>
      <c r="Y3">
        <v>23</v>
      </c>
      <c r="Z3">
        <f>IF(H_A[[#This Row],[Attrition]]="Yes",1,0)</f>
        <v>0</v>
      </c>
      <c r="AA3" t="str">
        <f>IF(H_A[[#This Row],[Age]]&lt;30,"Young",IF(H_A[[#This Row],[Age]]&lt;45,"Mid","Senior"))</f>
        <v>Senior</v>
      </c>
      <c r="AB3" t="str">
        <f>IF(H_A[[#This Row],[MonthlyIncome]]&lt;5000,"Low",IF(H_A[[#This Row],[MonthlyIncome]]&lt;10000,"Medium","High"))</f>
        <v>Medium</v>
      </c>
      <c r="AC3" t="str">
        <f>IF(H_A[[#This Row],[YearsAtCompany]]&lt;3,"Early",IF(H_A[[#This Row],[YearsAtCompany]]&lt;7,"Mid","Long"))</f>
        <v>Long</v>
      </c>
      <c r="AD3" t="str">
        <f>IF(H_A[[#This Row],[PercentSalaryHike]]&lt;13,"Low",IF(H_A[[#This Row],[PercentSalaryHike]]&lt;18,"Medium","High"))</f>
        <v>High</v>
      </c>
    </row>
    <row r="4" spans="1:30" x14ac:dyDescent="0.3">
      <c r="A4">
        <v>37</v>
      </c>
      <c r="B4">
        <v>4</v>
      </c>
      <c r="C4" t="s">
        <v>30</v>
      </c>
      <c r="D4" t="s">
        <v>37</v>
      </c>
      <c r="E4">
        <v>2</v>
      </c>
      <c r="F4">
        <v>2</v>
      </c>
      <c r="G4" t="s">
        <v>41</v>
      </c>
      <c r="H4">
        <v>4</v>
      </c>
      <c r="I4" t="s">
        <v>38</v>
      </c>
      <c r="J4">
        <v>2</v>
      </c>
      <c r="K4">
        <v>1</v>
      </c>
      <c r="L4" t="s">
        <v>42</v>
      </c>
      <c r="M4">
        <v>3</v>
      </c>
      <c r="N4" t="s">
        <v>35</v>
      </c>
      <c r="O4">
        <v>2090</v>
      </c>
      <c r="P4">
        <v>6</v>
      </c>
      <c r="Q4" t="s">
        <v>30</v>
      </c>
      <c r="R4">
        <v>2</v>
      </c>
      <c r="S4">
        <v>7</v>
      </c>
      <c r="T4">
        <v>3</v>
      </c>
      <c r="U4">
        <v>0</v>
      </c>
      <c r="V4">
        <v>0</v>
      </c>
      <c r="W4">
        <v>0</v>
      </c>
      <c r="X4">
        <v>0</v>
      </c>
      <c r="Y4">
        <v>15</v>
      </c>
      <c r="Z4">
        <f>IF(H_A[[#This Row],[Attrition]]="Yes",1,0)</f>
        <v>1</v>
      </c>
      <c r="AA4" t="str">
        <f>IF(H_A[[#This Row],[Age]]&lt;30,"Young",IF(H_A[[#This Row],[Age]]&lt;45,"Mid","Senior"))</f>
        <v>Mid</v>
      </c>
      <c r="AB4" t="str">
        <f>IF(H_A[[#This Row],[MonthlyIncome]]&lt;5000,"Low",IF(H_A[[#This Row],[MonthlyIncome]]&lt;10000,"Medium","High"))</f>
        <v>Low</v>
      </c>
      <c r="AC4" t="str">
        <f>IF(H_A[[#This Row],[YearsAtCompany]]&lt;3,"Early",IF(H_A[[#This Row],[YearsAtCompany]]&lt;7,"Mid","Long"))</f>
        <v>Early</v>
      </c>
      <c r="AD4" t="str">
        <f>IF(H_A[[#This Row],[PercentSalaryHike]]&lt;13,"Low",IF(H_A[[#This Row],[PercentSalaryHike]]&lt;18,"Medium","High"))</f>
        <v>Medium</v>
      </c>
    </row>
    <row r="5" spans="1:30" x14ac:dyDescent="0.3">
      <c r="A5">
        <v>33</v>
      </c>
      <c r="B5">
        <v>5</v>
      </c>
      <c r="C5" t="s">
        <v>36</v>
      </c>
      <c r="D5" t="s">
        <v>37</v>
      </c>
      <c r="E5">
        <v>3</v>
      </c>
      <c r="F5">
        <v>4</v>
      </c>
      <c r="G5" t="s">
        <v>32</v>
      </c>
      <c r="H5">
        <v>4</v>
      </c>
      <c r="I5" t="s">
        <v>33</v>
      </c>
      <c r="J5">
        <v>3</v>
      </c>
      <c r="K5">
        <v>1</v>
      </c>
      <c r="L5" t="s">
        <v>39</v>
      </c>
      <c r="M5">
        <v>3</v>
      </c>
      <c r="N5" t="s">
        <v>40</v>
      </c>
      <c r="O5">
        <v>2909</v>
      </c>
      <c r="P5">
        <v>1</v>
      </c>
      <c r="Q5" t="s">
        <v>30</v>
      </c>
      <c r="R5">
        <v>3</v>
      </c>
      <c r="S5">
        <v>8</v>
      </c>
      <c r="T5">
        <v>3</v>
      </c>
      <c r="U5">
        <v>8</v>
      </c>
      <c r="V5">
        <v>7</v>
      </c>
      <c r="W5">
        <v>3</v>
      </c>
      <c r="X5">
        <v>0</v>
      </c>
      <c r="Y5">
        <v>11</v>
      </c>
      <c r="Z5">
        <f>IF(H_A[[#This Row],[Attrition]]="Yes",1,0)</f>
        <v>0</v>
      </c>
      <c r="AA5" t="str">
        <f>IF(H_A[[#This Row],[Age]]&lt;30,"Young",IF(H_A[[#This Row],[Age]]&lt;45,"Mid","Senior"))</f>
        <v>Mid</v>
      </c>
      <c r="AB5" t="str">
        <f>IF(H_A[[#This Row],[MonthlyIncome]]&lt;5000,"Low",IF(H_A[[#This Row],[MonthlyIncome]]&lt;10000,"Medium","High"))</f>
        <v>Low</v>
      </c>
      <c r="AC5" t="str">
        <f>IF(H_A[[#This Row],[YearsAtCompany]]&lt;3,"Early",IF(H_A[[#This Row],[YearsAtCompany]]&lt;7,"Mid","Long"))</f>
        <v>Long</v>
      </c>
      <c r="AD5" t="str">
        <f>IF(H_A[[#This Row],[PercentSalaryHike]]&lt;13,"Low",IF(H_A[[#This Row],[PercentSalaryHike]]&lt;18,"Medium","High"))</f>
        <v>Low</v>
      </c>
    </row>
    <row r="6" spans="1:30" x14ac:dyDescent="0.3">
      <c r="A6">
        <v>27</v>
      </c>
      <c r="B6">
        <v>7</v>
      </c>
      <c r="C6" t="s">
        <v>36</v>
      </c>
      <c r="D6" t="s">
        <v>37</v>
      </c>
      <c r="E6">
        <v>2</v>
      </c>
      <c r="F6">
        <v>1</v>
      </c>
      <c r="G6" t="s">
        <v>43</v>
      </c>
      <c r="H6">
        <v>1</v>
      </c>
      <c r="I6" t="s">
        <v>38</v>
      </c>
      <c r="J6">
        <v>3</v>
      </c>
      <c r="K6">
        <v>1</v>
      </c>
      <c r="L6" t="s">
        <v>42</v>
      </c>
      <c r="M6">
        <v>2</v>
      </c>
      <c r="N6" t="s">
        <v>40</v>
      </c>
      <c r="O6">
        <v>3468</v>
      </c>
      <c r="P6">
        <v>9</v>
      </c>
      <c r="Q6" t="s">
        <v>36</v>
      </c>
      <c r="R6">
        <v>4</v>
      </c>
      <c r="S6">
        <v>6</v>
      </c>
      <c r="T6">
        <v>3</v>
      </c>
      <c r="U6">
        <v>2</v>
      </c>
      <c r="V6">
        <v>2</v>
      </c>
      <c r="W6">
        <v>2</v>
      </c>
      <c r="X6">
        <v>2</v>
      </c>
      <c r="Y6">
        <v>12</v>
      </c>
      <c r="Z6">
        <f>IF(H_A[[#This Row],[Attrition]]="Yes",1,0)</f>
        <v>0</v>
      </c>
      <c r="AA6" t="str">
        <f>IF(H_A[[#This Row],[Age]]&lt;30,"Young",IF(H_A[[#This Row],[Age]]&lt;45,"Mid","Senior"))</f>
        <v>Young</v>
      </c>
      <c r="AB6" t="str">
        <f>IF(H_A[[#This Row],[MonthlyIncome]]&lt;5000,"Low",IF(H_A[[#This Row],[MonthlyIncome]]&lt;10000,"Medium","High"))</f>
        <v>Low</v>
      </c>
      <c r="AC6" t="str">
        <f>IF(H_A[[#This Row],[YearsAtCompany]]&lt;3,"Early",IF(H_A[[#This Row],[YearsAtCompany]]&lt;7,"Mid","Long"))</f>
        <v>Early</v>
      </c>
      <c r="AD6" t="str">
        <f>IF(H_A[[#This Row],[PercentSalaryHike]]&lt;13,"Low",IF(H_A[[#This Row],[PercentSalaryHike]]&lt;18,"Medium","High"))</f>
        <v>Low</v>
      </c>
    </row>
    <row r="7" spans="1:30" x14ac:dyDescent="0.3">
      <c r="A7">
        <v>32</v>
      </c>
      <c r="B7">
        <v>8</v>
      </c>
      <c r="C7" t="s">
        <v>36</v>
      </c>
      <c r="D7" t="s">
        <v>37</v>
      </c>
      <c r="E7">
        <v>2</v>
      </c>
      <c r="F7">
        <v>2</v>
      </c>
      <c r="G7" t="s">
        <v>32</v>
      </c>
      <c r="H7">
        <v>4</v>
      </c>
      <c r="I7" t="s">
        <v>38</v>
      </c>
      <c r="J7">
        <v>3</v>
      </c>
      <c r="K7">
        <v>1</v>
      </c>
      <c r="L7" t="s">
        <v>42</v>
      </c>
      <c r="M7">
        <v>4</v>
      </c>
      <c r="N7" t="s">
        <v>35</v>
      </c>
      <c r="O7">
        <v>3068</v>
      </c>
      <c r="P7">
        <v>0</v>
      </c>
      <c r="Q7" t="s">
        <v>36</v>
      </c>
      <c r="R7">
        <v>3</v>
      </c>
      <c r="S7">
        <v>8</v>
      </c>
      <c r="T7">
        <v>2</v>
      </c>
      <c r="U7">
        <v>7</v>
      </c>
      <c r="V7">
        <v>7</v>
      </c>
      <c r="W7">
        <v>3</v>
      </c>
      <c r="X7">
        <v>6</v>
      </c>
      <c r="Y7">
        <v>13</v>
      </c>
      <c r="Z7">
        <f>IF(H_A[[#This Row],[Attrition]]="Yes",1,0)</f>
        <v>0</v>
      </c>
      <c r="AA7" t="str">
        <f>IF(H_A[[#This Row],[Age]]&lt;30,"Young",IF(H_A[[#This Row],[Age]]&lt;45,"Mid","Senior"))</f>
        <v>Mid</v>
      </c>
      <c r="AB7" t="str">
        <f>IF(H_A[[#This Row],[MonthlyIncome]]&lt;5000,"Low",IF(H_A[[#This Row],[MonthlyIncome]]&lt;10000,"Medium","High"))</f>
        <v>Low</v>
      </c>
      <c r="AC7" t="str">
        <f>IF(H_A[[#This Row],[YearsAtCompany]]&lt;3,"Early",IF(H_A[[#This Row],[YearsAtCompany]]&lt;7,"Mid","Long"))</f>
        <v>Long</v>
      </c>
      <c r="AD7" t="str">
        <f>IF(H_A[[#This Row],[PercentSalaryHike]]&lt;13,"Low",IF(H_A[[#This Row],[PercentSalaryHike]]&lt;18,"Medium","High"))</f>
        <v>Medium</v>
      </c>
    </row>
    <row r="8" spans="1:30" x14ac:dyDescent="0.3">
      <c r="A8">
        <v>59</v>
      </c>
      <c r="B8">
        <v>10</v>
      </c>
      <c r="C8" t="s">
        <v>36</v>
      </c>
      <c r="D8" t="s">
        <v>37</v>
      </c>
      <c r="E8">
        <v>3</v>
      </c>
      <c r="F8">
        <v>3</v>
      </c>
      <c r="G8" t="s">
        <v>43</v>
      </c>
      <c r="H8">
        <v>3</v>
      </c>
      <c r="I8" t="s">
        <v>33</v>
      </c>
      <c r="J8">
        <v>4</v>
      </c>
      <c r="K8">
        <v>1</v>
      </c>
      <c r="L8" t="s">
        <v>42</v>
      </c>
      <c r="M8">
        <v>1</v>
      </c>
      <c r="N8" t="s">
        <v>40</v>
      </c>
      <c r="O8">
        <v>2670</v>
      </c>
      <c r="P8">
        <v>4</v>
      </c>
      <c r="Q8" t="s">
        <v>30</v>
      </c>
      <c r="R8">
        <v>1</v>
      </c>
      <c r="S8">
        <v>12</v>
      </c>
      <c r="T8">
        <v>2</v>
      </c>
      <c r="U8">
        <v>1</v>
      </c>
      <c r="V8">
        <v>0</v>
      </c>
      <c r="W8">
        <v>0</v>
      </c>
      <c r="X8">
        <v>0</v>
      </c>
      <c r="Y8">
        <v>20</v>
      </c>
      <c r="Z8">
        <f>IF(H_A[[#This Row],[Attrition]]="Yes",1,0)</f>
        <v>0</v>
      </c>
      <c r="AA8" t="str">
        <f>IF(H_A[[#This Row],[Age]]&lt;30,"Young",IF(H_A[[#This Row],[Age]]&lt;45,"Mid","Senior"))</f>
        <v>Senior</v>
      </c>
      <c r="AB8" t="str">
        <f>IF(H_A[[#This Row],[MonthlyIncome]]&lt;5000,"Low",IF(H_A[[#This Row],[MonthlyIncome]]&lt;10000,"Medium","High"))</f>
        <v>Low</v>
      </c>
      <c r="AC8" t="str">
        <f>IF(H_A[[#This Row],[YearsAtCompany]]&lt;3,"Early",IF(H_A[[#This Row],[YearsAtCompany]]&lt;7,"Mid","Long"))</f>
        <v>Early</v>
      </c>
      <c r="AD8" t="str">
        <f>IF(H_A[[#This Row],[PercentSalaryHike]]&lt;13,"Low",IF(H_A[[#This Row],[PercentSalaryHike]]&lt;18,"Medium","High"))</f>
        <v>High</v>
      </c>
    </row>
    <row r="9" spans="1:30" x14ac:dyDescent="0.3">
      <c r="A9">
        <v>30</v>
      </c>
      <c r="B9">
        <v>11</v>
      </c>
      <c r="C9" t="s">
        <v>36</v>
      </c>
      <c r="D9" t="s">
        <v>37</v>
      </c>
      <c r="E9">
        <v>24</v>
      </c>
      <c r="F9">
        <v>1</v>
      </c>
      <c r="G9" t="s">
        <v>32</v>
      </c>
      <c r="H9">
        <v>4</v>
      </c>
      <c r="I9" t="s">
        <v>38</v>
      </c>
      <c r="J9">
        <v>3</v>
      </c>
      <c r="K9">
        <v>1</v>
      </c>
      <c r="L9" t="s">
        <v>42</v>
      </c>
      <c r="M9">
        <v>3</v>
      </c>
      <c r="N9" t="s">
        <v>44</v>
      </c>
      <c r="O9">
        <v>2693</v>
      </c>
      <c r="P9">
        <v>1</v>
      </c>
      <c r="Q9" t="s">
        <v>36</v>
      </c>
      <c r="R9">
        <v>2</v>
      </c>
      <c r="S9">
        <v>1</v>
      </c>
      <c r="T9">
        <v>3</v>
      </c>
      <c r="U9">
        <v>1</v>
      </c>
      <c r="V9">
        <v>0</v>
      </c>
      <c r="W9">
        <v>0</v>
      </c>
      <c r="X9">
        <v>0</v>
      </c>
      <c r="Y9">
        <v>22</v>
      </c>
      <c r="Z9">
        <f>IF(H_A[[#This Row],[Attrition]]="Yes",1,0)</f>
        <v>0</v>
      </c>
      <c r="AA9" t="str">
        <f>IF(H_A[[#This Row],[Age]]&lt;30,"Young",IF(H_A[[#This Row],[Age]]&lt;45,"Mid","Senior"))</f>
        <v>Mid</v>
      </c>
      <c r="AB9" t="str">
        <f>IF(H_A[[#This Row],[MonthlyIncome]]&lt;5000,"Low",IF(H_A[[#This Row],[MonthlyIncome]]&lt;10000,"Medium","High"))</f>
        <v>Low</v>
      </c>
      <c r="AC9" t="str">
        <f>IF(H_A[[#This Row],[YearsAtCompany]]&lt;3,"Early",IF(H_A[[#This Row],[YearsAtCompany]]&lt;7,"Mid","Long"))</f>
        <v>Early</v>
      </c>
      <c r="AD9" t="str">
        <f>IF(H_A[[#This Row],[PercentSalaryHike]]&lt;13,"Low",IF(H_A[[#This Row],[PercentSalaryHike]]&lt;18,"Medium","High"))</f>
        <v>High</v>
      </c>
    </row>
    <row r="10" spans="1:30" x14ac:dyDescent="0.3">
      <c r="A10">
        <v>38</v>
      </c>
      <c r="B10">
        <v>12</v>
      </c>
      <c r="C10" t="s">
        <v>36</v>
      </c>
      <c r="D10" t="s">
        <v>37</v>
      </c>
      <c r="E10">
        <v>23</v>
      </c>
      <c r="F10">
        <v>3</v>
      </c>
      <c r="G10" t="s">
        <v>32</v>
      </c>
      <c r="H10">
        <v>4</v>
      </c>
      <c r="I10" t="s">
        <v>38</v>
      </c>
      <c r="J10">
        <v>2</v>
      </c>
      <c r="K10">
        <v>3</v>
      </c>
      <c r="L10" t="s">
        <v>45</v>
      </c>
      <c r="M10">
        <v>3</v>
      </c>
      <c r="N10" t="s">
        <v>35</v>
      </c>
      <c r="O10">
        <v>9526</v>
      </c>
      <c r="P10">
        <v>0</v>
      </c>
      <c r="Q10" t="s">
        <v>36</v>
      </c>
      <c r="R10">
        <v>2</v>
      </c>
      <c r="S10">
        <v>10</v>
      </c>
      <c r="T10">
        <v>3</v>
      </c>
      <c r="U10">
        <v>9</v>
      </c>
      <c r="V10">
        <v>7</v>
      </c>
      <c r="W10">
        <v>1</v>
      </c>
      <c r="X10">
        <v>8</v>
      </c>
      <c r="Y10">
        <v>21</v>
      </c>
      <c r="Z10">
        <f>IF(H_A[[#This Row],[Attrition]]="Yes",1,0)</f>
        <v>0</v>
      </c>
      <c r="AA10" t="str">
        <f>IF(H_A[[#This Row],[Age]]&lt;30,"Young",IF(H_A[[#This Row],[Age]]&lt;45,"Mid","Senior"))</f>
        <v>Mid</v>
      </c>
      <c r="AB10" t="str">
        <f>IF(H_A[[#This Row],[MonthlyIncome]]&lt;5000,"Low",IF(H_A[[#This Row],[MonthlyIncome]]&lt;10000,"Medium","High"))</f>
        <v>Medium</v>
      </c>
      <c r="AC10" t="str">
        <f>IF(H_A[[#This Row],[YearsAtCompany]]&lt;3,"Early",IF(H_A[[#This Row],[YearsAtCompany]]&lt;7,"Mid","Long"))</f>
        <v>Long</v>
      </c>
      <c r="AD10" t="str">
        <f>IF(H_A[[#This Row],[PercentSalaryHike]]&lt;13,"Low",IF(H_A[[#This Row],[PercentSalaryHike]]&lt;18,"Medium","High"))</f>
        <v>High</v>
      </c>
    </row>
    <row r="11" spans="1:30" x14ac:dyDescent="0.3">
      <c r="A11">
        <v>36</v>
      </c>
      <c r="B11">
        <v>13</v>
      </c>
      <c r="C11" t="s">
        <v>36</v>
      </c>
      <c r="D11" t="s">
        <v>37</v>
      </c>
      <c r="E11">
        <v>27</v>
      </c>
      <c r="F11">
        <v>3</v>
      </c>
      <c r="G11" t="s">
        <v>43</v>
      </c>
      <c r="H11">
        <v>3</v>
      </c>
      <c r="I11" t="s">
        <v>38</v>
      </c>
      <c r="J11">
        <v>3</v>
      </c>
      <c r="K11">
        <v>2</v>
      </c>
      <c r="L11" t="s">
        <v>46</v>
      </c>
      <c r="M11">
        <v>3</v>
      </c>
      <c r="N11" t="s">
        <v>40</v>
      </c>
      <c r="O11">
        <v>5237</v>
      </c>
      <c r="P11">
        <v>6</v>
      </c>
      <c r="Q11" t="s">
        <v>36</v>
      </c>
      <c r="R11">
        <v>2</v>
      </c>
      <c r="S11">
        <v>17</v>
      </c>
      <c r="T11">
        <v>2</v>
      </c>
      <c r="U11">
        <v>7</v>
      </c>
      <c r="V11">
        <v>7</v>
      </c>
      <c r="W11">
        <v>7</v>
      </c>
      <c r="X11">
        <v>7</v>
      </c>
      <c r="Y11">
        <v>13</v>
      </c>
      <c r="Z11">
        <f>IF(H_A[[#This Row],[Attrition]]="Yes",1,0)</f>
        <v>0</v>
      </c>
      <c r="AA11" t="str">
        <f>IF(H_A[[#This Row],[Age]]&lt;30,"Young",IF(H_A[[#This Row],[Age]]&lt;45,"Mid","Senior"))</f>
        <v>Mid</v>
      </c>
      <c r="AB11" t="str">
        <f>IF(H_A[[#This Row],[MonthlyIncome]]&lt;5000,"Low",IF(H_A[[#This Row],[MonthlyIncome]]&lt;10000,"Medium","High"))</f>
        <v>Medium</v>
      </c>
      <c r="AC11" t="str">
        <f>IF(H_A[[#This Row],[YearsAtCompany]]&lt;3,"Early",IF(H_A[[#This Row],[YearsAtCompany]]&lt;7,"Mid","Long"))</f>
        <v>Long</v>
      </c>
      <c r="AD11" t="str">
        <f>IF(H_A[[#This Row],[PercentSalaryHike]]&lt;13,"Low",IF(H_A[[#This Row],[PercentSalaryHike]]&lt;18,"Medium","High"))</f>
        <v>Medium</v>
      </c>
    </row>
    <row r="12" spans="1:30" x14ac:dyDescent="0.3">
      <c r="A12">
        <v>35</v>
      </c>
      <c r="B12">
        <v>14</v>
      </c>
      <c r="C12" t="s">
        <v>36</v>
      </c>
      <c r="D12" t="s">
        <v>37</v>
      </c>
      <c r="E12">
        <v>16</v>
      </c>
      <c r="F12">
        <v>3</v>
      </c>
      <c r="G12" t="s">
        <v>43</v>
      </c>
      <c r="H12">
        <v>1</v>
      </c>
      <c r="I12" t="s">
        <v>38</v>
      </c>
      <c r="J12">
        <v>4</v>
      </c>
      <c r="K12">
        <v>1</v>
      </c>
      <c r="L12" t="s">
        <v>42</v>
      </c>
      <c r="M12">
        <v>2</v>
      </c>
      <c r="N12" t="s">
        <v>40</v>
      </c>
      <c r="O12">
        <v>2426</v>
      </c>
      <c r="P12">
        <v>0</v>
      </c>
      <c r="Q12" t="s">
        <v>36</v>
      </c>
      <c r="R12">
        <v>3</v>
      </c>
      <c r="S12">
        <v>6</v>
      </c>
      <c r="T12">
        <v>3</v>
      </c>
      <c r="U12">
        <v>5</v>
      </c>
      <c r="V12">
        <v>4</v>
      </c>
      <c r="W12">
        <v>0</v>
      </c>
      <c r="X12">
        <v>3</v>
      </c>
      <c r="Y12">
        <v>13</v>
      </c>
      <c r="Z12">
        <f>IF(H_A[[#This Row],[Attrition]]="Yes",1,0)</f>
        <v>0</v>
      </c>
      <c r="AA12" t="str">
        <f>IF(H_A[[#This Row],[Age]]&lt;30,"Young",IF(H_A[[#This Row],[Age]]&lt;45,"Mid","Senior"))</f>
        <v>Mid</v>
      </c>
      <c r="AB12" t="str">
        <f>IF(H_A[[#This Row],[MonthlyIncome]]&lt;5000,"Low",IF(H_A[[#This Row],[MonthlyIncome]]&lt;10000,"Medium","High"))</f>
        <v>Low</v>
      </c>
      <c r="AC12" t="str">
        <f>IF(H_A[[#This Row],[YearsAtCompany]]&lt;3,"Early",IF(H_A[[#This Row],[YearsAtCompany]]&lt;7,"Mid","Long"))</f>
        <v>Mid</v>
      </c>
      <c r="AD12" t="str">
        <f>IF(H_A[[#This Row],[PercentSalaryHike]]&lt;13,"Low",IF(H_A[[#This Row],[PercentSalaryHike]]&lt;18,"Medium","High"))</f>
        <v>Medium</v>
      </c>
    </row>
    <row r="13" spans="1:30" x14ac:dyDescent="0.3">
      <c r="A13">
        <v>29</v>
      </c>
      <c r="B13">
        <v>15</v>
      </c>
      <c r="C13" t="s">
        <v>36</v>
      </c>
      <c r="D13" t="s">
        <v>37</v>
      </c>
      <c r="E13">
        <v>15</v>
      </c>
      <c r="F13">
        <v>2</v>
      </c>
      <c r="G13" t="s">
        <v>32</v>
      </c>
      <c r="H13">
        <v>4</v>
      </c>
      <c r="I13" t="s">
        <v>33</v>
      </c>
      <c r="J13">
        <v>2</v>
      </c>
      <c r="K13">
        <v>2</v>
      </c>
      <c r="L13" t="s">
        <v>42</v>
      </c>
      <c r="M13">
        <v>3</v>
      </c>
      <c r="N13" t="s">
        <v>35</v>
      </c>
      <c r="O13">
        <v>4193</v>
      </c>
      <c r="P13">
        <v>0</v>
      </c>
      <c r="Q13" t="s">
        <v>30</v>
      </c>
      <c r="R13">
        <v>4</v>
      </c>
      <c r="S13">
        <v>10</v>
      </c>
      <c r="T13">
        <v>3</v>
      </c>
      <c r="U13">
        <v>9</v>
      </c>
      <c r="V13">
        <v>5</v>
      </c>
      <c r="W13">
        <v>0</v>
      </c>
      <c r="X13">
        <v>8</v>
      </c>
      <c r="Y13">
        <v>12</v>
      </c>
      <c r="Z13">
        <f>IF(H_A[[#This Row],[Attrition]]="Yes",1,0)</f>
        <v>0</v>
      </c>
      <c r="AA13" t="str">
        <f>IF(H_A[[#This Row],[Age]]&lt;30,"Young",IF(H_A[[#This Row],[Age]]&lt;45,"Mid","Senior"))</f>
        <v>Young</v>
      </c>
      <c r="AB13" t="str">
        <f>IF(H_A[[#This Row],[MonthlyIncome]]&lt;5000,"Low",IF(H_A[[#This Row],[MonthlyIncome]]&lt;10000,"Medium","High"))</f>
        <v>Low</v>
      </c>
      <c r="AC13" t="str">
        <f>IF(H_A[[#This Row],[YearsAtCompany]]&lt;3,"Early",IF(H_A[[#This Row],[YearsAtCompany]]&lt;7,"Mid","Long"))</f>
        <v>Long</v>
      </c>
      <c r="AD13" t="str">
        <f>IF(H_A[[#This Row],[PercentSalaryHike]]&lt;13,"Low",IF(H_A[[#This Row],[PercentSalaryHike]]&lt;18,"Medium","High"))</f>
        <v>Low</v>
      </c>
    </row>
    <row r="14" spans="1:30" x14ac:dyDescent="0.3">
      <c r="A14">
        <v>31</v>
      </c>
      <c r="B14">
        <v>16</v>
      </c>
      <c r="C14" t="s">
        <v>36</v>
      </c>
      <c r="D14" t="s">
        <v>37</v>
      </c>
      <c r="E14">
        <v>26</v>
      </c>
      <c r="F14">
        <v>1</v>
      </c>
      <c r="G14" t="s">
        <v>32</v>
      </c>
      <c r="H14">
        <v>1</v>
      </c>
      <c r="I14" t="s">
        <v>38</v>
      </c>
      <c r="J14">
        <v>3</v>
      </c>
      <c r="K14">
        <v>1</v>
      </c>
      <c r="L14" t="s">
        <v>39</v>
      </c>
      <c r="M14">
        <v>3</v>
      </c>
      <c r="N14" t="s">
        <v>44</v>
      </c>
      <c r="O14">
        <v>2911</v>
      </c>
      <c r="P14">
        <v>1</v>
      </c>
      <c r="Q14" t="s">
        <v>36</v>
      </c>
      <c r="R14">
        <v>4</v>
      </c>
      <c r="S14">
        <v>5</v>
      </c>
      <c r="T14">
        <v>2</v>
      </c>
      <c r="U14">
        <v>5</v>
      </c>
      <c r="V14">
        <v>2</v>
      </c>
      <c r="W14">
        <v>4</v>
      </c>
      <c r="X14">
        <v>3</v>
      </c>
      <c r="Y14">
        <v>17</v>
      </c>
      <c r="Z14">
        <f>IF(H_A[[#This Row],[Attrition]]="Yes",1,0)</f>
        <v>0</v>
      </c>
      <c r="AA14" t="str">
        <f>IF(H_A[[#This Row],[Age]]&lt;30,"Young",IF(H_A[[#This Row],[Age]]&lt;45,"Mid","Senior"))</f>
        <v>Mid</v>
      </c>
      <c r="AB14" t="str">
        <f>IF(H_A[[#This Row],[MonthlyIncome]]&lt;5000,"Low",IF(H_A[[#This Row],[MonthlyIncome]]&lt;10000,"Medium","High"))</f>
        <v>Low</v>
      </c>
      <c r="AC14" t="str">
        <f>IF(H_A[[#This Row],[YearsAtCompany]]&lt;3,"Early",IF(H_A[[#This Row],[YearsAtCompany]]&lt;7,"Mid","Long"))</f>
        <v>Mid</v>
      </c>
      <c r="AD14" t="str">
        <f>IF(H_A[[#This Row],[PercentSalaryHike]]&lt;13,"Low",IF(H_A[[#This Row],[PercentSalaryHike]]&lt;18,"Medium","High"))</f>
        <v>Medium</v>
      </c>
    </row>
    <row r="15" spans="1:30" x14ac:dyDescent="0.3">
      <c r="A15">
        <v>34</v>
      </c>
      <c r="B15">
        <v>18</v>
      </c>
      <c r="C15" t="s">
        <v>36</v>
      </c>
      <c r="D15" t="s">
        <v>37</v>
      </c>
      <c r="E15">
        <v>19</v>
      </c>
      <c r="F15">
        <v>2</v>
      </c>
      <c r="G15" t="s">
        <v>43</v>
      </c>
      <c r="H15">
        <v>2</v>
      </c>
      <c r="I15" t="s">
        <v>38</v>
      </c>
      <c r="J15">
        <v>3</v>
      </c>
      <c r="K15">
        <v>1</v>
      </c>
      <c r="L15" t="s">
        <v>42</v>
      </c>
      <c r="M15">
        <v>4</v>
      </c>
      <c r="N15" t="s">
        <v>44</v>
      </c>
      <c r="O15">
        <v>2661</v>
      </c>
      <c r="P15">
        <v>0</v>
      </c>
      <c r="Q15" t="s">
        <v>36</v>
      </c>
      <c r="R15">
        <v>3</v>
      </c>
      <c r="S15">
        <v>3</v>
      </c>
      <c r="T15">
        <v>3</v>
      </c>
      <c r="U15">
        <v>2</v>
      </c>
      <c r="V15">
        <v>2</v>
      </c>
      <c r="W15">
        <v>1</v>
      </c>
      <c r="X15">
        <v>2</v>
      </c>
      <c r="Y15">
        <v>11</v>
      </c>
      <c r="Z15">
        <f>IF(H_A[[#This Row],[Attrition]]="Yes",1,0)</f>
        <v>0</v>
      </c>
      <c r="AA15" t="str">
        <f>IF(H_A[[#This Row],[Age]]&lt;30,"Young",IF(H_A[[#This Row],[Age]]&lt;45,"Mid","Senior"))</f>
        <v>Mid</v>
      </c>
      <c r="AB15" t="str">
        <f>IF(H_A[[#This Row],[MonthlyIncome]]&lt;5000,"Low",IF(H_A[[#This Row],[MonthlyIncome]]&lt;10000,"Medium","High"))</f>
        <v>Low</v>
      </c>
      <c r="AC15" t="str">
        <f>IF(H_A[[#This Row],[YearsAtCompany]]&lt;3,"Early",IF(H_A[[#This Row],[YearsAtCompany]]&lt;7,"Mid","Long"))</f>
        <v>Early</v>
      </c>
      <c r="AD15" t="str">
        <f>IF(H_A[[#This Row],[PercentSalaryHike]]&lt;13,"Low",IF(H_A[[#This Row],[PercentSalaryHike]]&lt;18,"Medium","High"))</f>
        <v>Low</v>
      </c>
    </row>
    <row r="16" spans="1:30" x14ac:dyDescent="0.3">
      <c r="A16">
        <v>28</v>
      </c>
      <c r="B16">
        <v>19</v>
      </c>
      <c r="C16" t="s">
        <v>30</v>
      </c>
      <c r="D16" t="s">
        <v>37</v>
      </c>
      <c r="E16">
        <v>24</v>
      </c>
      <c r="F16">
        <v>3</v>
      </c>
      <c r="G16" t="s">
        <v>32</v>
      </c>
      <c r="H16">
        <v>3</v>
      </c>
      <c r="I16" t="s">
        <v>38</v>
      </c>
      <c r="J16">
        <v>2</v>
      </c>
      <c r="K16">
        <v>1</v>
      </c>
      <c r="L16" t="s">
        <v>42</v>
      </c>
      <c r="M16">
        <v>3</v>
      </c>
      <c r="N16" t="s">
        <v>35</v>
      </c>
      <c r="O16">
        <v>2028</v>
      </c>
      <c r="P16">
        <v>5</v>
      </c>
      <c r="Q16" t="s">
        <v>30</v>
      </c>
      <c r="R16">
        <v>2</v>
      </c>
      <c r="S16">
        <v>6</v>
      </c>
      <c r="T16">
        <v>3</v>
      </c>
      <c r="U16">
        <v>4</v>
      </c>
      <c r="V16">
        <v>2</v>
      </c>
      <c r="W16">
        <v>0</v>
      </c>
      <c r="X16">
        <v>3</v>
      </c>
      <c r="Y16">
        <v>14</v>
      </c>
      <c r="Z16">
        <f>IF(H_A[[#This Row],[Attrition]]="Yes",1,0)</f>
        <v>1</v>
      </c>
      <c r="AA16" t="str">
        <f>IF(H_A[[#This Row],[Age]]&lt;30,"Young",IF(H_A[[#This Row],[Age]]&lt;45,"Mid","Senior"))</f>
        <v>Young</v>
      </c>
      <c r="AB16" t="str">
        <f>IF(H_A[[#This Row],[MonthlyIncome]]&lt;5000,"Low",IF(H_A[[#This Row],[MonthlyIncome]]&lt;10000,"Medium","High"))</f>
        <v>Low</v>
      </c>
      <c r="AC16" t="str">
        <f>IF(H_A[[#This Row],[YearsAtCompany]]&lt;3,"Early",IF(H_A[[#This Row],[YearsAtCompany]]&lt;7,"Mid","Long"))</f>
        <v>Mid</v>
      </c>
      <c r="AD16" t="str">
        <f>IF(H_A[[#This Row],[PercentSalaryHike]]&lt;13,"Low",IF(H_A[[#This Row],[PercentSalaryHike]]&lt;18,"Medium","High"))</f>
        <v>Medium</v>
      </c>
    </row>
    <row r="17" spans="1:30" x14ac:dyDescent="0.3">
      <c r="A17">
        <v>29</v>
      </c>
      <c r="B17">
        <v>20</v>
      </c>
      <c r="C17" t="s">
        <v>36</v>
      </c>
      <c r="D17" t="s">
        <v>37</v>
      </c>
      <c r="E17">
        <v>21</v>
      </c>
      <c r="F17">
        <v>4</v>
      </c>
      <c r="G17" t="s">
        <v>32</v>
      </c>
      <c r="H17">
        <v>2</v>
      </c>
      <c r="I17" t="s">
        <v>33</v>
      </c>
      <c r="J17">
        <v>4</v>
      </c>
      <c r="K17">
        <v>3</v>
      </c>
      <c r="L17" t="s">
        <v>45</v>
      </c>
      <c r="M17">
        <v>1</v>
      </c>
      <c r="N17" t="s">
        <v>44</v>
      </c>
      <c r="O17">
        <v>9980</v>
      </c>
      <c r="P17">
        <v>1</v>
      </c>
      <c r="Q17" t="s">
        <v>36</v>
      </c>
      <c r="R17">
        <v>3</v>
      </c>
      <c r="S17">
        <v>10</v>
      </c>
      <c r="T17">
        <v>3</v>
      </c>
      <c r="U17">
        <v>10</v>
      </c>
      <c r="V17">
        <v>9</v>
      </c>
      <c r="W17">
        <v>8</v>
      </c>
      <c r="X17">
        <v>8</v>
      </c>
      <c r="Y17">
        <v>11</v>
      </c>
      <c r="Z17">
        <f>IF(H_A[[#This Row],[Attrition]]="Yes",1,0)</f>
        <v>0</v>
      </c>
      <c r="AA17" t="str">
        <f>IF(H_A[[#This Row],[Age]]&lt;30,"Young",IF(H_A[[#This Row],[Age]]&lt;45,"Mid","Senior"))</f>
        <v>Young</v>
      </c>
      <c r="AB17" t="str">
        <f>IF(H_A[[#This Row],[MonthlyIncome]]&lt;5000,"Low",IF(H_A[[#This Row],[MonthlyIncome]]&lt;10000,"Medium","High"))</f>
        <v>Medium</v>
      </c>
      <c r="AC17" t="str">
        <f>IF(H_A[[#This Row],[YearsAtCompany]]&lt;3,"Early",IF(H_A[[#This Row],[YearsAtCompany]]&lt;7,"Mid","Long"))</f>
        <v>Long</v>
      </c>
      <c r="AD17" t="str">
        <f>IF(H_A[[#This Row],[PercentSalaryHike]]&lt;13,"Low",IF(H_A[[#This Row],[PercentSalaryHike]]&lt;18,"Medium","High"))</f>
        <v>Low</v>
      </c>
    </row>
    <row r="18" spans="1:30" x14ac:dyDescent="0.3">
      <c r="A18">
        <v>32</v>
      </c>
      <c r="B18">
        <v>21</v>
      </c>
      <c r="C18" t="s">
        <v>36</v>
      </c>
      <c r="D18" t="s">
        <v>37</v>
      </c>
      <c r="E18">
        <v>5</v>
      </c>
      <c r="F18">
        <v>2</v>
      </c>
      <c r="G18" t="s">
        <v>32</v>
      </c>
      <c r="H18">
        <v>1</v>
      </c>
      <c r="I18" t="s">
        <v>38</v>
      </c>
      <c r="J18">
        <v>4</v>
      </c>
      <c r="K18">
        <v>1</v>
      </c>
      <c r="L18" t="s">
        <v>39</v>
      </c>
      <c r="M18">
        <v>2</v>
      </c>
      <c r="N18" t="s">
        <v>44</v>
      </c>
      <c r="O18">
        <v>3298</v>
      </c>
      <c r="P18">
        <v>0</v>
      </c>
      <c r="Q18" t="s">
        <v>30</v>
      </c>
      <c r="R18">
        <v>4</v>
      </c>
      <c r="S18">
        <v>7</v>
      </c>
      <c r="T18">
        <v>2</v>
      </c>
      <c r="U18">
        <v>6</v>
      </c>
      <c r="V18">
        <v>2</v>
      </c>
      <c r="W18">
        <v>0</v>
      </c>
      <c r="X18">
        <v>5</v>
      </c>
      <c r="Y18">
        <v>12</v>
      </c>
      <c r="Z18">
        <f>IF(H_A[[#This Row],[Attrition]]="Yes",1,0)</f>
        <v>0</v>
      </c>
      <c r="AA18" t="str">
        <f>IF(H_A[[#This Row],[Age]]&lt;30,"Young",IF(H_A[[#This Row],[Age]]&lt;45,"Mid","Senior"))</f>
        <v>Mid</v>
      </c>
      <c r="AB18" t="str">
        <f>IF(H_A[[#This Row],[MonthlyIncome]]&lt;5000,"Low",IF(H_A[[#This Row],[MonthlyIncome]]&lt;10000,"Medium","High"))</f>
        <v>Low</v>
      </c>
      <c r="AC18" t="str">
        <f>IF(H_A[[#This Row],[YearsAtCompany]]&lt;3,"Early",IF(H_A[[#This Row],[YearsAtCompany]]&lt;7,"Mid","Long"))</f>
        <v>Mid</v>
      </c>
      <c r="AD18" t="str">
        <f>IF(H_A[[#This Row],[PercentSalaryHike]]&lt;13,"Low",IF(H_A[[#This Row],[PercentSalaryHike]]&lt;18,"Medium","High"))</f>
        <v>Low</v>
      </c>
    </row>
    <row r="19" spans="1:30" x14ac:dyDescent="0.3">
      <c r="A19">
        <v>22</v>
      </c>
      <c r="B19">
        <v>22</v>
      </c>
      <c r="C19" t="s">
        <v>36</v>
      </c>
      <c r="D19" t="s">
        <v>37</v>
      </c>
      <c r="E19">
        <v>16</v>
      </c>
      <c r="F19">
        <v>2</v>
      </c>
      <c r="G19" t="s">
        <v>43</v>
      </c>
      <c r="H19">
        <v>4</v>
      </c>
      <c r="I19" t="s">
        <v>38</v>
      </c>
      <c r="J19">
        <v>4</v>
      </c>
      <c r="K19">
        <v>1</v>
      </c>
      <c r="L19" t="s">
        <v>42</v>
      </c>
      <c r="M19">
        <v>4</v>
      </c>
      <c r="N19" t="s">
        <v>44</v>
      </c>
      <c r="O19">
        <v>2935</v>
      </c>
      <c r="P19">
        <v>1</v>
      </c>
      <c r="Q19" t="s">
        <v>30</v>
      </c>
      <c r="R19">
        <v>2</v>
      </c>
      <c r="S19">
        <v>1</v>
      </c>
      <c r="T19">
        <v>2</v>
      </c>
      <c r="U19">
        <v>1</v>
      </c>
      <c r="V19">
        <v>0</v>
      </c>
      <c r="W19">
        <v>0</v>
      </c>
      <c r="X19">
        <v>0</v>
      </c>
      <c r="Y19">
        <v>13</v>
      </c>
      <c r="Z19">
        <f>IF(H_A[[#This Row],[Attrition]]="Yes",1,0)</f>
        <v>0</v>
      </c>
      <c r="AA19" t="str">
        <f>IF(H_A[[#This Row],[Age]]&lt;30,"Young",IF(H_A[[#This Row],[Age]]&lt;45,"Mid","Senior"))</f>
        <v>Young</v>
      </c>
      <c r="AB19" t="str">
        <f>IF(H_A[[#This Row],[MonthlyIncome]]&lt;5000,"Low",IF(H_A[[#This Row],[MonthlyIncome]]&lt;10000,"Medium","High"))</f>
        <v>Low</v>
      </c>
      <c r="AC19" t="str">
        <f>IF(H_A[[#This Row],[YearsAtCompany]]&lt;3,"Early",IF(H_A[[#This Row],[YearsAtCompany]]&lt;7,"Mid","Long"))</f>
        <v>Early</v>
      </c>
      <c r="AD19" t="str">
        <f>IF(H_A[[#This Row],[PercentSalaryHike]]&lt;13,"Low",IF(H_A[[#This Row],[PercentSalaryHike]]&lt;18,"Medium","High"))</f>
        <v>Medium</v>
      </c>
    </row>
    <row r="20" spans="1:30" x14ac:dyDescent="0.3">
      <c r="A20">
        <v>53</v>
      </c>
      <c r="B20">
        <v>23</v>
      </c>
      <c r="C20" t="s">
        <v>36</v>
      </c>
      <c r="D20" t="s">
        <v>31</v>
      </c>
      <c r="E20">
        <v>2</v>
      </c>
      <c r="F20">
        <v>4</v>
      </c>
      <c r="G20" t="s">
        <v>32</v>
      </c>
      <c r="H20">
        <v>1</v>
      </c>
      <c r="I20" t="s">
        <v>33</v>
      </c>
      <c r="J20">
        <v>2</v>
      </c>
      <c r="K20">
        <v>4</v>
      </c>
      <c r="L20" t="s">
        <v>47</v>
      </c>
      <c r="M20">
        <v>4</v>
      </c>
      <c r="N20" t="s">
        <v>40</v>
      </c>
      <c r="O20">
        <v>15427</v>
      </c>
      <c r="P20">
        <v>2</v>
      </c>
      <c r="Q20" t="s">
        <v>36</v>
      </c>
      <c r="R20">
        <v>3</v>
      </c>
      <c r="S20">
        <v>31</v>
      </c>
      <c r="T20">
        <v>3</v>
      </c>
      <c r="U20">
        <v>25</v>
      </c>
      <c r="V20">
        <v>8</v>
      </c>
      <c r="W20">
        <v>3</v>
      </c>
      <c r="X20">
        <v>7</v>
      </c>
      <c r="Y20">
        <v>16</v>
      </c>
      <c r="Z20">
        <f>IF(H_A[[#This Row],[Attrition]]="Yes",1,0)</f>
        <v>0</v>
      </c>
      <c r="AA20" t="str">
        <f>IF(H_A[[#This Row],[Age]]&lt;30,"Young",IF(H_A[[#This Row],[Age]]&lt;45,"Mid","Senior"))</f>
        <v>Senior</v>
      </c>
      <c r="AB20" t="str">
        <f>IF(H_A[[#This Row],[MonthlyIncome]]&lt;5000,"Low",IF(H_A[[#This Row],[MonthlyIncome]]&lt;10000,"Medium","High"))</f>
        <v>High</v>
      </c>
      <c r="AC20" t="str">
        <f>IF(H_A[[#This Row],[YearsAtCompany]]&lt;3,"Early",IF(H_A[[#This Row],[YearsAtCompany]]&lt;7,"Mid","Long"))</f>
        <v>Long</v>
      </c>
      <c r="AD20" t="str">
        <f>IF(H_A[[#This Row],[PercentSalaryHike]]&lt;13,"Low",IF(H_A[[#This Row],[PercentSalaryHike]]&lt;18,"Medium","High"))</f>
        <v>Medium</v>
      </c>
    </row>
    <row r="21" spans="1:30" x14ac:dyDescent="0.3">
      <c r="A21">
        <v>38</v>
      </c>
      <c r="B21">
        <v>24</v>
      </c>
      <c r="C21" t="s">
        <v>36</v>
      </c>
      <c r="D21" t="s">
        <v>37</v>
      </c>
      <c r="E21">
        <v>2</v>
      </c>
      <c r="F21">
        <v>3</v>
      </c>
      <c r="G21" t="s">
        <v>32</v>
      </c>
      <c r="H21">
        <v>4</v>
      </c>
      <c r="I21" t="s">
        <v>38</v>
      </c>
      <c r="J21">
        <v>3</v>
      </c>
      <c r="K21">
        <v>1</v>
      </c>
      <c r="L21" t="s">
        <v>39</v>
      </c>
      <c r="M21">
        <v>4</v>
      </c>
      <c r="N21" t="s">
        <v>35</v>
      </c>
      <c r="O21">
        <v>3944</v>
      </c>
      <c r="P21">
        <v>5</v>
      </c>
      <c r="Q21" t="s">
        <v>30</v>
      </c>
      <c r="R21">
        <v>3</v>
      </c>
      <c r="S21">
        <v>6</v>
      </c>
      <c r="T21">
        <v>3</v>
      </c>
      <c r="U21">
        <v>3</v>
      </c>
      <c r="V21">
        <v>2</v>
      </c>
      <c r="W21">
        <v>1</v>
      </c>
      <c r="X21">
        <v>2</v>
      </c>
      <c r="Y21">
        <v>11</v>
      </c>
      <c r="Z21">
        <f>IF(H_A[[#This Row],[Attrition]]="Yes",1,0)</f>
        <v>0</v>
      </c>
      <c r="AA21" t="str">
        <f>IF(H_A[[#This Row],[Age]]&lt;30,"Young",IF(H_A[[#This Row],[Age]]&lt;45,"Mid","Senior"))</f>
        <v>Mid</v>
      </c>
      <c r="AB21" t="str">
        <f>IF(H_A[[#This Row],[MonthlyIncome]]&lt;5000,"Low",IF(H_A[[#This Row],[MonthlyIncome]]&lt;10000,"Medium","High"))</f>
        <v>Low</v>
      </c>
      <c r="AC21" t="str">
        <f>IF(H_A[[#This Row],[YearsAtCompany]]&lt;3,"Early",IF(H_A[[#This Row],[YearsAtCompany]]&lt;7,"Mid","Long"))</f>
        <v>Mid</v>
      </c>
      <c r="AD21" t="str">
        <f>IF(H_A[[#This Row],[PercentSalaryHike]]&lt;13,"Low",IF(H_A[[#This Row],[PercentSalaryHike]]&lt;18,"Medium","High"))</f>
        <v>Low</v>
      </c>
    </row>
    <row r="22" spans="1:30" x14ac:dyDescent="0.3">
      <c r="A22">
        <v>24</v>
      </c>
      <c r="B22">
        <v>26</v>
      </c>
      <c r="C22" t="s">
        <v>36</v>
      </c>
      <c r="D22" t="s">
        <v>37</v>
      </c>
      <c r="E22">
        <v>11</v>
      </c>
      <c r="F22">
        <v>2</v>
      </c>
      <c r="G22" t="s">
        <v>41</v>
      </c>
      <c r="H22">
        <v>1</v>
      </c>
      <c r="I22" t="s">
        <v>33</v>
      </c>
      <c r="J22">
        <v>4</v>
      </c>
      <c r="K22">
        <v>2</v>
      </c>
      <c r="L22" t="s">
        <v>45</v>
      </c>
      <c r="M22">
        <v>3</v>
      </c>
      <c r="N22" t="s">
        <v>44</v>
      </c>
      <c r="O22">
        <v>4011</v>
      </c>
      <c r="P22">
        <v>0</v>
      </c>
      <c r="Q22" t="s">
        <v>36</v>
      </c>
      <c r="R22">
        <v>4</v>
      </c>
      <c r="S22">
        <v>5</v>
      </c>
      <c r="T22">
        <v>2</v>
      </c>
      <c r="U22">
        <v>4</v>
      </c>
      <c r="V22">
        <v>2</v>
      </c>
      <c r="W22">
        <v>1</v>
      </c>
      <c r="X22">
        <v>3</v>
      </c>
      <c r="Y22">
        <v>18</v>
      </c>
      <c r="Z22">
        <f>IF(H_A[[#This Row],[Attrition]]="Yes",1,0)</f>
        <v>0</v>
      </c>
      <c r="AA22" t="str">
        <f>IF(H_A[[#This Row],[Age]]&lt;30,"Young",IF(H_A[[#This Row],[Age]]&lt;45,"Mid","Senior"))</f>
        <v>Young</v>
      </c>
      <c r="AB22" t="str">
        <f>IF(H_A[[#This Row],[MonthlyIncome]]&lt;5000,"Low",IF(H_A[[#This Row],[MonthlyIncome]]&lt;10000,"Medium","High"))</f>
        <v>Low</v>
      </c>
      <c r="AC22" t="str">
        <f>IF(H_A[[#This Row],[YearsAtCompany]]&lt;3,"Early",IF(H_A[[#This Row],[YearsAtCompany]]&lt;7,"Mid","Long"))</f>
        <v>Mid</v>
      </c>
      <c r="AD22" t="str">
        <f>IF(H_A[[#This Row],[PercentSalaryHike]]&lt;13,"Low",IF(H_A[[#This Row],[PercentSalaryHike]]&lt;18,"Medium","High"))</f>
        <v>High</v>
      </c>
    </row>
    <row r="23" spans="1:30" x14ac:dyDescent="0.3">
      <c r="A23">
        <v>36</v>
      </c>
      <c r="B23">
        <v>27</v>
      </c>
      <c r="C23" t="s">
        <v>30</v>
      </c>
      <c r="D23" t="s">
        <v>31</v>
      </c>
      <c r="E23">
        <v>9</v>
      </c>
      <c r="F23">
        <v>4</v>
      </c>
      <c r="G23" t="s">
        <v>32</v>
      </c>
      <c r="H23">
        <v>3</v>
      </c>
      <c r="I23" t="s">
        <v>38</v>
      </c>
      <c r="J23">
        <v>2</v>
      </c>
      <c r="K23">
        <v>1</v>
      </c>
      <c r="L23" t="s">
        <v>48</v>
      </c>
      <c r="M23">
        <v>1</v>
      </c>
      <c r="N23" t="s">
        <v>35</v>
      </c>
      <c r="O23">
        <v>3407</v>
      </c>
      <c r="P23">
        <v>7</v>
      </c>
      <c r="Q23" t="s">
        <v>36</v>
      </c>
      <c r="R23">
        <v>2</v>
      </c>
      <c r="S23">
        <v>10</v>
      </c>
      <c r="T23">
        <v>3</v>
      </c>
      <c r="U23">
        <v>5</v>
      </c>
      <c r="V23">
        <v>3</v>
      </c>
      <c r="W23">
        <v>0</v>
      </c>
      <c r="X23">
        <v>3</v>
      </c>
      <c r="Y23">
        <v>23</v>
      </c>
      <c r="Z23">
        <f>IF(H_A[[#This Row],[Attrition]]="Yes",1,0)</f>
        <v>1</v>
      </c>
      <c r="AA23" t="str">
        <f>IF(H_A[[#This Row],[Age]]&lt;30,"Young",IF(H_A[[#This Row],[Age]]&lt;45,"Mid","Senior"))</f>
        <v>Mid</v>
      </c>
      <c r="AB23" t="str">
        <f>IF(H_A[[#This Row],[MonthlyIncome]]&lt;5000,"Low",IF(H_A[[#This Row],[MonthlyIncome]]&lt;10000,"Medium","High"))</f>
        <v>Low</v>
      </c>
      <c r="AC23" t="str">
        <f>IF(H_A[[#This Row],[YearsAtCompany]]&lt;3,"Early",IF(H_A[[#This Row],[YearsAtCompany]]&lt;7,"Mid","Long"))</f>
        <v>Mid</v>
      </c>
      <c r="AD23" t="str">
        <f>IF(H_A[[#This Row],[PercentSalaryHike]]&lt;13,"Low",IF(H_A[[#This Row],[PercentSalaryHike]]&lt;18,"Medium","High"))</f>
        <v>High</v>
      </c>
    </row>
    <row r="24" spans="1:30" x14ac:dyDescent="0.3">
      <c r="A24">
        <v>34</v>
      </c>
      <c r="B24">
        <v>28</v>
      </c>
      <c r="C24" t="s">
        <v>36</v>
      </c>
      <c r="D24" t="s">
        <v>37</v>
      </c>
      <c r="E24">
        <v>7</v>
      </c>
      <c r="F24">
        <v>4</v>
      </c>
      <c r="G24" t="s">
        <v>32</v>
      </c>
      <c r="H24">
        <v>1</v>
      </c>
      <c r="I24" t="s">
        <v>33</v>
      </c>
      <c r="J24">
        <v>3</v>
      </c>
      <c r="K24">
        <v>3</v>
      </c>
      <c r="L24" t="s">
        <v>49</v>
      </c>
      <c r="M24">
        <v>2</v>
      </c>
      <c r="N24" t="s">
        <v>35</v>
      </c>
      <c r="O24">
        <v>11994</v>
      </c>
      <c r="P24">
        <v>0</v>
      </c>
      <c r="Q24" t="s">
        <v>36</v>
      </c>
      <c r="R24">
        <v>3</v>
      </c>
      <c r="S24">
        <v>13</v>
      </c>
      <c r="T24">
        <v>3</v>
      </c>
      <c r="U24">
        <v>12</v>
      </c>
      <c r="V24">
        <v>6</v>
      </c>
      <c r="W24">
        <v>2</v>
      </c>
      <c r="X24">
        <v>11</v>
      </c>
      <c r="Y24">
        <v>11</v>
      </c>
      <c r="Z24">
        <f>IF(H_A[[#This Row],[Attrition]]="Yes",1,0)</f>
        <v>0</v>
      </c>
      <c r="AA24" t="str">
        <f>IF(H_A[[#This Row],[Age]]&lt;30,"Young",IF(H_A[[#This Row],[Age]]&lt;45,"Mid","Senior"))</f>
        <v>Mid</v>
      </c>
      <c r="AB24" t="str">
        <f>IF(H_A[[#This Row],[MonthlyIncome]]&lt;5000,"Low",IF(H_A[[#This Row],[MonthlyIncome]]&lt;10000,"Medium","High"))</f>
        <v>High</v>
      </c>
      <c r="AC24" t="str">
        <f>IF(H_A[[#This Row],[YearsAtCompany]]&lt;3,"Early",IF(H_A[[#This Row],[YearsAtCompany]]&lt;7,"Mid","Long"))</f>
        <v>Long</v>
      </c>
      <c r="AD24" t="str">
        <f>IF(H_A[[#This Row],[PercentSalaryHike]]&lt;13,"Low",IF(H_A[[#This Row],[PercentSalaryHike]]&lt;18,"Medium","High"))</f>
        <v>Low</v>
      </c>
    </row>
    <row r="25" spans="1:30" x14ac:dyDescent="0.3">
      <c r="A25">
        <v>21</v>
      </c>
      <c r="B25">
        <v>30</v>
      </c>
      <c r="C25" t="s">
        <v>36</v>
      </c>
      <c r="D25" t="s">
        <v>37</v>
      </c>
      <c r="E25">
        <v>15</v>
      </c>
      <c r="F25">
        <v>2</v>
      </c>
      <c r="G25" t="s">
        <v>32</v>
      </c>
      <c r="H25">
        <v>3</v>
      </c>
      <c r="I25" t="s">
        <v>38</v>
      </c>
      <c r="J25">
        <v>3</v>
      </c>
      <c r="K25">
        <v>1</v>
      </c>
      <c r="L25" t="s">
        <v>39</v>
      </c>
      <c r="M25">
        <v>4</v>
      </c>
      <c r="N25" t="s">
        <v>35</v>
      </c>
      <c r="O25">
        <v>1232</v>
      </c>
      <c r="P25">
        <v>1</v>
      </c>
      <c r="Q25" t="s">
        <v>36</v>
      </c>
      <c r="R25">
        <v>4</v>
      </c>
      <c r="S25">
        <v>0</v>
      </c>
      <c r="T25">
        <v>3</v>
      </c>
      <c r="U25">
        <v>0</v>
      </c>
      <c r="V25">
        <v>0</v>
      </c>
      <c r="W25">
        <v>0</v>
      </c>
      <c r="X25">
        <v>0</v>
      </c>
      <c r="Y25">
        <v>14</v>
      </c>
      <c r="Z25">
        <f>IF(H_A[[#This Row],[Attrition]]="Yes",1,0)</f>
        <v>0</v>
      </c>
      <c r="AA25" t="str">
        <f>IF(H_A[[#This Row],[Age]]&lt;30,"Young",IF(H_A[[#This Row],[Age]]&lt;45,"Mid","Senior"))</f>
        <v>Young</v>
      </c>
      <c r="AB25" t="str">
        <f>IF(H_A[[#This Row],[MonthlyIncome]]&lt;5000,"Low",IF(H_A[[#This Row],[MonthlyIncome]]&lt;10000,"Medium","High"))</f>
        <v>Low</v>
      </c>
      <c r="AC25" t="str">
        <f>IF(H_A[[#This Row],[YearsAtCompany]]&lt;3,"Early",IF(H_A[[#This Row],[YearsAtCompany]]&lt;7,"Mid","Long"))</f>
        <v>Early</v>
      </c>
      <c r="AD25" t="str">
        <f>IF(H_A[[#This Row],[PercentSalaryHike]]&lt;13,"Low",IF(H_A[[#This Row],[PercentSalaryHike]]&lt;18,"Medium","High"))</f>
        <v>Medium</v>
      </c>
    </row>
    <row r="26" spans="1:30" x14ac:dyDescent="0.3">
      <c r="A26">
        <v>34</v>
      </c>
      <c r="B26">
        <v>31</v>
      </c>
      <c r="C26" t="s">
        <v>30</v>
      </c>
      <c r="D26" t="s">
        <v>37</v>
      </c>
      <c r="E26">
        <v>6</v>
      </c>
      <c r="F26">
        <v>1</v>
      </c>
      <c r="G26" t="s">
        <v>43</v>
      </c>
      <c r="H26">
        <v>2</v>
      </c>
      <c r="I26" t="s">
        <v>38</v>
      </c>
      <c r="J26">
        <v>3</v>
      </c>
      <c r="K26">
        <v>1</v>
      </c>
      <c r="L26" t="s">
        <v>39</v>
      </c>
      <c r="M26">
        <v>1</v>
      </c>
      <c r="N26" t="s">
        <v>35</v>
      </c>
      <c r="O26">
        <v>2960</v>
      </c>
      <c r="P26">
        <v>2</v>
      </c>
      <c r="Q26" t="s">
        <v>36</v>
      </c>
      <c r="R26">
        <v>3</v>
      </c>
      <c r="S26">
        <v>8</v>
      </c>
      <c r="T26">
        <v>3</v>
      </c>
      <c r="U26">
        <v>4</v>
      </c>
      <c r="V26">
        <v>2</v>
      </c>
      <c r="W26">
        <v>1</v>
      </c>
      <c r="X26">
        <v>3</v>
      </c>
      <c r="Y26">
        <v>11</v>
      </c>
      <c r="Z26">
        <f>IF(H_A[[#This Row],[Attrition]]="Yes",1,0)</f>
        <v>1</v>
      </c>
      <c r="AA26" t="str">
        <f>IF(H_A[[#This Row],[Age]]&lt;30,"Young",IF(H_A[[#This Row],[Age]]&lt;45,"Mid","Senior"))</f>
        <v>Mid</v>
      </c>
      <c r="AB26" t="str">
        <f>IF(H_A[[#This Row],[MonthlyIncome]]&lt;5000,"Low",IF(H_A[[#This Row],[MonthlyIncome]]&lt;10000,"Medium","High"))</f>
        <v>Low</v>
      </c>
      <c r="AC26" t="str">
        <f>IF(H_A[[#This Row],[YearsAtCompany]]&lt;3,"Early",IF(H_A[[#This Row],[YearsAtCompany]]&lt;7,"Mid","Long"))</f>
        <v>Mid</v>
      </c>
      <c r="AD26" t="str">
        <f>IF(H_A[[#This Row],[PercentSalaryHike]]&lt;13,"Low",IF(H_A[[#This Row],[PercentSalaryHike]]&lt;18,"Medium","High"))</f>
        <v>Low</v>
      </c>
    </row>
    <row r="27" spans="1:30" x14ac:dyDescent="0.3">
      <c r="A27">
        <v>53</v>
      </c>
      <c r="B27">
        <v>32</v>
      </c>
      <c r="C27" t="s">
        <v>36</v>
      </c>
      <c r="D27" t="s">
        <v>37</v>
      </c>
      <c r="E27">
        <v>5</v>
      </c>
      <c r="F27">
        <v>3</v>
      </c>
      <c r="G27" t="s">
        <v>41</v>
      </c>
      <c r="H27">
        <v>3</v>
      </c>
      <c r="I27" t="s">
        <v>33</v>
      </c>
      <c r="J27">
        <v>3</v>
      </c>
      <c r="K27">
        <v>5</v>
      </c>
      <c r="L27" t="s">
        <v>47</v>
      </c>
      <c r="M27">
        <v>3</v>
      </c>
      <c r="N27" t="s">
        <v>44</v>
      </c>
      <c r="O27">
        <v>19094</v>
      </c>
      <c r="P27">
        <v>4</v>
      </c>
      <c r="Q27" t="s">
        <v>36</v>
      </c>
      <c r="R27">
        <v>4</v>
      </c>
      <c r="S27">
        <v>26</v>
      </c>
      <c r="T27">
        <v>2</v>
      </c>
      <c r="U27">
        <v>14</v>
      </c>
      <c r="V27">
        <v>13</v>
      </c>
      <c r="W27">
        <v>4</v>
      </c>
      <c r="X27">
        <v>8</v>
      </c>
      <c r="Y27">
        <v>11</v>
      </c>
      <c r="Z27">
        <f>IF(H_A[[#This Row],[Attrition]]="Yes",1,0)</f>
        <v>0</v>
      </c>
      <c r="AA27" t="str">
        <f>IF(H_A[[#This Row],[Age]]&lt;30,"Young",IF(H_A[[#This Row],[Age]]&lt;45,"Mid","Senior"))</f>
        <v>Senior</v>
      </c>
      <c r="AB27" t="str">
        <f>IF(H_A[[#This Row],[MonthlyIncome]]&lt;5000,"Low",IF(H_A[[#This Row],[MonthlyIncome]]&lt;10000,"Medium","High"))</f>
        <v>High</v>
      </c>
      <c r="AC27" t="str">
        <f>IF(H_A[[#This Row],[YearsAtCompany]]&lt;3,"Early",IF(H_A[[#This Row],[YearsAtCompany]]&lt;7,"Mid","Long"))</f>
        <v>Long</v>
      </c>
      <c r="AD27" t="str">
        <f>IF(H_A[[#This Row],[PercentSalaryHike]]&lt;13,"Low",IF(H_A[[#This Row],[PercentSalaryHike]]&lt;18,"Medium","High"))</f>
        <v>Low</v>
      </c>
    </row>
    <row r="28" spans="1:30" x14ac:dyDescent="0.3">
      <c r="A28">
        <v>32</v>
      </c>
      <c r="B28">
        <v>33</v>
      </c>
      <c r="C28" t="s">
        <v>30</v>
      </c>
      <c r="D28" t="s">
        <v>37</v>
      </c>
      <c r="E28">
        <v>16</v>
      </c>
      <c r="F28">
        <v>1</v>
      </c>
      <c r="G28" t="s">
        <v>32</v>
      </c>
      <c r="H28">
        <v>2</v>
      </c>
      <c r="I28" t="s">
        <v>33</v>
      </c>
      <c r="J28">
        <v>1</v>
      </c>
      <c r="K28">
        <v>1</v>
      </c>
      <c r="L28" t="s">
        <v>39</v>
      </c>
      <c r="M28">
        <v>1</v>
      </c>
      <c r="N28" t="s">
        <v>35</v>
      </c>
      <c r="O28">
        <v>3919</v>
      </c>
      <c r="P28">
        <v>1</v>
      </c>
      <c r="Q28" t="s">
        <v>30</v>
      </c>
      <c r="R28">
        <v>2</v>
      </c>
      <c r="S28">
        <v>10</v>
      </c>
      <c r="T28">
        <v>3</v>
      </c>
      <c r="U28">
        <v>10</v>
      </c>
      <c r="V28">
        <v>2</v>
      </c>
      <c r="W28">
        <v>6</v>
      </c>
      <c r="X28">
        <v>7</v>
      </c>
      <c r="Y28">
        <v>22</v>
      </c>
      <c r="Z28">
        <f>IF(H_A[[#This Row],[Attrition]]="Yes",1,0)</f>
        <v>1</v>
      </c>
      <c r="AA28" t="str">
        <f>IF(H_A[[#This Row],[Age]]&lt;30,"Young",IF(H_A[[#This Row],[Age]]&lt;45,"Mid","Senior"))</f>
        <v>Mid</v>
      </c>
      <c r="AB28" t="str">
        <f>IF(H_A[[#This Row],[MonthlyIncome]]&lt;5000,"Low",IF(H_A[[#This Row],[MonthlyIncome]]&lt;10000,"Medium","High"))</f>
        <v>Low</v>
      </c>
      <c r="AC28" t="str">
        <f>IF(H_A[[#This Row],[YearsAtCompany]]&lt;3,"Early",IF(H_A[[#This Row],[YearsAtCompany]]&lt;7,"Mid","Long"))</f>
        <v>Long</v>
      </c>
      <c r="AD28" t="str">
        <f>IF(H_A[[#This Row],[PercentSalaryHike]]&lt;13,"Low",IF(H_A[[#This Row],[PercentSalaryHike]]&lt;18,"Medium","High"))</f>
        <v>High</v>
      </c>
    </row>
    <row r="29" spans="1:30" x14ac:dyDescent="0.3">
      <c r="A29">
        <v>42</v>
      </c>
      <c r="B29">
        <v>35</v>
      </c>
      <c r="C29" t="s">
        <v>36</v>
      </c>
      <c r="D29" t="s">
        <v>31</v>
      </c>
      <c r="E29">
        <v>8</v>
      </c>
      <c r="F29">
        <v>4</v>
      </c>
      <c r="G29" t="s">
        <v>50</v>
      </c>
      <c r="H29">
        <v>3</v>
      </c>
      <c r="I29" t="s">
        <v>38</v>
      </c>
      <c r="J29">
        <v>3</v>
      </c>
      <c r="K29">
        <v>2</v>
      </c>
      <c r="L29" t="s">
        <v>34</v>
      </c>
      <c r="M29">
        <v>2</v>
      </c>
      <c r="N29" t="s">
        <v>40</v>
      </c>
      <c r="O29">
        <v>6825</v>
      </c>
      <c r="P29">
        <v>0</v>
      </c>
      <c r="Q29" t="s">
        <v>36</v>
      </c>
      <c r="R29">
        <v>4</v>
      </c>
      <c r="S29">
        <v>10</v>
      </c>
      <c r="T29">
        <v>3</v>
      </c>
      <c r="U29">
        <v>9</v>
      </c>
      <c r="V29">
        <v>7</v>
      </c>
      <c r="W29">
        <v>4</v>
      </c>
      <c r="X29">
        <v>2</v>
      </c>
      <c r="Y29">
        <v>11</v>
      </c>
      <c r="Z29">
        <f>IF(H_A[[#This Row],[Attrition]]="Yes",1,0)</f>
        <v>0</v>
      </c>
      <c r="AA29" t="str">
        <f>IF(H_A[[#This Row],[Age]]&lt;30,"Young",IF(H_A[[#This Row],[Age]]&lt;45,"Mid","Senior"))</f>
        <v>Mid</v>
      </c>
      <c r="AB29" t="str">
        <f>IF(H_A[[#This Row],[MonthlyIncome]]&lt;5000,"Low",IF(H_A[[#This Row],[MonthlyIncome]]&lt;10000,"Medium","High"))</f>
        <v>Medium</v>
      </c>
      <c r="AC29" t="str">
        <f>IF(H_A[[#This Row],[YearsAtCompany]]&lt;3,"Early",IF(H_A[[#This Row],[YearsAtCompany]]&lt;7,"Mid","Long"))</f>
        <v>Long</v>
      </c>
      <c r="AD29" t="str">
        <f>IF(H_A[[#This Row],[PercentSalaryHike]]&lt;13,"Low",IF(H_A[[#This Row],[PercentSalaryHike]]&lt;18,"Medium","High"))</f>
        <v>Low</v>
      </c>
    </row>
    <row r="30" spans="1:30" x14ac:dyDescent="0.3">
      <c r="A30">
        <v>44</v>
      </c>
      <c r="B30">
        <v>36</v>
      </c>
      <c r="C30" t="s">
        <v>36</v>
      </c>
      <c r="D30" t="s">
        <v>37</v>
      </c>
      <c r="E30">
        <v>7</v>
      </c>
      <c r="F30">
        <v>4</v>
      </c>
      <c r="G30" t="s">
        <v>43</v>
      </c>
      <c r="H30">
        <v>1</v>
      </c>
      <c r="I30" t="s">
        <v>33</v>
      </c>
      <c r="J30">
        <v>2</v>
      </c>
      <c r="K30">
        <v>3</v>
      </c>
      <c r="L30" t="s">
        <v>46</v>
      </c>
      <c r="M30">
        <v>4</v>
      </c>
      <c r="N30" t="s">
        <v>40</v>
      </c>
      <c r="O30">
        <v>10248</v>
      </c>
      <c r="P30">
        <v>3</v>
      </c>
      <c r="Q30" t="s">
        <v>36</v>
      </c>
      <c r="R30">
        <v>4</v>
      </c>
      <c r="S30">
        <v>24</v>
      </c>
      <c r="T30">
        <v>3</v>
      </c>
      <c r="U30">
        <v>22</v>
      </c>
      <c r="V30">
        <v>6</v>
      </c>
      <c r="W30">
        <v>5</v>
      </c>
      <c r="X30">
        <v>17</v>
      </c>
      <c r="Y30">
        <v>14</v>
      </c>
      <c r="Z30">
        <f>IF(H_A[[#This Row],[Attrition]]="Yes",1,0)</f>
        <v>0</v>
      </c>
      <c r="AA30" t="str">
        <f>IF(H_A[[#This Row],[Age]]&lt;30,"Young",IF(H_A[[#This Row],[Age]]&lt;45,"Mid","Senior"))</f>
        <v>Mid</v>
      </c>
      <c r="AB30" t="str">
        <f>IF(H_A[[#This Row],[MonthlyIncome]]&lt;5000,"Low",IF(H_A[[#This Row],[MonthlyIncome]]&lt;10000,"Medium","High"))</f>
        <v>High</v>
      </c>
      <c r="AC30" t="str">
        <f>IF(H_A[[#This Row],[YearsAtCompany]]&lt;3,"Early",IF(H_A[[#This Row],[YearsAtCompany]]&lt;7,"Mid","Long"))</f>
        <v>Long</v>
      </c>
      <c r="AD30" t="str">
        <f>IF(H_A[[#This Row],[PercentSalaryHike]]&lt;13,"Low",IF(H_A[[#This Row],[PercentSalaryHike]]&lt;18,"Medium","High"))</f>
        <v>Medium</v>
      </c>
    </row>
    <row r="31" spans="1:30" x14ac:dyDescent="0.3">
      <c r="A31">
        <v>46</v>
      </c>
      <c r="B31">
        <v>38</v>
      </c>
      <c r="C31" t="s">
        <v>36</v>
      </c>
      <c r="D31" t="s">
        <v>31</v>
      </c>
      <c r="E31">
        <v>2</v>
      </c>
      <c r="F31">
        <v>4</v>
      </c>
      <c r="G31" t="s">
        <v>50</v>
      </c>
      <c r="H31">
        <v>2</v>
      </c>
      <c r="I31" t="s">
        <v>33</v>
      </c>
      <c r="J31">
        <v>3</v>
      </c>
      <c r="K31">
        <v>5</v>
      </c>
      <c r="L31" t="s">
        <v>47</v>
      </c>
      <c r="M31">
        <v>1</v>
      </c>
      <c r="N31" t="s">
        <v>35</v>
      </c>
      <c r="O31">
        <v>18947</v>
      </c>
      <c r="P31">
        <v>3</v>
      </c>
      <c r="Q31" t="s">
        <v>36</v>
      </c>
      <c r="R31">
        <v>4</v>
      </c>
      <c r="S31">
        <v>22</v>
      </c>
      <c r="T31">
        <v>2</v>
      </c>
      <c r="U31">
        <v>2</v>
      </c>
      <c r="V31">
        <v>2</v>
      </c>
      <c r="W31">
        <v>2</v>
      </c>
      <c r="X31">
        <v>1</v>
      </c>
      <c r="Y31">
        <v>12</v>
      </c>
      <c r="Z31">
        <f>IF(H_A[[#This Row],[Attrition]]="Yes",1,0)</f>
        <v>0</v>
      </c>
      <c r="AA31" t="str">
        <f>IF(H_A[[#This Row],[Age]]&lt;30,"Young",IF(H_A[[#This Row],[Age]]&lt;45,"Mid","Senior"))</f>
        <v>Senior</v>
      </c>
      <c r="AB31" t="str">
        <f>IF(H_A[[#This Row],[MonthlyIncome]]&lt;5000,"Low",IF(H_A[[#This Row],[MonthlyIncome]]&lt;10000,"Medium","High"))</f>
        <v>High</v>
      </c>
      <c r="AC31" t="str">
        <f>IF(H_A[[#This Row],[YearsAtCompany]]&lt;3,"Early",IF(H_A[[#This Row],[YearsAtCompany]]&lt;7,"Mid","Long"))</f>
        <v>Early</v>
      </c>
      <c r="AD31" t="str">
        <f>IF(H_A[[#This Row],[PercentSalaryHike]]&lt;13,"Low",IF(H_A[[#This Row],[PercentSalaryHike]]&lt;18,"Medium","High"))</f>
        <v>Low</v>
      </c>
    </row>
    <row r="32" spans="1:30" x14ac:dyDescent="0.3">
      <c r="A32">
        <v>33</v>
      </c>
      <c r="B32">
        <v>39</v>
      </c>
      <c r="C32" t="s">
        <v>36</v>
      </c>
      <c r="D32" t="s">
        <v>37</v>
      </c>
      <c r="E32">
        <v>2</v>
      </c>
      <c r="F32">
        <v>3</v>
      </c>
      <c r="G32" t="s">
        <v>43</v>
      </c>
      <c r="H32">
        <v>3</v>
      </c>
      <c r="I32" t="s">
        <v>38</v>
      </c>
      <c r="J32">
        <v>3</v>
      </c>
      <c r="K32">
        <v>1</v>
      </c>
      <c r="L32" t="s">
        <v>42</v>
      </c>
      <c r="M32">
        <v>4</v>
      </c>
      <c r="N32" t="s">
        <v>35</v>
      </c>
      <c r="O32">
        <v>2496</v>
      </c>
      <c r="P32">
        <v>4</v>
      </c>
      <c r="Q32" t="s">
        <v>36</v>
      </c>
      <c r="R32">
        <v>4</v>
      </c>
      <c r="S32">
        <v>7</v>
      </c>
      <c r="T32">
        <v>3</v>
      </c>
      <c r="U32">
        <v>1</v>
      </c>
      <c r="V32">
        <v>1</v>
      </c>
      <c r="W32">
        <v>0</v>
      </c>
      <c r="X32">
        <v>0</v>
      </c>
      <c r="Y32">
        <v>11</v>
      </c>
      <c r="Z32">
        <f>IF(H_A[[#This Row],[Attrition]]="Yes",1,0)</f>
        <v>0</v>
      </c>
      <c r="AA32" t="str">
        <f>IF(H_A[[#This Row],[Age]]&lt;30,"Young",IF(H_A[[#This Row],[Age]]&lt;45,"Mid","Senior"))</f>
        <v>Mid</v>
      </c>
      <c r="AB32" t="str">
        <f>IF(H_A[[#This Row],[MonthlyIncome]]&lt;5000,"Low",IF(H_A[[#This Row],[MonthlyIncome]]&lt;10000,"Medium","High"))</f>
        <v>Low</v>
      </c>
      <c r="AC32" t="str">
        <f>IF(H_A[[#This Row],[YearsAtCompany]]&lt;3,"Early",IF(H_A[[#This Row],[YearsAtCompany]]&lt;7,"Mid","Long"))</f>
        <v>Early</v>
      </c>
      <c r="AD32" t="str">
        <f>IF(H_A[[#This Row],[PercentSalaryHike]]&lt;13,"Low",IF(H_A[[#This Row],[PercentSalaryHike]]&lt;18,"Medium","High"))</f>
        <v>Low</v>
      </c>
    </row>
    <row r="33" spans="1:30" x14ac:dyDescent="0.3">
      <c r="A33">
        <v>44</v>
      </c>
      <c r="B33">
        <v>40</v>
      </c>
      <c r="C33" t="s">
        <v>36</v>
      </c>
      <c r="D33" t="s">
        <v>37</v>
      </c>
      <c r="E33">
        <v>10</v>
      </c>
      <c r="F33">
        <v>4</v>
      </c>
      <c r="G33" t="s">
        <v>41</v>
      </c>
      <c r="H33">
        <v>4</v>
      </c>
      <c r="I33" t="s">
        <v>38</v>
      </c>
      <c r="J33">
        <v>3</v>
      </c>
      <c r="K33">
        <v>2</v>
      </c>
      <c r="L33" t="s">
        <v>46</v>
      </c>
      <c r="M33">
        <v>4</v>
      </c>
      <c r="N33" t="s">
        <v>40</v>
      </c>
      <c r="O33">
        <v>6465</v>
      </c>
      <c r="P33">
        <v>2</v>
      </c>
      <c r="Q33" t="s">
        <v>30</v>
      </c>
      <c r="R33">
        <v>4</v>
      </c>
      <c r="S33">
        <v>9</v>
      </c>
      <c r="T33">
        <v>4</v>
      </c>
      <c r="U33">
        <v>4</v>
      </c>
      <c r="V33">
        <v>2</v>
      </c>
      <c r="W33">
        <v>1</v>
      </c>
      <c r="X33">
        <v>3</v>
      </c>
      <c r="Y33">
        <v>13</v>
      </c>
      <c r="Z33">
        <f>IF(H_A[[#This Row],[Attrition]]="Yes",1,0)</f>
        <v>0</v>
      </c>
      <c r="AA33" t="str">
        <f>IF(H_A[[#This Row],[Age]]&lt;30,"Young",IF(H_A[[#This Row],[Age]]&lt;45,"Mid","Senior"))</f>
        <v>Mid</v>
      </c>
      <c r="AB33" t="str">
        <f>IF(H_A[[#This Row],[MonthlyIncome]]&lt;5000,"Low",IF(H_A[[#This Row],[MonthlyIncome]]&lt;10000,"Medium","High"))</f>
        <v>Medium</v>
      </c>
      <c r="AC33" t="str">
        <f>IF(H_A[[#This Row],[YearsAtCompany]]&lt;3,"Early",IF(H_A[[#This Row],[YearsAtCompany]]&lt;7,"Mid","Long"))</f>
        <v>Mid</v>
      </c>
      <c r="AD33" t="str">
        <f>IF(H_A[[#This Row],[PercentSalaryHike]]&lt;13,"Low",IF(H_A[[#This Row],[PercentSalaryHike]]&lt;18,"Medium","High"))</f>
        <v>Medium</v>
      </c>
    </row>
    <row r="34" spans="1:30" x14ac:dyDescent="0.3">
      <c r="A34">
        <v>30</v>
      </c>
      <c r="B34">
        <v>41</v>
      </c>
      <c r="C34" t="s">
        <v>36</v>
      </c>
      <c r="D34" t="s">
        <v>37</v>
      </c>
      <c r="E34">
        <v>9</v>
      </c>
      <c r="F34">
        <v>2</v>
      </c>
      <c r="G34" t="s">
        <v>43</v>
      </c>
      <c r="H34">
        <v>4</v>
      </c>
      <c r="I34" t="s">
        <v>38</v>
      </c>
      <c r="J34">
        <v>2</v>
      </c>
      <c r="K34">
        <v>1</v>
      </c>
      <c r="L34" t="s">
        <v>42</v>
      </c>
      <c r="M34">
        <v>3</v>
      </c>
      <c r="N34" t="s">
        <v>35</v>
      </c>
      <c r="O34">
        <v>2206</v>
      </c>
      <c r="P34">
        <v>1</v>
      </c>
      <c r="Q34" t="s">
        <v>36</v>
      </c>
      <c r="R34">
        <v>1</v>
      </c>
      <c r="S34">
        <v>10</v>
      </c>
      <c r="T34">
        <v>3</v>
      </c>
      <c r="U34">
        <v>10</v>
      </c>
      <c r="V34">
        <v>0</v>
      </c>
      <c r="W34">
        <v>1</v>
      </c>
      <c r="X34">
        <v>8</v>
      </c>
      <c r="Y34">
        <v>13</v>
      </c>
      <c r="Z34">
        <f>IF(H_A[[#This Row],[Attrition]]="Yes",1,0)</f>
        <v>0</v>
      </c>
      <c r="AA34" t="str">
        <f>IF(H_A[[#This Row],[Age]]&lt;30,"Young",IF(H_A[[#This Row],[Age]]&lt;45,"Mid","Senior"))</f>
        <v>Mid</v>
      </c>
      <c r="AB34" t="str">
        <f>IF(H_A[[#This Row],[MonthlyIncome]]&lt;5000,"Low",IF(H_A[[#This Row],[MonthlyIncome]]&lt;10000,"Medium","High"))</f>
        <v>Low</v>
      </c>
      <c r="AC34" t="str">
        <f>IF(H_A[[#This Row],[YearsAtCompany]]&lt;3,"Early",IF(H_A[[#This Row],[YearsAtCompany]]&lt;7,"Mid","Long"))</f>
        <v>Long</v>
      </c>
      <c r="AD34" t="str">
        <f>IF(H_A[[#This Row],[PercentSalaryHike]]&lt;13,"Low",IF(H_A[[#This Row],[PercentSalaryHike]]&lt;18,"Medium","High"))</f>
        <v>Medium</v>
      </c>
    </row>
    <row r="35" spans="1:30" x14ac:dyDescent="0.3">
      <c r="A35">
        <v>39</v>
      </c>
      <c r="B35">
        <v>42</v>
      </c>
      <c r="C35" t="s">
        <v>30</v>
      </c>
      <c r="D35" t="s">
        <v>31</v>
      </c>
      <c r="E35">
        <v>5</v>
      </c>
      <c r="F35">
        <v>3</v>
      </c>
      <c r="G35" t="s">
        <v>51</v>
      </c>
      <c r="H35">
        <v>4</v>
      </c>
      <c r="I35" t="s">
        <v>38</v>
      </c>
      <c r="J35">
        <v>3</v>
      </c>
      <c r="K35">
        <v>2</v>
      </c>
      <c r="L35" t="s">
        <v>48</v>
      </c>
      <c r="M35">
        <v>4</v>
      </c>
      <c r="N35" t="s">
        <v>40</v>
      </c>
      <c r="O35">
        <v>2086</v>
      </c>
      <c r="P35">
        <v>3</v>
      </c>
      <c r="Q35" t="s">
        <v>36</v>
      </c>
      <c r="R35">
        <v>3</v>
      </c>
      <c r="S35">
        <v>19</v>
      </c>
      <c r="T35">
        <v>4</v>
      </c>
      <c r="U35">
        <v>1</v>
      </c>
      <c r="V35">
        <v>0</v>
      </c>
      <c r="W35">
        <v>0</v>
      </c>
      <c r="X35">
        <v>0</v>
      </c>
      <c r="Y35">
        <v>14</v>
      </c>
      <c r="Z35">
        <f>IF(H_A[[#This Row],[Attrition]]="Yes",1,0)</f>
        <v>1</v>
      </c>
      <c r="AA35" t="str">
        <f>IF(H_A[[#This Row],[Age]]&lt;30,"Young",IF(H_A[[#This Row],[Age]]&lt;45,"Mid","Senior"))</f>
        <v>Mid</v>
      </c>
      <c r="AB35" t="str">
        <f>IF(H_A[[#This Row],[MonthlyIncome]]&lt;5000,"Low",IF(H_A[[#This Row],[MonthlyIncome]]&lt;10000,"Medium","High"))</f>
        <v>Low</v>
      </c>
      <c r="AC35" t="str">
        <f>IF(H_A[[#This Row],[YearsAtCompany]]&lt;3,"Early",IF(H_A[[#This Row],[YearsAtCompany]]&lt;7,"Mid","Long"))</f>
        <v>Early</v>
      </c>
      <c r="AD35" t="str">
        <f>IF(H_A[[#This Row],[PercentSalaryHike]]&lt;13,"Low",IF(H_A[[#This Row],[PercentSalaryHike]]&lt;18,"Medium","High"))</f>
        <v>Medium</v>
      </c>
    </row>
    <row r="36" spans="1:30" x14ac:dyDescent="0.3">
      <c r="A36">
        <v>24</v>
      </c>
      <c r="B36">
        <v>45</v>
      </c>
      <c r="C36" t="s">
        <v>30</v>
      </c>
      <c r="D36" t="s">
        <v>37</v>
      </c>
      <c r="E36">
        <v>1</v>
      </c>
      <c r="F36">
        <v>3</v>
      </c>
      <c r="G36" t="s">
        <v>43</v>
      </c>
      <c r="H36">
        <v>2</v>
      </c>
      <c r="I36" t="s">
        <v>38</v>
      </c>
      <c r="J36">
        <v>3</v>
      </c>
      <c r="K36">
        <v>1</v>
      </c>
      <c r="L36" t="s">
        <v>39</v>
      </c>
      <c r="M36">
        <v>4</v>
      </c>
      <c r="N36" t="s">
        <v>40</v>
      </c>
      <c r="O36">
        <v>2293</v>
      </c>
      <c r="P36">
        <v>2</v>
      </c>
      <c r="Q36" t="s">
        <v>30</v>
      </c>
      <c r="R36">
        <v>1</v>
      </c>
      <c r="S36">
        <v>6</v>
      </c>
      <c r="T36">
        <v>2</v>
      </c>
      <c r="U36">
        <v>2</v>
      </c>
      <c r="V36">
        <v>0</v>
      </c>
      <c r="W36">
        <v>2</v>
      </c>
      <c r="X36">
        <v>0</v>
      </c>
      <c r="Y36">
        <v>16</v>
      </c>
      <c r="Z36">
        <f>IF(H_A[[#This Row],[Attrition]]="Yes",1,0)</f>
        <v>1</v>
      </c>
      <c r="AA36" t="str">
        <f>IF(H_A[[#This Row],[Age]]&lt;30,"Young",IF(H_A[[#This Row],[Age]]&lt;45,"Mid","Senior"))</f>
        <v>Young</v>
      </c>
      <c r="AB36" t="str">
        <f>IF(H_A[[#This Row],[MonthlyIncome]]&lt;5000,"Low",IF(H_A[[#This Row],[MonthlyIncome]]&lt;10000,"Medium","High"))</f>
        <v>Low</v>
      </c>
      <c r="AC36" t="str">
        <f>IF(H_A[[#This Row],[YearsAtCompany]]&lt;3,"Early",IF(H_A[[#This Row],[YearsAtCompany]]&lt;7,"Mid","Long"))</f>
        <v>Early</v>
      </c>
      <c r="AD36" t="str">
        <f>IF(H_A[[#This Row],[PercentSalaryHike]]&lt;13,"Low",IF(H_A[[#This Row],[PercentSalaryHike]]&lt;18,"Medium","High"))</f>
        <v>Medium</v>
      </c>
    </row>
    <row r="37" spans="1:30" x14ac:dyDescent="0.3">
      <c r="A37">
        <v>43</v>
      </c>
      <c r="B37">
        <v>46</v>
      </c>
      <c r="C37" t="s">
        <v>36</v>
      </c>
      <c r="D37" t="s">
        <v>37</v>
      </c>
      <c r="E37">
        <v>2</v>
      </c>
      <c r="F37">
        <v>2</v>
      </c>
      <c r="G37" t="s">
        <v>43</v>
      </c>
      <c r="H37">
        <v>4</v>
      </c>
      <c r="I37" t="s">
        <v>33</v>
      </c>
      <c r="J37">
        <v>4</v>
      </c>
      <c r="K37">
        <v>1</v>
      </c>
      <c r="L37" t="s">
        <v>39</v>
      </c>
      <c r="M37">
        <v>3</v>
      </c>
      <c r="N37" t="s">
        <v>44</v>
      </c>
      <c r="O37">
        <v>2645</v>
      </c>
      <c r="P37">
        <v>1</v>
      </c>
      <c r="Q37" t="s">
        <v>36</v>
      </c>
      <c r="R37">
        <v>4</v>
      </c>
      <c r="S37">
        <v>6</v>
      </c>
      <c r="T37">
        <v>2</v>
      </c>
      <c r="U37">
        <v>5</v>
      </c>
      <c r="V37">
        <v>3</v>
      </c>
      <c r="W37">
        <v>1</v>
      </c>
      <c r="X37">
        <v>4</v>
      </c>
      <c r="Y37">
        <v>12</v>
      </c>
      <c r="Z37">
        <f>IF(H_A[[#This Row],[Attrition]]="Yes",1,0)</f>
        <v>0</v>
      </c>
      <c r="AA37" t="str">
        <f>IF(H_A[[#This Row],[Age]]&lt;30,"Young",IF(H_A[[#This Row],[Age]]&lt;45,"Mid","Senior"))</f>
        <v>Mid</v>
      </c>
      <c r="AB37" t="str">
        <f>IF(H_A[[#This Row],[MonthlyIncome]]&lt;5000,"Low",IF(H_A[[#This Row],[MonthlyIncome]]&lt;10000,"Medium","High"))</f>
        <v>Low</v>
      </c>
      <c r="AC37" t="str">
        <f>IF(H_A[[#This Row],[YearsAtCompany]]&lt;3,"Early",IF(H_A[[#This Row],[YearsAtCompany]]&lt;7,"Mid","Long"))</f>
        <v>Mid</v>
      </c>
      <c r="AD37" t="str">
        <f>IF(H_A[[#This Row],[PercentSalaryHike]]&lt;13,"Low",IF(H_A[[#This Row],[PercentSalaryHike]]&lt;18,"Medium","High"))</f>
        <v>Low</v>
      </c>
    </row>
    <row r="38" spans="1:30" x14ac:dyDescent="0.3">
      <c r="A38">
        <v>50</v>
      </c>
      <c r="B38">
        <v>47</v>
      </c>
      <c r="C38" t="s">
        <v>30</v>
      </c>
      <c r="D38" t="s">
        <v>31</v>
      </c>
      <c r="E38">
        <v>3</v>
      </c>
      <c r="F38">
        <v>2</v>
      </c>
      <c r="G38" t="s">
        <v>50</v>
      </c>
      <c r="H38">
        <v>1</v>
      </c>
      <c r="I38" t="s">
        <v>38</v>
      </c>
      <c r="J38">
        <v>2</v>
      </c>
      <c r="K38">
        <v>1</v>
      </c>
      <c r="L38" t="s">
        <v>48</v>
      </c>
      <c r="M38">
        <v>3</v>
      </c>
      <c r="N38" t="s">
        <v>40</v>
      </c>
      <c r="O38">
        <v>2683</v>
      </c>
      <c r="P38">
        <v>1</v>
      </c>
      <c r="Q38" t="s">
        <v>30</v>
      </c>
      <c r="R38">
        <v>3</v>
      </c>
      <c r="S38">
        <v>3</v>
      </c>
      <c r="T38">
        <v>3</v>
      </c>
      <c r="U38">
        <v>3</v>
      </c>
      <c r="V38">
        <v>2</v>
      </c>
      <c r="W38">
        <v>0</v>
      </c>
      <c r="X38">
        <v>2</v>
      </c>
      <c r="Y38">
        <v>14</v>
      </c>
      <c r="Z38">
        <f>IF(H_A[[#This Row],[Attrition]]="Yes",1,0)</f>
        <v>1</v>
      </c>
      <c r="AA38" t="str">
        <f>IF(H_A[[#This Row],[Age]]&lt;30,"Young",IF(H_A[[#This Row],[Age]]&lt;45,"Mid","Senior"))</f>
        <v>Senior</v>
      </c>
      <c r="AB38" t="str">
        <f>IF(H_A[[#This Row],[MonthlyIncome]]&lt;5000,"Low",IF(H_A[[#This Row],[MonthlyIncome]]&lt;10000,"Medium","High"))</f>
        <v>Low</v>
      </c>
      <c r="AC38" t="str">
        <f>IF(H_A[[#This Row],[YearsAtCompany]]&lt;3,"Early",IF(H_A[[#This Row],[YearsAtCompany]]&lt;7,"Mid","Long"))</f>
        <v>Mid</v>
      </c>
      <c r="AD38" t="str">
        <f>IF(H_A[[#This Row],[PercentSalaryHike]]&lt;13,"Low",IF(H_A[[#This Row],[PercentSalaryHike]]&lt;18,"Medium","High"))</f>
        <v>Medium</v>
      </c>
    </row>
    <row r="39" spans="1:30" x14ac:dyDescent="0.3">
      <c r="A39">
        <v>35</v>
      </c>
      <c r="B39">
        <v>49</v>
      </c>
      <c r="C39" t="s">
        <v>36</v>
      </c>
      <c r="D39" t="s">
        <v>31</v>
      </c>
      <c r="E39">
        <v>2</v>
      </c>
      <c r="F39">
        <v>3</v>
      </c>
      <c r="G39" t="s">
        <v>50</v>
      </c>
      <c r="H39">
        <v>4</v>
      </c>
      <c r="I39" t="s">
        <v>33</v>
      </c>
      <c r="J39">
        <v>3</v>
      </c>
      <c r="K39">
        <v>1</v>
      </c>
      <c r="L39" t="s">
        <v>48</v>
      </c>
      <c r="M39">
        <v>4</v>
      </c>
      <c r="N39" t="s">
        <v>40</v>
      </c>
      <c r="O39">
        <v>2014</v>
      </c>
      <c r="P39">
        <v>1</v>
      </c>
      <c r="Q39" t="s">
        <v>36</v>
      </c>
      <c r="R39">
        <v>1</v>
      </c>
      <c r="S39">
        <v>2</v>
      </c>
      <c r="T39">
        <v>3</v>
      </c>
      <c r="U39">
        <v>2</v>
      </c>
      <c r="V39">
        <v>2</v>
      </c>
      <c r="W39">
        <v>2</v>
      </c>
      <c r="X39">
        <v>2</v>
      </c>
      <c r="Y39">
        <v>13</v>
      </c>
      <c r="Z39">
        <f>IF(H_A[[#This Row],[Attrition]]="Yes",1,0)</f>
        <v>0</v>
      </c>
      <c r="AA39" t="str">
        <f>IF(H_A[[#This Row],[Age]]&lt;30,"Young",IF(H_A[[#This Row],[Age]]&lt;45,"Mid","Senior"))</f>
        <v>Mid</v>
      </c>
      <c r="AB39" t="str">
        <f>IF(H_A[[#This Row],[MonthlyIncome]]&lt;5000,"Low",IF(H_A[[#This Row],[MonthlyIncome]]&lt;10000,"Medium","High"))</f>
        <v>Low</v>
      </c>
      <c r="AC39" t="str">
        <f>IF(H_A[[#This Row],[YearsAtCompany]]&lt;3,"Early",IF(H_A[[#This Row],[YearsAtCompany]]&lt;7,"Mid","Long"))</f>
        <v>Early</v>
      </c>
      <c r="AD39" t="str">
        <f>IF(H_A[[#This Row],[PercentSalaryHike]]&lt;13,"Low",IF(H_A[[#This Row],[PercentSalaryHike]]&lt;18,"Medium","High"))</f>
        <v>Medium</v>
      </c>
    </row>
    <row r="40" spans="1:30" x14ac:dyDescent="0.3">
      <c r="A40">
        <v>36</v>
      </c>
      <c r="B40">
        <v>51</v>
      </c>
      <c r="C40" t="s">
        <v>36</v>
      </c>
      <c r="D40" t="s">
        <v>37</v>
      </c>
      <c r="E40">
        <v>5</v>
      </c>
      <c r="F40">
        <v>4</v>
      </c>
      <c r="G40" t="s">
        <v>32</v>
      </c>
      <c r="H40">
        <v>2</v>
      </c>
      <c r="I40" t="s">
        <v>33</v>
      </c>
      <c r="J40">
        <v>2</v>
      </c>
      <c r="K40">
        <v>1</v>
      </c>
      <c r="L40" t="s">
        <v>39</v>
      </c>
      <c r="M40">
        <v>1</v>
      </c>
      <c r="N40" t="s">
        <v>40</v>
      </c>
      <c r="O40">
        <v>3419</v>
      </c>
      <c r="P40">
        <v>9</v>
      </c>
      <c r="Q40" t="s">
        <v>30</v>
      </c>
      <c r="R40">
        <v>4</v>
      </c>
      <c r="S40">
        <v>6</v>
      </c>
      <c r="T40">
        <v>4</v>
      </c>
      <c r="U40">
        <v>1</v>
      </c>
      <c r="V40">
        <v>1</v>
      </c>
      <c r="W40">
        <v>0</v>
      </c>
      <c r="X40">
        <v>0</v>
      </c>
      <c r="Y40">
        <v>14</v>
      </c>
      <c r="Z40">
        <f>IF(H_A[[#This Row],[Attrition]]="Yes",1,0)</f>
        <v>0</v>
      </c>
      <c r="AA40" t="str">
        <f>IF(H_A[[#This Row],[Age]]&lt;30,"Young",IF(H_A[[#This Row],[Age]]&lt;45,"Mid","Senior"))</f>
        <v>Mid</v>
      </c>
      <c r="AB40" t="str">
        <f>IF(H_A[[#This Row],[MonthlyIncome]]&lt;5000,"Low",IF(H_A[[#This Row],[MonthlyIncome]]&lt;10000,"Medium","High"))</f>
        <v>Low</v>
      </c>
      <c r="AC40" t="str">
        <f>IF(H_A[[#This Row],[YearsAtCompany]]&lt;3,"Early",IF(H_A[[#This Row],[YearsAtCompany]]&lt;7,"Mid","Long"))</f>
        <v>Early</v>
      </c>
      <c r="AD40" t="str">
        <f>IF(H_A[[#This Row],[PercentSalaryHike]]&lt;13,"Low",IF(H_A[[#This Row],[PercentSalaryHike]]&lt;18,"Medium","High"))</f>
        <v>Medium</v>
      </c>
    </row>
    <row r="41" spans="1:30" x14ac:dyDescent="0.3">
      <c r="A41">
        <v>33</v>
      </c>
      <c r="B41">
        <v>52</v>
      </c>
      <c r="C41" t="s">
        <v>36</v>
      </c>
      <c r="D41" t="s">
        <v>31</v>
      </c>
      <c r="E41">
        <v>1</v>
      </c>
      <c r="F41">
        <v>3</v>
      </c>
      <c r="G41" t="s">
        <v>32</v>
      </c>
      <c r="H41">
        <v>3</v>
      </c>
      <c r="I41" t="s">
        <v>33</v>
      </c>
      <c r="J41">
        <v>4</v>
      </c>
      <c r="K41">
        <v>2</v>
      </c>
      <c r="L41" t="s">
        <v>34</v>
      </c>
      <c r="M41">
        <v>1</v>
      </c>
      <c r="N41" t="s">
        <v>40</v>
      </c>
      <c r="O41">
        <v>5376</v>
      </c>
      <c r="P41">
        <v>2</v>
      </c>
      <c r="Q41" t="s">
        <v>36</v>
      </c>
      <c r="R41">
        <v>1</v>
      </c>
      <c r="S41">
        <v>10</v>
      </c>
      <c r="T41">
        <v>3</v>
      </c>
      <c r="U41">
        <v>5</v>
      </c>
      <c r="V41">
        <v>3</v>
      </c>
      <c r="W41">
        <v>1</v>
      </c>
      <c r="X41">
        <v>3</v>
      </c>
      <c r="Y41">
        <v>19</v>
      </c>
      <c r="Z41">
        <f>IF(H_A[[#This Row],[Attrition]]="Yes",1,0)</f>
        <v>0</v>
      </c>
      <c r="AA41" t="str">
        <f>IF(H_A[[#This Row],[Age]]&lt;30,"Young",IF(H_A[[#This Row],[Age]]&lt;45,"Mid","Senior"))</f>
        <v>Mid</v>
      </c>
      <c r="AB41" t="str">
        <f>IF(H_A[[#This Row],[MonthlyIncome]]&lt;5000,"Low",IF(H_A[[#This Row],[MonthlyIncome]]&lt;10000,"Medium","High"))</f>
        <v>Medium</v>
      </c>
      <c r="AC41" t="str">
        <f>IF(H_A[[#This Row],[YearsAtCompany]]&lt;3,"Early",IF(H_A[[#This Row],[YearsAtCompany]]&lt;7,"Mid","Long"))</f>
        <v>Mid</v>
      </c>
      <c r="AD41" t="str">
        <f>IF(H_A[[#This Row],[PercentSalaryHike]]&lt;13,"Low",IF(H_A[[#This Row],[PercentSalaryHike]]&lt;18,"Medium","High"))</f>
        <v>High</v>
      </c>
    </row>
    <row r="42" spans="1:30" x14ac:dyDescent="0.3">
      <c r="A42">
        <v>35</v>
      </c>
      <c r="B42">
        <v>53</v>
      </c>
      <c r="C42" t="s">
        <v>36</v>
      </c>
      <c r="D42" t="s">
        <v>37</v>
      </c>
      <c r="E42">
        <v>4</v>
      </c>
      <c r="F42">
        <v>2</v>
      </c>
      <c r="G42" t="s">
        <v>41</v>
      </c>
      <c r="H42">
        <v>3</v>
      </c>
      <c r="I42" t="s">
        <v>38</v>
      </c>
      <c r="J42">
        <v>3</v>
      </c>
      <c r="K42">
        <v>1</v>
      </c>
      <c r="L42" t="s">
        <v>42</v>
      </c>
      <c r="M42">
        <v>4</v>
      </c>
      <c r="N42" t="s">
        <v>44</v>
      </c>
      <c r="O42">
        <v>1951</v>
      </c>
      <c r="P42">
        <v>1</v>
      </c>
      <c r="Q42" t="s">
        <v>36</v>
      </c>
      <c r="R42">
        <v>3</v>
      </c>
      <c r="S42">
        <v>1</v>
      </c>
      <c r="T42">
        <v>3</v>
      </c>
      <c r="U42">
        <v>1</v>
      </c>
      <c r="V42">
        <v>0</v>
      </c>
      <c r="W42">
        <v>0</v>
      </c>
      <c r="X42">
        <v>0</v>
      </c>
      <c r="Y42">
        <v>12</v>
      </c>
      <c r="Z42">
        <f>IF(H_A[[#This Row],[Attrition]]="Yes",1,0)</f>
        <v>0</v>
      </c>
      <c r="AA42" t="str">
        <f>IF(H_A[[#This Row],[Age]]&lt;30,"Young",IF(H_A[[#This Row],[Age]]&lt;45,"Mid","Senior"))</f>
        <v>Mid</v>
      </c>
      <c r="AB42" t="str">
        <f>IF(H_A[[#This Row],[MonthlyIncome]]&lt;5000,"Low",IF(H_A[[#This Row],[MonthlyIncome]]&lt;10000,"Medium","High"))</f>
        <v>Low</v>
      </c>
      <c r="AC42" t="str">
        <f>IF(H_A[[#This Row],[YearsAtCompany]]&lt;3,"Early",IF(H_A[[#This Row],[YearsAtCompany]]&lt;7,"Mid","Long"))</f>
        <v>Early</v>
      </c>
      <c r="AD42" t="str">
        <f>IF(H_A[[#This Row],[PercentSalaryHike]]&lt;13,"Low",IF(H_A[[#This Row],[PercentSalaryHike]]&lt;18,"Medium","High"))</f>
        <v>Low</v>
      </c>
    </row>
    <row r="43" spans="1:30" x14ac:dyDescent="0.3">
      <c r="A43">
        <v>27</v>
      </c>
      <c r="B43">
        <v>54</v>
      </c>
      <c r="C43" t="s">
        <v>36</v>
      </c>
      <c r="D43" t="s">
        <v>37</v>
      </c>
      <c r="E43">
        <v>2</v>
      </c>
      <c r="F43">
        <v>4</v>
      </c>
      <c r="G43" t="s">
        <v>32</v>
      </c>
      <c r="H43">
        <v>4</v>
      </c>
      <c r="I43" t="s">
        <v>33</v>
      </c>
      <c r="J43">
        <v>3</v>
      </c>
      <c r="K43">
        <v>1</v>
      </c>
      <c r="L43" t="s">
        <v>42</v>
      </c>
      <c r="M43">
        <v>1</v>
      </c>
      <c r="N43" t="s">
        <v>44</v>
      </c>
      <c r="O43">
        <v>2341</v>
      </c>
      <c r="P43">
        <v>1</v>
      </c>
      <c r="Q43" t="s">
        <v>36</v>
      </c>
      <c r="R43">
        <v>4</v>
      </c>
      <c r="S43">
        <v>1</v>
      </c>
      <c r="T43">
        <v>3</v>
      </c>
      <c r="U43">
        <v>1</v>
      </c>
      <c r="V43">
        <v>0</v>
      </c>
      <c r="W43">
        <v>0</v>
      </c>
      <c r="X43">
        <v>0</v>
      </c>
      <c r="Y43">
        <v>13</v>
      </c>
      <c r="Z43">
        <f>IF(H_A[[#This Row],[Attrition]]="Yes",1,0)</f>
        <v>0</v>
      </c>
      <c r="AA43" t="str">
        <f>IF(H_A[[#This Row],[Age]]&lt;30,"Young",IF(H_A[[#This Row],[Age]]&lt;45,"Mid","Senior"))</f>
        <v>Young</v>
      </c>
      <c r="AB43" t="str">
        <f>IF(H_A[[#This Row],[MonthlyIncome]]&lt;5000,"Low",IF(H_A[[#This Row],[MonthlyIncome]]&lt;10000,"Medium","High"))</f>
        <v>Low</v>
      </c>
      <c r="AC43" t="str">
        <f>IF(H_A[[#This Row],[YearsAtCompany]]&lt;3,"Early",IF(H_A[[#This Row],[YearsAtCompany]]&lt;7,"Mid","Long"))</f>
        <v>Early</v>
      </c>
      <c r="AD43" t="str">
        <f>IF(H_A[[#This Row],[PercentSalaryHike]]&lt;13,"Low",IF(H_A[[#This Row],[PercentSalaryHike]]&lt;18,"Medium","High"))</f>
        <v>Medium</v>
      </c>
    </row>
    <row r="44" spans="1:30" x14ac:dyDescent="0.3">
      <c r="A44">
        <v>26</v>
      </c>
      <c r="B44">
        <v>55</v>
      </c>
      <c r="C44" t="s">
        <v>30</v>
      </c>
      <c r="D44" t="s">
        <v>37</v>
      </c>
      <c r="E44">
        <v>25</v>
      </c>
      <c r="F44">
        <v>3</v>
      </c>
      <c r="G44" t="s">
        <v>32</v>
      </c>
      <c r="H44">
        <v>1</v>
      </c>
      <c r="I44" t="s">
        <v>38</v>
      </c>
      <c r="J44">
        <v>1</v>
      </c>
      <c r="K44">
        <v>1</v>
      </c>
      <c r="L44" t="s">
        <v>42</v>
      </c>
      <c r="M44">
        <v>3</v>
      </c>
      <c r="N44" t="s">
        <v>35</v>
      </c>
      <c r="O44">
        <v>2293</v>
      </c>
      <c r="P44">
        <v>1</v>
      </c>
      <c r="Q44" t="s">
        <v>36</v>
      </c>
      <c r="R44">
        <v>3</v>
      </c>
      <c r="S44">
        <v>1</v>
      </c>
      <c r="T44">
        <v>2</v>
      </c>
      <c r="U44">
        <v>1</v>
      </c>
      <c r="V44">
        <v>0</v>
      </c>
      <c r="W44">
        <v>0</v>
      </c>
      <c r="X44">
        <v>1</v>
      </c>
      <c r="Y44">
        <v>12</v>
      </c>
      <c r="Z44">
        <f>IF(H_A[[#This Row],[Attrition]]="Yes",1,0)</f>
        <v>1</v>
      </c>
      <c r="AA44" t="str">
        <f>IF(H_A[[#This Row],[Age]]&lt;30,"Young",IF(H_A[[#This Row],[Age]]&lt;45,"Mid","Senior"))</f>
        <v>Young</v>
      </c>
      <c r="AB44" t="str">
        <f>IF(H_A[[#This Row],[MonthlyIncome]]&lt;5000,"Low",IF(H_A[[#This Row],[MonthlyIncome]]&lt;10000,"Medium","High"))</f>
        <v>Low</v>
      </c>
      <c r="AC44" t="str">
        <f>IF(H_A[[#This Row],[YearsAtCompany]]&lt;3,"Early",IF(H_A[[#This Row],[YearsAtCompany]]&lt;7,"Mid","Long"))</f>
        <v>Early</v>
      </c>
      <c r="AD44" t="str">
        <f>IF(H_A[[#This Row],[PercentSalaryHike]]&lt;13,"Low",IF(H_A[[#This Row],[PercentSalaryHike]]&lt;18,"Medium","High"))</f>
        <v>Low</v>
      </c>
    </row>
    <row r="45" spans="1:30" x14ac:dyDescent="0.3">
      <c r="A45">
        <v>27</v>
      </c>
      <c r="B45">
        <v>56</v>
      </c>
      <c r="C45" t="s">
        <v>36</v>
      </c>
      <c r="D45" t="s">
        <v>31</v>
      </c>
      <c r="E45">
        <v>8</v>
      </c>
      <c r="F45">
        <v>3</v>
      </c>
      <c r="G45" t="s">
        <v>32</v>
      </c>
      <c r="H45">
        <v>4</v>
      </c>
      <c r="I45" t="s">
        <v>38</v>
      </c>
      <c r="J45">
        <v>3</v>
      </c>
      <c r="K45">
        <v>3</v>
      </c>
      <c r="L45" t="s">
        <v>34</v>
      </c>
      <c r="M45">
        <v>3</v>
      </c>
      <c r="N45" t="s">
        <v>35</v>
      </c>
      <c r="O45">
        <v>8726</v>
      </c>
      <c r="P45">
        <v>1</v>
      </c>
      <c r="Q45" t="s">
        <v>36</v>
      </c>
      <c r="R45">
        <v>4</v>
      </c>
      <c r="S45">
        <v>9</v>
      </c>
      <c r="T45">
        <v>3</v>
      </c>
      <c r="U45">
        <v>9</v>
      </c>
      <c r="V45">
        <v>8</v>
      </c>
      <c r="W45">
        <v>1</v>
      </c>
      <c r="X45">
        <v>7</v>
      </c>
      <c r="Y45">
        <v>15</v>
      </c>
      <c r="Z45">
        <f>IF(H_A[[#This Row],[Attrition]]="Yes",1,0)</f>
        <v>0</v>
      </c>
      <c r="AA45" t="str">
        <f>IF(H_A[[#This Row],[Age]]&lt;30,"Young",IF(H_A[[#This Row],[Age]]&lt;45,"Mid","Senior"))</f>
        <v>Young</v>
      </c>
      <c r="AB45" t="str">
        <f>IF(H_A[[#This Row],[MonthlyIncome]]&lt;5000,"Low",IF(H_A[[#This Row],[MonthlyIncome]]&lt;10000,"Medium","High"))</f>
        <v>Medium</v>
      </c>
      <c r="AC45" t="str">
        <f>IF(H_A[[#This Row],[YearsAtCompany]]&lt;3,"Early",IF(H_A[[#This Row],[YearsAtCompany]]&lt;7,"Mid","Long"))</f>
        <v>Long</v>
      </c>
      <c r="AD45" t="str">
        <f>IF(H_A[[#This Row],[PercentSalaryHike]]&lt;13,"Low",IF(H_A[[#This Row],[PercentSalaryHike]]&lt;18,"Medium","High"))</f>
        <v>Medium</v>
      </c>
    </row>
    <row r="46" spans="1:30" x14ac:dyDescent="0.3">
      <c r="A46">
        <v>30</v>
      </c>
      <c r="B46">
        <v>57</v>
      </c>
      <c r="C46" t="s">
        <v>36</v>
      </c>
      <c r="D46" t="s">
        <v>37</v>
      </c>
      <c r="E46">
        <v>1</v>
      </c>
      <c r="F46">
        <v>2</v>
      </c>
      <c r="G46" t="s">
        <v>43</v>
      </c>
      <c r="H46">
        <v>3</v>
      </c>
      <c r="I46" t="s">
        <v>33</v>
      </c>
      <c r="J46">
        <v>3</v>
      </c>
      <c r="K46">
        <v>2</v>
      </c>
      <c r="L46" t="s">
        <v>42</v>
      </c>
      <c r="M46">
        <v>4</v>
      </c>
      <c r="N46" t="s">
        <v>35</v>
      </c>
      <c r="O46">
        <v>4011</v>
      </c>
      <c r="P46">
        <v>1</v>
      </c>
      <c r="Q46" t="s">
        <v>36</v>
      </c>
      <c r="R46">
        <v>4</v>
      </c>
      <c r="S46">
        <v>12</v>
      </c>
      <c r="T46">
        <v>3</v>
      </c>
      <c r="U46">
        <v>12</v>
      </c>
      <c r="V46">
        <v>8</v>
      </c>
      <c r="W46">
        <v>3</v>
      </c>
      <c r="X46">
        <v>7</v>
      </c>
      <c r="Y46">
        <v>23</v>
      </c>
      <c r="Z46">
        <f>IF(H_A[[#This Row],[Attrition]]="Yes",1,0)</f>
        <v>0</v>
      </c>
      <c r="AA46" t="str">
        <f>IF(H_A[[#This Row],[Age]]&lt;30,"Young",IF(H_A[[#This Row],[Age]]&lt;45,"Mid","Senior"))</f>
        <v>Mid</v>
      </c>
      <c r="AB46" t="str">
        <f>IF(H_A[[#This Row],[MonthlyIncome]]&lt;5000,"Low",IF(H_A[[#This Row],[MonthlyIncome]]&lt;10000,"Medium","High"))</f>
        <v>Low</v>
      </c>
      <c r="AC46" t="str">
        <f>IF(H_A[[#This Row],[YearsAtCompany]]&lt;3,"Early",IF(H_A[[#This Row],[YearsAtCompany]]&lt;7,"Mid","Long"))</f>
        <v>Long</v>
      </c>
      <c r="AD46" t="str">
        <f>IF(H_A[[#This Row],[PercentSalaryHike]]&lt;13,"Low",IF(H_A[[#This Row],[PercentSalaryHike]]&lt;18,"Medium","High"))</f>
        <v>High</v>
      </c>
    </row>
    <row r="47" spans="1:30" x14ac:dyDescent="0.3">
      <c r="A47">
        <v>41</v>
      </c>
      <c r="B47">
        <v>58</v>
      </c>
      <c r="C47" t="s">
        <v>30</v>
      </c>
      <c r="D47" t="s">
        <v>37</v>
      </c>
      <c r="E47">
        <v>12</v>
      </c>
      <c r="F47">
        <v>3</v>
      </c>
      <c r="G47" t="s">
        <v>51</v>
      </c>
      <c r="H47">
        <v>2</v>
      </c>
      <c r="I47" t="s">
        <v>33</v>
      </c>
      <c r="J47">
        <v>3</v>
      </c>
      <c r="K47">
        <v>5</v>
      </c>
      <c r="L47" t="s">
        <v>49</v>
      </c>
      <c r="M47">
        <v>3</v>
      </c>
      <c r="N47" t="s">
        <v>40</v>
      </c>
      <c r="O47">
        <v>19545</v>
      </c>
      <c r="P47">
        <v>1</v>
      </c>
      <c r="Q47" t="s">
        <v>36</v>
      </c>
      <c r="R47">
        <v>4</v>
      </c>
      <c r="S47">
        <v>23</v>
      </c>
      <c r="T47">
        <v>3</v>
      </c>
      <c r="U47">
        <v>22</v>
      </c>
      <c r="V47">
        <v>15</v>
      </c>
      <c r="W47">
        <v>15</v>
      </c>
      <c r="X47">
        <v>8</v>
      </c>
      <c r="Y47">
        <v>12</v>
      </c>
      <c r="Z47">
        <f>IF(H_A[[#This Row],[Attrition]]="Yes",1,0)</f>
        <v>1</v>
      </c>
      <c r="AA47" t="str">
        <f>IF(H_A[[#This Row],[Age]]&lt;30,"Young",IF(H_A[[#This Row],[Age]]&lt;45,"Mid","Senior"))</f>
        <v>Mid</v>
      </c>
      <c r="AB47" t="str">
        <f>IF(H_A[[#This Row],[MonthlyIncome]]&lt;5000,"Low",IF(H_A[[#This Row],[MonthlyIncome]]&lt;10000,"Medium","High"))</f>
        <v>High</v>
      </c>
      <c r="AC47" t="str">
        <f>IF(H_A[[#This Row],[YearsAtCompany]]&lt;3,"Early",IF(H_A[[#This Row],[YearsAtCompany]]&lt;7,"Mid","Long"))</f>
        <v>Long</v>
      </c>
      <c r="AD47" t="str">
        <f>IF(H_A[[#This Row],[PercentSalaryHike]]&lt;13,"Low",IF(H_A[[#This Row],[PercentSalaryHike]]&lt;18,"Medium","High"))</f>
        <v>Low</v>
      </c>
    </row>
    <row r="48" spans="1:30" x14ac:dyDescent="0.3">
      <c r="A48">
        <v>34</v>
      </c>
      <c r="B48">
        <v>60</v>
      </c>
      <c r="C48" t="s">
        <v>36</v>
      </c>
      <c r="D48" t="s">
        <v>31</v>
      </c>
      <c r="E48">
        <v>23</v>
      </c>
      <c r="F48">
        <v>4</v>
      </c>
      <c r="G48" t="s">
        <v>50</v>
      </c>
      <c r="H48">
        <v>2</v>
      </c>
      <c r="I48" t="s">
        <v>38</v>
      </c>
      <c r="J48">
        <v>3</v>
      </c>
      <c r="K48">
        <v>2</v>
      </c>
      <c r="L48" t="s">
        <v>34</v>
      </c>
      <c r="M48">
        <v>3</v>
      </c>
      <c r="N48" t="s">
        <v>35</v>
      </c>
      <c r="O48">
        <v>4568</v>
      </c>
      <c r="P48">
        <v>0</v>
      </c>
      <c r="Q48" t="s">
        <v>36</v>
      </c>
      <c r="R48">
        <v>3</v>
      </c>
      <c r="S48">
        <v>10</v>
      </c>
      <c r="T48">
        <v>3</v>
      </c>
      <c r="U48">
        <v>9</v>
      </c>
      <c r="V48">
        <v>5</v>
      </c>
      <c r="W48">
        <v>8</v>
      </c>
      <c r="X48">
        <v>7</v>
      </c>
      <c r="Y48">
        <v>20</v>
      </c>
      <c r="Z48">
        <f>IF(H_A[[#This Row],[Attrition]]="Yes",1,0)</f>
        <v>0</v>
      </c>
      <c r="AA48" t="str">
        <f>IF(H_A[[#This Row],[Age]]&lt;30,"Young",IF(H_A[[#This Row],[Age]]&lt;45,"Mid","Senior"))</f>
        <v>Mid</v>
      </c>
      <c r="AB48" t="str">
        <f>IF(H_A[[#This Row],[MonthlyIncome]]&lt;5000,"Low",IF(H_A[[#This Row],[MonthlyIncome]]&lt;10000,"Medium","High"))</f>
        <v>Low</v>
      </c>
      <c r="AC48" t="str">
        <f>IF(H_A[[#This Row],[YearsAtCompany]]&lt;3,"Early",IF(H_A[[#This Row],[YearsAtCompany]]&lt;7,"Mid","Long"))</f>
        <v>Long</v>
      </c>
      <c r="AD48" t="str">
        <f>IF(H_A[[#This Row],[PercentSalaryHike]]&lt;13,"Low",IF(H_A[[#This Row],[PercentSalaryHike]]&lt;18,"Medium","High"))</f>
        <v>High</v>
      </c>
    </row>
    <row r="49" spans="1:30" x14ac:dyDescent="0.3">
      <c r="A49">
        <v>37</v>
      </c>
      <c r="B49">
        <v>61</v>
      </c>
      <c r="C49" t="s">
        <v>36</v>
      </c>
      <c r="D49" t="s">
        <v>37</v>
      </c>
      <c r="E49">
        <v>19</v>
      </c>
      <c r="F49">
        <v>2</v>
      </c>
      <c r="G49" t="s">
        <v>32</v>
      </c>
      <c r="H49">
        <v>2</v>
      </c>
      <c r="I49" t="s">
        <v>38</v>
      </c>
      <c r="J49">
        <v>3</v>
      </c>
      <c r="K49">
        <v>1</v>
      </c>
      <c r="L49" t="s">
        <v>39</v>
      </c>
      <c r="M49">
        <v>2</v>
      </c>
      <c r="N49" t="s">
        <v>40</v>
      </c>
      <c r="O49">
        <v>3022</v>
      </c>
      <c r="P49">
        <v>4</v>
      </c>
      <c r="Q49" t="s">
        <v>36</v>
      </c>
      <c r="R49">
        <v>1</v>
      </c>
      <c r="S49">
        <v>8</v>
      </c>
      <c r="T49">
        <v>3</v>
      </c>
      <c r="U49">
        <v>1</v>
      </c>
      <c r="V49">
        <v>0</v>
      </c>
      <c r="W49">
        <v>0</v>
      </c>
      <c r="X49">
        <v>0</v>
      </c>
      <c r="Y49">
        <v>21</v>
      </c>
      <c r="Z49">
        <f>IF(H_A[[#This Row],[Attrition]]="Yes",1,0)</f>
        <v>0</v>
      </c>
      <c r="AA49" t="str">
        <f>IF(H_A[[#This Row],[Age]]&lt;30,"Young",IF(H_A[[#This Row],[Age]]&lt;45,"Mid","Senior"))</f>
        <v>Mid</v>
      </c>
      <c r="AB49" t="str">
        <f>IF(H_A[[#This Row],[MonthlyIncome]]&lt;5000,"Low",IF(H_A[[#This Row],[MonthlyIncome]]&lt;10000,"Medium","High"))</f>
        <v>Low</v>
      </c>
      <c r="AC49" t="str">
        <f>IF(H_A[[#This Row],[YearsAtCompany]]&lt;3,"Early",IF(H_A[[#This Row],[YearsAtCompany]]&lt;7,"Mid","Long"))</f>
        <v>Early</v>
      </c>
      <c r="AD49" t="str">
        <f>IF(H_A[[#This Row],[PercentSalaryHike]]&lt;13,"Low",IF(H_A[[#This Row],[PercentSalaryHike]]&lt;18,"Medium","High"))</f>
        <v>High</v>
      </c>
    </row>
    <row r="50" spans="1:30" x14ac:dyDescent="0.3">
      <c r="A50">
        <v>46</v>
      </c>
      <c r="B50">
        <v>62</v>
      </c>
      <c r="C50" t="s">
        <v>36</v>
      </c>
      <c r="D50" t="s">
        <v>31</v>
      </c>
      <c r="E50">
        <v>5</v>
      </c>
      <c r="F50">
        <v>4</v>
      </c>
      <c r="G50" t="s">
        <v>50</v>
      </c>
      <c r="H50">
        <v>1</v>
      </c>
      <c r="I50" t="s">
        <v>38</v>
      </c>
      <c r="J50">
        <v>3</v>
      </c>
      <c r="K50">
        <v>2</v>
      </c>
      <c r="L50" t="s">
        <v>34</v>
      </c>
      <c r="M50">
        <v>4</v>
      </c>
      <c r="N50" t="s">
        <v>35</v>
      </c>
      <c r="O50">
        <v>5772</v>
      </c>
      <c r="P50">
        <v>4</v>
      </c>
      <c r="Q50" t="s">
        <v>30</v>
      </c>
      <c r="R50">
        <v>3</v>
      </c>
      <c r="S50">
        <v>14</v>
      </c>
      <c r="T50">
        <v>3</v>
      </c>
      <c r="U50">
        <v>9</v>
      </c>
      <c r="V50">
        <v>6</v>
      </c>
      <c r="W50">
        <v>0</v>
      </c>
      <c r="X50">
        <v>8</v>
      </c>
      <c r="Y50">
        <v>21</v>
      </c>
      <c r="Z50">
        <f>IF(H_A[[#This Row],[Attrition]]="Yes",1,0)</f>
        <v>0</v>
      </c>
      <c r="AA50" t="str">
        <f>IF(H_A[[#This Row],[Age]]&lt;30,"Young",IF(H_A[[#This Row],[Age]]&lt;45,"Mid","Senior"))</f>
        <v>Senior</v>
      </c>
      <c r="AB50" t="str">
        <f>IF(H_A[[#This Row],[MonthlyIncome]]&lt;5000,"Low",IF(H_A[[#This Row],[MonthlyIncome]]&lt;10000,"Medium","High"))</f>
        <v>Medium</v>
      </c>
      <c r="AC50" t="str">
        <f>IF(H_A[[#This Row],[YearsAtCompany]]&lt;3,"Early",IF(H_A[[#This Row],[YearsAtCompany]]&lt;7,"Mid","Long"))</f>
        <v>Long</v>
      </c>
      <c r="AD50" t="str">
        <f>IF(H_A[[#This Row],[PercentSalaryHike]]&lt;13,"Low",IF(H_A[[#This Row],[PercentSalaryHike]]&lt;18,"Medium","High"))</f>
        <v>High</v>
      </c>
    </row>
    <row r="51" spans="1:30" x14ac:dyDescent="0.3">
      <c r="A51">
        <v>35</v>
      </c>
      <c r="B51">
        <v>63</v>
      </c>
      <c r="C51" t="s">
        <v>36</v>
      </c>
      <c r="D51" t="s">
        <v>37</v>
      </c>
      <c r="E51">
        <v>8</v>
      </c>
      <c r="F51">
        <v>1</v>
      </c>
      <c r="G51" t="s">
        <v>32</v>
      </c>
      <c r="H51">
        <v>4</v>
      </c>
      <c r="I51" t="s">
        <v>38</v>
      </c>
      <c r="J51">
        <v>4</v>
      </c>
      <c r="K51">
        <v>1</v>
      </c>
      <c r="L51" t="s">
        <v>42</v>
      </c>
      <c r="M51">
        <v>4</v>
      </c>
      <c r="N51" t="s">
        <v>40</v>
      </c>
      <c r="O51">
        <v>2269</v>
      </c>
      <c r="P51">
        <v>1</v>
      </c>
      <c r="Q51" t="s">
        <v>36</v>
      </c>
      <c r="R51">
        <v>4</v>
      </c>
      <c r="S51">
        <v>1</v>
      </c>
      <c r="T51">
        <v>3</v>
      </c>
      <c r="U51">
        <v>1</v>
      </c>
      <c r="V51">
        <v>0</v>
      </c>
      <c r="W51">
        <v>0</v>
      </c>
      <c r="X51">
        <v>1</v>
      </c>
      <c r="Y51">
        <v>19</v>
      </c>
      <c r="Z51">
        <f>IF(H_A[[#This Row],[Attrition]]="Yes",1,0)</f>
        <v>0</v>
      </c>
      <c r="AA51" t="str">
        <f>IF(H_A[[#This Row],[Age]]&lt;30,"Young",IF(H_A[[#This Row],[Age]]&lt;45,"Mid","Senior"))</f>
        <v>Mid</v>
      </c>
      <c r="AB51" t="str">
        <f>IF(H_A[[#This Row],[MonthlyIncome]]&lt;5000,"Low",IF(H_A[[#This Row],[MonthlyIncome]]&lt;10000,"Medium","High"))</f>
        <v>Low</v>
      </c>
      <c r="AC51" t="str">
        <f>IF(H_A[[#This Row],[YearsAtCompany]]&lt;3,"Early",IF(H_A[[#This Row],[YearsAtCompany]]&lt;7,"Mid","Long"))</f>
        <v>Early</v>
      </c>
      <c r="AD51" t="str">
        <f>IF(H_A[[#This Row],[PercentSalaryHike]]&lt;13,"Low",IF(H_A[[#This Row],[PercentSalaryHike]]&lt;18,"Medium","High"))</f>
        <v>High</v>
      </c>
    </row>
    <row r="52" spans="1:30" x14ac:dyDescent="0.3">
      <c r="A52">
        <v>48</v>
      </c>
      <c r="B52">
        <v>64</v>
      </c>
      <c r="C52" t="s">
        <v>30</v>
      </c>
      <c r="D52" t="s">
        <v>37</v>
      </c>
      <c r="E52">
        <v>1</v>
      </c>
      <c r="F52">
        <v>2</v>
      </c>
      <c r="G52" t="s">
        <v>32</v>
      </c>
      <c r="H52">
        <v>1</v>
      </c>
      <c r="I52" t="s">
        <v>38</v>
      </c>
      <c r="J52">
        <v>2</v>
      </c>
      <c r="K52">
        <v>3</v>
      </c>
      <c r="L52" t="s">
        <v>42</v>
      </c>
      <c r="M52">
        <v>3</v>
      </c>
      <c r="N52" t="s">
        <v>35</v>
      </c>
      <c r="O52">
        <v>5381</v>
      </c>
      <c r="P52">
        <v>9</v>
      </c>
      <c r="Q52" t="s">
        <v>30</v>
      </c>
      <c r="R52">
        <v>4</v>
      </c>
      <c r="S52">
        <v>23</v>
      </c>
      <c r="T52">
        <v>3</v>
      </c>
      <c r="U52">
        <v>1</v>
      </c>
      <c r="V52">
        <v>0</v>
      </c>
      <c r="W52">
        <v>0</v>
      </c>
      <c r="X52">
        <v>0</v>
      </c>
      <c r="Y52">
        <v>13</v>
      </c>
      <c r="Z52">
        <f>IF(H_A[[#This Row],[Attrition]]="Yes",1,0)</f>
        <v>1</v>
      </c>
      <c r="AA52" t="str">
        <f>IF(H_A[[#This Row],[Age]]&lt;30,"Young",IF(H_A[[#This Row],[Age]]&lt;45,"Mid","Senior"))</f>
        <v>Senior</v>
      </c>
      <c r="AB52" t="str">
        <f>IF(H_A[[#This Row],[MonthlyIncome]]&lt;5000,"Low",IF(H_A[[#This Row],[MonthlyIncome]]&lt;10000,"Medium","High"))</f>
        <v>Medium</v>
      </c>
      <c r="AC52" t="str">
        <f>IF(H_A[[#This Row],[YearsAtCompany]]&lt;3,"Early",IF(H_A[[#This Row],[YearsAtCompany]]&lt;7,"Mid","Long"))</f>
        <v>Early</v>
      </c>
      <c r="AD52" t="str">
        <f>IF(H_A[[#This Row],[PercentSalaryHike]]&lt;13,"Low",IF(H_A[[#This Row],[PercentSalaryHike]]&lt;18,"Medium","High"))</f>
        <v>Medium</v>
      </c>
    </row>
    <row r="53" spans="1:30" x14ac:dyDescent="0.3">
      <c r="A53">
        <v>28</v>
      </c>
      <c r="B53">
        <v>65</v>
      </c>
      <c r="C53" t="s">
        <v>30</v>
      </c>
      <c r="D53" t="s">
        <v>37</v>
      </c>
      <c r="E53">
        <v>5</v>
      </c>
      <c r="F53">
        <v>4</v>
      </c>
      <c r="G53" t="s">
        <v>51</v>
      </c>
      <c r="H53">
        <v>3</v>
      </c>
      <c r="I53" t="s">
        <v>38</v>
      </c>
      <c r="J53">
        <v>3</v>
      </c>
      <c r="K53">
        <v>1</v>
      </c>
      <c r="L53" t="s">
        <v>42</v>
      </c>
      <c r="M53">
        <v>3</v>
      </c>
      <c r="N53" t="s">
        <v>35</v>
      </c>
      <c r="O53">
        <v>3441</v>
      </c>
      <c r="P53">
        <v>1</v>
      </c>
      <c r="Q53" t="s">
        <v>30</v>
      </c>
      <c r="R53">
        <v>3</v>
      </c>
      <c r="S53">
        <v>2</v>
      </c>
      <c r="T53">
        <v>2</v>
      </c>
      <c r="U53">
        <v>2</v>
      </c>
      <c r="V53">
        <v>2</v>
      </c>
      <c r="W53">
        <v>2</v>
      </c>
      <c r="X53">
        <v>2</v>
      </c>
      <c r="Y53">
        <v>13</v>
      </c>
      <c r="Z53">
        <f>IF(H_A[[#This Row],[Attrition]]="Yes",1,0)</f>
        <v>1</v>
      </c>
      <c r="AA53" t="str">
        <f>IF(H_A[[#This Row],[Age]]&lt;30,"Young",IF(H_A[[#This Row],[Age]]&lt;45,"Mid","Senior"))</f>
        <v>Young</v>
      </c>
      <c r="AB53" t="str">
        <f>IF(H_A[[#This Row],[MonthlyIncome]]&lt;5000,"Low",IF(H_A[[#This Row],[MonthlyIncome]]&lt;10000,"Medium","High"))</f>
        <v>Low</v>
      </c>
      <c r="AC53" t="str">
        <f>IF(H_A[[#This Row],[YearsAtCompany]]&lt;3,"Early",IF(H_A[[#This Row],[YearsAtCompany]]&lt;7,"Mid","Long"))</f>
        <v>Early</v>
      </c>
      <c r="AD53" t="str">
        <f>IF(H_A[[#This Row],[PercentSalaryHike]]&lt;13,"Low",IF(H_A[[#This Row],[PercentSalaryHike]]&lt;18,"Medium","High"))</f>
        <v>Medium</v>
      </c>
    </row>
    <row r="54" spans="1:30" x14ac:dyDescent="0.3">
      <c r="A54">
        <v>44</v>
      </c>
      <c r="B54">
        <v>68</v>
      </c>
      <c r="C54" t="s">
        <v>36</v>
      </c>
      <c r="D54" t="s">
        <v>31</v>
      </c>
      <c r="E54">
        <v>1</v>
      </c>
      <c r="F54">
        <v>5</v>
      </c>
      <c r="G54" t="s">
        <v>50</v>
      </c>
      <c r="H54">
        <v>2</v>
      </c>
      <c r="I54" t="s">
        <v>33</v>
      </c>
      <c r="J54">
        <v>3</v>
      </c>
      <c r="K54">
        <v>2</v>
      </c>
      <c r="L54" t="s">
        <v>34</v>
      </c>
      <c r="M54">
        <v>1</v>
      </c>
      <c r="N54" t="s">
        <v>44</v>
      </c>
      <c r="O54">
        <v>5454</v>
      </c>
      <c r="P54">
        <v>5</v>
      </c>
      <c r="Q54" t="s">
        <v>30</v>
      </c>
      <c r="R54">
        <v>3</v>
      </c>
      <c r="S54">
        <v>9</v>
      </c>
      <c r="T54">
        <v>2</v>
      </c>
      <c r="U54">
        <v>4</v>
      </c>
      <c r="V54">
        <v>3</v>
      </c>
      <c r="W54">
        <v>1</v>
      </c>
      <c r="X54">
        <v>3</v>
      </c>
      <c r="Y54">
        <v>21</v>
      </c>
      <c r="Z54">
        <f>IF(H_A[[#This Row],[Attrition]]="Yes",1,0)</f>
        <v>0</v>
      </c>
      <c r="AA54" t="str">
        <f>IF(H_A[[#This Row],[Age]]&lt;30,"Young",IF(H_A[[#This Row],[Age]]&lt;45,"Mid","Senior"))</f>
        <v>Mid</v>
      </c>
      <c r="AB54" t="str">
        <f>IF(H_A[[#This Row],[MonthlyIncome]]&lt;5000,"Low",IF(H_A[[#This Row],[MonthlyIncome]]&lt;10000,"Medium","High"))</f>
        <v>Medium</v>
      </c>
      <c r="AC54" t="str">
        <f>IF(H_A[[#This Row],[YearsAtCompany]]&lt;3,"Early",IF(H_A[[#This Row],[YearsAtCompany]]&lt;7,"Mid","Long"))</f>
        <v>Mid</v>
      </c>
      <c r="AD54" t="str">
        <f>IF(H_A[[#This Row],[PercentSalaryHike]]&lt;13,"Low",IF(H_A[[#This Row],[PercentSalaryHike]]&lt;18,"Medium","High"))</f>
        <v>High</v>
      </c>
    </row>
    <row r="55" spans="1:30" x14ac:dyDescent="0.3">
      <c r="A55">
        <v>35</v>
      </c>
      <c r="B55">
        <v>70</v>
      </c>
      <c r="C55" t="s">
        <v>36</v>
      </c>
      <c r="D55" t="s">
        <v>37</v>
      </c>
      <c r="E55">
        <v>11</v>
      </c>
      <c r="F55">
        <v>2</v>
      </c>
      <c r="G55" t="s">
        <v>43</v>
      </c>
      <c r="H55">
        <v>3</v>
      </c>
      <c r="I55" t="s">
        <v>38</v>
      </c>
      <c r="J55">
        <v>2</v>
      </c>
      <c r="K55">
        <v>3</v>
      </c>
      <c r="L55" t="s">
        <v>46</v>
      </c>
      <c r="M55">
        <v>1</v>
      </c>
      <c r="N55" t="s">
        <v>40</v>
      </c>
      <c r="O55">
        <v>9884</v>
      </c>
      <c r="P55">
        <v>2</v>
      </c>
      <c r="Q55" t="s">
        <v>30</v>
      </c>
      <c r="R55">
        <v>3</v>
      </c>
      <c r="S55">
        <v>10</v>
      </c>
      <c r="T55">
        <v>3</v>
      </c>
      <c r="U55">
        <v>4</v>
      </c>
      <c r="V55">
        <v>0</v>
      </c>
      <c r="W55">
        <v>2</v>
      </c>
      <c r="X55">
        <v>3</v>
      </c>
      <c r="Y55">
        <v>13</v>
      </c>
      <c r="Z55">
        <f>IF(H_A[[#This Row],[Attrition]]="Yes",1,0)</f>
        <v>0</v>
      </c>
      <c r="AA55" t="str">
        <f>IF(H_A[[#This Row],[Age]]&lt;30,"Young",IF(H_A[[#This Row],[Age]]&lt;45,"Mid","Senior"))</f>
        <v>Mid</v>
      </c>
      <c r="AB55" t="str">
        <f>IF(H_A[[#This Row],[MonthlyIncome]]&lt;5000,"Low",IF(H_A[[#This Row],[MonthlyIncome]]&lt;10000,"Medium","High"))</f>
        <v>Medium</v>
      </c>
      <c r="AC55" t="str">
        <f>IF(H_A[[#This Row],[YearsAtCompany]]&lt;3,"Early",IF(H_A[[#This Row],[YearsAtCompany]]&lt;7,"Mid","Long"))</f>
        <v>Mid</v>
      </c>
      <c r="AD55" t="str">
        <f>IF(H_A[[#This Row],[PercentSalaryHike]]&lt;13,"Low",IF(H_A[[#This Row],[PercentSalaryHike]]&lt;18,"Medium","High"))</f>
        <v>Medium</v>
      </c>
    </row>
    <row r="56" spans="1:30" x14ac:dyDescent="0.3">
      <c r="A56">
        <v>26</v>
      </c>
      <c r="B56">
        <v>72</v>
      </c>
      <c r="C56" t="s">
        <v>36</v>
      </c>
      <c r="D56" t="s">
        <v>31</v>
      </c>
      <c r="E56">
        <v>23</v>
      </c>
      <c r="F56">
        <v>3</v>
      </c>
      <c r="G56" t="s">
        <v>50</v>
      </c>
      <c r="H56">
        <v>3</v>
      </c>
      <c r="I56" t="s">
        <v>33</v>
      </c>
      <c r="J56">
        <v>2</v>
      </c>
      <c r="K56">
        <v>2</v>
      </c>
      <c r="L56" t="s">
        <v>34</v>
      </c>
      <c r="M56">
        <v>4</v>
      </c>
      <c r="N56" t="s">
        <v>40</v>
      </c>
      <c r="O56">
        <v>4157</v>
      </c>
      <c r="P56">
        <v>7</v>
      </c>
      <c r="Q56" t="s">
        <v>30</v>
      </c>
      <c r="R56">
        <v>3</v>
      </c>
      <c r="S56">
        <v>5</v>
      </c>
      <c r="T56">
        <v>2</v>
      </c>
      <c r="U56">
        <v>2</v>
      </c>
      <c r="V56">
        <v>2</v>
      </c>
      <c r="W56">
        <v>0</v>
      </c>
      <c r="X56">
        <v>0</v>
      </c>
      <c r="Y56">
        <v>19</v>
      </c>
      <c r="Z56">
        <f>IF(H_A[[#This Row],[Attrition]]="Yes",1,0)</f>
        <v>0</v>
      </c>
      <c r="AA56" t="str">
        <f>IF(H_A[[#This Row],[Age]]&lt;30,"Young",IF(H_A[[#This Row],[Age]]&lt;45,"Mid","Senior"))</f>
        <v>Young</v>
      </c>
      <c r="AB56" t="str">
        <f>IF(H_A[[#This Row],[MonthlyIncome]]&lt;5000,"Low",IF(H_A[[#This Row],[MonthlyIncome]]&lt;10000,"Medium","High"))</f>
        <v>Low</v>
      </c>
      <c r="AC56" t="str">
        <f>IF(H_A[[#This Row],[YearsAtCompany]]&lt;3,"Early",IF(H_A[[#This Row],[YearsAtCompany]]&lt;7,"Mid","Long"))</f>
        <v>Early</v>
      </c>
      <c r="AD56" t="str">
        <f>IF(H_A[[#This Row],[PercentSalaryHike]]&lt;13,"Low",IF(H_A[[#This Row],[PercentSalaryHike]]&lt;18,"Medium","High"))</f>
        <v>High</v>
      </c>
    </row>
    <row r="57" spans="1:30" x14ac:dyDescent="0.3">
      <c r="A57">
        <v>33</v>
      </c>
      <c r="B57">
        <v>73</v>
      </c>
      <c r="C57" t="s">
        <v>36</v>
      </c>
      <c r="D57" t="s">
        <v>37</v>
      </c>
      <c r="E57">
        <v>1</v>
      </c>
      <c r="F57">
        <v>2</v>
      </c>
      <c r="G57" t="s">
        <v>32</v>
      </c>
      <c r="H57">
        <v>1</v>
      </c>
      <c r="I57" t="s">
        <v>33</v>
      </c>
      <c r="J57">
        <v>3</v>
      </c>
      <c r="K57">
        <v>3</v>
      </c>
      <c r="L57" t="s">
        <v>49</v>
      </c>
      <c r="M57">
        <v>4</v>
      </c>
      <c r="N57" t="s">
        <v>35</v>
      </c>
      <c r="O57">
        <v>13458</v>
      </c>
      <c r="P57">
        <v>1</v>
      </c>
      <c r="Q57" t="s">
        <v>30</v>
      </c>
      <c r="R57">
        <v>3</v>
      </c>
      <c r="S57">
        <v>15</v>
      </c>
      <c r="T57">
        <v>3</v>
      </c>
      <c r="U57">
        <v>15</v>
      </c>
      <c r="V57">
        <v>14</v>
      </c>
      <c r="W57">
        <v>8</v>
      </c>
      <c r="X57">
        <v>12</v>
      </c>
      <c r="Y57">
        <v>12</v>
      </c>
      <c r="Z57">
        <f>IF(H_A[[#This Row],[Attrition]]="Yes",1,0)</f>
        <v>0</v>
      </c>
      <c r="AA57" t="str">
        <f>IF(H_A[[#This Row],[Age]]&lt;30,"Young",IF(H_A[[#This Row],[Age]]&lt;45,"Mid","Senior"))</f>
        <v>Mid</v>
      </c>
      <c r="AB57" t="str">
        <f>IF(H_A[[#This Row],[MonthlyIncome]]&lt;5000,"Low",IF(H_A[[#This Row],[MonthlyIncome]]&lt;10000,"Medium","High"))</f>
        <v>High</v>
      </c>
      <c r="AC57" t="str">
        <f>IF(H_A[[#This Row],[YearsAtCompany]]&lt;3,"Early",IF(H_A[[#This Row],[YearsAtCompany]]&lt;7,"Mid","Long"))</f>
        <v>Long</v>
      </c>
      <c r="AD57" t="str">
        <f>IF(H_A[[#This Row],[PercentSalaryHike]]&lt;13,"Low",IF(H_A[[#This Row],[PercentSalaryHike]]&lt;18,"Medium","High"))</f>
        <v>Low</v>
      </c>
    </row>
    <row r="58" spans="1:30" x14ac:dyDescent="0.3">
      <c r="A58">
        <v>35</v>
      </c>
      <c r="B58">
        <v>74</v>
      </c>
      <c r="C58" t="s">
        <v>36</v>
      </c>
      <c r="D58" t="s">
        <v>31</v>
      </c>
      <c r="E58">
        <v>18</v>
      </c>
      <c r="F58">
        <v>5</v>
      </c>
      <c r="G58" t="s">
        <v>32</v>
      </c>
      <c r="H58">
        <v>2</v>
      </c>
      <c r="I58" t="s">
        <v>38</v>
      </c>
      <c r="J58">
        <v>3</v>
      </c>
      <c r="K58">
        <v>3</v>
      </c>
      <c r="L58" t="s">
        <v>34</v>
      </c>
      <c r="M58">
        <v>1</v>
      </c>
      <c r="N58" t="s">
        <v>40</v>
      </c>
      <c r="O58">
        <v>9069</v>
      </c>
      <c r="P58">
        <v>1</v>
      </c>
      <c r="Q58" t="s">
        <v>36</v>
      </c>
      <c r="R58">
        <v>4</v>
      </c>
      <c r="S58">
        <v>9</v>
      </c>
      <c r="T58">
        <v>2</v>
      </c>
      <c r="U58">
        <v>9</v>
      </c>
      <c r="V58">
        <v>8</v>
      </c>
      <c r="W58">
        <v>1</v>
      </c>
      <c r="X58">
        <v>8</v>
      </c>
      <c r="Y58">
        <v>22</v>
      </c>
      <c r="Z58">
        <f>IF(H_A[[#This Row],[Attrition]]="Yes",1,0)</f>
        <v>0</v>
      </c>
      <c r="AA58" t="str">
        <f>IF(H_A[[#This Row],[Age]]&lt;30,"Young",IF(H_A[[#This Row],[Age]]&lt;45,"Mid","Senior"))</f>
        <v>Mid</v>
      </c>
      <c r="AB58" t="str">
        <f>IF(H_A[[#This Row],[MonthlyIncome]]&lt;5000,"Low",IF(H_A[[#This Row],[MonthlyIncome]]&lt;10000,"Medium","High"))</f>
        <v>Medium</v>
      </c>
      <c r="AC58" t="str">
        <f>IF(H_A[[#This Row],[YearsAtCompany]]&lt;3,"Early",IF(H_A[[#This Row],[YearsAtCompany]]&lt;7,"Mid","Long"))</f>
        <v>Long</v>
      </c>
      <c r="AD58" t="str">
        <f>IF(H_A[[#This Row],[PercentSalaryHike]]&lt;13,"Low",IF(H_A[[#This Row],[PercentSalaryHike]]&lt;18,"Medium","High"))</f>
        <v>High</v>
      </c>
    </row>
    <row r="59" spans="1:30" x14ac:dyDescent="0.3">
      <c r="A59">
        <v>35</v>
      </c>
      <c r="B59">
        <v>75</v>
      </c>
      <c r="C59" t="s">
        <v>36</v>
      </c>
      <c r="D59" t="s">
        <v>37</v>
      </c>
      <c r="E59">
        <v>23</v>
      </c>
      <c r="F59">
        <v>4</v>
      </c>
      <c r="G59" t="s">
        <v>43</v>
      </c>
      <c r="H59">
        <v>3</v>
      </c>
      <c r="I59" t="s">
        <v>33</v>
      </c>
      <c r="J59">
        <v>3</v>
      </c>
      <c r="K59">
        <v>1</v>
      </c>
      <c r="L59" t="s">
        <v>42</v>
      </c>
      <c r="M59">
        <v>1</v>
      </c>
      <c r="N59" t="s">
        <v>40</v>
      </c>
      <c r="O59">
        <v>4014</v>
      </c>
      <c r="P59">
        <v>3</v>
      </c>
      <c r="Q59" t="s">
        <v>30</v>
      </c>
      <c r="R59">
        <v>3</v>
      </c>
      <c r="S59">
        <v>4</v>
      </c>
      <c r="T59">
        <v>3</v>
      </c>
      <c r="U59">
        <v>2</v>
      </c>
      <c r="V59">
        <v>2</v>
      </c>
      <c r="W59">
        <v>2</v>
      </c>
      <c r="X59">
        <v>2</v>
      </c>
      <c r="Y59">
        <v>15</v>
      </c>
      <c r="Z59">
        <f>IF(H_A[[#This Row],[Attrition]]="Yes",1,0)</f>
        <v>0</v>
      </c>
      <c r="AA59" t="str">
        <f>IF(H_A[[#This Row],[Age]]&lt;30,"Young",IF(H_A[[#This Row],[Age]]&lt;45,"Mid","Senior"))</f>
        <v>Mid</v>
      </c>
      <c r="AB59" t="str">
        <f>IF(H_A[[#This Row],[MonthlyIncome]]&lt;5000,"Low",IF(H_A[[#This Row],[MonthlyIncome]]&lt;10000,"Medium","High"))</f>
        <v>Low</v>
      </c>
      <c r="AC59" t="str">
        <f>IF(H_A[[#This Row],[YearsAtCompany]]&lt;3,"Early",IF(H_A[[#This Row],[YearsAtCompany]]&lt;7,"Mid","Long"))</f>
        <v>Early</v>
      </c>
      <c r="AD59" t="str">
        <f>IF(H_A[[#This Row],[PercentSalaryHike]]&lt;13,"Low",IF(H_A[[#This Row],[PercentSalaryHike]]&lt;18,"Medium","High"))</f>
        <v>Medium</v>
      </c>
    </row>
    <row r="60" spans="1:30" x14ac:dyDescent="0.3">
      <c r="A60">
        <v>31</v>
      </c>
      <c r="B60">
        <v>76</v>
      </c>
      <c r="C60" t="s">
        <v>36</v>
      </c>
      <c r="D60" t="s">
        <v>37</v>
      </c>
      <c r="E60">
        <v>7</v>
      </c>
      <c r="F60">
        <v>4</v>
      </c>
      <c r="G60" t="s">
        <v>32</v>
      </c>
      <c r="H60">
        <v>4</v>
      </c>
      <c r="I60" t="s">
        <v>38</v>
      </c>
      <c r="J60">
        <v>3</v>
      </c>
      <c r="K60">
        <v>2</v>
      </c>
      <c r="L60" t="s">
        <v>42</v>
      </c>
      <c r="M60">
        <v>4</v>
      </c>
      <c r="N60" t="s">
        <v>44</v>
      </c>
      <c r="O60">
        <v>5915</v>
      </c>
      <c r="P60">
        <v>3</v>
      </c>
      <c r="Q60" t="s">
        <v>36</v>
      </c>
      <c r="R60">
        <v>4</v>
      </c>
      <c r="S60">
        <v>10</v>
      </c>
      <c r="T60">
        <v>2</v>
      </c>
      <c r="U60">
        <v>7</v>
      </c>
      <c r="V60">
        <v>7</v>
      </c>
      <c r="W60">
        <v>1</v>
      </c>
      <c r="X60">
        <v>7</v>
      </c>
      <c r="Y60">
        <v>22</v>
      </c>
      <c r="Z60">
        <f>IF(H_A[[#This Row],[Attrition]]="Yes",1,0)</f>
        <v>0</v>
      </c>
      <c r="AA60" t="str">
        <f>IF(H_A[[#This Row],[Age]]&lt;30,"Young",IF(H_A[[#This Row],[Age]]&lt;45,"Mid","Senior"))</f>
        <v>Mid</v>
      </c>
      <c r="AB60" t="str">
        <f>IF(H_A[[#This Row],[MonthlyIncome]]&lt;5000,"Low",IF(H_A[[#This Row],[MonthlyIncome]]&lt;10000,"Medium","High"))</f>
        <v>Medium</v>
      </c>
      <c r="AC60" t="str">
        <f>IF(H_A[[#This Row],[YearsAtCompany]]&lt;3,"Early",IF(H_A[[#This Row],[YearsAtCompany]]&lt;7,"Mid","Long"))</f>
        <v>Long</v>
      </c>
      <c r="AD60" t="str">
        <f>IF(H_A[[#This Row],[PercentSalaryHike]]&lt;13,"Low",IF(H_A[[#This Row],[PercentSalaryHike]]&lt;18,"Medium","High"))</f>
        <v>High</v>
      </c>
    </row>
    <row r="61" spans="1:30" x14ac:dyDescent="0.3">
      <c r="A61">
        <v>37</v>
      </c>
      <c r="B61">
        <v>77</v>
      </c>
      <c r="C61" t="s">
        <v>36</v>
      </c>
      <c r="D61" t="s">
        <v>37</v>
      </c>
      <c r="E61">
        <v>1</v>
      </c>
      <c r="F61">
        <v>4</v>
      </c>
      <c r="G61" t="s">
        <v>32</v>
      </c>
      <c r="H61">
        <v>1</v>
      </c>
      <c r="I61" t="s">
        <v>38</v>
      </c>
      <c r="J61">
        <v>2</v>
      </c>
      <c r="K61">
        <v>2</v>
      </c>
      <c r="L61" t="s">
        <v>45</v>
      </c>
      <c r="M61">
        <v>3</v>
      </c>
      <c r="N61" t="s">
        <v>44</v>
      </c>
      <c r="O61">
        <v>5993</v>
      </c>
      <c r="P61">
        <v>1</v>
      </c>
      <c r="Q61" t="s">
        <v>36</v>
      </c>
      <c r="R61">
        <v>3</v>
      </c>
      <c r="S61">
        <v>7</v>
      </c>
      <c r="T61">
        <v>4</v>
      </c>
      <c r="U61">
        <v>7</v>
      </c>
      <c r="V61">
        <v>5</v>
      </c>
      <c r="W61">
        <v>0</v>
      </c>
      <c r="X61">
        <v>7</v>
      </c>
      <c r="Y61">
        <v>18</v>
      </c>
      <c r="Z61">
        <f>IF(H_A[[#This Row],[Attrition]]="Yes",1,0)</f>
        <v>0</v>
      </c>
      <c r="AA61" t="str">
        <f>IF(H_A[[#This Row],[Age]]&lt;30,"Young",IF(H_A[[#This Row],[Age]]&lt;45,"Mid","Senior"))</f>
        <v>Mid</v>
      </c>
      <c r="AB61" t="str">
        <f>IF(H_A[[#This Row],[MonthlyIncome]]&lt;5000,"Low",IF(H_A[[#This Row],[MonthlyIncome]]&lt;10000,"Medium","High"))</f>
        <v>Medium</v>
      </c>
      <c r="AC61" t="str">
        <f>IF(H_A[[#This Row],[YearsAtCompany]]&lt;3,"Early",IF(H_A[[#This Row],[YearsAtCompany]]&lt;7,"Mid","Long"))</f>
        <v>Long</v>
      </c>
      <c r="AD61" t="str">
        <f>IF(H_A[[#This Row],[PercentSalaryHike]]&lt;13,"Low",IF(H_A[[#This Row],[PercentSalaryHike]]&lt;18,"Medium","High"))</f>
        <v>High</v>
      </c>
    </row>
    <row r="62" spans="1:30" x14ac:dyDescent="0.3">
      <c r="A62">
        <v>32</v>
      </c>
      <c r="B62">
        <v>78</v>
      </c>
      <c r="C62" t="s">
        <v>36</v>
      </c>
      <c r="D62" t="s">
        <v>37</v>
      </c>
      <c r="E62">
        <v>1</v>
      </c>
      <c r="F62">
        <v>3</v>
      </c>
      <c r="G62" t="s">
        <v>43</v>
      </c>
      <c r="H62">
        <v>1</v>
      </c>
      <c r="I62" t="s">
        <v>38</v>
      </c>
      <c r="J62">
        <v>3</v>
      </c>
      <c r="K62">
        <v>2</v>
      </c>
      <c r="L62" t="s">
        <v>45</v>
      </c>
      <c r="M62">
        <v>4</v>
      </c>
      <c r="N62" t="s">
        <v>40</v>
      </c>
      <c r="O62">
        <v>6162</v>
      </c>
      <c r="P62">
        <v>1</v>
      </c>
      <c r="Q62" t="s">
        <v>30</v>
      </c>
      <c r="R62">
        <v>2</v>
      </c>
      <c r="S62">
        <v>9</v>
      </c>
      <c r="T62">
        <v>3</v>
      </c>
      <c r="U62">
        <v>9</v>
      </c>
      <c r="V62">
        <v>8</v>
      </c>
      <c r="W62">
        <v>7</v>
      </c>
      <c r="X62">
        <v>8</v>
      </c>
      <c r="Y62">
        <v>22</v>
      </c>
      <c r="Z62">
        <f>IF(H_A[[#This Row],[Attrition]]="Yes",1,0)</f>
        <v>0</v>
      </c>
      <c r="AA62" t="str">
        <f>IF(H_A[[#This Row],[Age]]&lt;30,"Young",IF(H_A[[#This Row],[Age]]&lt;45,"Mid","Senior"))</f>
        <v>Mid</v>
      </c>
      <c r="AB62" t="str">
        <f>IF(H_A[[#This Row],[MonthlyIncome]]&lt;5000,"Low",IF(H_A[[#This Row],[MonthlyIncome]]&lt;10000,"Medium","High"))</f>
        <v>Medium</v>
      </c>
      <c r="AC62" t="str">
        <f>IF(H_A[[#This Row],[YearsAtCompany]]&lt;3,"Early",IF(H_A[[#This Row],[YearsAtCompany]]&lt;7,"Mid","Long"))</f>
        <v>Long</v>
      </c>
      <c r="AD62" t="str">
        <f>IF(H_A[[#This Row],[PercentSalaryHike]]&lt;13,"Low",IF(H_A[[#This Row],[PercentSalaryHike]]&lt;18,"Medium","High"))</f>
        <v>High</v>
      </c>
    </row>
    <row r="63" spans="1:30" x14ac:dyDescent="0.3">
      <c r="A63">
        <v>38</v>
      </c>
      <c r="B63">
        <v>79</v>
      </c>
      <c r="C63" t="s">
        <v>36</v>
      </c>
      <c r="D63" t="s">
        <v>37</v>
      </c>
      <c r="E63">
        <v>29</v>
      </c>
      <c r="F63">
        <v>5</v>
      </c>
      <c r="G63" t="s">
        <v>32</v>
      </c>
      <c r="H63">
        <v>4</v>
      </c>
      <c r="I63" t="s">
        <v>33</v>
      </c>
      <c r="J63">
        <v>3</v>
      </c>
      <c r="K63">
        <v>2</v>
      </c>
      <c r="L63" t="s">
        <v>42</v>
      </c>
      <c r="M63">
        <v>4</v>
      </c>
      <c r="N63" t="s">
        <v>35</v>
      </c>
      <c r="O63">
        <v>2406</v>
      </c>
      <c r="P63">
        <v>1</v>
      </c>
      <c r="Q63" t="s">
        <v>36</v>
      </c>
      <c r="R63">
        <v>4</v>
      </c>
      <c r="S63">
        <v>10</v>
      </c>
      <c r="T63">
        <v>3</v>
      </c>
      <c r="U63">
        <v>10</v>
      </c>
      <c r="V63">
        <v>3</v>
      </c>
      <c r="W63">
        <v>9</v>
      </c>
      <c r="X63">
        <v>9</v>
      </c>
      <c r="Y63">
        <v>11</v>
      </c>
      <c r="Z63">
        <f>IF(H_A[[#This Row],[Attrition]]="Yes",1,0)</f>
        <v>0</v>
      </c>
      <c r="AA63" t="str">
        <f>IF(H_A[[#This Row],[Age]]&lt;30,"Young",IF(H_A[[#This Row],[Age]]&lt;45,"Mid","Senior"))</f>
        <v>Mid</v>
      </c>
      <c r="AB63" t="str">
        <f>IF(H_A[[#This Row],[MonthlyIncome]]&lt;5000,"Low",IF(H_A[[#This Row],[MonthlyIncome]]&lt;10000,"Medium","High"))</f>
        <v>Low</v>
      </c>
      <c r="AC63" t="str">
        <f>IF(H_A[[#This Row],[YearsAtCompany]]&lt;3,"Early",IF(H_A[[#This Row],[YearsAtCompany]]&lt;7,"Mid","Long"))</f>
        <v>Long</v>
      </c>
      <c r="AD63" t="str">
        <f>IF(H_A[[#This Row],[PercentSalaryHike]]&lt;13,"Low",IF(H_A[[#This Row],[PercentSalaryHike]]&lt;18,"Medium","High"))</f>
        <v>Low</v>
      </c>
    </row>
    <row r="64" spans="1:30" x14ac:dyDescent="0.3">
      <c r="A64">
        <v>50</v>
      </c>
      <c r="B64">
        <v>80</v>
      </c>
      <c r="C64" t="s">
        <v>36</v>
      </c>
      <c r="D64" t="s">
        <v>37</v>
      </c>
      <c r="E64">
        <v>7</v>
      </c>
      <c r="F64">
        <v>2</v>
      </c>
      <c r="G64" t="s">
        <v>43</v>
      </c>
      <c r="H64">
        <v>2</v>
      </c>
      <c r="I64" t="s">
        <v>33</v>
      </c>
      <c r="J64">
        <v>2</v>
      </c>
      <c r="K64">
        <v>5</v>
      </c>
      <c r="L64" t="s">
        <v>49</v>
      </c>
      <c r="M64">
        <v>3</v>
      </c>
      <c r="N64" t="s">
        <v>44</v>
      </c>
      <c r="O64">
        <v>18740</v>
      </c>
      <c r="P64">
        <v>5</v>
      </c>
      <c r="Q64" t="s">
        <v>30</v>
      </c>
      <c r="R64">
        <v>4</v>
      </c>
      <c r="S64">
        <v>29</v>
      </c>
      <c r="T64">
        <v>2</v>
      </c>
      <c r="U64">
        <v>27</v>
      </c>
      <c r="V64">
        <v>3</v>
      </c>
      <c r="W64">
        <v>13</v>
      </c>
      <c r="X64">
        <v>8</v>
      </c>
      <c r="Y64">
        <v>12</v>
      </c>
      <c r="Z64">
        <f>IF(H_A[[#This Row],[Attrition]]="Yes",1,0)</f>
        <v>0</v>
      </c>
      <c r="AA64" t="str">
        <f>IF(H_A[[#This Row],[Age]]&lt;30,"Young",IF(H_A[[#This Row],[Age]]&lt;45,"Mid","Senior"))</f>
        <v>Senior</v>
      </c>
      <c r="AB64" t="str">
        <f>IF(H_A[[#This Row],[MonthlyIncome]]&lt;5000,"Low",IF(H_A[[#This Row],[MonthlyIncome]]&lt;10000,"Medium","High"))</f>
        <v>High</v>
      </c>
      <c r="AC64" t="str">
        <f>IF(H_A[[#This Row],[YearsAtCompany]]&lt;3,"Early",IF(H_A[[#This Row],[YearsAtCompany]]&lt;7,"Mid","Long"))</f>
        <v>Long</v>
      </c>
      <c r="AD64" t="str">
        <f>IF(H_A[[#This Row],[PercentSalaryHike]]&lt;13,"Low",IF(H_A[[#This Row],[PercentSalaryHike]]&lt;18,"Medium","High"))</f>
        <v>Low</v>
      </c>
    </row>
    <row r="65" spans="1:30" x14ac:dyDescent="0.3">
      <c r="A65">
        <v>59</v>
      </c>
      <c r="B65">
        <v>81</v>
      </c>
      <c r="C65" t="s">
        <v>36</v>
      </c>
      <c r="D65" t="s">
        <v>31</v>
      </c>
      <c r="E65">
        <v>25</v>
      </c>
      <c r="F65">
        <v>3</v>
      </c>
      <c r="G65" t="s">
        <v>32</v>
      </c>
      <c r="H65">
        <v>1</v>
      </c>
      <c r="I65" t="s">
        <v>33</v>
      </c>
      <c r="J65">
        <v>3</v>
      </c>
      <c r="K65">
        <v>3</v>
      </c>
      <c r="L65" t="s">
        <v>34</v>
      </c>
      <c r="M65">
        <v>1</v>
      </c>
      <c r="N65" t="s">
        <v>35</v>
      </c>
      <c r="O65">
        <v>7637</v>
      </c>
      <c r="P65">
        <v>7</v>
      </c>
      <c r="Q65" t="s">
        <v>36</v>
      </c>
      <c r="R65">
        <v>4</v>
      </c>
      <c r="S65">
        <v>28</v>
      </c>
      <c r="T65">
        <v>2</v>
      </c>
      <c r="U65">
        <v>21</v>
      </c>
      <c r="V65">
        <v>16</v>
      </c>
      <c r="W65">
        <v>7</v>
      </c>
      <c r="X65">
        <v>9</v>
      </c>
      <c r="Y65">
        <v>11</v>
      </c>
      <c r="Z65">
        <f>IF(H_A[[#This Row],[Attrition]]="Yes",1,0)</f>
        <v>0</v>
      </c>
      <c r="AA65" t="str">
        <f>IF(H_A[[#This Row],[Age]]&lt;30,"Young",IF(H_A[[#This Row],[Age]]&lt;45,"Mid","Senior"))</f>
        <v>Senior</v>
      </c>
      <c r="AB65" t="str">
        <f>IF(H_A[[#This Row],[MonthlyIncome]]&lt;5000,"Low",IF(H_A[[#This Row],[MonthlyIncome]]&lt;10000,"Medium","High"))</f>
        <v>Medium</v>
      </c>
      <c r="AC65" t="str">
        <f>IF(H_A[[#This Row],[YearsAtCompany]]&lt;3,"Early",IF(H_A[[#This Row],[YearsAtCompany]]&lt;7,"Mid","Long"))</f>
        <v>Long</v>
      </c>
      <c r="AD65" t="str">
        <f>IF(H_A[[#This Row],[PercentSalaryHike]]&lt;13,"Low",IF(H_A[[#This Row],[PercentSalaryHike]]&lt;18,"Medium","High"))</f>
        <v>Low</v>
      </c>
    </row>
    <row r="66" spans="1:30" x14ac:dyDescent="0.3">
      <c r="A66">
        <v>36</v>
      </c>
      <c r="B66">
        <v>83</v>
      </c>
      <c r="C66" t="s">
        <v>36</v>
      </c>
      <c r="D66" t="s">
        <v>37</v>
      </c>
      <c r="E66">
        <v>8</v>
      </c>
      <c r="F66">
        <v>3</v>
      </c>
      <c r="G66" t="s">
        <v>51</v>
      </c>
      <c r="H66">
        <v>3</v>
      </c>
      <c r="I66" t="s">
        <v>33</v>
      </c>
      <c r="J66">
        <v>3</v>
      </c>
      <c r="K66">
        <v>3</v>
      </c>
      <c r="L66" t="s">
        <v>46</v>
      </c>
      <c r="M66">
        <v>3</v>
      </c>
      <c r="N66" t="s">
        <v>44</v>
      </c>
      <c r="O66">
        <v>10096</v>
      </c>
      <c r="P66">
        <v>1</v>
      </c>
      <c r="Q66" t="s">
        <v>36</v>
      </c>
      <c r="R66">
        <v>2</v>
      </c>
      <c r="S66">
        <v>17</v>
      </c>
      <c r="T66">
        <v>3</v>
      </c>
      <c r="U66">
        <v>17</v>
      </c>
      <c r="V66">
        <v>14</v>
      </c>
      <c r="W66">
        <v>12</v>
      </c>
      <c r="X66">
        <v>8</v>
      </c>
      <c r="Y66">
        <v>13</v>
      </c>
      <c r="Z66">
        <f>IF(H_A[[#This Row],[Attrition]]="Yes",1,0)</f>
        <v>0</v>
      </c>
      <c r="AA66" t="str">
        <f>IF(H_A[[#This Row],[Age]]&lt;30,"Young",IF(H_A[[#This Row],[Age]]&lt;45,"Mid","Senior"))</f>
        <v>Mid</v>
      </c>
      <c r="AB66" t="str">
        <f>IF(H_A[[#This Row],[MonthlyIncome]]&lt;5000,"Low",IF(H_A[[#This Row],[MonthlyIncome]]&lt;10000,"Medium","High"))</f>
        <v>High</v>
      </c>
      <c r="AC66" t="str">
        <f>IF(H_A[[#This Row],[YearsAtCompany]]&lt;3,"Early",IF(H_A[[#This Row],[YearsAtCompany]]&lt;7,"Mid","Long"))</f>
        <v>Long</v>
      </c>
      <c r="AD66" t="str">
        <f>IF(H_A[[#This Row],[PercentSalaryHike]]&lt;13,"Low",IF(H_A[[#This Row],[PercentSalaryHike]]&lt;18,"Medium","High"))</f>
        <v>Medium</v>
      </c>
    </row>
    <row r="67" spans="1:30" x14ac:dyDescent="0.3">
      <c r="A67">
        <v>55</v>
      </c>
      <c r="B67">
        <v>84</v>
      </c>
      <c r="C67" t="s">
        <v>36</v>
      </c>
      <c r="D67" t="s">
        <v>37</v>
      </c>
      <c r="E67">
        <v>8</v>
      </c>
      <c r="F67">
        <v>3</v>
      </c>
      <c r="G67" t="s">
        <v>43</v>
      </c>
      <c r="H67">
        <v>4</v>
      </c>
      <c r="I67" t="s">
        <v>33</v>
      </c>
      <c r="J67">
        <v>3</v>
      </c>
      <c r="K67">
        <v>4</v>
      </c>
      <c r="L67" t="s">
        <v>47</v>
      </c>
      <c r="M67">
        <v>3</v>
      </c>
      <c r="N67" t="s">
        <v>44</v>
      </c>
      <c r="O67">
        <v>14756</v>
      </c>
      <c r="P67">
        <v>2</v>
      </c>
      <c r="Q67" t="s">
        <v>30</v>
      </c>
      <c r="R67">
        <v>3</v>
      </c>
      <c r="S67">
        <v>21</v>
      </c>
      <c r="T67">
        <v>3</v>
      </c>
      <c r="U67">
        <v>5</v>
      </c>
      <c r="V67">
        <v>0</v>
      </c>
      <c r="W67">
        <v>0</v>
      </c>
      <c r="X67">
        <v>2</v>
      </c>
      <c r="Y67">
        <v>14</v>
      </c>
      <c r="Z67">
        <f>IF(H_A[[#This Row],[Attrition]]="Yes",1,0)</f>
        <v>0</v>
      </c>
      <c r="AA67" t="str">
        <f>IF(H_A[[#This Row],[Age]]&lt;30,"Young",IF(H_A[[#This Row],[Age]]&lt;45,"Mid","Senior"))</f>
        <v>Senior</v>
      </c>
      <c r="AB67" t="str">
        <f>IF(H_A[[#This Row],[MonthlyIncome]]&lt;5000,"Low",IF(H_A[[#This Row],[MonthlyIncome]]&lt;10000,"Medium","High"))</f>
        <v>High</v>
      </c>
      <c r="AC67" t="str">
        <f>IF(H_A[[#This Row],[YearsAtCompany]]&lt;3,"Early",IF(H_A[[#This Row],[YearsAtCompany]]&lt;7,"Mid","Long"))</f>
        <v>Mid</v>
      </c>
      <c r="AD67" t="str">
        <f>IF(H_A[[#This Row],[PercentSalaryHike]]&lt;13,"Low",IF(H_A[[#This Row],[PercentSalaryHike]]&lt;18,"Medium","High"))</f>
        <v>Medium</v>
      </c>
    </row>
    <row r="68" spans="1:30" x14ac:dyDescent="0.3">
      <c r="A68">
        <v>36</v>
      </c>
      <c r="B68">
        <v>85</v>
      </c>
      <c r="C68" t="s">
        <v>36</v>
      </c>
      <c r="D68" t="s">
        <v>37</v>
      </c>
      <c r="E68">
        <v>11</v>
      </c>
      <c r="F68">
        <v>3</v>
      </c>
      <c r="G68" t="s">
        <v>32</v>
      </c>
      <c r="H68">
        <v>2</v>
      </c>
      <c r="I68" t="s">
        <v>38</v>
      </c>
      <c r="J68">
        <v>2</v>
      </c>
      <c r="K68">
        <v>2</v>
      </c>
      <c r="L68" t="s">
        <v>45</v>
      </c>
      <c r="M68">
        <v>2</v>
      </c>
      <c r="N68" t="s">
        <v>35</v>
      </c>
      <c r="O68">
        <v>6499</v>
      </c>
      <c r="P68">
        <v>1</v>
      </c>
      <c r="Q68" t="s">
        <v>36</v>
      </c>
      <c r="R68">
        <v>3</v>
      </c>
      <c r="S68">
        <v>6</v>
      </c>
      <c r="T68">
        <v>3</v>
      </c>
      <c r="U68">
        <v>6</v>
      </c>
      <c r="V68">
        <v>5</v>
      </c>
      <c r="W68">
        <v>0</v>
      </c>
      <c r="X68">
        <v>3</v>
      </c>
      <c r="Y68">
        <v>13</v>
      </c>
      <c r="Z68">
        <f>IF(H_A[[#This Row],[Attrition]]="Yes",1,0)</f>
        <v>0</v>
      </c>
      <c r="AA68" t="str">
        <f>IF(H_A[[#This Row],[Age]]&lt;30,"Young",IF(H_A[[#This Row],[Age]]&lt;45,"Mid","Senior"))</f>
        <v>Mid</v>
      </c>
      <c r="AB68" t="str">
        <f>IF(H_A[[#This Row],[MonthlyIncome]]&lt;5000,"Low",IF(H_A[[#This Row],[MonthlyIncome]]&lt;10000,"Medium","High"))</f>
        <v>Medium</v>
      </c>
      <c r="AC68" t="str">
        <f>IF(H_A[[#This Row],[YearsAtCompany]]&lt;3,"Early",IF(H_A[[#This Row],[YearsAtCompany]]&lt;7,"Mid","Long"))</f>
        <v>Mid</v>
      </c>
      <c r="AD68" t="str">
        <f>IF(H_A[[#This Row],[PercentSalaryHike]]&lt;13,"Low",IF(H_A[[#This Row],[PercentSalaryHike]]&lt;18,"Medium","High"))</f>
        <v>Medium</v>
      </c>
    </row>
    <row r="69" spans="1:30" x14ac:dyDescent="0.3">
      <c r="A69">
        <v>45</v>
      </c>
      <c r="B69">
        <v>86</v>
      </c>
      <c r="C69" t="s">
        <v>36</v>
      </c>
      <c r="D69" t="s">
        <v>37</v>
      </c>
      <c r="E69">
        <v>7</v>
      </c>
      <c r="F69">
        <v>3</v>
      </c>
      <c r="G69" t="s">
        <v>32</v>
      </c>
      <c r="H69">
        <v>2</v>
      </c>
      <c r="I69" t="s">
        <v>38</v>
      </c>
      <c r="J69">
        <v>3</v>
      </c>
      <c r="K69">
        <v>3</v>
      </c>
      <c r="L69" t="s">
        <v>39</v>
      </c>
      <c r="M69">
        <v>1</v>
      </c>
      <c r="N69" t="s">
        <v>44</v>
      </c>
      <c r="O69">
        <v>9724</v>
      </c>
      <c r="P69">
        <v>2</v>
      </c>
      <c r="Q69" t="s">
        <v>36</v>
      </c>
      <c r="R69">
        <v>3</v>
      </c>
      <c r="S69">
        <v>25</v>
      </c>
      <c r="T69">
        <v>3</v>
      </c>
      <c r="U69">
        <v>1</v>
      </c>
      <c r="V69">
        <v>0</v>
      </c>
      <c r="W69">
        <v>0</v>
      </c>
      <c r="X69">
        <v>0</v>
      </c>
      <c r="Y69">
        <v>17</v>
      </c>
      <c r="Z69">
        <f>IF(H_A[[#This Row],[Attrition]]="Yes",1,0)</f>
        <v>0</v>
      </c>
      <c r="AA69" t="str">
        <f>IF(H_A[[#This Row],[Age]]&lt;30,"Young",IF(H_A[[#This Row],[Age]]&lt;45,"Mid","Senior"))</f>
        <v>Senior</v>
      </c>
      <c r="AB69" t="str">
        <f>IF(H_A[[#This Row],[MonthlyIncome]]&lt;5000,"Low",IF(H_A[[#This Row],[MonthlyIncome]]&lt;10000,"Medium","High"))</f>
        <v>Medium</v>
      </c>
      <c r="AC69" t="str">
        <f>IF(H_A[[#This Row],[YearsAtCompany]]&lt;3,"Early",IF(H_A[[#This Row],[YearsAtCompany]]&lt;7,"Mid","Long"))</f>
        <v>Early</v>
      </c>
      <c r="AD69" t="str">
        <f>IF(H_A[[#This Row],[PercentSalaryHike]]&lt;13,"Low",IF(H_A[[#This Row],[PercentSalaryHike]]&lt;18,"Medium","High"))</f>
        <v>Medium</v>
      </c>
    </row>
    <row r="70" spans="1:30" x14ac:dyDescent="0.3">
      <c r="A70">
        <v>35</v>
      </c>
      <c r="B70">
        <v>88</v>
      </c>
      <c r="C70" t="s">
        <v>36</v>
      </c>
      <c r="D70" t="s">
        <v>37</v>
      </c>
      <c r="E70">
        <v>1</v>
      </c>
      <c r="F70">
        <v>3</v>
      </c>
      <c r="G70" t="s">
        <v>43</v>
      </c>
      <c r="H70">
        <v>2</v>
      </c>
      <c r="I70" t="s">
        <v>38</v>
      </c>
      <c r="J70">
        <v>3</v>
      </c>
      <c r="K70">
        <v>1</v>
      </c>
      <c r="L70" t="s">
        <v>39</v>
      </c>
      <c r="M70">
        <v>1</v>
      </c>
      <c r="N70" t="s">
        <v>40</v>
      </c>
      <c r="O70">
        <v>2194</v>
      </c>
      <c r="P70">
        <v>4</v>
      </c>
      <c r="Q70" t="s">
        <v>36</v>
      </c>
      <c r="R70">
        <v>4</v>
      </c>
      <c r="S70">
        <v>5</v>
      </c>
      <c r="T70">
        <v>2</v>
      </c>
      <c r="U70">
        <v>3</v>
      </c>
      <c r="V70">
        <v>2</v>
      </c>
      <c r="W70">
        <v>1</v>
      </c>
      <c r="X70">
        <v>2</v>
      </c>
      <c r="Y70">
        <v>13</v>
      </c>
      <c r="Z70">
        <f>IF(H_A[[#This Row],[Attrition]]="Yes",1,0)</f>
        <v>0</v>
      </c>
      <c r="AA70" t="str">
        <f>IF(H_A[[#This Row],[Age]]&lt;30,"Young",IF(H_A[[#This Row],[Age]]&lt;45,"Mid","Senior"))</f>
        <v>Mid</v>
      </c>
      <c r="AB70" t="str">
        <f>IF(H_A[[#This Row],[MonthlyIncome]]&lt;5000,"Low",IF(H_A[[#This Row],[MonthlyIncome]]&lt;10000,"Medium","High"))</f>
        <v>Low</v>
      </c>
      <c r="AC70" t="str">
        <f>IF(H_A[[#This Row],[YearsAtCompany]]&lt;3,"Early",IF(H_A[[#This Row],[YearsAtCompany]]&lt;7,"Mid","Long"))</f>
        <v>Mid</v>
      </c>
      <c r="AD70" t="str">
        <f>IF(H_A[[#This Row],[PercentSalaryHike]]&lt;13,"Low",IF(H_A[[#This Row],[PercentSalaryHike]]&lt;18,"Medium","High"))</f>
        <v>Medium</v>
      </c>
    </row>
    <row r="71" spans="1:30" x14ac:dyDescent="0.3">
      <c r="A71">
        <v>36</v>
      </c>
      <c r="B71">
        <v>90</v>
      </c>
      <c r="C71" t="s">
        <v>30</v>
      </c>
      <c r="D71" t="s">
        <v>37</v>
      </c>
      <c r="E71">
        <v>9</v>
      </c>
      <c r="F71">
        <v>3</v>
      </c>
      <c r="G71" t="s">
        <v>43</v>
      </c>
      <c r="H71">
        <v>4</v>
      </c>
      <c r="I71" t="s">
        <v>38</v>
      </c>
      <c r="J71">
        <v>2</v>
      </c>
      <c r="K71">
        <v>1</v>
      </c>
      <c r="L71" t="s">
        <v>39</v>
      </c>
      <c r="M71">
        <v>3</v>
      </c>
      <c r="N71" t="s">
        <v>40</v>
      </c>
      <c r="O71">
        <v>3388</v>
      </c>
      <c r="P71">
        <v>0</v>
      </c>
      <c r="Q71" t="s">
        <v>30</v>
      </c>
      <c r="R71">
        <v>1</v>
      </c>
      <c r="S71">
        <v>2</v>
      </c>
      <c r="T71">
        <v>2</v>
      </c>
      <c r="U71">
        <v>1</v>
      </c>
      <c r="V71">
        <v>0</v>
      </c>
      <c r="W71">
        <v>0</v>
      </c>
      <c r="X71">
        <v>0</v>
      </c>
      <c r="Y71">
        <v>17</v>
      </c>
      <c r="Z71">
        <f>IF(H_A[[#This Row],[Attrition]]="Yes",1,0)</f>
        <v>1</v>
      </c>
      <c r="AA71" t="str">
        <f>IF(H_A[[#This Row],[Age]]&lt;30,"Young",IF(H_A[[#This Row],[Age]]&lt;45,"Mid","Senior"))</f>
        <v>Mid</v>
      </c>
      <c r="AB71" t="str">
        <f>IF(H_A[[#This Row],[MonthlyIncome]]&lt;5000,"Low",IF(H_A[[#This Row],[MonthlyIncome]]&lt;10000,"Medium","High"))</f>
        <v>Low</v>
      </c>
      <c r="AC71" t="str">
        <f>IF(H_A[[#This Row],[YearsAtCompany]]&lt;3,"Early",IF(H_A[[#This Row],[YearsAtCompany]]&lt;7,"Mid","Long"))</f>
        <v>Early</v>
      </c>
      <c r="AD71" t="str">
        <f>IF(H_A[[#This Row],[PercentSalaryHike]]&lt;13,"Low",IF(H_A[[#This Row],[PercentSalaryHike]]&lt;18,"Medium","High"))</f>
        <v>Medium</v>
      </c>
    </row>
    <row r="72" spans="1:30" x14ac:dyDescent="0.3">
      <c r="A72">
        <v>59</v>
      </c>
      <c r="B72">
        <v>91</v>
      </c>
      <c r="C72" t="s">
        <v>36</v>
      </c>
      <c r="D72" t="s">
        <v>31</v>
      </c>
      <c r="E72">
        <v>1</v>
      </c>
      <c r="F72">
        <v>1</v>
      </c>
      <c r="G72" t="s">
        <v>32</v>
      </c>
      <c r="H72">
        <v>1</v>
      </c>
      <c r="I72" t="s">
        <v>33</v>
      </c>
      <c r="J72">
        <v>2</v>
      </c>
      <c r="K72">
        <v>2</v>
      </c>
      <c r="L72" t="s">
        <v>34</v>
      </c>
      <c r="M72">
        <v>3</v>
      </c>
      <c r="N72" t="s">
        <v>35</v>
      </c>
      <c r="O72">
        <v>5473</v>
      </c>
      <c r="P72">
        <v>7</v>
      </c>
      <c r="Q72" t="s">
        <v>36</v>
      </c>
      <c r="R72">
        <v>4</v>
      </c>
      <c r="S72">
        <v>20</v>
      </c>
      <c r="T72">
        <v>2</v>
      </c>
      <c r="U72">
        <v>4</v>
      </c>
      <c r="V72">
        <v>3</v>
      </c>
      <c r="W72">
        <v>1</v>
      </c>
      <c r="X72">
        <v>3</v>
      </c>
      <c r="Y72">
        <v>11</v>
      </c>
      <c r="Z72">
        <f>IF(H_A[[#This Row],[Attrition]]="Yes",1,0)</f>
        <v>0</v>
      </c>
      <c r="AA72" t="str">
        <f>IF(H_A[[#This Row],[Age]]&lt;30,"Young",IF(H_A[[#This Row],[Age]]&lt;45,"Mid","Senior"))</f>
        <v>Senior</v>
      </c>
      <c r="AB72" t="str">
        <f>IF(H_A[[#This Row],[MonthlyIncome]]&lt;5000,"Low",IF(H_A[[#This Row],[MonthlyIncome]]&lt;10000,"Medium","High"))</f>
        <v>Medium</v>
      </c>
      <c r="AC72" t="str">
        <f>IF(H_A[[#This Row],[YearsAtCompany]]&lt;3,"Early",IF(H_A[[#This Row],[YearsAtCompany]]&lt;7,"Mid","Long"))</f>
        <v>Mid</v>
      </c>
      <c r="AD72" t="str">
        <f>IF(H_A[[#This Row],[PercentSalaryHike]]&lt;13,"Low",IF(H_A[[#This Row],[PercentSalaryHike]]&lt;18,"Medium","High"))</f>
        <v>Low</v>
      </c>
    </row>
    <row r="73" spans="1:30" x14ac:dyDescent="0.3">
      <c r="A73">
        <v>29</v>
      </c>
      <c r="B73">
        <v>94</v>
      </c>
      <c r="C73" t="s">
        <v>36</v>
      </c>
      <c r="D73" t="s">
        <v>37</v>
      </c>
      <c r="E73">
        <v>2</v>
      </c>
      <c r="F73">
        <v>3</v>
      </c>
      <c r="G73" t="s">
        <v>32</v>
      </c>
      <c r="H73">
        <v>3</v>
      </c>
      <c r="I73" t="s">
        <v>38</v>
      </c>
      <c r="J73">
        <v>3</v>
      </c>
      <c r="K73">
        <v>1</v>
      </c>
      <c r="L73" t="s">
        <v>39</v>
      </c>
      <c r="M73">
        <v>2</v>
      </c>
      <c r="N73" t="s">
        <v>40</v>
      </c>
      <c r="O73">
        <v>2703</v>
      </c>
      <c r="P73">
        <v>0</v>
      </c>
      <c r="Q73" t="s">
        <v>36</v>
      </c>
      <c r="R73">
        <v>4</v>
      </c>
      <c r="S73">
        <v>6</v>
      </c>
      <c r="T73">
        <v>3</v>
      </c>
      <c r="U73">
        <v>5</v>
      </c>
      <c r="V73">
        <v>4</v>
      </c>
      <c r="W73">
        <v>0</v>
      </c>
      <c r="X73">
        <v>4</v>
      </c>
      <c r="Y73">
        <v>23</v>
      </c>
      <c r="Z73">
        <f>IF(H_A[[#This Row],[Attrition]]="Yes",1,0)</f>
        <v>0</v>
      </c>
      <c r="AA73" t="str">
        <f>IF(H_A[[#This Row],[Age]]&lt;30,"Young",IF(H_A[[#This Row],[Age]]&lt;45,"Mid","Senior"))</f>
        <v>Young</v>
      </c>
      <c r="AB73" t="str">
        <f>IF(H_A[[#This Row],[MonthlyIncome]]&lt;5000,"Low",IF(H_A[[#This Row],[MonthlyIncome]]&lt;10000,"Medium","High"))</f>
        <v>Low</v>
      </c>
      <c r="AC73" t="str">
        <f>IF(H_A[[#This Row],[YearsAtCompany]]&lt;3,"Early",IF(H_A[[#This Row],[YearsAtCompany]]&lt;7,"Mid","Long"))</f>
        <v>Mid</v>
      </c>
      <c r="AD73" t="str">
        <f>IF(H_A[[#This Row],[PercentSalaryHike]]&lt;13,"Low",IF(H_A[[#This Row],[PercentSalaryHike]]&lt;18,"Medium","High"))</f>
        <v>High</v>
      </c>
    </row>
    <row r="74" spans="1:30" x14ac:dyDescent="0.3">
      <c r="A74">
        <v>31</v>
      </c>
      <c r="B74">
        <v>95</v>
      </c>
      <c r="C74" t="s">
        <v>36</v>
      </c>
      <c r="D74" t="s">
        <v>37</v>
      </c>
      <c r="E74">
        <v>1</v>
      </c>
      <c r="F74">
        <v>4</v>
      </c>
      <c r="G74" t="s">
        <v>43</v>
      </c>
      <c r="H74">
        <v>3</v>
      </c>
      <c r="I74" t="s">
        <v>38</v>
      </c>
      <c r="J74">
        <v>3</v>
      </c>
      <c r="K74">
        <v>1</v>
      </c>
      <c r="L74" t="s">
        <v>39</v>
      </c>
      <c r="M74">
        <v>2</v>
      </c>
      <c r="N74" t="s">
        <v>35</v>
      </c>
      <c r="O74">
        <v>2501</v>
      </c>
      <c r="P74">
        <v>1</v>
      </c>
      <c r="Q74" t="s">
        <v>36</v>
      </c>
      <c r="R74">
        <v>2</v>
      </c>
      <c r="S74">
        <v>1</v>
      </c>
      <c r="T74">
        <v>3</v>
      </c>
      <c r="U74">
        <v>1</v>
      </c>
      <c r="V74">
        <v>1</v>
      </c>
      <c r="W74">
        <v>1</v>
      </c>
      <c r="X74">
        <v>0</v>
      </c>
      <c r="Y74">
        <v>17</v>
      </c>
      <c r="Z74">
        <f>IF(H_A[[#This Row],[Attrition]]="Yes",1,0)</f>
        <v>0</v>
      </c>
      <c r="AA74" t="str">
        <f>IF(H_A[[#This Row],[Age]]&lt;30,"Young",IF(H_A[[#This Row],[Age]]&lt;45,"Mid","Senior"))</f>
        <v>Mid</v>
      </c>
      <c r="AB74" t="str">
        <f>IF(H_A[[#This Row],[MonthlyIncome]]&lt;5000,"Low",IF(H_A[[#This Row],[MonthlyIncome]]&lt;10000,"Medium","High"))</f>
        <v>Low</v>
      </c>
      <c r="AC74" t="str">
        <f>IF(H_A[[#This Row],[YearsAtCompany]]&lt;3,"Early",IF(H_A[[#This Row],[YearsAtCompany]]&lt;7,"Mid","Long"))</f>
        <v>Early</v>
      </c>
      <c r="AD74" t="str">
        <f>IF(H_A[[#This Row],[PercentSalaryHike]]&lt;13,"Low",IF(H_A[[#This Row],[PercentSalaryHike]]&lt;18,"Medium","High"))</f>
        <v>Medium</v>
      </c>
    </row>
    <row r="75" spans="1:30" x14ac:dyDescent="0.3">
      <c r="A75">
        <v>32</v>
      </c>
      <c r="B75">
        <v>96</v>
      </c>
      <c r="C75" t="s">
        <v>36</v>
      </c>
      <c r="D75" t="s">
        <v>37</v>
      </c>
      <c r="E75">
        <v>1</v>
      </c>
      <c r="F75">
        <v>3</v>
      </c>
      <c r="G75" t="s">
        <v>32</v>
      </c>
      <c r="H75">
        <v>2</v>
      </c>
      <c r="I75" t="s">
        <v>38</v>
      </c>
      <c r="J75">
        <v>3</v>
      </c>
      <c r="K75">
        <v>2</v>
      </c>
      <c r="L75" t="s">
        <v>39</v>
      </c>
      <c r="M75">
        <v>2</v>
      </c>
      <c r="N75" t="s">
        <v>40</v>
      </c>
      <c r="O75">
        <v>6220</v>
      </c>
      <c r="P75">
        <v>1</v>
      </c>
      <c r="Q75" t="s">
        <v>36</v>
      </c>
      <c r="R75">
        <v>2</v>
      </c>
      <c r="S75">
        <v>10</v>
      </c>
      <c r="T75">
        <v>3</v>
      </c>
      <c r="U75">
        <v>10</v>
      </c>
      <c r="V75">
        <v>4</v>
      </c>
      <c r="W75">
        <v>0</v>
      </c>
      <c r="X75">
        <v>9</v>
      </c>
      <c r="Y75">
        <v>17</v>
      </c>
      <c r="Z75">
        <f>IF(H_A[[#This Row],[Attrition]]="Yes",1,0)</f>
        <v>0</v>
      </c>
      <c r="AA75" t="str">
        <f>IF(H_A[[#This Row],[Age]]&lt;30,"Young",IF(H_A[[#This Row],[Age]]&lt;45,"Mid","Senior"))</f>
        <v>Mid</v>
      </c>
      <c r="AB75" t="str">
        <f>IF(H_A[[#This Row],[MonthlyIncome]]&lt;5000,"Low",IF(H_A[[#This Row],[MonthlyIncome]]&lt;10000,"Medium","High"))</f>
        <v>Medium</v>
      </c>
      <c r="AC75" t="str">
        <f>IF(H_A[[#This Row],[YearsAtCompany]]&lt;3,"Early",IF(H_A[[#This Row],[YearsAtCompany]]&lt;7,"Mid","Long"))</f>
        <v>Long</v>
      </c>
      <c r="AD75" t="str">
        <f>IF(H_A[[#This Row],[PercentSalaryHike]]&lt;13,"Low",IF(H_A[[#This Row],[PercentSalaryHike]]&lt;18,"Medium","High"))</f>
        <v>Medium</v>
      </c>
    </row>
    <row r="76" spans="1:30" x14ac:dyDescent="0.3">
      <c r="A76">
        <v>36</v>
      </c>
      <c r="B76">
        <v>97</v>
      </c>
      <c r="C76" t="s">
        <v>36</v>
      </c>
      <c r="D76" t="s">
        <v>37</v>
      </c>
      <c r="E76">
        <v>6</v>
      </c>
      <c r="F76">
        <v>3</v>
      </c>
      <c r="G76" t="s">
        <v>32</v>
      </c>
      <c r="H76">
        <v>2</v>
      </c>
      <c r="I76" t="s">
        <v>33</v>
      </c>
      <c r="J76">
        <v>4</v>
      </c>
      <c r="K76">
        <v>1</v>
      </c>
      <c r="L76" t="s">
        <v>42</v>
      </c>
      <c r="M76">
        <v>4</v>
      </c>
      <c r="N76" t="s">
        <v>40</v>
      </c>
      <c r="O76">
        <v>3038</v>
      </c>
      <c r="P76">
        <v>3</v>
      </c>
      <c r="Q76" t="s">
        <v>36</v>
      </c>
      <c r="R76">
        <v>2</v>
      </c>
      <c r="S76">
        <v>5</v>
      </c>
      <c r="T76">
        <v>3</v>
      </c>
      <c r="U76">
        <v>1</v>
      </c>
      <c r="V76">
        <v>0</v>
      </c>
      <c r="W76">
        <v>0</v>
      </c>
      <c r="X76">
        <v>0</v>
      </c>
      <c r="Y76">
        <v>12</v>
      </c>
      <c r="Z76">
        <f>IF(H_A[[#This Row],[Attrition]]="Yes",1,0)</f>
        <v>0</v>
      </c>
      <c r="AA76" t="str">
        <f>IF(H_A[[#This Row],[Age]]&lt;30,"Young",IF(H_A[[#This Row],[Age]]&lt;45,"Mid","Senior"))</f>
        <v>Mid</v>
      </c>
      <c r="AB76" t="str">
        <f>IF(H_A[[#This Row],[MonthlyIncome]]&lt;5000,"Low",IF(H_A[[#This Row],[MonthlyIncome]]&lt;10000,"Medium","High"))</f>
        <v>Low</v>
      </c>
      <c r="AC76" t="str">
        <f>IF(H_A[[#This Row],[YearsAtCompany]]&lt;3,"Early",IF(H_A[[#This Row],[YearsAtCompany]]&lt;7,"Mid","Long"))</f>
        <v>Early</v>
      </c>
      <c r="AD76" t="str">
        <f>IF(H_A[[#This Row],[PercentSalaryHike]]&lt;13,"Low",IF(H_A[[#This Row],[PercentSalaryHike]]&lt;18,"Medium","High"))</f>
        <v>Low</v>
      </c>
    </row>
    <row r="77" spans="1:30" x14ac:dyDescent="0.3">
      <c r="A77">
        <v>31</v>
      </c>
      <c r="B77">
        <v>98</v>
      </c>
      <c r="C77" t="s">
        <v>36</v>
      </c>
      <c r="D77" t="s">
        <v>37</v>
      </c>
      <c r="E77">
        <v>8</v>
      </c>
      <c r="F77">
        <v>4</v>
      </c>
      <c r="G77" t="s">
        <v>32</v>
      </c>
      <c r="H77">
        <v>3</v>
      </c>
      <c r="I77" t="s">
        <v>33</v>
      </c>
      <c r="J77">
        <v>3</v>
      </c>
      <c r="K77">
        <v>2</v>
      </c>
      <c r="L77" t="s">
        <v>45</v>
      </c>
      <c r="M77">
        <v>4</v>
      </c>
      <c r="N77" t="s">
        <v>35</v>
      </c>
      <c r="O77">
        <v>4424</v>
      </c>
      <c r="P77">
        <v>1</v>
      </c>
      <c r="Q77" t="s">
        <v>36</v>
      </c>
      <c r="R77">
        <v>4</v>
      </c>
      <c r="S77">
        <v>11</v>
      </c>
      <c r="T77">
        <v>3</v>
      </c>
      <c r="U77">
        <v>11</v>
      </c>
      <c r="V77">
        <v>7</v>
      </c>
      <c r="W77">
        <v>1</v>
      </c>
      <c r="X77">
        <v>8</v>
      </c>
      <c r="Y77">
        <v>23</v>
      </c>
      <c r="Z77">
        <f>IF(H_A[[#This Row],[Attrition]]="Yes",1,0)</f>
        <v>0</v>
      </c>
      <c r="AA77" t="str">
        <f>IF(H_A[[#This Row],[Age]]&lt;30,"Young",IF(H_A[[#This Row],[Age]]&lt;45,"Mid","Senior"))</f>
        <v>Mid</v>
      </c>
      <c r="AB77" t="str">
        <f>IF(H_A[[#This Row],[MonthlyIncome]]&lt;5000,"Low",IF(H_A[[#This Row],[MonthlyIncome]]&lt;10000,"Medium","High"))</f>
        <v>Low</v>
      </c>
      <c r="AC77" t="str">
        <f>IF(H_A[[#This Row],[YearsAtCompany]]&lt;3,"Early",IF(H_A[[#This Row],[YearsAtCompany]]&lt;7,"Mid","Long"))</f>
        <v>Long</v>
      </c>
      <c r="AD77" t="str">
        <f>IF(H_A[[#This Row],[PercentSalaryHike]]&lt;13,"Low",IF(H_A[[#This Row],[PercentSalaryHike]]&lt;18,"Medium","High"))</f>
        <v>High</v>
      </c>
    </row>
    <row r="78" spans="1:30" x14ac:dyDescent="0.3">
      <c r="A78">
        <v>35</v>
      </c>
      <c r="B78">
        <v>100</v>
      </c>
      <c r="C78" t="s">
        <v>36</v>
      </c>
      <c r="D78" t="s">
        <v>31</v>
      </c>
      <c r="E78">
        <v>1</v>
      </c>
      <c r="F78">
        <v>4</v>
      </c>
      <c r="G78" t="s">
        <v>50</v>
      </c>
      <c r="H78">
        <v>3</v>
      </c>
      <c r="I78" t="s">
        <v>38</v>
      </c>
      <c r="J78">
        <v>2</v>
      </c>
      <c r="K78">
        <v>2</v>
      </c>
      <c r="L78" t="s">
        <v>34</v>
      </c>
      <c r="M78">
        <v>1</v>
      </c>
      <c r="N78" t="s">
        <v>35</v>
      </c>
      <c r="O78">
        <v>4312</v>
      </c>
      <c r="P78">
        <v>0</v>
      </c>
      <c r="Q78" t="s">
        <v>36</v>
      </c>
      <c r="R78">
        <v>2</v>
      </c>
      <c r="S78">
        <v>16</v>
      </c>
      <c r="T78">
        <v>3</v>
      </c>
      <c r="U78">
        <v>15</v>
      </c>
      <c r="V78">
        <v>13</v>
      </c>
      <c r="W78">
        <v>2</v>
      </c>
      <c r="X78">
        <v>8</v>
      </c>
      <c r="Y78">
        <v>14</v>
      </c>
      <c r="Z78">
        <f>IF(H_A[[#This Row],[Attrition]]="Yes",1,0)</f>
        <v>0</v>
      </c>
      <c r="AA78" t="str">
        <f>IF(H_A[[#This Row],[Age]]&lt;30,"Young",IF(H_A[[#This Row],[Age]]&lt;45,"Mid","Senior"))</f>
        <v>Mid</v>
      </c>
      <c r="AB78" t="str">
        <f>IF(H_A[[#This Row],[MonthlyIncome]]&lt;5000,"Low",IF(H_A[[#This Row],[MonthlyIncome]]&lt;10000,"Medium","High"))</f>
        <v>Low</v>
      </c>
      <c r="AC78" t="str">
        <f>IF(H_A[[#This Row],[YearsAtCompany]]&lt;3,"Early",IF(H_A[[#This Row],[YearsAtCompany]]&lt;7,"Mid","Long"))</f>
        <v>Long</v>
      </c>
      <c r="AD78" t="str">
        <f>IF(H_A[[#This Row],[PercentSalaryHike]]&lt;13,"Low",IF(H_A[[#This Row],[PercentSalaryHike]]&lt;18,"Medium","High"))</f>
        <v>Medium</v>
      </c>
    </row>
    <row r="79" spans="1:30" x14ac:dyDescent="0.3">
      <c r="A79">
        <v>45</v>
      </c>
      <c r="B79">
        <v>101</v>
      </c>
      <c r="C79" t="s">
        <v>36</v>
      </c>
      <c r="D79" t="s">
        <v>37</v>
      </c>
      <c r="E79">
        <v>6</v>
      </c>
      <c r="F79">
        <v>4</v>
      </c>
      <c r="G79" t="s">
        <v>41</v>
      </c>
      <c r="H79">
        <v>4</v>
      </c>
      <c r="I79" t="s">
        <v>38</v>
      </c>
      <c r="J79">
        <v>3</v>
      </c>
      <c r="K79">
        <v>3</v>
      </c>
      <c r="L79" t="s">
        <v>49</v>
      </c>
      <c r="M79">
        <v>1</v>
      </c>
      <c r="N79" t="s">
        <v>40</v>
      </c>
      <c r="O79">
        <v>13245</v>
      </c>
      <c r="P79">
        <v>4</v>
      </c>
      <c r="Q79" t="s">
        <v>30</v>
      </c>
      <c r="R79">
        <v>2</v>
      </c>
      <c r="S79">
        <v>17</v>
      </c>
      <c r="T79">
        <v>4</v>
      </c>
      <c r="U79">
        <v>0</v>
      </c>
      <c r="V79">
        <v>0</v>
      </c>
      <c r="W79">
        <v>0</v>
      </c>
      <c r="X79">
        <v>0</v>
      </c>
      <c r="Y79">
        <v>14</v>
      </c>
      <c r="Z79">
        <f>IF(H_A[[#This Row],[Attrition]]="Yes",1,0)</f>
        <v>0</v>
      </c>
      <c r="AA79" t="str">
        <f>IF(H_A[[#This Row],[Age]]&lt;30,"Young",IF(H_A[[#This Row],[Age]]&lt;45,"Mid","Senior"))</f>
        <v>Senior</v>
      </c>
      <c r="AB79" t="str">
        <f>IF(H_A[[#This Row],[MonthlyIncome]]&lt;5000,"Low",IF(H_A[[#This Row],[MonthlyIncome]]&lt;10000,"Medium","High"))</f>
        <v>High</v>
      </c>
      <c r="AC79" t="str">
        <f>IF(H_A[[#This Row],[YearsAtCompany]]&lt;3,"Early",IF(H_A[[#This Row],[YearsAtCompany]]&lt;7,"Mid","Long"))</f>
        <v>Early</v>
      </c>
      <c r="AD79" t="str">
        <f>IF(H_A[[#This Row],[PercentSalaryHike]]&lt;13,"Low",IF(H_A[[#This Row],[PercentSalaryHike]]&lt;18,"Medium","High"))</f>
        <v>Medium</v>
      </c>
    </row>
    <row r="80" spans="1:30" x14ac:dyDescent="0.3">
      <c r="A80">
        <v>37</v>
      </c>
      <c r="B80">
        <v>102</v>
      </c>
      <c r="C80" t="s">
        <v>36</v>
      </c>
      <c r="D80" t="s">
        <v>37</v>
      </c>
      <c r="E80">
        <v>7</v>
      </c>
      <c r="F80">
        <v>4</v>
      </c>
      <c r="G80" t="s">
        <v>43</v>
      </c>
      <c r="H80">
        <v>1</v>
      </c>
      <c r="I80" t="s">
        <v>38</v>
      </c>
      <c r="J80">
        <v>3</v>
      </c>
      <c r="K80">
        <v>3</v>
      </c>
      <c r="L80" t="s">
        <v>49</v>
      </c>
      <c r="M80">
        <v>3</v>
      </c>
      <c r="N80" t="s">
        <v>35</v>
      </c>
      <c r="O80">
        <v>13664</v>
      </c>
      <c r="P80">
        <v>4</v>
      </c>
      <c r="Q80" t="s">
        <v>36</v>
      </c>
      <c r="R80">
        <v>1</v>
      </c>
      <c r="S80">
        <v>16</v>
      </c>
      <c r="T80">
        <v>4</v>
      </c>
      <c r="U80">
        <v>5</v>
      </c>
      <c r="V80">
        <v>2</v>
      </c>
      <c r="W80">
        <v>0</v>
      </c>
      <c r="X80">
        <v>2</v>
      </c>
      <c r="Y80">
        <v>13</v>
      </c>
      <c r="Z80">
        <f>IF(H_A[[#This Row],[Attrition]]="Yes",1,0)</f>
        <v>0</v>
      </c>
      <c r="AA80" t="str">
        <f>IF(H_A[[#This Row],[Age]]&lt;30,"Young",IF(H_A[[#This Row],[Age]]&lt;45,"Mid","Senior"))</f>
        <v>Mid</v>
      </c>
      <c r="AB80" t="str">
        <f>IF(H_A[[#This Row],[MonthlyIncome]]&lt;5000,"Low",IF(H_A[[#This Row],[MonthlyIncome]]&lt;10000,"Medium","High"))</f>
        <v>High</v>
      </c>
      <c r="AC80" t="str">
        <f>IF(H_A[[#This Row],[YearsAtCompany]]&lt;3,"Early",IF(H_A[[#This Row],[YearsAtCompany]]&lt;7,"Mid","Long"))</f>
        <v>Mid</v>
      </c>
      <c r="AD80" t="str">
        <f>IF(H_A[[#This Row],[PercentSalaryHike]]&lt;13,"Low",IF(H_A[[#This Row],[PercentSalaryHike]]&lt;18,"Medium","High"))</f>
        <v>Medium</v>
      </c>
    </row>
    <row r="81" spans="1:30" x14ac:dyDescent="0.3">
      <c r="A81">
        <v>46</v>
      </c>
      <c r="B81">
        <v>103</v>
      </c>
      <c r="C81" t="s">
        <v>36</v>
      </c>
      <c r="D81" t="s">
        <v>52</v>
      </c>
      <c r="E81">
        <v>5</v>
      </c>
      <c r="F81">
        <v>2</v>
      </c>
      <c r="G81" t="s">
        <v>43</v>
      </c>
      <c r="H81">
        <v>2</v>
      </c>
      <c r="I81" t="s">
        <v>38</v>
      </c>
      <c r="J81">
        <v>3</v>
      </c>
      <c r="K81">
        <v>2</v>
      </c>
      <c r="L81" t="s">
        <v>52</v>
      </c>
      <c r="M81">
        <v>2</v>
      </c>
      <c r="N81" t="s">
        <v>44</v>
      </c>
      <c r="O81">
        <v>5021</v>
      </c>
      <c r="P81">
        <v>8</v>
      </c>
      <c r="Q81" t="s">
        <v>30</v>
      </c>
      <c r="R81">
        <v>4</v>
      </c>
      <c r="S81">
        <v>16</v>
      </c>
      <c r="T81">
        <v>3</v>
      </c>
      <c r="U81">
        <v>4</v>
      </c>
      <c r="V81">
        <v>2</v>
      </c>
      <c r="W81">
        <v>0</v>
      </c>
      <c r="X81">
        <v>2</v>
      </c>
      <c r="Y81">
        <v>22</v>
      </c>
      <c r="Z81">
        <f>IF(H_A[[#This Row],[Attrition]]="Yes",1,0)</f>
        <v>0</v>
      </c>
      <c r="AA81" t="str">
        <f>IF(H_A[[#This Row],[Age]]&lt;30,"Young",IF(H_A[[#This Row],[Age]]&lt;45,"Mid","Senior"))</f>
        <v>Senior</v>
      </c>
      <c r="AB81" t="str">
        <f>IF(H_A[[#This Row],[MonthlyIncome]]&lt;5000,"Low",IF(H_A[[#This Row],[MonthlyIncome]]&lt;10000,"Medium","High"))</f>
        <v>Medium</v>
      </c>
      <c r="AC81" t="str">
        <f>IF(H_A[[#This Row],[YearsAtCompany]]&lt;3,"Early",IF(H_A[[#This Row],[YearsAtCompany]]&lt;7,"Mid","Long"))</f>
        <v>Mid</v>
      </c>
      <c r="AD81" t="str">
        <f>IF(H_A[[#This Row],[PercentSalaryHike]]&lt;13,"Low",IF(H_A[[#This Row],[PercentSalaryHike]]&lt;18,"Medium","High"))</f>
        <v>High</v>
      </c>
    </row>
    <row r="82" spans="1:30" x14ac:dyDescent="0.3">
      <c r="A82">
        <v>30</v>
      </c>
      <c r="B82">
        <v>104</v>
      </c>
      <c r="C82" t="s">
        <v>36</v>
      </c>
      <c r="D82" t="s">
        <v>37</v>
      </c>
      <c r="E82">
        <v>1</v>
      </c>
      <c r="F82">
        <v>1</v>
      </c>
      <c r="G82" t="s">
        <v>32</v>
      </c>
      <c r="H82">
        <v>4</v>
      </c>
      <c r="I82" t="s">
        <v>38</v>
      </c>
      <c r="J82">
        <v>2</v>
      </c>
      <c r="K82">
        <v>2</v>
      </c>
      <c r="L82" t="s">
        <v>42</v>
      </c>
      <c r="M82">
        <v>4</v>
      </c>
      <c r="N82" t="s">
        <v>40</v>
      </c>
      <c r="O82">
        <v>5126</v>
      </c>
      <c r="P82">
        <v>1</v>
      </c>
      <c r="Q82" t="s">
        <v>30</v>
      </c>
      <c r="R82">
        <v>3</v>
      </c>
      <c r="S82">
        <v>10</v>
      </c>
      <c r="T82">
        <v>2</v>
      </c>
      <c r="U82">
        <v>10</v>
      </c>
      <c r="V82">
        <v>8</v>
      </c>
      <c r="W82">
        <v>3</v>
      </c>
      <c r="X82">
        <v>0</v>
      </c>
      <c r="Y82">
        <v>12</v>
      </c>
      <c r="Z82">
        <f>IF(H_A[[#This Row],[Attrition]]="Yes",1,0)</f>
        <v>0</v>
      </c>
      <c r="AA82" t="str">
        <f>IF(H_A[[#This Row],[Age]]&lt;30,"Young",IF(H_A[[#This Row],[Age]]&lt;45,"Mid","Senior"))</f>
        <v>Mid</v>
      </c>
      <c r="AB82" t="str">
        <f>IF(H_A[[#This Row],[MonthlyIncome]]&lt;5000,"Low",IF(H_A[[#This Row],[MonthlyIncome]]&lt;10000,"Medium","High"))</f>
        <v>Medium</v>
      </c>
      <c r="AC82" t="str">
        <f>IF(H_A[[#This Row],[YearsAtCompany]]&lt;3,"Early",IF(H_A[[#This Row],[YearsAtCompany]]&lt;7,"Mid","Long"))</f>
        <v>Long</v>
      </c>
      <c r="AD82" t="str">
        <f>IF(H_A[[#This Row],[PercentSalaryHike]]&lt;13,"Low",IF(H_A[[#This Row],[PercentSalaryHike]]&lt;18,"Medium","High"))</f>
        <v>Low</v>
      </c>
    </row>
    <row r="83" spans="1:30" x14ac:dyDescent="0.3">
      <c r="A83">
        <v>35</v>
      </c>
      <c r="B83">
        <v>105</v>
      </c>
      <c r="C83" t="s">
        <v>36</v>
      </c>
      <c r="D83" t="s">
        <v>37</v>
      </c>
      <c r="E83">
        <v>1</v>
      </c>
      <c r="F83">
        <v>3</v>
      </c>
      <c r="G83" t="s">
        <v>43</v>
      </c>
      <c r="H83">
        <v>2</v>
      </c>
      <c r="I83" t="s">
        <v>38</v>
      </c>
      <c r="J83">
        <v>2</v>
      </c>
      <c r="K83">
        <v>1</v>
      </c>
      <c r="L83" t="s">
        <v>39</v>
      </c>
      <c r="M83">
        <v>3</v>
      </c>
      <c r="N83" t="s">
        <v>35</v>
      </c>
      <c r="O83">
        <v>2859</v>
      </c>
      <c r="P83">
        <v>1</v>
      </c>
      <c r="Q83" t="s">
        <v>36</v>
      </c>
      <c r="R83">
        <v>1</v>
      </c>
      <c r="S83">
        <v>6</v>
      </c>
      <c r="T83">
        <v>3</v>
      </c>
      <c r="U83">
        <v>6</v>
      </c>
      <c r="V83">
        <v>4</v>
      </c>
      <c r="W83">
        <v>0</v>
      </c>
      <c r="X83">
        <v>4</v>
      </c>
      <c r="Y83">
        <v>18</v>
      </c>
      <c r="Z83">
        <f>IF(H_A[[#This Row],[Attrition]]="Yes",1,0)</f>
        <v>0</v>
      </c>
      <c r="AA83" t="str">
        <f>IF(H_A[[#This Row],[Age]]&lt;30,"Young",IF(H_A[[#This Row],[Age]]&lt;45,"Mid","Senior"))</f>
        <v>Mid</v>
      </c>
      <c r="AB83" t="str">
        <f>IF(H_A[[#This Row],[MonthlyIncome]]&lt;5000,"Low",IF(H_A[[#This Row],[MonthlyIncome]]&lt;10000,"Medium","High"))</f>
        <v>Low</v>
      </c>
      <c r="AC83" t="str">
        <f>IF(H_A[[#This Row],[YearsAtCompany]]&lt;3,"Early",IF(H_A[[#This Row],[YearsAtCompany]]&lt;7,"Mid","Long"))</f>
        <v>Mid</v>
      </c>
      <c r="AD83" t="str">
        <f>IF(H_A[[#This Row],[PercentSalaryHike]]&lt;13,"Low",IF(H_A[[#This Row],[PercentSalaryHike]]&lt;18,"Medium","High"))</f>
        <v>High</v>
      </c>
    </row>
    <row r="84" spans="1:30" x14ac:dyDescent="0.3">
      <c r="A84">
        <v>55</v>
      </c>
      <c r="B84">
        <v>106</v>
      </c>
      <c r="C84" t="s">
        <v>36</v>
      </c>
      <c r="D84" t="s">
        <v>31</v>
      </c>
      <c r="E84">
        <v>1</v>
      </c>
      <c r="F84">
        <v>2</v>
      </c>
      <c r="G84" t="s">
        <v>32</v>
      </c>
      <c r="H84">
        <v>1</v>
      </c>
      <c r="I84" t="s">
        <v>38</v>
      </c>
      <c r="J84">
        <v>3</v>
      </c>
      <c r="K84">
        <v>3</v>
      </c>
      <c r="L84" t="s">
        <v>34</v>
      </c>
      <c r="M84">
        <v>4</v>
      </c>
      <c r="N84" t="s">
        <v>40</v>
      </c>
      <c r="O84">
        <v>10239</v>
      </c>
      <c r="P84">
        <v>3</v>
      </c>
      <c r="Q84" t="s">
        <v>36</v>
      </c>
      <c r="R84">
        <v>4</v>
      </c>
      <c r="S84">
        <v>24</v>
      </c>
      <c r="T84">
        <v>3</v>
      </c>
      <c r="U84">
        <v>1</v>
      </c>
      <c r="V84">
        <v>0</v>
      </c>
      <c r="W84">
        <v>1</v>
      </c>
      <c r="X84">
        <v>0</v>
      </c>
      <c r="Y84">
        <v>14</v>
      </c>
      <c r="Z84">
        <f>IF(H_A[[#This Row],[Attrition]]="Yes",1,0)</f>
        <v>0</v>
      </c>
      <c r="AA84" t="str">
        <f>IF(H_A[[#This Row],[Age]]&lt;30,"Young",IF(H_A[[#This Row],[Age]]&lt;45,"Mid","Senior"))</f>
        <v>Senior</v>
      </c>
      <c r="AB84" t="str">
        <f>IF(H_A[[#This Row],[MonthlyIncome]]&lt;5000,"Low",IF(H_A[[#This Row],[MonthlyIncome]]&lt;10000,"Medium","High"))</f>
        <v>High</v>
      </c>
      <c r="AC84" t="str">
        <f>IF(H_A[[#This Row],[YearsAtCompany]]&lt;3,"Early",IF(H_A[[#This Row],[YearsAtCompany]]&lt;7,"Mid","Long"))</f>
        <v>Early</v>
      </c>
      <c r="AD84" t="str">
        <f>IF(H_A[[#This Row],[PercentSalaryHike]]&lt;13,"Low",IF(H_A[[#This Row],[PercentSalaryHike]]&lt;18,"Medium","High"))</f>
        <v>Medium</v>
      </c>
    </row>
    <row r="85" spans="1:30" x14ac:dyDescent="0.3">
      <c r="A85">
        <v>38</v>
      </c>
      <c r="B85">
        <v>107</v>
      </c>
      <c r="C85" t="s">
        <v>36</v>
      </c>
      <c r="D85" t="s">
        <v>37</v>
      </c>
      <c r="E85">
        <v>6</v>
      </c>
      <c r="F85">
        <v>3</v>
      </c>
      <c r="G85" t="s">
        <v>43</v>
      </c>
      <c r="H85">
        <v>2</v>
      </c>
      <c r="I85" t="s">
        <v>33</v>
      </c>
      <c r="J85">
        <v>1</v>
      </c>
      <c r="K85">
        <v>2</v>
      </c>
      <c r="L85" t="s">
        <v>39</v>
      </c>
      <c r="M85">
        <v>4</v>
      </c>
      <c r="N85" t="s">
        <v>44</v>
      </c>
      <c r="O85">
        <v>5329</v>
      </c>
      <c r="P85">
        <v>7</v>
      </c>
      <c r="Q85" t="s">
        <v>30</v>
      </c>
      <c r="R85">
        <v>4</v>
      </c>
      <c r="S85">
        <v>17</v>
      </c>
      <c r="T85">
        <v>3</v>
      </c>
      <c r="U85">
        <v>13</v>
      </c>
      <c r="V85">
        <v>11</v>
      </c>
      <c r="W85">
        <v>1</v>
      </c>
      <c r="X85">
        <v>9</v>
      </c>
      <c r="Y85">
        <v>12</v>
      </c>
      <c r="Z85">
        <f>IF(H_A[[#This Row],[Attrition]]="Yes",1,0)</f>
        <v>0</v>
      </c>
      <c r="AA85" t="str">
        <f>IF(H_A[[#This Row],[Age]]&lt;30,"Young",IF(H_A[[#This Row],[Age]]&lt;45,"Mid","Senior"))</f>
        <v>Mid</v>
      </c>
      <c r="AB85" t="str">
        <f>IF(H_A[[#This Row],[MonthlyIncome]]&lt;5000,"Low",IF(H_A[[#This Row],[MonthlyIncome]]&lt;10000,"Medium","High"))</f>
        <v>Medium</v>
      </c>
      <c r="AC85" t="str">
        <f>IF(H_A[[#This Row],[YearsAtCompany]]&lt;3,"Early",IF(H_A[[#This Row],[YearsAtCompany]]&lt;7,"Mid","Long"))</f>
        <v>Long</v>
      </c>
      <c r="AD85" t="str">
        <f>IF(H_A[[#This Row],[PercentSalaryHike]]&lt;13,"Low",IF(H_A[[#This Row],[PercentSalaryHike]]&lt;18,"Medium","High"))</f>
        <v>Low</v>
      </c>
    </row>
    <row r="86" spans="1:30" x14ac:dyDescent="0.3">
      <c r="A86">
        <v>34</v>
      </c>
      <c r="B86">
        <v>110</v>
      </c>
      <c r="C86" t="s">
        <v>36</v>
      </c>
      <c r="D86" t="s">
        <v>37</v>
      </c>
      <c r="E86">
        <v>1</v>
      </c>
      <c r="F86">
        <v>2</v>
      </c>
      <c r="G86" t="s">
        <v>43</v>
      </c>
      <c r="H86">
        <v>1</v>
      </c>
      <c r="I86" t="s">
        <v>38</v>
      </c>
      <c r="J86">
        <v>3</v>
      </c>
      <c r="K86">
        <v>2</v>
      </c>
      <c r="L86" t="s">
        <v>45</v>
      </c>
      <c r="M86">
        <v>2</v>
      </c>
      <c r="N86" t="s">
        <v>40</v>
      </c>
      <c r="O86">
        <v>4325</v>
      </c>
      <c r="P86">
        <v>1</v>
      </c>
      <c r="Q86" t="s">
        <v>36</v>
      </c>
      <c r="R86">
        <v>3</v>
      </c>
      <c r="S86">
        <v>5</v>
      </c>
      <c r="T86">
        <v>3</v>
      </c>
      <c r="U86">
        <v>5</v>
      </c>
      <c r="V86">
        <v>2</v>
      </c>
      <c r="W86">
        <v>1</v>
      </c>
      <c r="X86">
        <v>3</v>
      </c>
      <c r="Y86">
        <v>15</v>
      </c>
      <c r="Z86">
        <f>IF(H_A[[#This Row],[Attrition]]="Yes",1,0)</f>
        <v>0</v>
      </c>
      <c r="AA86" t="str">
        <f>IF(H_A[[#This Row],[Age]]&lt;30,"Young",IF(H_A[[#This Row],[Age]]&lt;45,"Mid","Senior"))</f>
        <v>Mid</v>
      </c>
      <c r="AB86" t="str">
        <f>IF(H_A[[#This Row],[MonthlyIncome]]&lt;5000,"Low",IF(H_A[[#This Row],[MonthlyIncome]]&lt;10000,"Medium","High"))</f>
        <v>Low</v>
      </c>
      <c r="AC86" t="str">
        <f>IF(H_A[[#This Row],[YearsAtCompany]]&lt;3,"Early",IF(H_A[[#This Row],[YearsAtCompany]]&lt;7,"Mid","Long"))</f>
        <v>Mid</v>
      </c>
      <c r="AD86" t="str">
        <f>IF(H_A[[#This Row],[PercentSalaryHike]]&lt;13,"Low",IF(H_A[[#This Row],[PercentSalaryHike]]&lt;18,"Medium","High"))</f>
        <v>Medium</v>
      </c>
    </row>
    <row r="87" spans="1:30" x14ac:dyDescent="0.3">
      <c r="A87">
        <v>56</v>
      </c>
      <c r="B87">
        <v>112</v>
      </c>
      <c r="C87" t="s">
        <v>36</v>
      </c>
      <c r="D87" t="s">
        <v>37</v>
      </c>
      <c r="E87">
        <v>7</v>
      </c>
      <c r="F87">
        <v>3</v>
      </c>
      <c r="G87" t="s">
        <v>32</v>
      </c>
      <c r="H87">
        <v>4</v>
      </c>
      <c r="I87" t="s">
        <v>38</v>
      </c>
      <c r="J87">
        <v>1</v>
      </c>
      <c r="K87">
        <v>3</v>
      </c>
      <c r="L87" t="s">
        <v>45</v>
      </c>
      <c r="M87">
        <v>4</v>
      </c>
      <c r="N87" t="s">
        <v>35</v>
      </c>
      <c r="O87">
        <v>7260</v>
      </c>
      <c r="P87">
        <v>4</v>
      </c>
      <c r="Q87" t="s">
        <v>36</v>
      </c>
      <c r="R87">
        <v>1</v>
      </c>
      <c r="S87">
        <v>37</v>
      </c>
      <c r="T87">
        <v>2</v>
      </c>
      <c r="U87">
        <v>6</v>
      </c>
      <c r="V87">
        <v>4</v>
      </c>
      <c r="W87">
        <v>0</v>
      </c>
      <c r="X87">
        <v>2</v>
      </c>
      <c r="Y87">
        <v>11</v>
      </c>
      <c r="Z87">
        <f>IF(H_A[[#This Row],[Attrition]]="Yes",1,0)</f>
        <v>0</v>
      </c>
      <c r="AA87" t="str">
        <f>IF(H_A[[#This Row],[Age]]&lt;30,"Young",IF(H_A[[#This Row],[Age]]&lt;45,"Mid","Senior"))</f>
        <v>Senior</v>
      </c>
      <c r="AB87" t="str">
        <f>IF(H_A[[#This Row],[MonthlyIncome]]&lt;5000,"Low",IF(H_A[[#This Row],[MonthlyIncome]]&lt;10000,"Medium","High"))</f>
        <v>Medium</v>
      </c>
      <c r="AC87" t="str">
        <f>IF(H_A[[#This Row],[YearsAtCompany]]&lt;3,"Early",IF(H_A[[#This Row],[YearsAtCompany]]&lt;7,"Mid","Long"))</f>
        <v>Mid</v>
      </c>
      <c r="AD87" t="str">
        <f>IF(H_A[[#This Row],[PercentSalaryHike]]&lt;13,"Low",IF(H_A[[#This Row],[PercentSalaryHike]]&lt;18,"Medium","High"))</f>
        <v>Low</v>
      </c>
    </row>
    <row r="88" spans="1:30" x14ac:dyDescent="0.3">
      <c r="A88">
        <v>23</v>
      </c>
      <c r="B88">
        <v>113</v>
      </c>
      <c r="C88" t="s">
        <v>36</v>
      </c>
      <c r="D88" t="s">
        <v>31</v>
      </c>
      <c r="E88">
        <v>2</v>
      </c>
      <c r="F88">
        <v>1</v>
      </c>
      <c r="G88" t="s">
        <v>51</v>
      </c>
      <c r="H88">
        <v>3</v>
      </c>
      <c r="I88" t="s">
        <v>38</v>
      </c>
      <c r="J88">
        <v>3</v>
      </c>
      <c r="K88">
        <v>1</v>
      </c>
      <c r="L88" t="s">
        <v>48</v>
      </c>
      <c r="M88">
        <v>1</v>
      </c>
      <c r="N88" t="s">
        <v>44</v>
      </c>
      <c r="O88">
        <v>2322</v>
      </c>
      <c r="P88">
        <v>3</v>
      </c>
      <c r="Q88" t="s">
        <v>36</v>
      </c>
      <c r="R88">
        <v>3</v>
      </c>
      <c r="S88">
        <v>3</v>
      </c>
      <c r="T88">
        <v>3</v>
      </c>
      <c r="U88">
        <v>0</v>
      </c>
      <c r="V88">
        <v>0</v>
      </c>
      <c r="W88">
        <v>0</v>
      </c>
      <c r="X88">
        <v>0</v>
      </c>
      <c r="Y88">
        <v>13</v>
      </c>
      <c r="Z88">
        <f>IF(H_A[[#This Row],[Attrition]]="Yes",1,0)</f>
        <v>0</v>
      </c>
      <c r="AA88" t="str">
        <f>IF(H_A[[#This Row],[Age]]&lt;30,"Young",IF(H_A[[#This Row],[Age]]&lt;45,"Mid","Senior"))</f>
        <v>Young</v>
      </c>
      <c r="AB88" t="str">
        <f>IF(H_A[[#This Row],[MonthlyIncome]]&lt;5000,"Low",IF(H_A[[#This Row],[MonthlyIncome]]&lt;10000,"Medium","High"))</f>
        <v>Low</v>
      </c>
      <c r="AC88" t="str">
        <f>IF(H_A[[#This Row],[YearsAtCompany]]&lt;3,"Early",IF(H_A[[#This Row],[YearsAtCompany]]&lt;7,"Mid","Long"))</f>
        <v>Early</v>
      </c>
      <c r="AD88" t="str">
        <f>IF(H_A[[#This Row],[PercentSalaryHike]]&lt;13,"Low",IF(H_A[[#This Row],[PercentSalaryHike]]&lt;18,"Medium","High"))</f>
        <v>Medium</v>
      </c>
    </row>
    <row r="89" spans="1:30" x14ac:dyDescent="0.3">
      <c r="A89">
        <v>51</v>
      </c>
      <c r="B89">
        <v>116</v>
      </c>
      <c r="C89" t="s">
        <v>36</v>
      </c>
      <c r="D89" t="s">
        <v>37</v>
      </c>
      <c r="E89">
        <v>9</v>
      </c>
      <c r="F89">
        <v>4</v>
      </c>
      <c r="G89" t="s">
        <v>32</v>
      </c>
      <c r="H89">
        <v>4</v>
      </c>
      <c r="I89" t="s">
        <v>38</v>
      </c>
      <c r="J89">
        <v>3</v>
      </c>
      <c r="K89">
        <v>1</v>
      </c>
      <c r="L89" t="s">
        <v>42</v>
      </c>
      <c r="M89">
        <v>4</v>
      </c>
      <c r="N89" t="s">
        <v>40</v>
      </c>
      <c r="O89">
        <v>2075</v>
      </c>
      <c r="P89">
        <v>3</v>
      </c>
      <c r="Q89" t="s">
        <v>36</v>
      </c>
      <c r="R89">
        <v>2</v>
      </c>
      <c r="S89">
        <v>10</v>
      </c>
      <c r="T89">
        <v>3</v>
      </c>
      <c r="U89">
        <v>4</v>
      </c>
      <c r="V89">
        <v>2</v>
      </c>
      <c r="W89">
        <v>0</v>
      </c>
      <c r="X89">
        <v>3</v>
      </c>
      <c r="Y89">
        <v>23</v>
      </c>
      <c r="Z89">
        <f>IF(H_A[[#This Row],[Attrition]]="Yes",1,0)</f>
        <v>0</v>
      </c>
      <c r="AA89" t="str">
        <f>IF(H_A[[#This Row],[Age]]&lt;30,"Young",IF(H_A[[#This Row],[Age]]&lt;45,"Mid","Senior"))</f>
        <v>Senior</v>
      </c>
      <c r="AB89" t="str">
        <f>IF(H_A[[#This Row],[MonthlyIncome]]&lt;5000,"Low",IF(H_A[[#This Row],[MonthlyIncome]]&lt;10000,"Medium","High"))</f>
        <v>Low</v>
      </c>
      <c r="AC89" t="str">
        <f>IF(H_A[[#This Row],[YearsAtCompany]]&lt;3,"Early",IF(H_A[[#This Row],[YearsAtCompany]]&lt;7,"Mid","Long"))</f>
        <v>Mid</v>
      </c>
      <c r="AD89" t="str">
        <f>IF(H_A[[#This Row],[PercentSalaryHike]]&lt;13,"Low",IF(H_A[[#This Row],[PercentSalaryHike]]&lt;18,"Medium","High"))</f>
        <v>High</v>
      </c>
    </row>
    <row r="90" spans="1:30" x14ac:dyDescent="0.3">
      <c r="A90">
        <v>30</v>
      </c>
      <c r="B90">
        <v>117</v>
      </c>
      <c r="C90" t="s">
        <v>36</v>
      </c>
      <c r="D90" t="s">
        <v>37</v>
      </c>
      <c r="E90">
        <v>2</v>
      </c>
      <c r="F90">
        <v>3</v>
      </c>
      <c r="G90" t="s">
        <v>32</v>
      </c>
      <c r="H90">
        <v>3</v>
      </c>
      <c r="I90" t="s">
        <v>38</v>
      </c>
      <c r="J90">
        <v>2</v>
      </c>
      <c r="K90">
        <v>2</v>
      </c>
      <c r="L90" t="s">
        <v>46</v>
      </c>
      <c r="M90">
        <v>4</v>
      </c>
      <c r="N90" t="s">
        <v>40</v>
      </c>
      <c r="O90">
        <v>4152</v>
      </c>
      <c r="P90">
        <v>1</v>
      </c>
      <c r="Q90" t="s">
        <v>36</v>
      </c>
      <c r="R90">
        <v>1</v>
      </c>
      <c r="S90">
        <v>11</v>
      </c>
      <c r="T90">
        <v>3</v>
      </c>
      <c r="U90">
        <v>11</v>
      </c>
      <c r="V90">
        <v>10</v>
      </c>
      <c r="W90">
        <v>10</v>
      </c>
      <c r="X90">
        <v>8</v>
      </c>
      <c r="Y90">
        <v>19</v>
      </c>
      <c r="Z90">
        <f>IF(H_A[[#This Row],[Attrition]]="Yes",1,0)</f>
        <v>0</v>
      </c>
      <c r="AA90" t="str">
        <f>IF(H_A[[#This Row],[Age]]&lt;30,"Young",IF(H_A[[#This Row],[Age]]&lt;45,"Mid","Senior"))</f>
        <v>Mid</v>
      </c>
      <c r="AB90" t="str">
        <f>IF(H_A[[#This Row],[MonthlyIncome]]&lt;5000,"Low",IF(H_A[[#This Row],[MonthlyIncome]]&lt;10000,"Medium","High"))</f>
        <v>Low</v>
      </c>
      <c r="AC90" t="str">
        <f>IF(H_A[[#This Row],[YearsAtCompany]]&lt;3,"Early",IF(H_A[[#This Row],[YearsAtCompany]]&lt;7,"Mid","Long"))</f>
        <v>Long</v>
      </c>
      <c r="AD90" t="str">
        <f>IF(H_A[[#This Row],[PercentSalaryHike]]&lt;13,"Low",IF(H_A[[#This Row],[PercentSalaryHike]]&lt;18,"Medium","High"))</f>
        <v>High</v>
      </c>
    </row>
    <row r="91" spans="1:30" x14ac:dyDescent="0.3">
      <c r="A91">
        <v>46</v>
      </c>
      <c r="B91">
        <v>118</v>
      </c>
      <c r="C91" t="s">
        <v>30</v>
      </c>
      <c r="D91" t="s">
        <v>31</v>
      </c>
      <c r="E91">
        <v>9</v>
      </c>
      <c r="F91">
        <v>2</v>
      </c>
      <c r="G91" t="s">
        <v>43</v>
      </c>
      <c r="H91">
        <v>3</v>
      </c>
      <c r="I91" t="s">
        <v>38</v>
      </c>
      <c r="J91">
        <v>2</v>
      </c>
      <c r="K91">
        <v>3</v>
      </c>
      <c r="L91" t="s">
        <v>34</v>
      </c>
      <c r="M91">
        <v>4</v>
      </c>
      <c r="N91" t="s">
        <v>35</v>
      </c>
      <c r="O91">
        <v>9619</v>
      </c>
      <c r="P91">
        <v>1</v>
      </c>
      <c r="Q91" t="s">
        <v>36</v>
      </c>
      <c r="R91">
        <v>4</v>
      </c>
      <c r="S91">
        <v>9</v>
      </c>
      <c r="T91">
        <v>3</v>
      </c>
      <c r="U91">
        <v>9</v>
      </c>
      <c r="V91">
        <v>8</v>
      </c>
      <c r="W91">
        <v>4</v>
      </c>
      <c r="X91">
        <v>7</v>
      </c>
      <c r="Y91">
        <v>16</v>
      </c>
      <c r="Z91">
        <f>IF(H_A[[#This Row],[Attrition]]="Yes",1,0)</f>
        <v>1</v>
      </c>
      <c r="AA91" t="str">
        <f>IF(H_A[[#This Row],[Age]]&lt;30,"Young",IF(H_A[[#This Row],[Age]]&lt;45,"Mid","Senior"))</f>
        <v>Senior</v>
      </c>
      <c r="AB91" t="str">
        <f>IF(H_A[[#This Row],[MonthlyIncome]]&lt;5000,"Low",IF(H_A[[#This Row],[MonthlyIncome]]&lt;10000,"Medium","High"))</f>
        <v>Medium</v>
      </c>
      <c r="AC91" t="str">
        <f>IF(H_A[[#This Row],[YearsAtCompany]]&lt;3,"Early",IF(H_A[[#This Row],[YearsAtCompany]]&lt;7,"Mid","Long"))</f>
        <v>Long</v>
      </c>
      <c r="AD91" t="str">
        <f>IF(H_A[[#This Row],[PercentSalaryHike]]&lt;13,"Low",IF(H_A[[#This Row],[PercentSalaryHike]]&lt;18,"Medium","High"))</f>
        <v>Medium</v>
      </c>
    </row>
    <row r="92" spans="1:30" x14ac:dyDescent="0.3">
      <c r="A92">
        <v>40</v>
      </c>
      <c r="B92">
        <v>119</v>
      </c>
      <c r="C92" t="s">
        <v>36</v>
      </c>
      <c r="D92" t="s">
        <v>37</v>
      </c>
      <c r="E92">
        <v>1</v>
      </c>
      <c r="F92">
        <v>4</v>
      </c>
      <c r="G92" t="s">
        <v>32</v>
      </c>
      <c r="H92">
        <v>3</v>
      </c>
      <c r="I92" t="s">
        <v>38</v>
      </c>
      <c r="J92">
        <v>2</v>
      </c>
      <c r="K92">
        <v>4</v>
      </c>
      <c r="L92" t="s">
        <v>46</v>
      </c>
      <c r="M92">
        <v>2</v>
      </c>
      <c r="N92" t="s">
        <v>40</v>
      </c>
      <c r="O92">
        <v>13503</v>
      </c>
      <c r="P92">
        <v>1</v>
      </c>
      <c r="Q92" t="s">
        <v>36</v>
      </c>
      <c r="R92">
        <v>4</v>
      </c>
      <c r="S92">
        <v>22</v>
      </c>
      <c r="T92">
        <v>2</v>
      </c>
      <c r="U92">
        <v>22</v>
      </c>
      <c r="V92">
        <v>3</v>
      </c>
      <c r="W92">
        <v>11</v>
      </c>
      <c r="X92">
        <v>11</v>
      </c>
      <c r="Y92">
        <v>22</v>
      </c>
      <c r="Z92">
        <f>IF(H_A[[#This Row],[Attrition]]="Yes",1,0)</f>
        <v>0</v>
      </c>
      <c r="AA92" t="str">
        <f>IF(H_A[[#This Row],[Age]]&lt;30,"Young",IF(H_A[[#This Row],[Age]]&lt;45,"Mid","Senior"))</f>
        <v>Mid</v>
      </c>
      <c r="AB92" t="str">
        <f>IF(H_A[[#This Row],[MonthlyIncome]]&lt;5000,"Low",IF(H_A[[#This Row],[MonthlyIncome]]&lt;10000,"Medium","High"))</f>
        <v>High</v>
      </c>
      <c r="AC92" t="str">
        <f>IF(H_A[[#This Row],[YearsAtCompany]]&lt;3,"Early",IF(H_A[[#This Row],[YearsAtCompany]]&lt;7,"Mid","Long"))</f>
        <v>Long</v>
      </c>
      <c r="AD92" t="str">
        <f>IF(H_A[[#This Row],[PercentSalaryHike]]&lt;13,"Low",IF(H_A[[#This Row],[PercentSalaryHike]]&lt;18,"Medium","High"))</f>
        <v>High</v>
      </c>
    </row>
    <row r="93" spans="1:30" x14ac:dyDescent="0.3">
      <c r="A93">
        <v>51</v>
      </c>
      <c r="B93">
        <v>120</v>
      </c>
      <c r="C93" t="s">
        <v>36</v>
      </c>
      <c r="D93" t="s">
        <v>31</v>
      </c>
      <c r="E93">
        <v>21</v>
      </c>
      <c r="F93">
        <v>4</v>
      </c>
      <c r="G93" t="s">
        <v>50</v>
      </c>
      <c r="H93">
        <v>3</v>
      </c>
      <c r="I93" t="s">
        <v>38</v>
      </c>
      <c r="J93">
        <v>3</v>
      </c>
      <c r="K93">
        <v>2</v>
      </c>
      <c r="L93" t="s">
        <v>34</v>
      </c>
      <c r="M93">
        <v>4</v>
      </c>
      <c r="N93" t="s">
        <v>35</v>
      </c>
      <c r="O93">
        <v>5441</v>
      </c>
      <c r="P93">
        <v>0</v>
      </c>
      <c r="Q93" t="s">
        <v>30</v>
      </c>
      <c r="R93">
        <v>4</v>
      </c>
      <c r="S93">
        <v>11</v>
      </c>
      <c r="T93">
        <v>1</v>
      </c>
      <c r="U93">
        <v>10</v>
      </c>
      <c r="V93">
        <v>7</v>
      </c>
      <c r="W93">
        <v>1</v>
      </c>
      <c r="X93">
        <v>0</v>
      </c>
      <c r="Y93">
        <v>22</v>
      </c>
      <c r="Z93">
        <f>IF(H_A[[#This Row],[Attrition]]="Yes",1,0)</f>
        <v>0</v>
      </c>
      <c r="AA93" t="str">
        <f>IF(H_A[[#This Row],[Age]]&lt;30,"Young",IF(H_A[[#This Row],[Age]]&lt;45,"Mid","Senior"))</f>
        <v>Senior</v>
      </c>
      <c r="AB93" t="str">
        <f>IF(H_A[[#This Row],[MonthlyIncome]]&lt;5000,"Low",IF(H_A[[#This Row],[MonthlyIncome]]&lt;10000,"Medium","High"))</f>
        <v>Medium</v>
      </c>
      <c r="AC93" t="str">
        <f>IF(H_A[[#This Row],[YearsAtCompany]]&lt;3,"Early",IF(H_A[[#This Row],[YearsAtCompany]]&lt;7,"Mid","Long"))</f>
        <v>Long</v>
      </c>
      <c r="AD93" t="str">
        <f>IF(H_A[[#This Row],[PercentSalaryHike]]&lt;13,"Low",IF(H_A[[#This Row],[PercentSalaryHike]]&lt;18,"Medium","High"))</f>
        <v>High</v>
      </c>
    </row>
    <row r="94" spans="1:30" x14ac:dyDescent="0.3">
      <c r="A94">
        <v>30</v>
      </c>
      <c r="B94">
        <v>121</v>
      </c>
      <c r="C94" t="s">
        <v>36</v>
      </c>
      <c r="D94" t="s">
        <v>31</v>
      </c>
      <c r="E94">
        <v>4</v>
      </c>
      <c r="F94">
        <v>2</v>
      </c>
      <c r="G94" t="s">
        <v>43</v>
      </c>
      <c r="H94">
        <v>3</v>
      </c>
      <c r="I94" t="s">
        <v>33</v>
      </c>
      <c r="J94">
        <v>2</v>
      </c>
      <c r="K94">
        <v>2</v>
      </c>
      <c r="L94" t="s">
        <v>34</v>
      </c>
      <c r="M94">
        <v>2</v>
      </c>
      <c r="N94" t="s">
        <v>44</v>
      </c>
      <c r="O94">
        <v>5209</v>
      </c>
      <c r="P94">
        <v>1</v>
      </c>
      <c r="Q94" t="s">
        <v>30</v>
      </c>
      <c r="R94">
        <v>2</v>
      </c>
      <c r="S94">
        <v>11</v>
      </c>
      <c r="T94">
        <v>2</v>
      </c>
      <c r="U94">
        <v>11</v>
      </c>
      <c r="V94">
        <v>8</v>
      </c>
      <c r="W94">
        <v>2</v>
      </c>
      <c r="X94">
        <v>7</v>
      </c>
      <c r="Y94">
        <v>12</v>
      </c>
      <c r="Z94">
        <f>IF(H_A[[#This Row],[Attrition]]="Yes",1,0)</f>
        <v>0</v>
      </c>
      <c r="AA94" t="str">
        <f>IF(H_A[[#This Row],[Age]]&lt;30,"Young",IF(H_A[[#This Row],[Age]]&lt;45,"Mid","Senior"))</f>
        <v>Mid</v>
      </c>
      <c r="AB94" t="str">
        <f>IF(H_A[[#This Row],[MonthlyIncome]]&lt;5000,"Low",IF(H_A[[#This Row],[MonthlyIncome]]&lt;10000,"Medium","High"))</f>
        <v>Medium</v>
      </c>
      <c r="AC94" t="str">
        <f>IF(H_A[[#This Row],[YearsAtCompany]]&lt;3,"Early",IF(H_A[[#This Row],[YearsAtCompany]]&lt;7,"Mid","Long"))</f>
        <v>Long</v>
      </c>
      <c r="AD94" t="str">
        <f>IF(H_A[[#This Row],[PercentSalaryHike]]&lt;13,"Low",IF(H_A[[#This Row],[PercentSalaryHike]]&lt;18,"Medium","High"))</f>
        <v>Low</v>
      </c>
    </row>
    <row r="95" spans="1:30" x14ac:dyDescent="0.3">
      <c r="A95">
        <v>46</v>
      </c>
      <c r="B95">
        <v>124</v>
      </c>
      <c r="C95" t="s">
        <v>36</v>
      </c>
      <c r="D95" t="s">
        <v>37</v>
      </c>
      <c r="E95">
        <v>1</v>
      </c>
      <c r="F95">
        <v>3</v>
      </c>
      <c r="G95" t="s">
        <v>43</v>
      </c>
      <c r="H95">
        <v>3</v>
      </c>
      <c r="I95" t="s">
        <v>38</v>
      </c>
      <c r="J95">
        <v>2</v>
      </c>
      <c r="K95">
        <v>3</v>
      </c>
      <c r="L95" t="s">
        <v>46</v>
      </c>
      <c r="M95">
        <v>1</v>
      </c>
      <c r="N95" t="s">
        <v>40</v>
      </c>
      <c r="O95">
        <v>10673</v>
      </c>
      <c r="P95">
        <v>2</v>
      </c>
      <c r="Q95" t="s">
        <v>30</v>
      </c>
      <c r="R95">
        <v>3</v>
      </c>
      <c r="S95">
        <v>21</v>
      </c>
      <c r="T95">
        <v>2</v>
      </c>
      <c r="U95">
        <v>10</v>
      </c>
      <c r="V95">
        <v>9</v>
      </c>
      <c r="W95">
        <v>9</v>
      </c>
      <c r="X95">
        <v>5</v>
      </c>
      <c r="Y95">
        <v>13</v>
      </c>
      <c r="Z95">
        <f>IF(H_A[[#This Row],[Attrition]]="Yes",1,0)</f>
        <v>0</v>
      </c>
      <c r="AA95" t="str">
        <f>IF(H_A[[#This Row],[Age]]&lt;30,"Young",IF(H_A[[#This Row],[Age]]&lt;45,"Mid","Senior"))</f>
        <v>Senior</v>
      </c>
      <c r="AB95" t="str">
        <f>IF(H_A[[#This Row],[MonthlyIncome]]&lt;5000,"Low",IF(H_A[[#This Row],[MonthlyIncome]]&lt;10000,"Medium","High"))</f>
        <v>High</v>
      </c>
      <c r="AC95" t="str">
        <f>IF(H_A[[#This Row],[YearsAtCompany]]&lt;3,"Early",IF(H_A[[#This Row],[YearsAtCompany]]&lt;7,"Mid","Long"))</f>
        <v>Long</v>
      </c>
      <c r="AD95" t="str">
        <f>IF(H_A[[#This Row],[PercentSalaryHike]]&lt;13,"Low",IF(H_A[[#This Row],[PercentSalaryHike]]&lt;18,"Medium","High"))</f>
        <v>Medium</v>
      </c>
    </row>
    <row r="96" spans="1:30" x14ac:dyDescent="0.3">
      <c r="A96">
        <v>32</v>
      </c>
      <c r="B96">
        <v>125</v>
      </c>
      <c r="C96" t="s">
        <v>36</v>
      </c>
      <c r="D96" t="s">
        <v>31</v>
      </c>
      <c r="E96">
        <v>6</v>
      </c>
      <c r="F96">
        <v>4</v>
      </c>
      <c r="G96" t="s">
        <v>43</v>
      </c>
      <c r="H96">
        <v>2</v>
      </c>
      <c r="I96" t="s">
        <v>38</v>
      </c>
      <c r="J96">
        <v>3</v>
      </c>
      <c r="K96">
        <v>2</v>
      </c>
      <c r="L96" t="s">
        <v>34</v>
      </c>
      <c r="M96">
        <v>3</v>
      </c>
      <c r="N96" t="s">
        <v>35</v>
      </c>
      <c r="O96">
        <v>5010</v>
      </c>
      <c r="P96">
        <v>1</v>
      </c>
      <c r="Q96" t="s">
        <v>36</v>
      </c>
      <c r="R96">
        <v>1</v>
      </c>
      <c r="S96">
        <v>12</v>
      </c>
      <c r="T96">
        <v>3</v>
      </c>
      <c r="U96">
        <v>11</v>
      </c>
      <c r="V96">
        <v>8</v>
      </c>
      <c r="W96">
        <v>5</v>
      </c>
      <c r="X96">
        <v>7</v>
      </c>
      <c r="Y96">
        <v>16</v>
      </c>
      <c r="Z96">
        <f>IF(H_A[[#This Row],[Attrition]]="Yes",1,0)</f>
        <v>0</v>
      </c>
      <c r="AA96" t="str">
        <f>IF(H_A[[#This Row],[Age]]&lt;30,"Young",IF(H_A[[#This Row],[Age]]&lt;45,"Mid","Senior"))</f>
        <v>Mid</v>
      </c>
      <c r="AB96" t="str">
        <f>IF(H_A[[#This Row],[MonthlyIncome]]&lt;5000,"Low",IF(H_A[[#This Row],[MonthlyIncome]]&lt;10000,"Medium","High"))</f>
        <v>Medium</v>
      </c>
      <c r="AC96" t="str">
        <f>IF(H_A[[#This Row],[YearsAtCompany]]&lt;3,"Early",IF(H_A[[#This Row],[YearsAtCompany]]&lt;7,"Mid","Long"))</f>
        <v>Long</v>
      </c>
      <c r="AD96" t="str">
        <f>IF(H_A[[#This Row],[PercentSalaryHike]]&lt;13,"Low",IF(H_A[[#This Row],[PercentSalaryHike]]&lt;18,"Medium","High"))</f>
        <v>Medium</v>
      </c>
    </row>
    <row r="97" spans="1:30" x14ac:dyDescent="0.3">
      <c r="A97">
        <v>54</v>
      </c>
      <c r="B97">
        <v>126</v>
      </c>
      <c r="C97" t="s">
        <v>36</v>
      </c>
      <c r="D97" t="s">
        <v>37</v>
      </c>
      <c r="E97">
        <v>2</v>
      </c>
      <c r="F97">
        <v>4</v>
      </c>
      <c r="G97" t="s">
        <v>51</v>
      </c>
      <c r="H97">
        <v>1</v>
      </c>
      <c r="I97" t="s">
        <v>33</v>
      </c>
      <c r="J97">
        <v>3</v>
      </c>
      <c r="K97">
        <v>3</v>
      </c>
      <c r="L97" t="s">
        <v>49</v>
      </c>
      <c r="M97">
        <v>3</v>
      </c>
      <c r="N97" t="s">
        <v>40</v>
      </c>
      <c r="O97">
        <v>13549</v>
      </c>
      <c r="P97">
        <v>9</v>
      </c>
      <c r="Q97" t="s">
        <v>36</v>
      </c>
      <c r="R97">
        <v>1</v>
      </c>
      <c r="S97">
        <v>16</v>
      </c>
      <c r="T97">
        <v>1</v>
      </c>
      <c r="U97">
        <v>4</v>
      </c>
      <c r="V97">
        <v>3</v>
      </c>
      <c r="W97">
        <v>0</v>
      </c>
      <c r="X97">
        <v>3</v>
      </c>
      <c r="Y97">
        <v>12</v>
      </c>
      <c r="Z97">
        <f>IF(H_A[[#This Row],[Attrition]]="Yes",1,0)</f>
        <v>0</v>
      </c>
      <c r="AA97" t="str">
        <f>IF(H_A[[#This Row],[Age]]&lt;30,"Young",IF(H_A[[#This Row],[Age]]&lt;45,"Mid","Senior"))</f>
        <v>Senior</v>
      </c>
      <c r="AB97" t="str">
        <f>IF(H_A[[#This Row],[MonthlyIncome]]&lt;5000,"Low",IF(H_A[[#This Row],[MonthlyIncome]]&lt;10000,"Medium","High"))</f>
        <v>High</v>
      </c>
      <c r="AC97" t="str">
        <f>IF(H_A[[#This Row],[YearsAtCompany]]&lt;3,"Early",IF(H_A[[#This Row],[YearsAtCompany]]&lt;7,"Mid","Long"))</f>
        <v>Mid</v>
      </c>
      <c r="AD97" t="str">
        <f>IF(H_A[[#This Row],[PercentSalaryHike]]&lt;13,"Low",IF(H_A[[#This Row],[PercentSalaryHike]]&lt;18,"Medium","High"))</f>
        <v>Low</v>
      </c>
    </row>
    <row r="98" spans="1:30" x14ac:dyDescent="0.3">
      <c r="A98">
        <v>24</v>
      </c>
      <c r="B98">
        <v>128</v>
      </c>
      <c r="C98" t="s">
        <v>36</v>
      </c>
      <c r="D98" t="s">
        <v>31</v>
      </c>
      <c r="E98">
        <v>3</v>
      </c>
      <c r="F98">
        <v>2</v>
      </c>
      <c r="G98" t="s">
        <v>41</v>
      </c>
      <c r="H98">
        <v>1</v>
      </c>
      <c r="I98" t="s">
        <v>33</v>
      </c>
      <c r="J98">
        <v>3</v>
      </c>
      <c r="K98">
        <v>2</v>
      </c>
      <c r="L98" t="s">
        <v>34</v>
      </c>
      <c r="M98">
        <v>3</v>
      </c>
      <c r="N98" t="s">
        <v>40</v>
      </c>
      <c r="O98">
        <v>4999</v>
      </c>
      <c r="P98">
        <v>0</v>
      </c>
      <c r="Q98" t="s">
        <v>36</v>
      </c>
      <c r="R98">
        <v>1</v>
      </c>
      <c r="S98">
        <v>4</v>
      </c>
      <c r="T98">
        <v>2</v>
      </c>
      <c r="U98">
        <v>3</v>
      </c>
      <c r="V98">
        <v>2</v>
      </c>
      <c r="W98">
        <v>0</v>
      </c>
      <c r="X98">
        <v>2</v>
      </c>
      <c r="Y98">
        <v>21</v>
      </c>
      <c r="Z98">
        <f>IF(H_A[[#This Row],[Attrition]]="Yes",1,0)</f>
        <v>0</v>
      </c>
      <c r="AA98" t="str">
        <f>IF(H_A[[#This Row],[Age]]&lt;30,"Young",IF(H_A[[#This Row],[Age]]&lt;45,"Mid","Senior"))</f>
        <v>Young</v>
      </c>
      <c r="AB98" t="str">
        <f>IF(H_A[[#This Row],[MonthlyIncome]]&lt;5000,"Low",IF(H_A[[#This Row],[MonthlyIncome]]&lt;10000,"Medium","High"))</f>
        <v>Low</v>
      </c>
      <c r="AC98" t="str">
        <f>IF(H_A[[#This Row],[YearsAtCompany]]&lt;3,"Early",IF(H_A[[#This Row],[YearsAtCompany]]&lt;7,"Mid","Long"))</f>
        <v>Mid</v>
      </c>
      <c r="AD98" t="str">
        <f>IF(H_A[[#This Row],[PercentSalaryHike]]&lt;13,"Low",IF(H_A[[#This Row],[PercentSalaryHike]]&lt;18,"Medium","High"))</f>
        <v>High</v>
      </c>
    </row>
    <row r="99" spans="1:30" x14ac:dyDescent="0.3">
      <c r="A99">
        <v>28</v>
      </c>
      <c r="B99">
        <v>129</v>
      </c>
      <c r="C99" t="s">
        <v>36</v>
      </c>
      <c r="D99" t="s">
        <v>31</v>
      </c>
      <c r="E99">
        <v>4</v>
      </c>
      <c r="F99">
        <v>3</v>
      </c>
      <c r="G99" t="s">
        <v>43</v>
      </c>
      <c r="H99">
        <v>2</v>
      </c>
      <c r="I99" t="s">
        <v>38</v>
      </c>
      <c r="J99">
        <v>3</v>
      </c>
      <c r="K99">
        <v>2</v>
      </c>
      <c r="L99" t="s">
        <v>34</v>
      </c>
      <c r="M99">
        <v>3</v>
      </c>
      <c r="N99" t="s">
        <v>40</v>
      </c>
      <c r="O99">
        <v>4221</v>
      </c>
      <c r="P99">
        <v>1</v>
      </c>
      <c r="Q99" t="s">
        <v>36</v>
      </c>
      <c r="R99">
        <v>2</v>
      </c>
      <c r="S99">
        <v>5</v>
      </c>
      <c r="T99">
        <v>4</v>
      </c>
      <c r="U99">
        <v>5</v>
      </c>
      <c r="V99">
        <v>4</v>
      </c>
      <c r="W99">
        <v>0</v>
      </c>
      <c r="X99">
        <v>4</v>
      </c>
      <c r="Y99">
        <v>15</v>
      </c>
      <c r="Z99">
        <f>IF(H_A[[#This Row],[Attrition]]="Yes",1,0)</f>
        <v>0</v>
      </c>
      <c r="AA99" t="str">
        <f>IF(H_A[[#This Row],[Age]]&lt;30,"Young",IF(H_A[[#This Row],[Age]]&lt;45,"Mid","Senior"))</f>
        <v>Young</v>
      </c>
      <c r="AB99" t="str">
        <f>IF(H_A[[#This Row],[MonthlyIncome]]&lt;5000,"Low",IF(H_A[[#This Row],[MonthlyIncome]]&lt;10000,"Medium","High"))</f>
        <v>Low</v>
      </c>
      <c r="AC99" t="str">
        <f>IF(H_A[[#This Row],[YearsAtCompany]]&lt;3,"Early",IF(H_A[[#This Row],[YearsAtCompany]]&lt;7,"Mid","Long"))</f>
        <v>Mid</v>
      </c>
      <c r="AD99" t="str">
        <f>IF(H_A[[#This Row],[PercentSalaryHike]]&lt;13,"Low",IF(H_A[[#This Row],[PercentSalaryHike]]&lt;18,"Medium","High"))</f>
        <v>Medium</v>
      </c>
    </row>
    <row r="100" spans="1:30" x14ac:dyDescent="0.3">
      <c r="A100">
        <v>58</v>
      </c>
      <c r="B100">
        <v>131</v>
      </c>
      <c r="C100" t="s">
        <v>36</v>
      </c>
      <c r="D100" t="s">
        <v>31</v>
      </c>
      <c r="E100">
        <v>10</v>
      </c>
      <c r="F100">
        <v>4</v>
      </c>
      <c r="G100" t="s">
        <v>43</v>
      </c>
      <c r="H100">
        <v>4</v>
      </c>
      <c r="I100" t="s">
        <v>38</v>
      </c>
      <c r="J100">
        <v>3</v>
      </c>
      <c r="K100">
        <v>4</v>
      </c>
      <c r="L100" t="s">
        <v>34</v>
      </c>
      <c r="M100">
        <v>3</v>
      </c>
      <c r="N100" t="s">
        <v>35</v>
      </c>
      <c r="O100">
        <v>13872</v>
      </c>
      <c r="P100">
        <v>0</v>
      </c>
      <c r="Q100" t="s">
        <v>36</v>
      </c>
      <c r="R100">
        <v>3</v>
      </c>
      <c r="S100">
        <v>38</v>
      </c>
      <c r="T100">
        <v>2</v>
      </c>
      <c r="U100">
        <v>37</v>
      </c>
      <c r="V100">
        <v>10</v>
      </c>
      <c r="W100">
        <v>1</v>
      </c>
      <c r="X100">
        <v>8</v>
      </c>
      <c r="Y100">
        <v>13</v>
      </c>
      <c r="Z100">
        <f>IF(H_A[[#This Row],[Attrition]]="Yes",1,0)</f>
        <v>0</v>
      </c>
      <c r="AA100" t="str">
        <f>IF(H_A[[#This Row],[Age]]&lt;30,"Young",IF(H_A[[#This Row],[Age]]&lt;45,"Mid","Senior"))</f>
        <v>Senior</v>
      </c>
      <c r="AB100" t="str">
        <f>IF(H_A[[#This Row],[MonthlyIncome]]&lt;5000,"Low",IF(H_A[[#This Row],[MonthlyIncome]]&lt;10000,"Medium","High"))</f>
        <v>High</v>
      </c>
      <c r="AC100" t="str">
        <f>IF(H_A[[#This Row],[YearsAtCompany]]&lt;3,"Early",IF(H_A[[#This Row],[YearsAtCompany]]&lt;7,"Mid","Long"))</f>
        <v>Long</v>
      </c>
      <c r="AD100" t="str">
        <f>IF(H_A[[#This Row],[PercentSalaryHike]]&lt;13,"Low",IF(H_A[[#This Row],[PercentSalaryHike]]&lt;18,"Medium","High"))</f>
        <v>Medium</v>
      </c>
    </row>
    <row r="101" spans="1:30" x14ac:dyDescent="0.3">
      <c r="A101">
        <v>44</v>
      </c>
      <c r="B101">
        <v>132</v>
      </c>
      <c r="C101" t="s">
        <v>36</v>
      </c>
      <c r="D101" t="s">
        <v>37</v>
      </c>
      <c r="E101">
        <v>23</v>
      </c>
      <c r="F101">
        <v>3</v>
      </c>
      <c r="G101" t="s">
        <v>43</v>
      </c>
      <c r="H101">
        <v>2</v>
      </c>
      <c r="I101" t="s">
        <v>38</v>
      </c>
      <c r="J101">
        <v>3</v>
      </c>
      <c r="K101">
        <v>2</v>
      </c>
      <c r="L101" t="s">
        <v>42</v>
      </c>
      <c r="M101">
        <v>2</v>
      </c>
      <c r="N101" t="s">
        <v>40</v>
      </c>
      <c r="O101">
        <v>2042</v>
      </c>
      <c r="P101">
        <v>4</v>
      </c>
      <c r="Q101" t="s">
        <v>36</v>
      </c>
      <c r="R101">
        <v>3</v>
      </c>
      <c r="S101">
        <v>17</v>
      </c>
      <c r="T101">
        <v>4</v>
      </c>
      <c r="U101">
        <v>3</v>
      </c>
      <c r="V101">
        <v>2</v>
      </c>
      <c r="W101">
        <v>1</v>
      </c>
      <c r="X101">
        <v>2</v>
      </c>
      <c r="Y101">
        <v>12</v>
      </c>
      <c r="Z101">
        <f>IF(H_A[[#This Row],[Attrition]]="Yes",1,0)</f>
        <v>0</v>
      </c>
      <c r="AA101" t="str">
        <f>IF(H_A[[#This Row],[Age]]&lt;30,"Young",IF(H_A[[#This Row],[Age]]&lt;45,"Mid","Senior"))</f>
        <v>Mid</v>
      </c>
      <c r="AB101" t="str">
        <f>IF(H_A[[#This Row],[MonthlyIncome]]&lt;5000,"Low",IF(H_A[[#This Row],[MonthlyIncome]]&lt;10000,"Medium","High"))</f>
        <v>Low</v>
      </c>
      <c r="AC101" t="str">
        <f>IF(H_A[[#This Row],[YearsAtCompany]]&lt;3,"Early",IF(H_A[[#This Row],[YearsAtCompany]]&lt;7,"Mid","Long"))</f>
        <v>Mid</v>
      </c>
      <c r="AD101" t="str">
        <f>IF(H_A[[#This Row],[PercentSalaryHike]]&lt;13,"Low",IF(H_A[[#This Row],[PercentSalaryHike]]&lt;18,"Medium","High"))</f>
        <v>Low</v>
      </c>
    </row>
    <row r="102" spans="1:30" x14ac:dyDescent="0.3">
      <c r="A102">
        <v>37</v>
      </c>
      <c r="B102">
        <v>133</v>
      </c>
      <c r="C102" t="s">
        <v>30</v>
      </c>
      <c r="D102" t="s">
        <v>52</v>
      </c>
      <c r="E102">
        <v>6</v>
      </c>
      <c r="F102">
        <v>4</v>
      </c>
      <c r="G102" t="s">
        <v>52</v>
      </c>
      <c r="H102">
        <v>3</v>
      </c>
      <c r="I102" t="s">
        <v>38</v>
      </c>
      <c r="J102">
        <v>3</v>
      </c>
      <c r="K102">
        <v>1</v>
      </c>
      <c r="L102" t="s">
        <v>52</v>
      </c>
      <c r="M102">
        <v>1</v>
      </c>
      <c r="N102" t="s">
        <v>44</v>
      </c>
      <c r="O102">
        <v>2073</v>
      </c>
      <c r="P102">
        <v>4</v>
      </c>
      <c r="Q102" t="s">
        <v>30</v>
      </c>
      <c r="R102">
        <v>4</v>
      </c>
      <c r="S102">
        <v>7</v>
      </c>
      <c r="T102">
        <v>3</v>
      </c>
      <c r="U102">
        <v>3</v>
      </c>
      <c r="V102">
        <v>2</v>
      </c>
      <c r="W102">
        <v>0</v>
      </c>
      <c r="X102">
        <v>2</v>
      </c>
      <c r="Y102">
        <v>22</v>
      </c>
      <c r="Z102">
        <f>IF(H_A[[#This Row],[Attrition]]="Yes",1,0)</f>
        <v>1</v>
      </c>
      <c r="AA102" t="str">
        <f>IF(H_A[[#This Row],[Age]]&lt;30,"Young",IF(H_A[[#This Row],[Age]]&lt;45,"Mid","Senior"))</f>
        <v>Mid</v>
      </c>
      <c r="AB102" t="str">
        <f>IF(H_A[[#This Row],[MonthlyIncome]]&lt;5000,"Low",IF(H_A[[#This Row],[MonthlyIncome]]&lt;10000,"Medium","High"))</f>
        <v>Low</v>
      </c>
      <c r="AC102" t="str">
        <f>IF(H_A[[#This Row],[YearsAtCompany]]&lt;3,"Early",IF(H_A[[#This Row],[YearsAtCompany]]&lt;7,"Mid","Long"))</f>
        <v>Mid</v>
      </c>
      <c r="AD102" t="str">
        <f>IF(H_A[[#This Row],[PercentSalaryHike]]&lt;13,"Low",IF(H_A[[#This Row],[PercentSalaryHike]]&lt;18,"Medium","High"))</f>
        <v>High</v>
      </c>
    </row>
    <row r="103" spans="1:30" x14ac:dyDescent="0.3">
      <c r="A103">
        <v>32</v>
      </c>
      <c r="B103">
        <v>134</v>
      </c>
      <c r="C103" t="s">
        <v>36</v>
      </c>
      <c r="D103" t="s">
        <v>37</v>
      </c>
      <c r="E103">
        <v>1</v>
      </c>
      <c r="F103">
        <v>1</v>
      </c>
      <c r="G103" t="s">
        <v>32</v>
      </c>
      <c r="H103">
        <v>4</v>
      </c>
      <c r="I103" t="s">
        <v>38</v>
      </c>
      <c r="J103">
        <v>3</v>
      </c>
      <c r="K103">
        <v>1</v>
      </c>
      <c r="L103" t="s">
        <v>39</v>
      </c>
      <c r="M103">
        <v>1</v>
      </c>
      <c r="N103" t="s">
        <v>35</v>
      </c>
      <c r="O103">
        <v>2956</v>
      </c>
      <c r="P103">
        <v>1</v>
      </c>
      <c r="Q103" t="s">
        <v>36</v>
      </c>
      <c r="R103">
        <v>4</v>
      </c>
      <c r="S103">
        <v>1</v>
      </c>
      <c r="T103">
        <v>3</v>
      </c>
      <c r="U103">
        <v>1</v>
      </c>
      <c r="V103">
        <v>0</v>
      </c>
      <c r="W103">
        <v>0</v>
      </c>
      <c r="X103">
        <v>0</v>
      </c>
      <c r="Y103">
        <v>13</v>
      </c>
      <c r="Z103">
        <f>IF(H_A[[#This Row],[Attrition]]="Yes",1,0)</f>
        <v>0</v>
      </c>
      <c r="AA103" t="str">
        <f>IF(H_A[[#This Row],[Age]]&lt;30,"Young",IF(H_A[[#This Row],[Age]]&lt;45,"Mid","Senior"))</f>
        <v>Mid</v>
      </c>
      <c r="AB103" t="str">
        <f>IF(H_A[[#This Row],[MonthlyIncome]]&lt;5000,"Low",IF(H_A[[#This Row],[MonthlyIncome]]&lt;10000,"Medium","High"))</f>
        <v>Low</v>
      </c>
      <c r="AC103" t="str">
        <f>IF(H_A[[#This Row],[YearsAtCompany]]&lt;3,"Early",IF(H_A[[#This Row],[YearsAtCompany]]&lt;7,"Mid","Long"))</f>
        <v>Early</v>
      </c>
      <c r="AD103" t="str">
        <f>IF(H_A[[#This Row],[PercentSalaryHike]]&lt;13,"Low",IF(H_A[[#This Row],[PercentSalaryHike]]&lt;18,"Medium","High"))</f>
        <v>Medium</v>
      </c>
    </row>
    <row r="104" spans="1:30" x14ac:dyDescent="0.3">
      <c r="A104">
        <v>20</v>
      </c>
      <c r="B104">
        <v>137</v>
      </c>
      <c r="C104" t="s">
        <v>30</v>
      </c>
      <c r="D104" t="s">
        <v>37</v>
      </c>
      <c r="E104">
        <v>6</v>
      </c>
      <c r="F104">
        <v>3</v>
      </c>
      <c r="G104" t="s">
        <v>32</v>
      </c>
      <c r="H104">
        <v>4</v>
      </c>
      <c r="I104" t="s">
        <v>33</v>
      </c>
      <c r="J104">
        <v>2</v>
      </c>
      <c r="K104">
        <v>1</v>
      </c>
      <c r="L104" t="s">
        <v>42</v>
      </c>
      <c r="M104">
        <v>4</v>
      </c>
      <c r="N104" t="s">
        <v>35</v>
      </c>
      <c r="O104">
        <v>2926</v>
      </c>
      <c r="P104">
        <v>1</v>
      </c>
      <c r="Q104" t="s">
        <v>30</v>
      </c>
      <c r="R104">
        <v>2</v>
      </c>
      <c r="S104">
        <v>1</v>
      </c>
      <c r="T104">
        <v>3</v>
      </c>
      <c r="U104">
        <v>1</v>
      </c>
      <c r="V104">
        <v>0</v>
      </c>
      <c r="W104">
        <v>1</v>
      </c>
      <c r="X104">
        <v>0</v>
      </c>
      <c r="Y104">
        <v>18</v>
      </c>
      <c r="Z104">
        <f>IF(H_A[[#This Row],[Attrition]]="Yes",1,0)</f>
        <v>1</v>
      </c>
      <c r="AA104" t="str">
        <f>IF(H_A[[#This Row],[Age]]&lt;30,"Young",IF(H_A[[#This Row],[Age]]&lt;45,"Mid","Senior"))</f>
        <v>Young</v>
      </c>
      <c r="AB104" t="str">
        <f>IF(H_A[[#This Row],[MonthlyIncome]]&lt;5000,"Low",IF(H_A[[#This Row],[MonthlyIncome]]&lt;10000,"Medium","High"))</f>
        <v>Low</v>
      </c>
      <c r="AC104" t="str">
        <f>IF(H_A[[#This Row],[YearsAtCompany]]&lt;3,"Early",IF(H_A[[#This Row],[YearsAtCompany]]&lt;7,"Mid","Long"))</f>
        <v>Early</v>
      </c>
      <c r="AD104" t="str">
        <f>IF(H_A[[#This Row],[PercentSalaryHike]]&lt;13,"Low",IF(H_A[[#This Row],[PercentSalaryHike]]&lt;18,"Medium","High"))</f>
        <v>High</v>
      </c>
    </row>
    <row r="105" spans="1:30" x14ac:dyDescent="0.3">
      <c r="A105">
        <v>34</v>
      </c>
      <c r="B105">
        <v>138</v>
      </c>
      <c r="C105" t="s">
        <v>36</v>
      </c>
      <c r="D105" t="s">
        <v>37</v>
      </c>
      <c r="E105">
        <v>6</v>
      </c>
      <c r="F105">
        <v>4</v>
      </c>
      <c r="G105" t="s">
        <v>41</v>
      </c>
      <c r="H105">
        <v>1</v>
      </c>
      <c r="I105" t="s">
        <v>33</v>
      </c>
      <c r="J105">
        <v>3</v>
      </c>
      <c r="K105">
        <v>2</v>
      </c>
      <c r="L105" t="s">
        <v>39</v>
      </c>
      <c r="M105">
        <v>3</v>
      </c>
      <c r="N105" t="s">
        <v>35</v>
      </c>
      <c r="O105">
        <v>4809</v>
      </c>
      <c r="P105">
        <v>1</v>
      </c>
      <c r="Q105" t="s">
        <v>36</v>
      </c>
      <c r="R105">
        <v>3</v>
      </c>
      <c r="S105">
        <v>16</v>
      </c>
      <c r="T105">
        <v>3</v>
      </c>
      <c r="U105">
        <v>16</v>
      </c>
      <c r="V105">
        <v>13</v>
      </c>
      <c r="W105">
        <v>2</v>
      </c>
      <c r="X105">
        <v>10</v>
      </c>
      <c r="Y105">
        <v>14</v>
      </c>
      <c r="Z105">
        <f>IF(H_A[[#This Row],[Attrition]]="Yes",1,0)</f>
        <v>0</v>
      </c>
      <c r="AA105" t="str">
        <f>IF(H_A[[#This Row],[Age]]&lt;30,"Young",IF(H_A[[#This Row],[Age]]&lt;45,"Mid","Senior"))</f>
        <v>Mid</v>
      </c>
      <c r="AB105" t="str">
        <f>IF(H_A[[#This Row],[MonthlyIncome]]&lt;5000,"Low",IF(H_A[[#This Row],[MonthlyIncome]]&lt;10000,"Medium","High"))</f>
        <v>Low</v>
      </c>
      <c r="AC105" t="str">
        <f>IF(H_A[[#This Row],[YearsAtCompany]]&lt;3,"Early",IF(H_A[[#This Row],[YearsAtCompany]]&lt;7,"Mid","Long"))</f>
        <v>Long</v>
      </c>
      <c r="AD105" t="str">
        <f>IF(H_A[[#This Row],[PercentSalaryHike]]&lt;13,"Low",IF(H_A[[#This Row],[PercentSalaryHike]]&lt;18,"Medium","High"))</f>
        <v>Medium</v>
      </c>
    </row>
    <row r="106" spans="1:30" x14ac:dyDescent="0.3">
      <c r="A106">
        <v>37</v>
      </c>
      <c r="B106">
        <v>139</v>
      </c>
      <c r="C106" t="s">
        <v>36</v>
      </c>
      <c r="D106" t="s">
        <v>37</v>
      </c>
      <c r="E106">
        <v>2</v>
      </c>
      <c r="F106">
        <v>2</v>
      </c>
      <c r="G106" t="s">
        <v>32</v>
      </c>
      <c r="H106">
        <v>3</v>
      </c>
      <c r="I106" t="s">
        <v>38</v>
      </c>
      <c r="J106">
        <v>2</v>
      </c>
      <c r="K106">
        <v>2</v>
      </c>
      <c r="L106" t="s">
        <v>46</v>
      </c>
      <c r="M106">
        <v>4</v>
      </c>
      <c r="N106" t="s">
        <v>44</v>
      </c>
      <c r="O106">
        <v>5163</v>
      </c>
      <c r="P106">
        <v>5</v>
      </c>
      <c r="Q106" t="s">
        <v>36</v>
      </c>
      <c r="R106">
        <v>4</v>
      </c>
      <c r="S106">
        <v>17</v>
      </c>
      <c r="T106">
        <v>4</v>
      </c>
      <c r="U106">
        <v>1</v>
      </c>
      <c r="V106">
        <v>0</v>
      </c>
      <c r="W106">
        <v>0</v>
      </c>
      <c r="X106">
        <v>0</v>
      </c>
      <c r="Y106">
        <v>14</v>
      </c>
      <c r="Z106">
        <f>IF(H_A[[#This Row],[Attrition]]="Yes",1,0)</f>
        <v>0</v>
      </c>
      <c r="AA106" t="str">
        <f>IF(H_A[[#This Row],[Age]]&lt;30,"Young",IF(H_A[[#This Row],[Age]]&lt;45,"Mid","Senior"))</f>
        <v>Mid</v>
      </c>
      <c r="AB106" t="str">
        <f>IF(H_A[[#This Row],[MonthlyIncome]]&lt;5000,"Low",IF(H_A[[#This Row],[MonthlyIncome]]&lt;10000,"Medium","High"))</f>
        <v>Medium</v>
      </c>
      <c r="AC106" t="str">
        <f>IF(H_A[[#This Row],[YearsAtCompany]]&lt;3,"Early",IF(H_A[[#This Row],[YearsAtCompany]]&lt;7,"Mid","Long"))</f>
        <v>Early</v>
      </c>
      <c r="AD106" t="str">
        <f>IF(H_A[[#This Row],[PercentSalaryHike]]&lt;13,"Low",IF(H_A[[#This Row],[PercentSalaryHike]]&lt;18,"Medium","High"))</f>
        <v>Medium</v>
      </c>
    </row>
    <row r="107" spans="1:30" x14ac:dyDescent="0.3">
      <c r="A107">
        <v>59</v>
      </c>
      <c r="B107">
        <v>140</v>
      </c>
      <c r="C107" t="s">
        <v>36</v>
      </c>
      <c r="D107" t="s">
        <v>52</v>
      </c>
      <c r="E107">
        <v>2</v>
      </c>
      <c r="F107">
        <v>4</v>
      </c>
      <c r="G107" t="s">
        <v>52</v>
      </c>
      <c r="H107">
        <v>3</v>
      </c>
      <c r="I107" t="s">
        <v>33</v>
      </c>
      <c r="J107">
        <v>2</v>
      </c>
      <c r="K107">
        <v>5</v>
      </c>
      <c r="L107" t="s">
        <v>47</v>
      </c>
      <c r="M107">
        <v>4</v>
      </c>
      <c r="N107" t="s">
        <v>40</v>
      </c>
      <c r="O107">
        <v>18844</v>
      </c>
      <c r="P107">
        <v>9</v>
      </c>
      <c r="Q107" t="s">
        <v>36</v>
      </c>
      <c r="R107">
        <v>4</v>
      </c>
      <c r="S107">
        <v>30</v>
      </c>
      <c r="T107">
        <v>3</v>
      </c>
      <c r="U107">
        <v>3</v>
      </c>
      <c r="V107">
        <v>2</v>
      </c>
      <c r="W107">
        <v>2</v>
      </c>
      <c r="X107">
        <v>2</v>
      </c>
      <c r="Y107">
        <v>21</v>
      </c>
      <c r="Z107">
        <f>IF(H_A[[#This Row],[Attrition]]="Yes",1,0)</f>
        <v>0</v>
      </c>
      <c r="AA107" t="str">
        <f>IF(H_A[[#This Row],[Age]]&lt;30,"Young",IF(H_A[[#This Row],[Age]]&lt;45,"Mid","Senior"))</f>
        <v>Senior</v>
      </c>
      <c r="AB107" t="str">
        <f>IF(H_A[[#This Row],[MonthlyIncome]]&lt;5000,"Low",IF(H_A[[#This Row],[MonthlyIncome]]&lt;10000,"Medium","High"))</f>
        <v>High</v>
      </c>
      <c r="AC107" t="str">
        <f>IF(H_A[[#This Row],[YearsAtCompany]]&lt;3,"Early",IF(H_A[[#This Row],[YearsAtCompany]]&lt;7,"Mid","Long"))</f>
        <v>Mid</v>
      </c>
      <c r="AD107" t="str">
        <f>IF(H_A[[#This Row],[PercentSalaryHike]]&lt;13,"Low",IF(H_A[[#This Row],[PercentSalaryHike]]&lt;18,"Medium","High"))</f>
        <v>High</v>
      </c>
    </row>
    <row r="108" spans="1:30" x14ac:dyDescent="0.3">
      <c r="A108">
        <v>50</v>
      </c>
      <c r="B108">
        <v>141</v>
      </c>
      <c r="C108" t="s">
        <v>36</v>
      </c>
      <c r="D108" t="s">
        <v>37</v>
      </c>
      <c r="E108">
        <v>1</v>
      </c>
      <c r="F108">
        <v>3</v>
      </c>
      <c r="G108" t="s">
        <v>32</v>
      </c>
      <c r="H108">
        <v>1</v>
      </c>
      <c r="I108" t="s">
        <v>33</v>
      </c>
      <c r="J108">
        <v>3</v>
      </c>
      <c r="K108">
        <v>5</v>
      </c>
      <c r="L108" t="s">
        <v>49</v>
      </c>
      <c r="M108">
        <v>2</v>
      </c>
      <c r="N108" t="s">
        <v>40</v>
      </c>
      <c r="O108">
        <v>18172</v>
      </c>
      <c r="P108">
        <v>3</v>
      </c>
      <c r="Q108" t="s">
        <v>30</v>
      </c>
      <c r="R108">
        <v>1</v>
      </c>
      <c r="S108">
        <v>28</v>
      </c>
      <c r="T108">
        <v>2</v>
      </c>
      <c r="U108">
        <v>8</v>
      </c>
      <c r="V108">
        <v>3</v>
      </c>
      <c r="W108">
        <v>0</v>
      </c>
      <c r="X108">
        <v>7</v>
      </c>
      <c r="Y108">
        <v>19</v>
      </c>
      <c r="Z108">
        <f>IF(H_A[[#This Row],[Attrition]]="Yes",1,0)</f>
        <v>0</v>
      </c>
      <c r="AA108" t="str">
        <f>IF(H_A[[#This Row],[Age]]&lt;30,"Young",IF(H_A[[#This Row],[Age]]&lt;45,"Mid","Senior"))</f>
        <v>Senior</v>
      </c>
      <c r="AB108" t="str">
        <f>IF(H_A[[#This Row],[MonthlyIncome]]&lt;5000,"Low",IF(H_A[[#This Row],[MonthlyIncome]]&lt;10000,"Medium","High"))</f>
        <v>High</v>
      </c>
      <c r="AC108" t="str">
        <f>IF(H_A[[#This Row],[YearsAtCompany]]&lt;3,"Early",IF(H_A[[#This Row],[YearsAtCompany]]&lt;7,"Mid","Long"))</f>
        <v>Long</v>
      </c>
      <c r="AD108" t="str">
        <f>IF(H_A[[#This Row],[PercentSalaryHike]]&lt;13,"Low",IF(H_A[[#This Row],[PercentSalaryHike]]&lt;18,"Medium","High"))</f>
        <v>High</v>
      </c>
    </row>
    <row r="109" spans="1:30" x14ac:dyDescent="0.3">
      <c r="A109">
        <v>25</v>
      </c>
      <c r="B109">
        <v>142</v>
      </c>
      <c r="C109" t="s">
        <v>30</v>
      </c>
      <c r="D109" t="s">
        <v>31</v>
      </c>
      <c r="E109">
        <v>5</v>
      </c>
      <c r="F109">
        <v>3</v>
      </c>
      <c r="G109" t="s">
        <v>50</v>
      </c>
      <c r="H109">
        <v>3</v>
      </c>
      <c r="I109" t="s">
        <v>38</v>
      </c>
      <c r="J109">
        <v>2</v>
      </c>
      <c r="K109">
        <v>2</v>
      </c>
      <c r="L109" t="s">
        <v>34</v>
      </c>
      <c r="M109">
        <v>3</v>
      </c>
      <c r="N109" t="s">
        <v>35</v>
      </c>
      <c r="O109">
        <v>5744</v>
      </c>
      <c r="P109">
        <v>1</v>
      </c>
      <c r="Q109" t="s">
        <v>30</v>
      </c>
      <c r="R109">
        <v>4</v>
      </c>
      <c r="S109">
        <v>6</v>
      </c>
      <c r="T109">
        <v>3</v>
      </c>
      <c r="U109">
        <v>6</v>
      </c>
      <c r="V109">
        <v>4</v>
      </c>
      <c r="W109">
        <v>0</v>
      </c>
      <c r="X109">
        <v>3</v>
      </c>
      <c r="Y109">
        <v>11</v>
      </c>
      <c r="Z109">
        <f>IF(H_A[[#This Row],[Attrition]]="Yes",1,0)</f>
        <v>1</v>
      </c>
      <c r="AA109" t="str">
        <f>IF(H_A[[#This Row],[Age]]&lt;30,"Young",IF(H_A[[#This Row],[Age]]&lt;45,"Mid","Senior"))</f>
        <v>Young</v>
      </c>
      <c r="AB109" t="str">
        <f>IF(H_A[[#This Row],[MonthlyIncome]]&lt;5000,"Low",IF(H_A[[#This Row],[MonthlyIncome]]&lt;10000,"Medium","High"))</f>
        <v>Medium</v>
      </c>
      <c r="AC109" t="str">
        <f>IF(H_A[[#This Row],[YearsAtCompany]]&lt;3,"Early",IF(H_A[[#This Row],[YearsAtCompany]]&lt;7,"Mid","Long"))</f>
        <v>Mid</v>
      </c>
      <c r="AD109" t="str">
        <f>IF(H_A[[#This Row],[PercentSalaryHike]]&lt;13,"Low",IF(H_A[[#This Row],[PercentSalaryHike]]&lt;18,"Medium","High"))</f>
        <v>Low</v>
      </c>
    </row>
    <row r="110" spans="1:30" x14ac:dyDescent="0.3">
      <c r="A110">
        <v>25</v>
      </c>
      <c r="B110">
        <v>143</v>
      </c>
      <c r="C110" t="s">
        <v>36</v>
      </c>
      <c r="D110" t="s">
        <v>37</v>
      </c>
      <c r="E110">
        <v>7</v>
      </c>
      <c r="F110">
        <v>1</v>
      </c>
      <c r="G110" t="s">
        <v>43</v>
      </c>
      <c r="H110">
        <v>4</v>
      </c>
      <c r="I110" t="s">
        <v>38</v>
      </c>
      <c r="J110">
        <v>2</v>
      </c>
      <c r="K110">
        <v>1</v>
      </c>
      <c r="L110" t="s">
        <v>39</v>
      </c>
      <c r="M110">
        <v>4</v>
      </c>
      <c r="N110" t="s">
        <v>40</v>
      </c>
      <c r="O110">
        <v>2889</v>
      </c>
      <c r="P110">
        <v>1</v>
      </c>
      <c r="Q110" t="s">
        <v>36</v>
      </c>
      <c r="R110">
        <v>3</v>
      </c>
      <c r="S110">
        <v>2</v>
      </c>
      <c r="T110">
        <v>3</v>
      </c>
      <c r="U110">
        <v>2</v>
      </c>
      <c r="V110">
        <v>2</v>
      </c>
      <c r="W110">
        <v>2</v>
      </c>
      <c r="X110">
        <v>1</v>
      </c>
      <c r="Y110">
        <v>11</v>
      </c>
      <c r="Z110">
        <f>IF(H_A[[#This Row],[Attrition]]="Yes",1,0)</f>
        <v>0</v>
      </c>
      <c r="AA110" t="str">
        <f>IF(H_A[[#This Row],[Age]]&lt;30,"Young",IF(H_A[[#This Row],[Age]]&lt;45,"Mid","Senior"))</f>
        <v>Young</v>
      </c>
      <c r="AB110" t="str">
        <f>IF(H_A[[#This Row],[MonthlyIncome]]&lt;5000,"Low",IF(H_A[[#This Row],[MonthlyIncome]]&lt;10000,"Medium","High"))</f>
        <v>Low</v>
      </c>
      <c r="AC110" t="str">
        <f>IF(H_A[[#This Row],[YearsAtCompany]]&lt;3,"Early",IF(H_A[[#This Row],[YearsAtCompany]]&lt;7,"Mid","Long"))</f>
        <v>Early</v>
      </c>
      <c r="AD110" t="str">
        <f>IF(H_A[[#This Row],[PercentSalaryHike]]&lt;13,"Low",IF(H_A[[#This Row],[PercentSalaryHike]]&lt;18,"Medium","High"))</f>
        <v>Low</v>
      </c>
    </row>
    <row r="111" spans="1:30" x14ac:dyDescent="0.3">
      <c r="A111">
        <v>22</v>
      </c>
      <c r="B111">
        <v>144</v>
      </c>
      <c r="C111" t="s">
        <v>36</v>
      </c>
      <c r="D111" t="s">
        <v>37</v>
      </c>
      <c r="E111">
        <v>15</v>
      </c>
      <c r="F111">
        <v>3</v>
      </c>
      <c r="G111" t="s">
        <v>43</v>
      </c>
      <c r="H111">
        <v>2</v>
      </c>
      <c r="I111" t="s">
        <v>33</v>
      </c>
      <c r="J111">
        <v>3</v>
      </c>
      <c r="K111">
        <v>1</v>
      </c>
      <c r="L111" t="s">
        <v>42</v>
      </c>
      <c r="M111">
        <v>4</v>
      </c>
      <c r="N111" t="s">
        <v>35</v>
      </c>
      <c r="O111">
        <v>2871</v>
      </c>
      <c r="P111">
        <v>1</v>
      </c>
      <c r="Q111" t="s">
        <v>36</v>
      </c>
      <c r="R111">
        <v>3</v>
      </c>
      <c r="S111">
        <v>1</v>
      </c>
      <c r="T111">
        <v>3</v>
      </c>
      <c r="U111">
        <v>0</v>
      </c>
      <c r="V111">
        <v>0</v>
      </c>
      <c r="W111">
        <v>0</v>
      </c>
      <c r="X111">
        <v>0</v>
      </c>
      <c r="Y111">
        <v>15</v>
      </c>
      <c r="Z111">
        <f>IF(H_A[[#This Row],[Attrition]]="Yes",1,0)</f>
        <v>0</v>
      </c>
      <c r="AA111" t="str">
        <f>IF(H_A[[#This Row],[Age]]&lt;30,"Young",IF(H_A[[#This Row],[Age]]&lt;45,"Mid","Senior"))</f>
        <v>Young</v>
      </c>
      <c r="AB111" t="str">
        <f>IF(H_A[[#This Row],[MonthlyIncome]]&lt;5000,"Low",IF(H_A[[#This Row],[MonthlyIncome]]&lt;10000,"Medium","High"))</f>
        <v>Low</v>
      </c>
      <c r="AC111" t="str">
        <f>IF(H_A[[#This Row],[YearsAtCompany]]&lt;3,"Early",IF(H_A[[#This Row],[YearsAtCompany]]&lt;7,"Mid","Long"))</f>
        <v>Early</v>
      </c>
      <c r="AD111" t="str">
        <f>IF(H_A[[#This Row],[PercentSalaryHike]]&lt;13,"Low",IF(H_A[[#This Row],[PercentSalaryHike]]&lt;18,"Medium","High"))</f>
        <v>Medium</v>
      </c>
    </row>
    <row r="112" spans="1:30" x14ac:dyDescent="0.3">
      <c r="A112">
        <v>51</v>
      </c>
      <c r="B112">
        <v>145</v>
      </c>
      <c r="C112" t="s">
        <v>36</v>
      </c>
      <c r="D112" t="s">
        <v>37</v>
      </c>
      <c r="E112">
        <v>1</v>
      </c>
      <c r="F112">
        <v>4</v>
      </c>
      <c r="G112" t="s">
        <v>43</v>
      </c>
      <c r="H112">
        <v>1</v>
      </c>
      <c r="I112" t="s">
        <v>33</v>
      </c>
      <c r="J112">
        <v>2</v>
      </c>
      <c r="K112">
        <v>3</v>
      </c>
      <c r="L112" t="s">
        <v>46</v>
      </c>
      <c r="M112">
        <v>1</v>
      </c>
      <c r="N112" t="s">
        <v>35</v>
      </c>
      <c r="O112">
        <v>7484</v>
      </c>
      <c r="P112">
        <v>3</v>
      </c>
      <c r="Q112" t="s">
        <v>36</v>
      </c>
      <c r="R112">
        <v>3</v>
      </c>
      <c r="S112">
        <v>23</v>
      </c>
      <c r="T112">
        <v>2</v>
      </c>
      <c r="U112">
        <v>13</v>
      </c>
      <c r="V112">
        <v>12</v>
      </c>
      <c r="W112">
        <v>12</v>
      </c>
      <c r="X112">
        <v>8</v>
      </c>
      <c r="Y112">
        <v>20</v>
      </c>
      <c r="Z112">
        <f>IF(H_A[[#This Row],[Attrition]]="Yes",1,0)</f>
        <v>0</v>
      </c>
      <c r="AA112" t="str">
        <f>IF(H_A[[#This Row],[Age]]&lt;30,"Young",IF(H_A[[#This Row],[Age]]&lt;45,"Mid","Senior"))</f>
        <v>Senior</v>
      </c>
      <c r="AB112" t="str">
        <f>IF(H_A[[#This Row],[MonthlyIncome]]&lt;5000,"Low",IF(H_A[[#This Row],[MonthlyIncome]]&lt;10000,"Medium","High"))</f>
        <v>Medium</v>
      </c>
      <c r="AC112" t="str">
        <f>IF(H_A[[#This Row],[YearsAtCompany]]&lt;3,"Early",IF(H_A[[#This Row],[YearsAtCompany]]&lt;7,"Mid","Long"))</f>
        <v>Long</v>
      </c>
      <c r="AD112" t="str">
        <f>IF(H_A[[#This Row],[PercentSalaryHike]]&lt;13,"Low",IF(H_A[[#This Row],[PercentSalaryHike]]&lt;18,"Medium","High"))</f>
        <v>High</v>
      </c>
    </row>
    <row r="113" spans="1:30" x14ac:dyDescent="0.3">
      <c r="A113">
        <v>34</v>
      </c>
      <c r="B113">
        <v>147</v>
      </c>
      <c r="C113" t="s">
        <v>30</v>
      </c>
      <c r="D113" t="s">
        <v>37</v>
      </c>
      <c r="E113">
        <v>7</v>
      </c>
      <c r="F113">
        <v>3</v>
      </c>
      <c r="G113" t="s">
        <v>32</v>
      </c>
      <c r="H113">
        <v>1</v>
      </c>
      <c r="I113" t="s">
        <v>38</v>
      </c>
      <c r="J113">
        <v>1</v>
      </c>
      <c r="K113">
        <v>2</v>
      </c>
      <c r="L113" t="s">
        <v>42</v>
      </c>
      <c r="M113">
        <v>3</v>
      </c>
      <c r="N113" t="s">
        <v>35</v>
      </c>
      <c r="O113">
        <v>6074</v>
      </c>
      <c r="P113">
        <v>1</v>
      </c>
      <c r="Q113" t="s">
        <v>30</v>
      </c>
      <c r="R113">
        <v>4</v>
      </c>
      <c r="S113">
        <v>9</v>
      </c>
      <c r="T113">
        <v>3</v>
      </c>
      <c r="U113">
        <v>9</v>
      </c>
      <c r="V113">
        <v>7</v>
      </c>
      <c r="W113">
        <v>0</v>
      </c>
      <c r="X113">
        <v>6</v>
      </c>
      <c r="Y113">
        <v>24</v>
      </c>
      <c r="Z113">
        <f>IF(H_A[[#This Row],[Attrition]]="Yes",1,0)</f>
        <v>1</v>
      </c>
      <c r="AA113" t="str">
        <f>IF(H_A[[#This Row],[Age]]&lt;30,"Young",IF(H_A[[#This Row],[Age]]&lt;45,"Mid","Senior"))</f>
        <v>Mid</v>
      </c>
      <c r="AB113" t="str">
        <f>IF(H_A[[#This Row],[MonthlyIncome]]&lt;5000,"Low",IF(H_A[[#This Row],[MonthlyIncome]]&lt;10000,"Medium","High"))</f>
        <v>Medium</v>
      </c>
      <c r="AC113" t="str">
        <f>IF(H_A[[#This Row],[YearsAtCompany]]&lt;3,"Early",IF(H_A[[#This Row],[YearsAtCompany]]&lt;7,"Mid","Long"))</f>
        <v>Long</v>
      </c>
      <c r="AD113" t="str">
        <f>IF(H_A[[#This Row],[PercentSalaryHike]]&lt;13,"Low",IF(H_A[[#This Row],[PercentSalaryHike]]&lt;18,"Medium","High"))</f>
        <v>High</v>
      </c>
    </row>
    <row r="114" spans="1:30" x14ac:dyDescent="0.3">
      <c r="A114">
        <v>54</v>
      </c>
      <c r="B114">
        <v>148</v>
      </c>
      <c r="C114" t="s">
        <v>36</v>
      </c>
      <c r="D114" t="s">
        <v>52</v>
      </c>
      <c r="E114">
        <v>26</v>
      </c>
      <c r="F114">
        <v>3</v>
      </c>
      <c r="G114" t="s">
        <v>52</v>
      </c>
      <c r="H114">
        <v>4</v>
      </c>
      <c r="I114" t="s">
        <v>33</v>
      </c>
      <c r="J114">
        <v>4</v>
      </c>
      <c r="K114">
        <v>4</v>
      </c>
      <c r="L114" t="s">
        <v>47</v>
      </c>
      <c r="M114">
        <v>4</v>
      </c>
      <c r="N114" t="s">
        <v>35</v>
      </c>
      <c r="O114">
        <v>17328</v>
      </c>
      <c r="P114">
        <v>2</v>
      </c>
      <c r="Q114" t="s">
        <v>30</v>
      </c>
      <c r="R114">
        <v>3</v>
      </c>
      <c r="S114">
        <v>23</v>
      </c>
      <c r="T114">
        <v>3</v>
      </c>
      <c r="U114">
        <v>5</v>
      </c>
      <c r="V114">
        <v>3</v>
      </c>
      <c r="W114">
        <v>4</v>
      </c>
      <c r="X114">
        <v>4</v>
      </c>
      <c r="Y114">
        <v>12</v>
      </c>
      <c r="Z114">
        <f>IF(H_A[[#This Row],[Attrition]]="Yes",1,0)</f>
        <v>0</v>
      </c>
      <c r="AA114" t="str">
        <f>IF(H_A[[#This Row],[Age]]&lt;30,"Young",IF(H_A[[#This Row],[Age]]&lt;45,"Mid","Senior"))</f>
        <v>Senior</v>
      </c>
      <c r="AB114" t="str">
        <f>IF(H_A[[#This Row],[MonthlyIncome]]&lt;5000,"Low",IF(H_A[[#This Row],[MonthlyIncome]]&lt;10000,"Medium","High"))</f>
        <v>High</v>
      </c>
      <c r="AC114" t="str">
        <f>IF(H_A[[#This Row],[YearsAtCompany]]&lt;3,"Early",IF(H_A[[#This Row],[YearsAtCompany]]&lt;7,"Mid","Long"))</f>
        <v>Mid</v>
      </c>
      <c r="AD114" t="str">
        <f>IF(H_A[[#This Row],[PercentSalaryHike]]&lt;13,"Low",IF(H_A[[#This Row],[PercentSalaryHike]]&lt;18,"Medium","High"))</f>
        <v>Low</v>
      </c>
    </row>
    <row r="115" spans="1:30" x14ac:dyDescent="0.3">
      <c r="A115">
        <v>24</v>
      </c>
      <c r="B115">
        <v>150</v>
      </c>
      <c r="C115" t="s">
        <v>36</v>
      </c>
      <c r="D115" t="s">
        <v>37</v>
      </c>
      <c r="E115">
        <v>18</v>
      </c>
      <c r="F115">
        <v>1</v>
      </c>
      <c r="G115" t="s">
        <v>32</v>
      </c>
      <c r="H115">
        <v>2</v>
      </c>
      <c r="I115" t="s">
        <v>38</v>
      </c>
      <c r="J115">
        <v>3</v>
      </c>
      <c r="K115">
        <v>1</v>
      </c>
      <c r="L115" t="s">
        <v>42</v>
      </c>
      <c r="M115">
        <v>3</v>
      </c>
      <c r="N115" t="s">
        <v>40</v>
      </c>
      <c r="O115">
        <v>2774</v>
      </c>
      <c r="P115">
        <v>0</v>
      </c>
      <c r="Q115" t="s">
        <v>36</v>
      </c>
      <c r="R115">
        <v>3</v>
      </c>
      <c r="S115">
        <v>6</v>
      </c>
      <c r="T115">
        <v>3</v>
      </c>
      <c r="U115">
        <v>5</v>
      </c>
      <c r="V115">
        <v>3</v>
      </c>
      <c r="W115">
        <v>1</v>
      </c>
      <c r="X115">
        <v>2</v>
      </c>
      <c r="Y115">
        <v>12</v>
      </c>
      <c r="Z115">
        <f>IF(H_A[[#This Row],[Attrition]]="Yes",1,0)</f>
        <v>0</v>
      </c>
      <c r="AA115" t="str">
        <f>IF(H_A[[#This Row],[Age]]&lt;30,"Young",IF(H_A[[#This Row],[Age]]&lt;45,"Mid","Senior"))</f>
        <v>Young</v>
      </c>
      <c r="AB115" t="str">
        <f>IF(H_A[[#This Row],[MonthlyIncome]]&lt;5000,"Low",IF(H_A[[#This Row],[MonthlyIncome]]&lt;10000,"Medium","High"))</f>
        <v>Low</v>
      </c>
      <c r="AC115" t="str">
        <f>IF(H_A[[#This Row],[YearsAtCompany]]&lt;3,"Early",IF(H_A[[#This Row],[YearsAtCompany]]&lt;7,"Mid","Long"))</f>
        <v>Mid</v>
      </c>
      <c r="AD115" t="str">
        <f>IF(H_A[[#This Row],[PercentSalaryHike]]&lt;13,"Low",IF(H_A[[#This Row],[PercentSalaryHike]]&lt;18,"Medium","High"))</f>
        <v>Low</v>
      </c>
    </row>
    <row r="116" spans="1:30" x14ac:dyDescent="0.3">
      <c r="A116">
        <v>34</v>
      </c>
      <c r="B116">
        <v>151</v>
      </c>
      <c r="C116" t="s">
        <v>36</v>
      </c>
      <c r="D116" t="s">
        <v>37</v>
      </c>
      <c r="E116">
        <v>6</v>
      </c>
      <c r="F116">
        <v>4</v>
      </c>
      <c r="G116" t="s">
        <v>32</v>
      </c>
      <c r="H116">
        <v>3</v>
      </c>
      <c r="I116" t="s">
        <v>33</v>
      </c>
      <c r="J116">
        <v>2</v>
      </c>
      <c r="K116">
        <v>2</v>
      </c>
      <c r="L116" t="s">
        <v>39</v>
      </c>
      <c r="M116">
        <v>2</v>
      </c>
      <c r="N116" t="s">
        <v>44</v>
      </c>
      <c r="O116">
        <v>4505</v>
      </c>
      <c r="P116">
        <v>6</v>
      </c>
      <c r="Q116" t="s">
        <v>36</v>
      </c>
      <c r="R116">
        <v>3</v>
      </c>
      <c r="S116">
        <v>12</v>
      </c>
      <c r="T116">
        <v>3</v>
      </c>
      <c r="U116">
        <v>1</v>
      </c>
      <c r="V116">
        <v>0</v>
      </c>
      <c r="W116">
        <v>0</v>
      </c>
      <c r="X116">
        <v>0</v>
      </c>
      <c r="Y116">
        <v>15</v>
      </c>
      <c r="Z116">
        <f>IF(H_A[[#This Row],[Attrition]]="Yes",1,0)</f>
        <v>0</v>
      </c>
      <c r="AA116" t="str">
        <f>IF(H_A[[#This Row],[Age]]&lt;30,"Young",IF(H_A[[#This Row],[Age]]&lt;45,"Mid","Senior"))</f>
        <v>Mid</v>
      </c>
      <c r="AB116" t="str">
        <f>IF(H_A[[#This Row],[MonthlyIncome]]&lt;5000,"Low",IF(H_A[[#This Row],[MonthlyIncome]]&lt;10000,"Medium","High"))</f>
        <v>Low</v>
      </c>
      <c r="AC116" t="str">
        <f>IF(H_A[[#This Row],[YearsAtCompany]]&lt;3,"Early",IF(H_A[[#This Row],[YearsAtCompany]]&lt;7,"Mid","Long"))</f>
        <v>Early</v>
      </c>
      <c r="AD116" t="str">
        <f>IF(H_A[[#This Row],[PercentSalaryHike]]&lt;13,"Low",IF(H_A[[#This Row],[PercentSalaryHike]]&lt;18,"Medium","High"))</f>
        <v>Medium</v>
      </c>
    </row>
    <row r="117" spans="1:30" x14ac:dyDescent="0.3">
      <c r="A117">
        <v>37</v>
      </c>
      <c r="B117">
        <v>152</v>
      </c>
      <c r="C117" t="s">
        <v>36</v>
      </c>
      <c r="D117" t="s">
        <v>31</v>
      </c>
      <c r="E117">
        <v>3</v>
      </c>
      <c r="F117">
        <v>3</v>
      </c>
      <c r="G117" t="s">
        <v>32</v>
      </c>
      <c r="H117">
        <v>3</v>
      </c>
      <c r="I117" t="s">
        <v>38</v>
      </c>
      <c r="J117">
        <v>3</v>
      </c>
      <c r="K117">
        <v>3</v>
      </c>
      <c r="L117" t="s">
        <v>34</v>
      </c>
      <c r="M117">
        <v>4</v>
      </c>
      <c r="N117" t="s">
        <v>35</v>
      </c>
      <c r="O117">
        <v>7428</v>
      </c>
      <c r="P117">
        <v>2</v>
      </c>
      <c r="Q117" t="s">
        <v>36</v>
      </c>
      <c r="R117">
        <v>1</v>
      </c>
      <c r="S117">
        <v>12</v>
      </c>
      <c r="T117">
        <v>3</v>
      </c>
      <c r="U117">
        <v>5</v>
      </c>
      <c r="V117">
        <v>3</v>
      </c>
      <c r="W117">
        <v>1</v>
      </c>
      <c r="X117">
        <v>3</v>
      </c>
      <c r="Y117">
        <v>12</v>
      </c>
      <c r="Z117">
        <f>IF(H_A[[#This Row],[Attrition]]="Yes",1,0)</f>
        <v>0</v>
      </c>
      <c r="AA117" t="str">
        <f>IF(H_A[[#This Row],[Age]]&lt;30,"Young",IF(H_A[[#This Row],[Age]]&lt;45,"Mid","Senior"))</f>
        <v>Mid</v>
      </c>
      <c r="AB117" t="str">
        <f>IF(H_A[[#This Row],[MonthlyIncome]]&lt;5000,"Low",IF(H_A[[#This Row],[MonthlyIncome]]&lt;10000,"Medium","High"))</f>
        <v>Medium</v>
      </c>
      <c r="AC117" t="str">
        <f>IF(H_A[[#This Row],[YearsAtCompany]]&lt;3,"Early",IF(H_A[[#This Row],[YearsAtCompany]]&lt;7,"Mid","Long"))</f>
        <v>Mid</v>
      </c>
      <c r="AD117" t="str">
        <f>IF(H_A[[#This Row],[PercentSalaryHike]]&lt;13,"Low",IF(H_A[[#This Row],[PercentSalaryHike]]&lt;18,"Medium","High"))</f>
        <v>Low</v>
      </c>
    </row>
    <row r="118" spans="1:30" x14ac:dyDescent="0.3">
      <c r="A118">
        <v>34</v>
      </c>
      <c r="B118">
        <v>153</v>
      </c>
      <c r="C118" t="s">
        <v>36</v>
      </c>
      <c r="D118" t="s">
        <v>37</v>
      </c>
      <c r="E118">
        <v>5</v>
      </c>
      <c r="F118">
        <v>3</v>
      </c>
      <c r="G118" t="s">
        <v>43</v>
      </c>
      <c r="H118">
        <v>3</v>
      </c>
      <c r="I118" t="s">
        <v>33</v>
      </c>
      <c r="J118">
        <v>2</v>
      </c>
      <c r="K118">
        <v>3</v>
      </c>
      <c r="L118" t="s">
        <v>47</v>
      </c>
      <c r="M118">
        <v>1</v>
      </c>
      <c r="N118" t="s">
        <v>35</v>
      </c>
      <c r="O118">
        <v>11631</v>
      </c>
      <c r="P118">
        <v>2</v>
      </c>
      <c r="Q118" t="s">
        <v>36</v>
      </c>
      <c r="R118">
        <v>4</v>
      </c>
      <c r="S118">
        <v>14</v>
      </c>
      <c r="T118">
        <v>3</v>
      </c>
      <c r="U118">
        <v>11</v>
      </c>
      <c r="V118">
        <v>10</v>
      </c>
      <c r="W118">
        <v>5</v>
      </c>
      <c r="X118">
        <v>8</v>
      </c>
      <c r="Y118">
        <v>12</v>
      </c>
      <c r="Z118">
        <f>IF(H_A[[#This Row],[Attrition]]="Yes",1,0)</f>
        <v>0</v>
      </c>
      <c r="AA118" t="str">
        <f>IF(H_A[[#This Row],[Age]]&lt;30,"Young",IF(H_A[[#This Row],[Age]]&lt;45,"Mid","Senior"))</f>
        <v>Mid</v>
      </c>
      <c r="AB118" t="str">
        <f>IF(H_A[[#This Row],[MonthlyIncome]]&lt;5000,"Low",IF(H_A[[#This Row],[MonthlyIncome]]&lt;10000,"Medium","High"))</f>
        <v>High</v>
      </c>
      <c r="AC118" t="str">
        <f>IF(H_A[[#This Row],[YearsAtCompany]]&lt;3,"Early",IF(H_A[[#This Row],[YearsAtCompany]]&lt;7,"Mid","Long"))</f>
        <v>Long</v>
      </c>
      <c r="AD118" t="str">
        <f>IF(H_A[[#This Row],[PercentSalaryHike]]&lt;13,"Low",IF(H_A[[#This Row],[PercentSalaryHike]]&lt;18,"Medium","High"))</f>
        <v>Low</v>
      </c>
    </row>
    <row r="119" spans="1:30" x14ac:dyDescent="0.3">
      <c r="A119">
        <v>36</v>
      </c>
      <c r="B119">
        <v>154</v>
      </c>
      <c r="C119" t="s">
        <v>36</v>
      </c>
      <c r="D119" t="s">
        <v>31</v>
      </c>
      <c r="E119">
        <v>11</v>
      </c>
      <c r="F119">
        <v>2</v>
      </c>
      <c r="G119" t="s">
        <v>51</v>
      </c>
      <c r="H119">
        <v>2</v>
      </c>
      <c r="I119" t="s">
        <v>33</v>
      </c>
      <c r="J119">
        <v>3</v>
      </c>
      <c r="K119">
        <v>3</v>
      </c>
      <c r="L119" t="s">
        <v>34</v>
      </c>
      <c r="M119">
        <v>4</v>
      </c>
      <c r="N119" t="s">
        <v>40</v>
      </c>
      <c r="O119">
        <v>9738</v>
      </c>
      <c r="P119">
        <v>0</v>
      </c>
      <c r="Q119" t="s">
        <v>36</v>
      </c>
      <c r="R119">
        <v>3</v>
      </c>
      <c r="S119">
        <v>10</v>
      </c>
      <c r="T119">
        <v>3</v>
      </c>
      <c r="U119">
        <v>9</v>
      </c>
      <c r="V119">
        <v>7</v>
      </c>
      <c r="W119">
        <v>2</v>
      </c>
      <c r="X119">
        <v>8</v>
      </c>
      <c r="Y119">
        <v>14</v>
      </c>
      <c r="Z119">
        <f>IF(H_A[[#This Row],[Attrition]]="Yes",1,0)</f>
        <v>0</v>
      </c>
      <c r="AA119" t="str">
        <f>IF(H_A[[#This Row],[Age]]&lt;30,"Young",IF(H_A[[#This Row],[Age]]&lt;45,"Mid","Senior"))</f>
        <v>Mid</v>
      </c>
      <c r="AB119" t="str">
        <f>IF(H_A[[#This Row],[MonthlyIncome]]&lt;5000,"Low",IF(H_A[[#This Row],[MonthlyIncome]]&lt;10000,"Medium","High"))</f>
        <v>Medium</v>
      </c>
      <c r="AC119" t="str">
        <f>IF(H_A[[#This Row],[YearsAtCompany]]&lt;3,"Early",IF(H_A[[#This Row],[YearsAtCompany]]&lt;7,"Mid","Long"))</f>
        <v>Long</v>
      </c>
      <c r="AD119" t="str">
        <f>IF(H_A[[#This Row],[PercentSalaryHike]]&lt;13,"Low",IF(H_A[[#This Row],[PercentSalaryHike]]&lt;18,"Medium","High"))</f>
        <v>Medium</v>
      </c>
    </row>
    <row r="120" spans="1:30" x14ac:dyDescent="0.3">
      <c r="A120">
        <v>36</v>
      </c>
      <c r="B120">
        <v>155</v>
      </c>
      <c r="C120" t="s">
        <v>36</v>
      </c>
      <c r="D120" t="s">
        <v>37</v>
      </c>
      <c r="E120">
        <v>3</v>
      </c>
      <c r="F120">
        <v>2</v>
      </c>
      <c r="G120" t="s">
        <v>32</v>
      </c>
      <c r="H120">
        <v>1</v>
      </c>
      <c r="I120" t="s">
        <v>33</v>
      </c>
      <c r="J120">
        <v>3</v>
      </c>
      <c r="K120">
        <v>1</v>
      </c>
      <c r="L120" t="s">
        <v>42</v>
      </c>
      <c r="M120">
        <v>4</v>
      </c>
      <c r="N120" t="s">
        <v>44</v>
      </c>
      <c r="O120">
        <v>2835</v>
      </c>
      <c r="P120">
        <v>5</v>
      </c>
      <c r="Q120" t="s">
        <v>36</v>
      </c>
      <c r="R120">
        <v>1</v>
      </c>
      <c r="S120">
        <v>7</v>
      </c>
      <c r="T120">
        <v>3</v>
      </c>
      <c r="U120">
        <v>1</v>
      </c>
      <c r="V120">
        <v>0</v>
      </c>
      <c r="W120">
        <v>0</v>
      </c>
      <c r="X120">
        <v>0</v>
      </c>
      <c r="Y120">
        <v>22</v>
      </c>
      <c r="Z120">
        <f>IF(H_A[[#This Row],[Attrition]]="Yes",1,0)</f>
        <v>0</v>
      </c>
      <c r="AA120" t="str">
        <f>IF(H_A[[#This Row],[Age]]&lt;30,"Young",IF(H_A[[#This Row],[Age]]&lt;45,"Mid","Senior"))</f>
        <v>Mid</v>
      </c>
      <c r="AB120" t="str">
        <f>IF(H_A[[#This Row],[MonthlyIncome]]&lt;5000,"Low",IF(H_A[[#This Row],[MonthlyIncome]]&lt;10000,"Medium","High"))</f>
        <v>Low</v>
      </c>
      <c r="AC120" t="str">
        <f>IF(H_A[[#This Row],[YearsAtCompany]]&lt;3,"Early",IF(H_A[[#This Row],[YearsAtCompany]]&lt;7,"Mid","Long"))</f>
        <v>Early</v>
      </c>
      <c r="AD120" t="str">
        <f>IF(H_A[[#This Row],[PercentSalaryHike]]&lt;13,"Low",IF(H_A[[#This Row],[PercentSalaryHike]]&lt;18,"Medium","High"))</f>
        <v>High</v>
      </c>
    </row>
    <row r="121" spans="1:30" x14ac:dyDescent="0.3">
      <c r="A121">
        <v>43</v>
      </c>
      <c r="B121">
        <v>158</v>
      </c>
      <c r="C121" t="s">
        <v>36</v>
      </c>
      <c r="D121" t="s">
        <v>31</v>
      </c>
      <c r="E121">
        <v>26</v>
      </c>
      <c r="F121">
        <v>2</v>
      </c>
      <c r="G121" t="s">
        <v>32</v>
      </c>
      <c r="H121">
        <v>3</v>
      </c>
      <c r="I121" t="s">
        <v>38</v>
      </c>
      <c r="J121">
        <v>3</v>
      </c>
      <c r="K121">
        <v>4</v>
      </c>
      <c r="L121" t="s">
        <v>47</v>
      </c>
      <c r="M121">
        <v>4</v>
      </c>
      <c r="N121" t="s">
        <v>40</v>
      </c>
      <c r="O121">
        <v>16959</v>
      </c>
      <c r="P121">
        <v>1</v>
      </c>
      <c r="Q121" t="s">
        <v>30</v>
      </c>
      <c r="R121">
        <v>4</v>
      </c>
      <c r="S121">
        <v>25</v>
      </c>
      <c r="T121">
        <v>4</v>
      </c>
      <c r="U121">
        <v>25</v>
      </c>
      <c r="V121">
        <v>12</v>
      </c>
      <c r="W121">
        <v>4</v>
      </c>
      <c r="X121">
        <v>12</v>
      </c>
      <c r="Y121">
        <v>12</v>
      </c>
      <c r="Z121">
        <f>IF(H_A[[#This Row],[Attrition]]="Yes",1,0)</f>
        <v>0</v>
      </c>
      <c r="AA121" t="str">
        <f>IF(H_A[[#This Row],[Age]]&lt;30,"Young",IF(H_A[[#This Row],[Age]]&lt;45,"Mid","Senior"))</f>
        <v>Mid</v>
      </c>
      <c r="AB121" t="str">
        <f>IF(H_A[[#This Row],[MonthlyIncome]]&lt;5000,"Low",IF(H_A[[#This Row],[MonthlyIncome]]&lt;10000,"Medium","High"))</f>
        <v>High</v>
      </c>
      <c r="AC121" t="str">
        <f>IF(H_A[[#This Row],[YearsAtCompany]]&lt;3,"Early",IF(H_A[[#This Row],[YearsAtCompany]]&lt;7,"Mid","Long"))</f>
        <v>Long</v>
      </c>
      <c r="AD121" t="str">
        <f>IF(H_A[[#This Row],[PercentSalaryHike]]&lt;13,"Low",IF(H_A[[#This Row],[PercentSalaryHike]]&lt;18,"Medium","High"))</f>
        <v>Low</v>
      </c>
    </row>
    <row r="122" spans="1:30" x14ac:dyDescent="0.3">
      <c r="A122">
        <v>30</v>
      </c>
      <c r="B122">
        <v>159</v>
      </c>
      <c r="C122" t="s">
        <v>36</v>
      </c>
      <c r="D122" t="s">
        <v>37</v>
      </c>
      <c r="E122">
        <v>23</v>
      </c>
      <c r="F122">
        <v>3</v>
      </c>
      <c r="G122" t="s">
        <v>32</v>
      </c>
      <c r="H122">
        <v>1</v>
      </c>
      <c r="I122" t="s">
        <v>38</v>
      </c>
      <c r="J122">
        <v>1</v>
      </c>
      <c r="K122">
        <v>1</v>
      </c>
      <c r="L122" t="s">
        <v>39</v>
      </c>
      <c r="M122">
        <v>3</v>
      </c>
      <c r="N122" t="s">
        <v>44</v>
      </c>
      <c r="O122">
        <v>2613</v>
      </c>
      <c r="P122">
        <v>1</v>
      </c>
      <c r="Q122" t="s">
        <v>36</v>
      </c>
      <c r="R122">
        <v>3</v>
      </c>
      <c r="S122">
        <v>10</v>
      </c>
      <c r="T122">
        <v>2</v>
      </c>
      <c r="U122">
        <v>10</v>
      </c>
      <c r="V122">
        <v>7</v>
      </c>
      <c r="W122">
        <v>0</v>
      </c>
      <c r="X122">
        <v>9</v>
      </c>
      <c r="Y122">
        <v>25</v>
      </c>
      <c r="Z122">
        <f>IF(H_A[[#This Row],[Attrition]]="Yes",1,0)</f>
        <v>0</v>
      </c>
      <c r="AA122" t="str">
        <f>IF(H_A[[#This Row],[Age]]&lt;30,"Young",IF(H_A[[#This Row],[Age]]&lt;45,"Mid","Senior"))</f>
        <v>Mid</v>
      </c>
      <c r="AB122" t="str">
        <f>IF(H_A[[#This Row],[MonthlyIncome]]&lt;5000,"Low",IF(H_A[[#This Row],[MonthlyIncome]]&lt;10000,"Medium","High"))</f>
        <v>Low</v>
      </c>
      <c r="AC122" t="str">
        <f>IF(H_A[[#This Row],[YearsAtCompany]]&lt;3,"Early",IF(H_A[[#This Row],[YearsAtCompany]]&lt;7,"Mid","Long"))</f>
        <v>Long</v>
      </c>
      <c r="AD122" t="str">
        <f>IF(H_A[[#This Row],[PercentSalaryHike]]&lt;13,"Low",IF(H_A[[#This Row],[PercentSalaryHike]]&lt;18,"Medium","High"))</f>
        <v>High</v>
      </c>
    </row>
    <row r="123" spans="1:30" x14ac:dyDescent="0.3">
      <c r="A123">
        <v>33</v>
      </c>
      <c r="B123">
        <v>160</v>
      </c>
      <c r="C123" t="s">
        <v>36</v>
      </c>
      <c r="D123" t="s">
        <v>31</v>
      </c>
      <c r="E123">
        <v>22</v>
      </c>
      <c r="F123">
        <v>2</v>
      </c>
      <c r="G123" t="s">
        <v>50</v>
      </c>
      <c r="H123">
        <v>3</v>
      </c>
      <c r="I123" t="s">
        <v>38</v>
      </c>
      <c r="J123">
        <v>3</v>
      </c>
      <c r="K123">
        <v>2</v>
      </c>
      <c r="L123" t="s">
        <v>34</v>
      </c>
      <c r="M123">
        <v>2</v>
      </c>
      <c r="N123" t="s">
        <v>40</v>
      </c>
      <c r="O123">
        <v>6146</v>
      </c>
      <c r="P123">
        <v>0</v>
      </c>
      <c r="Q123" t="s">
        <v>36</v>
      </c>
      <c r="R123">
        <v>1</v>
      </c>
      <c r="S123">
        <v>8</v>
      </c>
      <c r="T123">
        <v>4</v>
      </c>
      <c r="U123">
        <v>7</v>
      </c>
      <c r="V123">
        <v>7</v>
      </c>
      <c r="W123">
        <v>0</v>
      </c>
      <c r="X123">
        <v>7</v>
      </c>
      <c r="Y123">
        <v>13</v>
      </c>
      <c r="Z123">
        <f>IF(H_A[[#This Row],[Attrition]]="Yes",1,0)</f>
        <v>0</v>
      </c>
      <c r="AA123" t="str">
        <f>IF(H_A[[#This Row],[Age]]&lt;30,"Young",IF(H_A[[#This Row],[Age]]&lt;45,"Mid","Senior"))</f>
        <v>Mid</v>
      </c>
      <c r="AB123" t="str">
        <f>IF(H_A[[#This Row],[MonthlyIncome]]&lt;5000,"Low",IF(H_A[[#This Row],[MonthlyIncome]]&lt;10000,"Medium","High"))</f>
        <v>Medium</v>
      </c>
      <c r="AC123" t="str">
        <f>IF(H_A[[#This Row],[YearsAtCompany]]&lt;3,"Early",IF(H_A[[#This Row],[YearsAtCompany]]&lt;7,"Mid","Long"))</f>
        <v>Long</v>
      </c>
      <c r="AD123" t="str">
        <f>IF(H_A[[#This Row],[PercentSalaryHike]]&lt;13,"Low",IF(H_A[[#This Row],[PercentSalaryHike]]&lt;18,"Medium","High"))</f>
        <v>Medium</v>
      </c>
    </row>
    <row r="124" spans="1:30" x14ac:dyDescent="0.3">
      <c r="A124">
        <v>56</v>
      </c>
      <c r="B124">
        <v>161</v>
      </c>
      <c r="C124" t="s">
        <v>30</v>
      </c>
      <c r="D124" t="s">
        <v>37</v>
      </c>
      <c r="E124">
        <v>14</v>
      </c>
      <c r="F124">
        <v>4</v>
      </c>
      <c r="G124" t="s">
        <v>32</v>
      </c>
      <c r="H124">
        <v>2</v>
      </c>
      <c r="I124" t="s">
        <v>33</v>
      </c>
      <c r="J124">
        <v>3</v>
      </c>
      <c r="K124">
        <v>1</v>
      </c>
      <c r="L124" t="s">
        <v>39</v>
      </c>
      <c r="M124">
        <v>2</v>
      </c>
      <c r="N124" t="s">
        <v>40</v>
      </c>
      <c r="O124">
        <v>4963</v>
      </c>
      <c r="P124">
        <v>9</v>
      </c>
      <c r="Q124" t="s">
        <v>30</v>
      </c>
      <c r="R124">
        <v>1</v>
      </c>
      <c r="S124">
        <v>7</v>
      </c>
      <c r="T124">
        <v>3</v>
      </c>
      <c r="U124">
        <v>5</v>
      </c>
      <c r="V124">
        <v>4</v>
      </c>
      <c r="W124">
        <v>4</v>
      </c>
      <c r="X124">
        <v>3</v>
      </c>
      <c r="Y124">
        <v>18</v>
      </c>
      <c r="Z124">
        <f>IF(H_A[[#This Row],[Attrition]]="Yes",1,0)</f>
        <v>1</v>
      </c>
      <c r="AA124" t="str">
        <f>IF(H_A[[#This Row],[Age]]&lt;30,"Young",IF(H_A[[#This Row],[Age]]&lt;45,"Mid","Senior"))</f>
        <v>Senior</v>
      </c>
      <c r="AB124" t="str">
        <f>IF(H_A[[#This Row],[MonthlyIncome]]&lt;5000,"Low",IF(H_A[[#This Row],[MonthlyIncome]]&lt;10000,"Medium","High"))</f>
        <v>Low</v>
      </c>
      <c r="AC124" t="str">
        <f>IF(H_A[[#This Row],[YearsAtCompany]]&lt;3,"Early",IF(H_A[[#This Row],[YearsAtCompany]]&lt;7,"Mid","Long"))</f>
        <v>Mid</v>
      </c>
      <c r="AD124" t="str">
        <f>IF(H_A[[#This Row],[PercentSalaryHike]]&lt;13,"Low",IF(H_A[[#This Row],[PercentSalaryHike]]&lt;18,"Medium","High"))</f>
        <v>High</v>
      </c>
    </row>
    <row r="125" spans="1:30" x14ac:dyDescent="0.3">
      <c r="A125">
        <v>51</v>
      </c>
      <c r="B125">
        <v>162</v>
      </c>
      <c r="C125" t="s">
        <v>36</v>
      </c>
      <c r="D125" t="s">
        <v>37</v>
      </c>
      <c r="E125">
        <v>6</v>
      </c>
      <c r="F125">
        <v>3</v>
      </c>
      <c r="G125" t="s">
        <v>32</v>
      </c>
      <c r="H125">
        <v>1</v>
      </c>
      <c r="I125" t="s">
        <v>38</v>
      </c>
      <c r="J125">
        <v>3</v>
      </c>
      <c r="K125">
        <v>5</v>
      </c>
      <c r="L125" t="s">
        <v>49</v>
      </c>
      <c r="M125">
        <v>3</v>
      </c>
      <c r="N125" t="s">
        <v>35</v>
      </c>
      <c r="O125">
        <v>19537</v>
      </c>
      <c r="P125">
        <v>7</v>
      </c>
      <c r="Q125" t="s">
        <v>36</v>
      </c>
      <c r="R125">
        <v>3</v>
      </c>
      <c r="S125">
        <v>23</v>
      </c>
      <c r="T125">
        <v>3</v>
      </c>
      <c r="U125">
        <v>20</v>
      </c>
      <c r="V125">
        <v>18</v>
      </c>
      <c r="W125">
        <v>15</v>
      </c>
      <c r="X125">
        <v>15</v>
      </c>
      <c r="Y125">
        <v>13</v>
      </c>
      <c r="Z125">
        <f>IF(H_A[[#This Row],[Attrition]]="Yes",1,0)</f>
        <v>0</v>
      </c>
      <c r="AA125" t="str">
        <f>IF(H_A[[#This Row],[Age]]&lt;30,"Young",IF(H_A[[#This Row],[Age]]&lt;45,"Mid","Senior"))</f>
        <v>Senior</v>
      </c>
      <c r="AB125" t="str">
        <f>IF(H_A[[#This Row],[MonthlyIncome]]&lt;5000,"Low",IF(H_A[[#This Row],[MonthlyIncome]]&lt;10000,"Medium","High"))</f>
        <v>High</v>
      </c>
      <c r="AC125" t="str">
        <f>IF(H_A[[#This Row],[YearsAtCompany]]&lt;3,"Early",IF(H_A[[#This Row],[YearsAtCompany]]&lt;7,"Mid","Long"))</f>
        <v>Long</v>
      </c>
      <c r="AD125" t="str">
        <f>IF(H_A[[#This Row],[PercentSalaryHike]]&lt;13,"Low",IF(H_A[[#This Row],[PercentSalaryHike]]&lt;18,"Medium","High"))</f>
        <v>Medium</v>
      </c>
    </row>
    <row r="126" spans="1:30" x14ac:dyDescent="0.3">
      <c r="A126">
        <v>31</v>
      </c>
      <c r="B126">
        <v>163</v>
      </c>
      <c r="C126" t="s">
        <v>30</v>
      </c>
      <c r="D126" t="s">
        <v>31</v>
      </c>
      <c r="E126">
        <v>6</v>
      </c>
      <c r="F126">
        <v>4</v>
      </c>
      <c r="G126" t="s">
        <v>32</v>
      </c>
      <c r="H126">
        <v>2</v>
      </c>
      <c r="I126" t="s">
        <v>38</v>
      </c>
      <c r="J126">
        <v>1</v>
      </c>
      <c r="K126">
        <v>2</v>
      </c>
      <c r="L126" t="s">
        <v>34</v>
      </c>
      <c r="M126">
        <v>3</v>
      </c>
      <c r="N126" t="s">
        <v>40</v>
      </c>
      <c r="O126">
        <v>6172</v>
      </c>
      <c r="P126">
        <v>4</v>
      </c>
      <c r="Q126" t="s">
        <v>30</v>
      </c>
      <c r="R126">
        <v>2</v>
      </c>
      <c r="S126">
        <v>12</v>
      </c>
      <c r="T126">
        <v>2</v>
      </c>
      <c r="U126">
        <v>7</v>
      </c>
      <c r="V126">
        <v>7</v>
      </c>
      <c r="W126">
        <v>7</v>
      </c>
      <c r="X126">
        <v>7</v>
      </c>
      <c r="Y126">
        <v>18</v>
      </c>
      <c r="Z126">
        <f>IF(H_A[[#This Row],[Attrition]]="Yes",1,0)</f>
        <v>1</v>
      </c>
      <c r="AA126" t="str">
        <f>IF(H_A[[#This Row],[Age]]&lt;30,"Young",IF(H_A[[#This Row],[Age]]&lt;45,"Mid","Senior"))</f>
        <v>Mid</v>
      </c>
      <c r="AB126" t="str">
        <f>IF(H_A[[#This Row],[MonthlyIncome]]&lt;5000,"Low",IF(H_A[[#This Row],[MonthlyIncome]]&lt;10000,"Medium","High"))</f>
        <v>Medium</v>
      </c>
      <c r="AC126" t="str">
        <f>IF(H_A[[#This Row],[YearsAtCompany]]&lt;3,"Early",IF(H_A[[#This Row],[YearsAtCompany]]&lt;7,"Mid","Long"))</f>
        <v>Long</v>
      </c>
      <c r="AD126" t="str">
        <f>IF(H_A[[#This Row],[PercentSalaryHike]]&lt;13,"Low",IF(H_A[[#This Row],[PercentSalaryHike]]&lt;18,"Medium","High"))</f>
        <v>High</v>
      </c>
    </row>
    <row r="127" spans="1:30" x14ac:dyDescent="0.3">
      <c r="A127">
        <v>26</v>
      </c>
      <c r="B127">
        <v>164</v>
      </c>
      <c r="C127" t="s">
        <v>36</v>
      </c>
      <c r="D127" t="s">
        <v>37</v>
      </c>
      <c r="E127">
        <v>6</v>
      </c>
      <c r="F127">
        <v>3</v>
      </c>
      <c r="G127" t="s">
        <v>41</v>
      </c>
      <c r="H127">
        <v>3</v>
      </c>
      <c r="I127" t="s">
        <v>33</v>
      </c>
      <c r="J127">
        <v>2</v>
      </c>
      <c r="K127">
        <v>1</v>
      </c>
      <c r="L127" t="s">
        <v>39</v>
      </c>
      <c r="M127">
        <v>2</v>
      </c>
      <c r="N127" t="s">
        <v>40</v>
      </c>
      <c r="O127">
        <v>2368</v>
      </c>
      <c r="P127">
        <v>1</v>
      </c>
      <c r="Q127" t="s">
        <v>36</v>
      </c>
      <c r="R127">
        <v>3</v>
      </c>
      <c r="S127">
        <v>5</v>
      </c>
      <c r="T127">
        <v>2</v>
      </c>
      <c r="U127">
        <v>5</v>
      </c>
      <c r="V127">
        <v>4</v>
      </c>
      <c r="W127">
        <v>4</v>
      </c>
      <c r="X127">
        <v>3</v>
      </c>
      <c r="Y127">
        <v>19</v>
      </c>
      <c r="Z127">
        <f>IF(H_A[[#This Row],[Attrition]]="Yes",1,0)</f>
        <v>0</v>
      </c>
      <c r="AA127" t="str">
        <f>IF(H_A[[#This Row],[Age]]&lt;30,"Young",IF(H_A[[#This Row],[Age]]&lt;45,"Mid","Senior"))</f>
        <v>Young</v>
      </c>
      <c r="AB127" t="str">
        <f>IF(H_A[[#This Row],[MonthlyIncome]]&lt;5000,"Low",IF(H_A[[#This Row],[MonthlyIncome]]&lt;10000,"Medium","High"))</f>
        <v>Low</v>
      </c>
      <c r="AC127" t="str">
        <f>IF(H_A[[#This Row],[YearsAtCompany]]&lt;3,"Early",IF(H_A[[#This Row],[YearsAtCompany]]&lt;7,"Mid","Long"))</f>
        <v>Mid</v>
      </c>
      <c r="AD127" t="str">
        <f>IF(H_A[[#This Row],[PercentSalaryHike]]&lt;13,"Low",IF(H_A[[#This Row],[PercentSalaryHike]]&lt;18,"Medium","High"))</f>
        <v>High</v>
      </c>
    </row>
    <row r="128" spans="1:30" x14ac:dyDescent="0.3">
      <c r="A128">
        <v>58</v>
      </c>
      <c r="B128">
        <v>165</v>
      </c>
      <c r="C128" t="s">
        <v>30</v>
      </c>
      <c r="D128" t="s">
        <v>37</v>
      </c>
      <c r="E128">
        <v>23</v>
      </c>
      <c r="F128">
        <v>4</v>
      </c>
      <c r="G128" t="s">
        <v>43</v>
      </c>
      <c r="H128">
        <v>4</v>
      </c>
      <c r="I128" t="s">
        <v>33</v>
      </c>
      <c r="J128">
        <v>3</v>
      </c>
      <c r="K128">
        <v>3</v>
      </c>
      <c r="L128" t="s">
        <v>46</v>
      </c>
      <c r="M128">
        <v>4</v>
      </c>
      <c r="N128" t="s">
        <v>40</v>
      </c>
      <c r="O128">
        <v>10312</v>
      </c>
      <c r="P128">
        <v>1</v>
      </c>
      <c r="Q128" t="s">
        <v>36</v>
      </c>
      <c r="R128">
        <v>4</v>
      </c>
      <c r="S128">
        <v>40</v>
      </c>
      <c r="T128">
        <v>2</v>
      </c>
      <c r="U128">
        <v>40</v>
      </c>
      <c r="V128">
        <v>10</v>
      </c>
      <c r="W128">
        <v>15</v>
      </c>
      <c r="X128">
        <v>6</v>
      </c>
      <c r="Y128">
        <v>12</v>
      </c>
      <c r="Z128">
        <f>IF(H_A[[#This Row],[Attrition]]="Yes",1,0)</f>
        <v>1</v>
      </c>
      <c r="AA128" t="str">
        <f>IF(H_A[[#This Row],[Age]]&lt;30,"Young",IF(H_A[[#This Row],[Age]]&lt;45,"Mid","Senior"))</f>
        <v>Senior</v>
      </c>
      <c r="AB128" t="str">
        <f>IF(H_A[[#This Row],[MonthlyIncome]]&lt;5000,"Low",IF(H_A[[#This Row],[MonthlyIncome]]&lt;10000,"Medium","High"))</f>
        <v>High</v>
      </c>
      <c r="AC128" t="str">
        <f>IF(H_A[[#This Row],[YearsAtCompany]]&lt;3,"Early",IF(H_A[[#This Row],[YearsAtCompany]]&lt;7,"Mid","Long"))</f>
        <v>Long</v>
      </c>
      <c r="AD128" t="str">
        <f>IF(H_A[[#This Row],[PercentSalaryHike]]&lt;13,"Low",IF(H_A[[#This Row],[PercentSalaryHike]]&lt;18,"Medium","High"))</f>
        <v>Low</v>
      </c>
    </row>
    <row r="129" spans="1:30" x14ac:dyDescent="0.3">
      <c r="A129">
        <v>19</v>
      </c>
      <c r="B129">
        <v>167</v>
      </c>
      <c r="C129" t="s">
        <v>30</v>
      </c>
      <c r="D129" t="s">
        <v>31</v>
      </c>
      <c r="E129">
        <v>22</v>
      </c>
      <c r="F129">
        <v>1</v>
      </c>
      <c r="G129" t="s">
        <v>50</v>
      </c>
      <c r="H129">
        <v>4</v>
      </c>
      <c r="I129" t="s">
        <v>38</v>
      </c>
      <c r="J129">
        <v>3</v>
      </c>
      <c r="K129">
        <v>1</v>
      </c>
      <c r="L129" t="s">
        <v>48</v>
      </c>
      <c r="M129">
        <v>3</v>
      </c>
      <c r="N129" t="s">
        <v>35</v>
      </c>
      <c r="O129">
        <v>1675</v>
      </c>
      <c r="P129">
        <v>1</v>
      </c>
      <c r="Q129" t="s">
        <v>30</v>
      </c>
      <c r="R129">
        <v>4</v>
      </c>
      <c r="S129">
        <v>0</v>
      </c>
      <c r="T129">
        <v>2</v>
      </c>
      <c r="U129">
        <v>0</v>
      </c>
      <c r="V129">
        <v>0</v>
      </c>
      <c r="W129">
        <v>0</v>
      </c>
      <c r="X129">
        <v>0</v>
      </c>
      <c r="Y129">
        <v>19</v>
      </c>
      <c r="Z129">
        <f>IF(H_A[[#This Row],[Attrition]]="Yes",1,0)</f>
        <v>1</v>
      </c>
      <c r="AA129" t="str">
        <f>IF(H_A[[#This Row],[Age]]&lt;30,"Young",IF(H_A[[#This Row],[Age]]&lt;45,"Mid","Senior"))</f>
        <v>Young</v>
      </c>
      <c r="AB129" t="str">
        <f>IF(H_A[[#This Row],[MonthlyIncome]]&lt;5000,"Low",IF(H_A[[#This Row],[MonthlyIncome]]&lt;10000,"Medium","High"))</f>
        <v>Low</v>
      </c>
      <c r="AC129" t="str">
        <f>IF(H_A[[#This Row],[YearsAtCompany]]&lt;3,"Early",IF(H_A[[#This Row],[YearsAtCompany]]&lt;7,"Mid","Long"))</f>
        <v>Early</v>
      </c>
      <c r="AD129" t="str">
        <f>IF(H_A[[#This Row],[PercentSalaryHike]]&lt;13,"Low",IF(H_A[[#This Row],[PercentSalaryHike]]&lt;18,"Medium","High"))</f>
        <v>High</v>
      </c>
    </row>
    <row r="130" spans="1:30" x14ac:dyDescent="0.3">
      <c r="A130">
        <v>22</v>
      </c>
      <c r="B130">
        <v>169</v>
      </c>
      <c r="C130" t="s">
        <v>36</v>
      </c>
      <c r="D130" t="s">
        <v>37</v>
      </c>
      <c r="E130">
        <v>2</v>
      </c>
      <c r="F130">
        <v>1</v>
      </c>
      <c r="G130" t="s">
        <v>51</v>
      </c>
      <c r="H130">
        <v>3</v>
      </c>
      <c r="I130" t="s">
        <v>38</v>
      </c>
      <c r="J130">
        <v>3</v>
      </c>
      <c r="K130">
        <v>1</v>
      </c>
      <c r="L130" t="s">
        <v>42</v>
      </c>
      <c r="M130">
        <v>4</v>
      </c>
      <c r="N130" t="s">
        <v>40</v>
      </c>
      <c r="O130">
        <v>2523</v>
      </c>
      <c r="P130">
        <v>0</v>
      </c>
      <c r="Q130" t="s">
        <v>36</v>
      </c>
      <c r="R130">
        <v>3</v>
      </c>
      <c r="S130">
        <v>3</v>
      </c>
      <c r="T130">
        <v>3</v>
      </c>
      <c r="U130">
        <v>2</v>
      </c>
      <c r="V130">
        <v>1</v>
      </c>
      <c r="W130">
        <v>2</v>
      </c>
      <c r="X130">
        <v>1</v>
      </c>
      <c r="Y130">
        <v>14</v>
      </c>
      <c r="Z130">
        <f>IF(H_A[[#This Row],[Attrition]]="Yes",1,0)</f>
        <v>0</v>
      </c>
      <c r="AA130" t="str">
        <f>IF(H_A[[#This Row],[Age]]&lt;30,"Young",IF(H_A[[#This Row],[Age]]&lt;45,"Mid","Senior"))</f>
        <v>Young</v>
      </c>
      <c r="AB130" t="str">
        <f>IF(H_A[[#This Row],[MonthlyIncome]]&lt;5000,"Low",IF(H_A[[#This Row],[MonthlyIncome]]&lt;10000,"Medium","High"))</f>
        <v>Low</v>
      </c>
      <c r="AC130" t="str">
        <f>IF(H_A[[#This Row],[YearsAtCompany]]&lt;3,"Early",IF(H_A[[#This Row],[YearsAtCompany]]&lt;7,"Mid","Long"))</f>
        <v>Early</v>
      </c>
      <c r="AD130" t="str">
        <f>IF(H_A[[#This Row],[PercentSalaryHike]]&lt;13,"Low",IF(H_A[[#This Row],[PercentSalaryHike]]&lt;18,"Medium","High"))</f>
        <v>Medium</v>
      </c>
    </row>
    <row r="131" spans="1:30" x14ac:dyDescent="0.3">
      <c r="A131">
        <v>49</v>
      </c>
      <c r="B131">
        <v>170</v>
      </c>
      <c r="C131" t="s">
        <v>36</v>
      </c>
      <c r="D131" t="s">
        <v>37</v>
      </c>
      <c r="E131">
        <v>20</v>
      </c>
      <c r="F131">
        <v>4</v>
      </c>
      <c r="G131" t="s">
        <v>43</v>
      </c>
      <c r="H131">
        <v>3</v>
      </c>
      <c r="I131" t="s">
        <v>33</v>
      </c>
      <c r="J131">
        <v>3</v>
      </c>
      <c r="K131">
        <v>2</v>
      </c>
      <c r="L131" t="s">
        <v>45</v>
      </c>
      <c r="M131">
        <v>1</v>
      </c>
      <c r="N131" t="s">
        <v>40</v>
      </c>
      <c r="O131">
        <v>6567</v>
      </c>
      <c r="P131">
        <v>1</v>
      </c>
      <c r="Q131" t="s">
        <v>36</v>
      </c>
      <c r="R131">
        <v>3</v>
      </c>
      <c r="S131">
        <v>16</v>
      </c>
      <c r="T131">
        <v>2</v>
      </c>
      <c r="U131">
        <v>15</v>
      </c>
      <c r="V131">
        <v>11</v>
      </c>
      <c r="W131">
        <v>5</v>
      </c>
      <c r="X131">
        <v>11</v>
      </c>
      <c r="Y131">
        <v>14</v>
      </c>
      <c r="Z131">
        <f>IF(H_A[[#This Row],[Attrition]]="Yes",1,0)</f>
        <v>0</v>
      </c>
      <c r="AA131" t="str">
        <f>IF(H_A[[#This Row],[Age]]&lt;30,"Young",IF(H_A[[#This Row],[Age]]&lt;45,"Mid","Senior"))</f>
        <v>Senior</v>
      </c>
      <c r="AB131" t="str">
        <f>IF(H_A[[#This Row],[MonthlyIncome]]&lt;5000,"Low",IF(H_A[[#This Row],[MonthlyIncome]]&lt;10000,"Medium","High"))</f>
        <v>Medium</v>
      </c>
      <c r="AC131" t="str">
        <f>IF(H_A[[#This Row],[YearsAtCompany]]&lt;3,"Early",IF(H_A[[#This Row],[YearsAtCompany]]&lt;7,"Mid","Long"))</f>
        <v>Long</v>
      </c>
      <c r="AD131" t="str">
        <f>IF(H_A[[#This Row],[PercentSalaryHike]]&lt;13,"Low",IF(H_A[[#This Row],[PercentSalaryHike]]&lt;18,"Medium","High"))</f>
        <v>Medium</v>
      </c>
    </row>
    <row r="132" spans="1:30" x14ac:dyDescent="0.3">
      <c r="A132">
        <v>43</v>
      </c>
      <c r="B132">
        <v>171</v>
      </c>
      <c r="C132" t="s">
        <v>36</v>
      </c>
      <c r="D132" t="s">
        <v>37</v>
      </c>
      <c r="E132">
        <v>28</v>
      </c>
      <c r="F132">
        <v>3</v>
      </c>
      <c r="G132" t="s">
        <v>43</v>
      </c>
      <c r="H132">
        <v>2</v>
      </c>
      <c r="I132" t="s">
        <v>33</v>
      </c>
      <c r="J132">
        <v>4</v>
      </c>
      <c r="K132">
        <v>1</v>
      </c>
      <c r="L132" t="s">
        <v>39</v>
      </c>
      <c r="M132">
        <v>3</v>
      </c>
      <c r="N132" t="s">
        <v>35</v>
      </c>
      <c r="O132">
        <v>4739</v>
      </c>
      <c r="P132">
        <v>4</v>
      </c>
      <c r="Q132" t="s">
        <v>36</v>
      </c>
      <c r="R132">
        <v>4</v>
      </c>
      <c r="S132">
        <v>18</v>
      </c>
      <c r="T132">
        <v>3</v>
      </c>
      <c r="U132">
        <v>3</v>
      </c>
      <c r="V132">
        <v>2</v>
      </c>
      <c r="W132">
        <v>1</v>
      </c>
      <c r="X132">
        <v>2</v>
      </c>
      <c r="Y132">
        <v>12</v>
      </c>
      <c r="Z132">
        <f>IF(H_A[[#This Row],[Attrition]]="Yes",1,0)</f>
        <v>0</v>
      </c>
      <c r="AA132" t="str">
        <f>IF(H_A[[#This Row],[Age]]&lt;30,"Young",IF(H_A[[#This Row],[Age]]&lt;45,"Mid","Senior"))</f>
        <v>Mid</v>
      </c>
      <c r="AB132" t="str">
        <f>IF(H_A[[#This Row],[MonthlyIncome]]&lt;5000,"Low",IF(H_A[[#This Row],[MonthlyIncome]]&lt;10000,"Medium","High"))</f>
        <v>Low</v>
      </c>
      <c r="AC132" t="str">
        <f>IF(H_A[[#This Row],[YearsAtCompany]]&lt;3,"Early",IF(H_A[[#This Row],[YearsAtCompany]]&lt;7,"Mid","Long"))</f>
        <v>Mid</v>
      </c>
      <c r="AD132" t="str">
        <f>IF(H_A[[#This Row],[PercentSalaryHike]]&lt;13,"Low",IF(H_A[[#This Row],[PercentSalaryHike]]&lt;18,"Medium","High"))</f>
        <v>Low</v>
      </c>
    </row>
    <row r="133" spans="1:30" x14ac:dyDescent="0.3">
      <c r="A133">
        <v>50</v>
      </c>
      <c r="B133">
        <v>174</v>
      </c>
      <c r="C133" t="s">
        <v>36</v>
      </c>
      <c r="D133" t="s">
        <v>31</v>
      </c>
      <c r="E133">
        <v>12</v>
      </c>
      <c r="F133">
        <v>3</v>
      </c>
      <c r="G133" t="s">
        <v>50</v>
      </c>
      <c r="H133">
        <v>3</v>
      </c>
      <c r="I133" t="s">
        <v>33</v>
      </c>
      <c r="J133">
        <v>3</v>
      </c>
      <c r="K133">
        <v>3</v>
      </c>
      <c r="L133" t="s">
        <v>34</v>
      </c>
      <c r="M133">
        <v>4</v>
      </c>
      <c r="N133" t="s">
        <v>35</v>
      </c>
      <c r="O133">
        <v>9208</v>
      </c>
      <c r="P133">
        <v>4</v>
      </c>
      <c r="Q133" t="s">
        <v>36</v>
      </c>
      <c r="R133">
        <v>4</v>
      </c>
      <c r="S133">
        <v>16</v>
      </c>
      <c r="T133">
        <v>3</v>
      </c>
      <c r="U133">
        <v>2</v>
      </c>
      <c r="V133">
        <v>2</v>
      </c>
      <c r="W133">
        <v>2</v>
      </c>
      <c r="X133">
        <v>1</v>
      </c>
      <c r="Y133">
        <v>11</v>
      </c>
      <c r="Z133">
        <f>IF(H_A[[#This Row],[Attrition]]="Yes",1,0)</f>
        <v>0</v>
      </c>
      <c r="AA133" t="str">
        <f>IF(H_A[[#This Row],[Age]]&lt;30,"Young",IF(H_A[[#This Row],[Age]]&lt;45,"Mid","Senior"))</f>
        <v>Senior</v>
      </c>
      <c r="AB133" t="str">
        <f>IF(H_A[[#This Row],[MonthlyIncome]]&lt;5000,"Low",IF(H_A[[#This Row],[MonthlyIncome]]&lt;10000,"Medium","High"))</f>
        <v>Medium</v>
      </c>
      <c r="AC133" t="str">
        <f>IF(H_A[[#This Row],[YearsAtCompany]]&lt;3,"Early",IF(H_A[[#This Row],[YearsAtCompany]]&lt;7,"Mid","Long"))</f>
        <v>Early</v>
      </c>
      <c r="AD133" t="str">
        <f>IF(H_A[[#This Row],[PercentSalaryHike]]&lt;13,"Low",IF(H_A[[#This Row],[PercentSalaryHike]]&lt;18,"Medium","High"))</f>
        <v>Low</v>
      </c>
    </row>
    <row r="134" spans="1:30" x14ac:dyDescent="0.3">
      <c r="A134">
        <v>31</v>
      </c>
      <c r="B134">
        <v>175</v>
      </c>
      <c r="C134" t="s">
        <v>30</v>
      </c>
      <c r="D134" t="s">
        <v>31</v>
      </c>
      <c r="E134">
        <v>20</v>
      </c>
      <c r="F134">
        <v>3</v>
      </c>
      <c r="G134" t="s">
        <v>32</v>
      </c>
      <c r="H134">
        <v>2</v>
      </c>
      <c r="I134" t="s">
        <v>33</v>
      </c>
      <c r="J134">
        <v>1</v>
      </c>
      <c r="K134">
        <v>2</v>
      </c>
      <c r="L134" t="s">
        <v>34</v>
      </c>
      <c r="M134">
        <v>3</v>
      </c>
      <c r="N134" t="s">
        <v>40</v>
      </c>
      <c r="O134">
        <v>4559</v>
      </c>
      <c r="P134">
        <v>3</v>
      </c>
      <c r="Q134" t="s">
        <v>30</v>
      </c>
      <c r="R134">
        <v>3</v>
      </c>
      <c r="S134">
        <v>4</v>
      </c>
      <c r="T134">
        <v>3</v>
      </c>
      <c r="U134">
        <v>2</v>
      </c>
      <c r="V134">
        <v>2</v>
      </c>
      <c r="W134">
        <v>2</v>
      </c>
      <c r="X134">
        <v>2</v>
      </c>
      <c r="Y134">
        <v>11</v>
      </c>
      <c r="Z134">
        <f>IF(H_A[[#This Row],[Attrition]]="Yes",1,0)</f>
        <v>1</v>
      </c>
      <c r="AA134" t="str">
        <f>IF(H_A[[#This Row],[Age]]&lt;30,"Young",IF(H_A[[#This Row],[Age]]&lt;45,"Mid","Senior"))</f>
        <v>Mid</v>
      </c>
      <c r="AB134" t="str">
        <f>IF(H_A[[#This Row],[MonthlyIncome]]&lt;5000,"Low",IF(H_A[[#This Row],[MonthlyIncome]]&lt;10000,"Medium","High"))</f>
        <v>Low</v>
      </c>
      <c r="AC134" t="str">
        <f>IF(H_A[[#This Row],[YearsAtCompany]]&lt;3,"Early",IF(H_A[[#This Row],[YearsAtCompany]]&lt;7,"Mid","Long"))</f>
        <v>Early</v>
      </c>
      <c r="AD134" t="str">
        <f>IF(H_A[[#This Row],[PercentSalaryHike]]&lt;13,"Low",IF(H_A[[#This Row],[PercentSalaryHike]]&lt;18,"Medium","High"))</f>
        <v>Low</v>
      </c>
    </row>
    <row r="135" spans="1:30" x14ac:dyDescent="0.3">
      <c r="A135">
        <v>41</v>
      </c>
      <c r="B135">
        <v>176</v>
      </c>
      <c r="C135" t="s">
        <v>36</v>
      </c>
      <c r="D135" t="s">
        <v>31</v>
      </c>
      <c r="E135">
        <v>9</v>
      </c>
      <c r="F135">
        <v>1</v>
      </c>
      <c r="G135" t="s">
        <v>32</v>
      </c>
      <c r="H135">
        <v>3</v>
      </c>
      <c r="I135" t="s">
        <v>38</v>
      </c>
      <c r="J135">
        <v>3</v>
      </c>
      <c r="K135">
        <v>3</v>
      </c>
      <c r="L135" t="s">
        <v>34</v>
      </c>
      <c r="M135">
        <v>3</v>
      </c>
      <c r="N135" t="s">
        <v>44</v>
      </c>
      <c r="O135">
        <v>8189</v>
      </c>
      <c r="P135">
        <v>3</v>
      </c>
      <c r="Q135" t="s">
        <v>30</v>
      </c>
      <c r="R135">
        <v>3</v>
      </c>
      <c r="S135">
        <v>12</v>
      </c>
      <c r="T135">
        <v>3</v>
      </c>
      <c r="U135">
        <v>9</v>
      </c>
      <c r="V135">
        <v>7</v>
      </c>
      <c r="W135">
        <v>0</v>
      </c>
      <c r="X135">
        <v>7</v>
      </c>
      <c r="Y135">
        <v>13</v>
      </c>
      <c r="Z135">
        <f>IF(H_A[[#This Row],[Attrition]]="Yes",1,0)</f>
        <v>0</v>
      </c>
      <c r="AA135" t="str">
        <f>IF(H_A[[#This Row],[Age]]&lt;30,"Young",IF(H_A[[#This Row],[Age]]&lt;45,"Mid","Senior"))</f>
        <v>Mid</v>
      </c>
      <c r="AB135" t="str">
        <f>IF(H_A[[#This Row],[MonthlyIncome]]&lt;5000,"Low",IF(H_A[[#This Row],[MonthlyIncome]]&lt;10000,"Medium","High"))</f>
        <v>Medium</v>
      </c>
      <c r="AC135" t="str">
        <f>IF(H_A[[#This Row],[YearsAtCompany]]&lt;3,"Early",IF(H_A[[#This Row],[YearsAtCompany]]&lt;7,"Mid","Long"))</f>
        <v>Long</v>
      </c>
      <c r="AD135" t="str">
        <f>IF(H_A[[#This Row],[PercentSalaryHike]]&lt;13,"Low",IF(H_A[[#This Row],[PercentSalaryHike]]&lt;18,"Medium","High"))</f>
        <v>Medium</v>
      </c>
    </row>
    <row r="136" spans="1:30" x14ac:dyDescent="0.3">
      <c r="A136">
        <v>26</v>
      </c>
      <c r="B136">
        <v>177</v>
      </c>
      <c r="C136" t="s">
        <v>36</v>
      </c>
      <c r="D136" t="s">
        <v>52</v>
      </c>
      <c r="E136">
        <v>25</v>
      </c>
      <c r="F136">
        <v>1</v>
      </c>
      <c r="G136" t="s">
        <v>32</v>
      </c>
      <c r="H136">
        <v>3</v>
      </c>
      <c r="I136" t="s">
        <v>33</v>
      </c>
      <c r="J136">
        <v>3</v>
      </c>
      <c r="K136">
        <v>1</v>
      </c>
      <c r="L136" t="s">
        <v>52</v>
      </c>
      <c r="M136">
        <v>3</v>
      </c>
      <c r="N136" t="s">
        <v>40</v>
      </c>
      <c r="O136">
        <v>2942</v>
      </c>
      <c r="P136">
        <v>1</v>
      </c>
      <c r="Q136" t="s">
        <v>36</v>
      </c>
      <c r="R136">
        <v>4</v>
      </c>
      <c r="S136">
        <v>8</v>
      </c>
      <c r="T136">
        <v>3</v>
      </c>
      <c r="U136">
        <v>8</v>
      </c>
      <c r="V136">
        <v>7</v>
      </c>
      <c r="W136">
        <v>5</v>
      </c>
      <c r="X136">
        <v>7</v>
      </c>
      <c r="Y136">
        <v>23</v>
      </c>
      <c r="Z136">
        <f>IF(H_A[[#This Row],[Attrition]]="Yes",1,0)</f>
        <v>0</v>
      </c>
      <c r="AA136" t="str">
        <f>IF(H_A[[#This Row],[Age]]&lt;30,"Young",IF(H_A[[#This Row],[Age]]&lt;45,"Mid","Senior"))</f>
        <v>Young</v>
      </c>
      <c r="AB136" t="str">
        <f>IF(H_A[[#This Row],[MonthlyIncome]]&lt;5000,"Low",IF(H_A[[#This Row],[MonthlyIncome]]&lt;10000,"Medium","High"))</f>
        <v>Low</v>
      </c>
      <c r="AC136" t="str">
        <f>IF(H_A[[#This Row],[YearsAtCompany]]&lt;3,"Early",IF(H_A[[#This Row],[YearsAtCompany]]&lt;7,"Mid","Long"))</f>
        <v>Long</v>
      </c>
      <c r="AD136" t="str">
        <f>IF(H_A[[#This Row],[PercentSalaryHike]]&lt;13,"Low",IF(H_A[[#This Row],[PercentSalaryHike]]&lt;18,"Medium","High"))</f>
        <v>High</v>
      </c>
    </row>
    <row r="137" spans="1:30" x14ac:dyDescent="0.3">
      <c r="A137">
        <v>36</v>
      </c>
      <c r="B137">
        <v>178</v>
      </c>
      <c r="C137" t="s">
        <v>36</v>
      </c>
      <c r="D137" t="s">
        <v>37</v>
      </c>
      <c r="E137">
        <v>6</v>
      </c>
      <c r="F137">
        <v>2</v>
      </c>
      <c r="G137" t="s">
        <v>43</v>
      </c>
      <c r="H137">
        <v>2</v>
      </c>
      <c r="I137" t="s">
        <v>38</v>
      </c>
      <c r="J137">
        <v>3</v>
      </c>
      <c r="K137">
        <v>2</v>
      </c>
      <c r="L137" t="s">
        <v>45</v>
      </c>
      <c r="M137">
        <v>2</v>
      </c>
      <c r="N137" t="s">
        <v>44</v>
      </c>
      <c r="O137">
        <v>4941</v>
      </c>
      <c r="P137">
        <v>6</v>
      </c>
      <c r="Q137" t="s">
        <v>36</v>
      </c>
      <c r="R137">
        <v>4</v>
      </c>
      <c r="S137">
        <v>7</v>
      </c>
      <c r="T137">
        <v>3</v>
      </c>
      <c r="U137">
        <v>3</v>
      </c>
      <c r="V137">
        <v>2</v>
      </c>
      <c r="W137">
        <v>0</v>
      </c>
      <c r="X137">
        <v>1</v>
      </c>
      <c r="Y137">
        <v>20</v>
      </c>
      <c r="Z137">
        <f>IF(H_A[[#This Row],[Attrition]]="Yes",1,0)</f>
        <v>0</v>
      </c>
      <c r="AA137" t="str">
        <f>IF(H_A[[#This Row],[Age]]&lt;30,"Young",IF(H_A[[#This Row],[Age]]&lt;45,"Mid","Senior"))</f>
        <v>Mid</v>
      </c>
      <c r="AB137" t="str">
        <f>IF(H_A[[#This Row],[MonthlyIncome]]&lt;5000,"Low",IF(H_A[[#This Row],[MonthlyIncome]]&lt;10000,"Medium","High"))</f>
        <v>Low</v>
      </c>
      <c r="AC137" t="str">
        <f>IF(H_A[[#This Row],[YearsAtCompany]]&lt;3,"Early",IF(H_A[[#This Row],[YearsAtCompany]]&lt;7,"Mid","Long"))</f>
        <v>Mid</v>
      </c>
      <c r="AD137" t="str">
        <f>IF(H_A[[#This Row],[PercentSalaryHike]]&lt;13,"Low",IF(H_A[[#This Row],[PercentSalaryHike]]&lt;18,"Medium","High"))</f>
        <v>High</v>
      </c>
    </row>
    <row r="138" spans="1:30" x14ac:dyDescent="0.3">
      <c r="A138">
        <v>51</v>
      </c>
      <c r="B138">
        <v>179</v>
      </c>
      <c r="C138" t="s">
        <v>30</v>
      </c>
      <c r="D138" t="s">
        <v>37</v>
      </c>
      <c r="E138">
        <v>8</v>
      </c>
      <c r="F138">
        <v>4</v>
      </c>
      <c r="G138" t="s">
        <v>32</v>
      </c>
      <c r="H138">
        <v>1</v>
      </c>
      <c r="I138" t="s">
        <v>38</v>
      </c>
      <c r="J138">
        <v>1</v>
      </c>
      <c r="K138">
        <v>3</v>
      </c>
      <c r="L138" t="s">
        <v>45</v>
      </c>
      <c r="M138">
        <v>4</v>
      </c>
      <c r="N138" t="s">
        <v>35</v>
      </c>
      <c r="O138">
        <v>10650</v>
      </c>
      <c r="P138">
        <v>2</v>
      </c>
      <c r="Q138" t="s">
        <v>36</v>
      </c>
      <c r="R138">
        <v>4</v>
      </c>
      <c r="S138">
        <v>18</v>
      </c>
      <c r="T138">
        <v>3</v>
      </c>
      <c r="U138">
        <v>4</v>
      </c>
      <c r="V138">
        <v>2</v>
      </c>
      <c r="W138">
        <v>0</v>
      </c>
      <c r="X138">
        <v>3</v>
      </c>
      <c r="Y138">
        <v>15</v>
      </c>
      <c r="Z138">
        <f>IF(H_A[[#This Row],[Attrition]]="Yes",1,0)</f>
        <v>1</v>
      </c>
      <c r="AA138" t="str">
        <f>IF(H_A[[#This Row],[Age]]&lt;30,"Young",IF(H_A[[#This Row],[Age]]&lt;45,"Mid","Senior"))</f>
        <v>Senior</v>
      </c>
      <c r="AB138" t="str">
        <f>IF(H_A[[#This Row],[MonthlyIncome]]&lt;5000,"Low",IF(H_A[[#This Row],[MonthlyIncome]]&lt;10000,"Medium","High"))</f>
        <v>High</v>
      </c>
      <c r="AC138" t="str">
        <f>IF(H_A[[#This Row],[YearsAtCompany]]&lt;3,"Early",IF(H_A[[#This Row],[YearsAtCompany]]&lt;7,"Mid","Long"))</f>
        <v>Mid</v>
      </c>
      <c r="AD138" t="str">
        <f>IF(H_A[[#This Row],[PercentSalaryHike]]&lt;13,"Low",IF(H_A[[#This Row],[PercentSalaryHike]]&lt;18,"Medium","High"))</f>
        <v>Medium</v>
      </c>
    </row>
    <row r="139" spans="1:30" x14ac:dyDescent="0.3">
      <c r="A139">
        <v>39</v>
      </c>
      <c r="B139">
        <v>182</v>
      </c>
      <c r="C139" t="s">
        <v>36</v>
      </c>
      <c r="D139" t="s">
        <v>31</v>
      </c>
      <c r="E139">
        <v>4</v>
      </c>
      <c r="F139">
        <v>4</v>
      </c>
      <c r="G139" t="s">
        <v>32</v>
      </c>
      <c r="H139">
        <v>4</v>
      </c>
      <c r="I139" t="s">
        <v>33</v>
      </c>
      <c r="J139">
        <v>2</v>
      </c>
      <c r="K139">
        <v>2</v>
      </c>
      <c r="L139" t="s">
        <v>34</v>
      </c>
      <c r="M139">
        <v>3</v>
      </c>
      <c r="N139" t="s">
        <v>40</v>
      </c>
      <c r="O139">
        <v>5902</v>
      </c>
      <c r="P139">
        <v>4</v>
      </c>
      <c r="Q139" t="s">
        <v>36</v>
      </c>
      <c r="R139">
        <v>3</v>
      </c>
      <c r="S139">
        <v>17</v>
      </c>
      <c r="T139">
        <v>4</v>
      </c>
      <c r="U139">
        <v>15</v>
      </c>
      <c r="V139">
        <v>11</v>
      </c>
      <c r="W139">
        <v>5</v>
      </c>
      <c r="X139">
        <v>9</v>
      </c>
      <c r="Y139">
        <v>14</v>
      </c>
      <c r="Z139">
        <f>IF(H_A[[#This Row],[Attrition]]="Yes",1,0)</f>
        <v>0</v>
      </c>
      <c r="AA139" t="str">
        <f>IF(H_A[[#This Row],[Age]]&lt;30,"Young",IF(H_A[[#This Row],[Age]]&lt;45,"Mid","Senior"))</f>
        <v>Mid</v>
      </c>
      <c r="AB139" t="str">
        <f>IF(H_A[[#This Row],[MonthlyIncome]]&lt;5000,"Low",IF(H_A[[#This Row],[MonthlyIncome]]&lt;10000,"Medium","High"))</f>
        <v>Medium</v>
      </c>
      <c r="AC139" t="str">
        <f>IF(H_A[[#This Row],[YearsAtCompany]]&lt;3,"Early",IF(H_A[[#This Row],[YearsAtCompany]]&lt;7,"Mid","Long"))</f>
        <v>Long</v>
      </c>
      <c r="AD139" t="str">
        <f>IF(H_A[[#This Row],[PercentSalaryHike]]&lt;13,"Low",IF(H_A[[#This Row],[PercentSalaryHike]]&lt;18,"Medium","High"))</f>
        <v>Medium</v>
      </c>
    </row>
    <row r="140" spans="1:30" x14ac:dyDescent="0.3">
      <c r="A140">
        <v>25</v>
      </c>
      <c r="B140">
        <v>183</v>
      </c>
      <c r="C140" t="s">
        <v>36</v>
      </c>
      <c r="D140" t="s">
        <v>31</v>
      </c>
      <c r="E140">
        <v>28</v>
      </c>
      <c r="F140">
        <v>3</v>
      </c>
      <c r="G140" t="s">
        <v>32</v>
      </c>
      <c r="H140">
        <v>1</v>
      </c>
      <c r="I140" t="s">
        <v>38</v>
      </c>
      <c r="J140">
        <v>2</v>
      </c>
      <c r="K140">
        <v>2</v>
      </c>
      <c r="L140" t="s">
        <v>34</v>
      </c>
      <c r="M140">
        <v>3</v>
      </c>
      <c r="N140" t="s">
        <v>40</v>
      </c>
      <c r="O140">
        <v>8639</v>
      </c>
      <c r="P140">
        <v>2</v>
      </c>
      <c r="Q140" t="s">
        <v>36</v>
      </c>
      <c r="R140">
        <v>4</v>
      </c>
      <c r="S140">
        <v>6</v>
      </c>
      <c r="T140">
        <v>3</v>
      </c>
      <c r="U140">
        <v>2</v>
      </c>
      <c r="V140">
        <v>2</v>
      </c>
      <c r="W140">
        <v>2</v>
      </c>
      <c r="X140">
        <v>2</v>
      </c>
      <c r="Y140">
        <v>18</v>
      </c>
      <c r="Z140">
        <f>IF(H_A[[#This Row],[Attrition]]="Yes",1,0)</f>
        <v>0</v>
      </c>
      <c r="AA140" t="str">
        <f>IF(H_A[[#This Row],[Age]]&lt;30,"Young",IF(H_A[[#This Row],[Age]]&lt;45,"Mid","Senior"))</f>
        <v>Young</v>
      </c>
      <c r="AB140" t="str">
        <f>IF(H_A[[#This Row],[MonthlyIncome]]&lt;5000,"Low",IF(H_A[[#This Row],[MonthlyIncome]]&lt;10000,"Medium","High"))</f>
        <v>Medium</v>
      </c>
      <c r="AC140" t="str">
        <f>IF(H_A[[#This Row],[YearsAtCompany]]&lt;3,"Early",IF(H_A[[#This Row],[YearsAtCompany]]&lt;7,"Mid","Long"))</f>
        <v>Early</v>
      </c>
      <c r="AD140" t="str">
        <f>IF(H_A[[#This Row],[PercentSalaryHike]]&lt;13,"Low",IF(H_A[[#This Row],[PercentSalaryHike]]&lt;18,"Medium","High"))</f>
        <v>High</v>
      </c>
    </row>
    <row r="141" spans="1:30" x14ac:dyDescent="0.3">
      <c r="A141">
        <v>30</v>
      </c>
      <c r="B141">
        <v>184</v>
      </c>
      <c r="C141" t="s">
        <v>36</v>
      </c>
      <c r="D141" t="s">
        <v>52</v>
      </c>
      <c r="E141">
        <v>9</v>
      </c>
      <c r="F141">
        <v>3</v>
      </c>
      <c r="G141" t="s">
        <v>52</v>
      </c>
      <c r="H141">
        <v>3</v>
      </c>
      <c r="I141" t="s">
        <v>38</v>
      </c>
      <c r="J141">
        <v>3</v>
      </c>
      <c r="K141">
        <v>2</v>
      </c>
      <c r="L141" t="s">
        <v>52</v>
      </c>
      <c r="M141">
        <v>4</v>
      </c>
      <c r="N141" t="s">
        <v>40</v>
      </c>
      <c r="O141">
        <v>6347</v>
      </c>
      <c r="P141">
        <v>0</v>
      </c>
      <c r="Q141" t="s">
        <v>30</v>
      </c>
      <c r="R141">
        <v>4</v>
      </c>
      <c r="S141">
        <v>12</v>
      </c>
      <c r="T141">
        <v>1</v>
      </c>
      <c r="U141">
        <v>11</v>
      </c>
      <c r="V141">
        <v>9</v>
      </c>
      <c r="W141">
        <v>4</v>
      </c>
      <c r="X141">
        <v>7</v>
      </c>
      <c r="Y141">
        <v>19</v>
      </c>
      <c r="Z141">
        <f>IF(H_A[[#This Row],[Attrition]]="Yes",1,0)</f>
        <v>0</v>
      </c>
      <c r="AA141" t="str">
        <f>IF(H_A[[#This Row],[Age]]&lt;30,"Young",IF(H_A[[#This Row],[Age]]&lt;45,"Mid","Senior"))</f>
        <v>Mid</v>
      </c>
      <c r="AB141" t="str">
        <f>IF(H_A[[#This Row],[MonthlyIncome]]&lt;5000,"Low",IF(H_A[[#This Row],[MonthlyIncome]]&lt;10000,"Medium","High"))</f>
        <v>Medium</v>
      </c>
      <c r="AC141" t="str">
        <f>IF(H_A[[#This Row],[YearsAtCompany]]&lt;3,"Early",IF(H_A[[#This Row],[YearsAtCompany]]&lt;7,"Mid","Long"))</f>
        <v>Long</v>
      </c>
      <c r="AD141" t="str">
        <f>IF(H_A[[#This Row],[PercentSalaryHike]]&lt;13,"Low",IF(H_A[[#This Row],[PercentSalaryHike]]&lt;18,"Medium","High"))</f>
        <v>High</v>
      </c>
    </row>
    <row r="142" spans="1:30" x14ac:dyDescent="0.3">
      <c r="A142">
        <v>32</v>
      </c>
      <c r="B142">
        <v>190</v>
      </c>
      <c r="C142" t="s">
        <v>30</v>
      </c>
      <c r="D142" t="s">
        <v>37</v>
      </c>
      <c r="E142">
        <v>9</v>
      </c>
      <c r="F142">
        <v>3</v>
      </c>
      <c r="G142" t="s">
        <v>43</v>
      </c>
      <c r="H142">
        <v>1</v>
      </c>
      <c r="I142" t="s">
        <v>33</v>
      </c>
      <c r="J142">
        <v>3</v>
      </c>
      <c r="K142">
        <v>1</v>
      </c>
      <c r="L142" t="s">
        <v>42</v>
      </c>
      <c r="M142">
        <v>1</v>
      </c>
      <c r="N142" t="s">
        <v>35</v>
      </c>
      <c r="O142">
        <v>4200</v>
      </c>
      <c r="P142">
        <v>7</v>
      </c>
      <c r="Q142" t="s">
        <v>36</v>
      </c>
      <c r="R142">
        <v>1</v>
      </c>
      <c r="S142">
        <v>10</v>
      </c>
      <c r="T142">
        <v>4</v>
      </c>
      <c r="U142">
        <v>5</v>
      </c>
      <c r="V142">
        <v>4</v>
      </c>
      <c r="W142">
        <v>0</v>
      </c>
      <c r="X142">
        <v>4</v>
      </c>
      <c r="Y142">
        <v>22</v>
      </c>
      <c r="Z142">
        <f>IF(H_A[[#This Row],[Attrition]]="Yes",1,0)</f>
        <v>1</v>
      </c>
      <c r="AA142" t="str">
        <f>IF(H_A[[#This Row],[Age]]&lt;30,"Young",IF(H_A[[#This Row],[Age]]&lt;45,"Mid","Senior"))</f>
        <v>Mid</v>
      </c>
      <c r="AB142" t="str">
        <f>IF(H_A[[#This Row],[MonthlyIncome]]&lt;5000,"Low",IF(H_A[[#This Row],[MonthlyIncome]]&lt;10000,"Medium","High"))</f>
        <v>Low</v>
      </c>
      <c r="AC142" t="str">
        <f>IF(H_A[[#This Row],[YearsAtCompany]]&lt;3,"Early",IF(H_A[[#This Row],[YearsAtCompany]]&lt;7,"Mid","Long"))</f>
        <v>Mid</v>
      </c>
      <c r="AD142" t="str">
        <f>IF(H_A[[#This Row],[PercentSalaryHike]]&lt;13,"Low",IF(H_A[[#This Row],[PercentSalaryHike]]&lt;18,"Medium","High"))</f>
        <v>High</v>
      </c>
    </row>
    <row r="143" spans="1:30" x14ac:dyDescent="0.3">
      <c r="A143">
        <v>45</v>
      </c>
      <c r="B143">
        <v>192</v>
      </c>
      <c r="C143" t="s">
        <v>36</v>
      </c>
      <c r="D143" t="s">
        <v>37</v>
      </c>
      <c r="E143">
        <v>29</v>
      </c>
      <c r="F143">
        <v>3</v>
      </c>
      <c r="G143" t="s">
        <v>43</v>
      </c>
      <c r="H143">
        <v>3</v>
      </c>
      <c r="I143" t="s">
        <v>38</v>
      </c>
      <c r="J143">
        <v>3</v>
      </c>
      <c r="K143">
        <v>1</v>
      </c>
      <c r="L143" t="s">
        <v>39</v>
      </c>
      <c r="M143">
        <v>4</v>
      </c>
      <c r="N143" t="s">
        <v>35</v>
      </c>
      <c r="O143">
        <v>3452</v>
      </c>
      <c r="P143">
        <v>5</v>
      </c>
      <c r="Q143" t="s">
        <v>36</v>
      </c>
      <c r="R143">
        <v>2</v>
      </c>
      <c r="S143">
        <v>9</v>
      </c>
      <c r="T143">
        <v>2</v>
      </c>
      <c r="U143">
        <v>6</v>
      </c>
      <c r="V143">
        <v>5</v>
      </c>
      <c r="W143">
        <v>0</v>
      </c>
      <c r="X143">
        <v>3</v>
      </c>
      <c r="Y143">
        <v>13</v>
      </c>
      <c r="Z143">
        <f>IF(H_A[[#This Row],[Attrition]]="Yes",1,0)</f>
        <v>0</v>
      </c>
      <c r="AA143" t="str">
        <f>IF(H_A[[#This Row],[Age]]&lt;30,"Young",IF(H_A[[#This Row],[Age]]&lt;45,"Mid","Senior"))</f>
        <v>Senior</v>
      </c>
      <c r="AB143" t="str">
        <f>IF(H_A[[#This Row],[MonthlyIncome]]&lt;5000,"Low",IF(H_A[[#This Row],[MonthlyIncome]]&lt;10000,"Medium","High"))</f>
        <v>Low</v>
      </c>
      <c r="AC143" t="str">
        <f>IF(H_A[[#This Row],[YearsAtCompany]]&lt;3,"Early",IF(H_A[[#This Row],[YearsAtCompany]]&lt;7,"Mid","Long"))</f>
        <v>Mid</v>
      </c>
      <c r="AD143" t="str">
        <f>IF(H_A[[#This Row],[PercentSalaryHike]]&lt;13,"Low",IF(H_A[[#This Row],[PercentSalaryHike]]&lt;18,"Medium","High"))</f>
        <v>Medium</v>
      </c>
    </row>
    <row r="144" spans="1:30" x14ac:dyDescent="0.3">
      <c r="A144">
        <v>38</v>
      </c>
      <c r="B144">
        <v>193</v>
      </c>
      <c r="C144" t="s">
        <v>36</v>
      </c>
      <c r="D144" t="s">
        <v>37</v>
      </c>
      <c r="E144">
        <v>3</v>
      </c>
      <c r="F144">
        <v>5</v>
      </c>
      <c r="G144" t="s">
        <v>51</v>
      </c>
      <c r="H144">
        <v>4</v>
      </c>
      <c r="I144" t="s">
        <v>33</v>
      </c>
      <c r="J144">
        <v>3</v>
      </c>
      <c r="K144">
        <v>2</v>
      </c>
      <c r="L144" t="s">
        <v>39</v>
      </c>
      <c r="M144">
        <v>3</v>
      </c>
      <c r="N144" t="s">
        <v>35</v>
      </c>
      <c r="O144">
        <v>4317</v>
      </c>
      <c r="P144">
        <v>3</v>
      </c>
      <c r="Q144" t="s">
        <v>30</v>
      </c>
      <c r="R144">
        <v>2</v>
      </c>
      <c r="S144">
        <v>19</v>
      </c>
      <c r="T144">
        <v>3</v>
      </c>
      <c r="U144">
        <v>3</v>
      </c>
      <c r="V144">
        <v>2</v>
      </c>
      <c r="W144">
        <v>2</v>
      </c>
      <c r="X144">
        <v>2</v>
      </c>
      <c r="Y144">
        <v>20</v>
      </c>
      <c r="Z144">
        <f>IF(H_A[[#This Row],[Attrition]]="Yes",1,0)</f>
        <v>0</v>
      </c>
      <c r="AA144" t="str">
        <f>IF(H_A[[#This Row],[Age]]&lt;30,"Young",IF(H_A[[#This Row],[Age]]&lt;45,"Mid","Senior"))</f>
        <v>Mid</v>
      </c>
      <c r="AB144" t="str">
        <f>IF(H_A[[#This Row],[MonthlyIncome]]&lt;5000,"Low",IF(H_A[[#This Row],[MonthlyIncome]]&lt;10000,"Medium","High"))</f>
        <v>Low</v>
      </c>
      <c r="AC144" t="str">
        <f>IF(H_A[[#This Row],[YearsAtCompany]]&lt;3,"Early",IF(H_A[[#This Row],[YearsAtCompany]]&lt;7,"Mid","Long"))</f>
        <v>Mid</v>
      </c>
      <c r="AD144" t="str">
        <f>IF(H_A[[#This Row],[PercentSalaryHike]]&lt;13,"Low",IF(H_A[[#This Row],[PercentSalaryHike]]&lt;18,"Medium","High"))</f>
        <v>High</v>
      </c>
    </row>
    <row r="145" spans="1:30" x14ac:dyDescent="0.3">
      <c r="A145">
        <v>30</v>
      </c>
      <c r="B145">
        <v>194</v>
      </c>
      <c r="C145" t="s">
        <v>36</v>
      </c>
      <c r="D145" t="s">
        <v>37</v>
      </c>
      <c r="E145">
        <v>18</v>
      </c>
      <c r="F145">
        <v>3</v>
      </c>
      <c r="G145" t="s">
        <v>32</v>
      </c>
      <c r="H145">
        <v>1</v>
      </c>
      <c r="I145" t="s">
        <v>33</v>
      </c>
      <c r="J145">
        <v>3</v>
      </c>
      <c r="K145">
        <v>1</v>
      </c>
      <c r="L145" t="s">
        <v>39</v>
      </c>
      <c r="M145">
        <v>3</v>
      </c>
      <c r="N145" t="s">
        <v>35</v>
      </c>
      <c r="O145">
        <v>2632</v>
      </c>
      <c r="P145">
        <v>1</v>
      </c>
      <c r="Q145" t="s">
        <v>36</v>
      </c>
      <c r="R145">
        <v>3</v>
      </c>
      <c r="S145">
        <v>5</v>
      </c>
      <c r="T145">
        <v>2</v>
      </c>
      <c r="U145">
        <v>5</v>
      </c>
      <c r="V145">
        <v>4</v>
      </c>
      <c r="W145">
        <v>0</v>
      </c>
      <c r="X145">
        <v>4</v>
      </c>
      <c r="Y145">
        <v>14</v>
      </c>
      <c r="Z145">
        <f>IF(H_A[[#This Row],[Attrition]]="Yes",1,0)</f>
        <v>0</v>
      </c>
      <c r="AA145" t="str">
        <f>IF(H_A[[#This Row],[Age]]&lt;30,"Young",IF(H_A[[#This Row],[Age]]&lt;45,"Mid","Senior"))</f>
        <v>Mid</v>
      </c>
      <c r="AB145" t="str">
        <f>IF(H_A[[#This Row],[MonthlyIncome]]&lt;5000,"Low",IF(H_A[[#This Row],[MonthlyIncome]]&lt;10000,"Medium","High"))</f>
        <v>Low</v>
      </c>
      <c r="AC145" t="str">
        <f>IF(H_A[[#This Row],[YearsAtCompany]]&lt;3,"Early",IF(H_A[[#This Row],[YearsAtCompany]]&lt;7,"Mid","Long"))</f>
        <v>Mid</v>
      </c>
      <c r="AD145" t="str">
        <f>IF(H_A[[#This Row],[PercentSalaryHike]]&lt;13,"Low",IF(H_A[[#This Row],[PercentSalaryHike]]&lt;18,"Medium","High"))</f>
        <v>Medium</v>
      </c>
    </row>
    <row r="146" spans="1:30" x14ac:dyDescent="0.3">
      <c r="A146">
        <v>32</v>
      </c>
      <c r="B146">
        <v>195</v>
      </c>
      <c r="C146" t="s">
        <v>36</v>
      </c>
      <c r="D146" t="s">
        <v>31</v>
      </c>
      <c r="E146">
        <v>9</v>
      </c>
      <c r="F146">
        <v>2</v>
      </c>
      <c r="G146" t="s">
        <v>43</v>
      </c>
      <c r="H146">
        <v>4</v>
      </c>
      <c r="I146" t="s">
        <v>38</v>
      </c>
      <c r="J146">
        <v>1</v>
      </c>
      <c r="K146">
        <v>2</v>
      </c>
      <c r="L146" t="s">
        <v>34</v>
      </c>
      <c r="M146">
        <v>4</v>
      </c>
      <c r="N146" t="s">
        <v>44</v>
      </c>
      <c r="O146">
        <v>4668</v>
      </c>
      <c r="P146">
        <v>0</v>
      </c>
      <c r="Q146" t="s">
        <v>36</v>
      </c>
      <c r="R146">
        <v>4</v>
      </c>
      <c r="S146">
        <v>9</v>
      </c>
      <c r="T146">
        <v>4</v>
      </c>
      <c r="U146">
        <v>8</v>
      </c>
      <c r="V146">
        <v>7</v>
      </c>
      <c r="W146">
        <v>0</v>
      </c>
      <c r="X146">
        <v>7</v>
      </c>
      <c r="Y146">
        <v>17</v>
      </c>
      <c r="Z146">
        <f>IF(H_A[[#This Row],[Attrition]]="Yes",1,0)</f>
        <v>0</v>
      </c>
      <c r="AA146" t="str">
        <f>IF(H_A[[#This Row],[Age]]&lt;30,"Young",IF(H_A[[#This Row],[Age]]&lt;45,"Mid","Senior"))</f>
        <v>Mid</v>
      </c>
      <c r="AB146" t="str">
        <f>IF(H_A[[#This Row],[MonthlyIncome]]&lt;5000,"Low",IF(H_A[[#This Row],[MonthlyIncome]]&lt;10000,"Medium","High"))</f>
        <v>Low</v>
      </c>
      <c r="AC146" t="str">
        <f>IF(H_A[[#This Row],[YearsAtCompany]]&lt;3,"Early",IF(H_A[[#This Row],[YearsAtCompany]]&lt;7,"Mid","Long"))</f>
        <v>Long</v>
      </c>
      <c r="AD146" t="str">
        <f>IF(H_A[[#This Row],[PercentSalaryHike]]&lt;13,"Low",IF(H_A[[#This Row],[PercentSalaryHike]]&lt;18,"Medium","High"))</f>
        <v>Medium</v>
      </c>
    </row>
    <row r="147" spans="1:30" x14ac:dyDescent="0.3">
      <c r="A147">
        <v>30</v>
      </c>
      <c r="B147">
        <v>197</v>
      </c>
      <c r="C147" t="s">
        <v>36</v>
      </c>
      <c r="D147" t="s">
        <v>37</v>
      </c>
      <c r="E147">
        <v>5</v>
      </c>
      <c r="F147">
        <v>3</v>
      </c>
      <c r="G147" t="s">
        <v>51</v>
      </c>
      <c r="H147">
        <v>4</v>
      </c>
      <c r="I147" t="s">
        <v>33</v>
      </c>
      <c r="J147">
        <v>3</v>
      </c>
      <c r="K147">
        <v>1</v>
      </c>
      <c r="L147" t="s">
        <v>39</v>
      </c>
      <c r="M147">
        <v>1</v>
      </c>
      <c r="N147" t="s">
        <v>44</v>
      </c>
      <c r="O147">
        <v>3204</v>
      </c>
      <c r="P147">
        <v>5</v>
      </c>
      <c r="Q147" t="s">
        <v>36</v>
      </c>
      <c r="R147">
        <v>4</v>
      </c>
      <c r="S147">
        <v>8</v>
      </c>
      <c r="T147">
        <v>3</v>
      </c>
      <c r="U147">
        <v>3</v>
      </c>
      <c r="V147">
        <v>2</v>
      </c>
      <c r="W147">
        <v>2</v>
      </c>
      <c r="X147">
        <v>2</v>
      </c>
      <c r="Y147">
        <v>14</v>
      </c>
      <c r="Z147">
        <f>IF(H_A[[#This Row],[Attrition]]="Yes",1,0)</f>
        <v>0</v>
      </c>
      <c r="AA147" t="str">
        <f>IF(H_A[[#This Row],[Age]]&lt;30,"Young",IF(H_A[[#This Row],[Age]]&lt;45,"Mid","Senior"))</f>
        <v>Mid</v>
      </c>
      <c r="AB147" t="str">
        <f>IF(H_A[[#This Row],[MonthlyIncome]]&lt;5000,"Low",IF(H_A[[#This Row],[MonthlyIncome]]&lt;10000,"Medium","High"))</f>
        <v>Low</v>
      </c>
      <c r="AC147" t="str">
        <f>IF(H_A[[#This Row],[YearsAtCompany]]&lt;3,"Early",IF(H_A[[#This Row],[YearsAtCompany]]&lt;7,"Mid","Long"))</f>
        <v>Mid</v>
      </c>
      <c r="AD147" t="str">
        <f>IF(H_A[[#This Row],[PercentSalaryHike]]&lt;13,"Low",IF(H_A[[#This Row],[PercentSalaryHike]]&lt;18,"Medium","High"))</f>
        <v>Medium</v>
      </c>
    </row>
    <row r="148" spans="1:30" x14ac:dyDescent="0.3">
      <c r="A148">
        <v>30</v>
      </c>
      <c r="B148">
        <v>198</v>
      </c>
      <c r="C148" t="s">
        <v>36</v>
      </c>
      <c r="D148" t="s">
        <v>37</v>
      </c>
      <c r="E148">
        <v>2</v>
      </c>
      <c r="F148">
        <v>1</v>
      </c>
      <c r="G148" t="s">
        <v>43</v>
      </c>
      <c r="H148">
        <v>2</v>
      </c>
      <c r="I148" t="s">
        <v>38</v>
      </c>
      <c r="J148">
        <v>2</v>
      </c>
      <c r="K148">
        <v>1</v>
      </c>
      <c r="L148" t="s">
        <v>42</v>
      </c>
      <c r="M148">
        <v>4</v>
      </c>
      <c r="N148" t="s">
        <v>35</v>
      </c>
      <c r="O148">
        <v>2720</v>
      </c>
      <c r="P148">
        <v>0</v>
      </c>
      <c r="Q148" t="s">
        <v>36</v>
      </c>
      <c r="R148">
        <v>4</v>
      </c>
      <c r="S148">
        <v>6</v>
      </c>
      <c r="T148">
        <v>3</v>
      </c>
      <c r="U148">
        <v>5</v>
      </c>
      <c r="V148">
        <v>3</v>
      </c>
      <c r="W148">
        <v>1</v>
      </c>
      <c r="X148">
        <v>2</v>
      </c>
      <c r="Y148">
        <v>13</v>
      </c>
      <c r="Z148">
        <f>IF(H_A[[#This Row],[Attrition]]="Yes",1,0)</f>
        <v>0</v>
      </c>
      <c r="AA148" t="str">
        <f>IF(H_A[[#This Row],[Age]]&lt;30,"Young",IF(H_A[[#This Row],[Age]]&lt;45,"Mid","Senior"))</f>
        <v>Mid</v>
      </c>
      <c r="AB148" t="str">
        <f>IF(H_A[[#This Row],[MonthlyIncome]]&lt;5000,"Low",IF(H_A[[#This Row],[MonthlyIncome]]&lt;10000,"Medium","High"))</f>
        <v>Low</v>
      </c>
      <c r="AC148" t="str">
        <f>IF(H_A[[#This Row],[YearsAtCompany]]&lt;3,"Early",IF(H_A[[#This Row],[YearsAtCompany]]&lt;7,"Mid","Long"))</f>
        <v>Mid</v>
      </c>
      <c r="AD148" t="str">
        <f>IF(H_A[[#This Row],[PercentSalaryHike]]&lt;13,"Low",IF(H_A[[#This Row],[PercentSalaryHike]]&lt;18,"Medium","High"))</f>
        <v>Medium</v>
      </c>
    </row>
    <row r="149" spans="1:30" x14ac:dyDescent="0.3">
      <c r="A149">
        <v>41</v>
      </c>
      <c r="B149">
        <v>199</v>
      </c>
      <c r="C149" t="s">
        <v>36</v>
      </c>
      <c r="D149" t="s">
        <v>37</v>
      </c>
      <c r="E149">
        <v>10</v>
      </c>
      <c r="F149">
        <v>3</v>
      </c>
      <c r="G149" t="s">
        <v>32</v>
      </c>
      <c r="H149">
        <v>4</v>
      </c>
      <c r="I149" t="s">
        <v>38</v>
      </c>
      <c r="J149">
        <v>2</v>
      </c>
      <c r="K149">
        <v>4</v>
      </c>
      <c r="L149" t="s">
        <v>47</v>
      </c>
      <c r="M149">
        <v>1</v>
      </c>
      <c r="N149" t="s">
        <v>44</v>
      </c>
      <c r="O149">
        <v>17181</v>
      </c>
      <c r="P149">
        <v>4</v>
      </c>
      <c r="Q149" t="s">
        <v>36</v>
      </c>
      <c r="R149">
        <v>2</v>
      </c>
      <c r="S149">
        <v>21</v>
      </c>
      <c r="T149">
        <v>2</v>
      </c>
      <c r="U149">
        <v>7</v>
      </c>
      <c r="V149">
        <v>6</v>
      </c>
      <c r="W149">
        <v>7</v>
      </c>
      <c r="X149">
        <v>7</v>
      </c>
      <c r="Y149">
        <v>13</v>
      </c>
      <c r="Z149">
        <f>IF(H_A[[#This Row],[Attrition]]="Yes",1,0)</f>
        <v>0</v>
      </c>
      <c r="AA149" t="str">
        <f>IF(H_A[[#This Row],[Age]]&lt;30,"Young",IF(H_A[[#This Row],[Age]]&lt;45,"Mid","Senior"))</f>
        <v>Mid</v>
      </c>
      <c r="AB149" t="str">
        <f>IF(H_A[[#This Row],[MonthlyIncome]]&lt;5000,"Low",IF(H_A[[#This Row],[MonthlyIncome]]&lt;10000,"Medium","High"))</f>
        <v>High</v>
      </c>
      <c r="AC149" t="str">
        <f>IF(H_A[[#This Row],[YearsAtCompany]]&lt;3,"Early",IF(H_A[[#This Row],[YearsAtCompany]]&lt;7,"Mid","Long"))</f>
        <v>Long</v>
      </c>
      <c r="AD149" t="str">
        <f>IF(H_A[[#This Row],[PercentSalaryHike]]&lt;13,"Low",IF(H_A[[#This Row],[PercentSalaryHike]]&lt;18,"Medium","High"))</f>
        <v>Medium</v>
      </c>
    </row>
    <row r="150" spans="1:30" x14ac:dyDescent="0.3">
      <c r="A150">
        <v>41</v>
      </c>
      <c r="B150">
        <v>200</v>
      </c>
      <c r="C150" t="s">
        <v>36</v>
      </c>
      <c r="D150" t="s">
        <v>37</v>
      </c>
      <c r="E150">
        <v>9</v>
      </c>
      <c r="F150">
        <v>4</v>
      </c>
      <c r="G150" t="s">
        <v>32</v>
      </c>
      <c r="H150">
        <v>3</v>
      </c>
      <c r="I150" t="s">
        <v>38</v>
      </c>
      <c r="J150">
        <v>3</v>
      </c>
      <c r="K150">
        <v>1</v>
      </c>
      <c r="L150" t="s">
        <v>42</v>
      </c>
      <c r="M150">
        <v>1</v>
      </c>
      <c r="N150" t="s">
        <v>40</v>
      </c>
      <c r="O150">
        <v>2238</v>
      </c>
      <c r="P150">
        <v>2</v>
      </c>
      <c r="Q150" t="s">
        <v>36</v>
      </c>
      <c r="R150">
        <v>4</v>
      </c>
      <c r="S150">
        <v>7</v>
      </c>
      <c r="T150">
        <v>3</v>
      </c>
      <c r="U150">
        <v>5</v>
      </c>
      <c r="V150">
        <v>0</v>
      </c>
      <c r="W150">
        <v>1</v>
      </c>
      <c r="X150">
        <v>4</v>
      </c>
      <c r="Y150">
        <v>21</v>
      </c>
      <c r="Z150">
        <f>IF(H_A[[#This Row],[Attrition]]="Yes",1,0)</f>
        <v>0</v>
      </c>
      <c r="AA150" t="str">
        <f>IF(H_A[[#This Row],[Age]]&lt;30,"Young",IF(H_A[[#This Row],[Age]]&lt;45,"Mid","Senior"))</f>
        <v>Mid</v>
      </c>
      <c r="AB150" t="str">
        <f>IF(H_A[[#This Row],[MonthlyIncome]]&lt;5000,"Low",IF(H_A[[#This Row],[MonthlyIncome]]&lt;10000,"Medium","High"))</f>
        <v>Low</v>
      </c>
      <c r="AC150" t="str">
        <f>IF(H_A[[#This Row],[YearsAtCompany]]&lt;3,"Early",IF(H_A[[#This Row],[YearsAtCompany]]&lt;7,"Mid","Long"))</f>
        <v>Mid</v>
      </c>
      <c r="AD150" t="str">
        <f>IF(H_A[[#This Row],[PercentSalaryHike]]&lt;13,"Low",IF(H_A[[#This Row],[PercentSalaryHike]]&lt;18,"Medium","High"))</f>
        <v>High</v>
      </c>
    </row>
    <row r="151" spans="1:30" x14ac:dyDescent="0.3">
      <c r="A151">
        <v>19</v>
      </c>
      <c r="B151">
        <v>201</v>
      </c>
      <c r="C151" t="s">
        <v>36</v>
      </c>
      <c r="D151" t="s">
        <v>37</v>
      </c>
      <c r="E151">
        <v>3</v>
      </c>
      <c r="F151">
        <v>1</v>
      </c>
      <c r="G151" t="s">
        <v>43</v>
      </c>
      <c r="H151">
        <v>2</v>
      </c>
      <c r="I151" t="s">
        <v>33</v>
      </c>
      <c r="J151">
        <v>3</v>
      </c>
      <c r="K151">
        <v>1</v>
      </c>
      <c r="L151" t="s">
        <v>42</v>
      </c>
      <c r="M151">
        <v>2</v>
      </c>
      <c r="N151" t="s">
        <v>35</v>
      </c>
      <c r="O151">
        <v>1483</v>
      </c>
      <c r="P151">
        <v>1</v>
      </c>
      <c r="Q151" t="s">
        <v>36</v>
      </c>
      <c r="R151">
        <v>4</v>
      </c>
      <c r="S151">
        <v>1</v>
      </c>
      <c r="T151">
        <v>3</v>
      </c>
      <c r="U151">
        <v>1</v>
      </c>
      <c r="V151">
        <v>0</v>
      </c>
      <c r="W151">
        <v>0</v>
      </c>
      <c r="X151">
        <v>0</v>
      </c>
      <c r="Y151">
        <v>14</v>
      </c>
      <c r="Z151">
        <f>IF(H_A[[#This Row],[Attrition]]="Yes",1,0)</f>
        <v>0</v>
      </c>
      <c r="AA151" t="str">
        <f>IF(H_A[[#This Row],[Age]]&lt;30,"Young",IF(H_A[[#This Row],[Age]]&lt;45,"Mid","Senior"))</f>
        <v>Young</v>
      </c>
      <c r="AB151" t="str">
        <f>IF(H_A[[#This Row],[MonthlyIncome]]&lt;5000,"Low",IF(H_A[[#This Row],[MonthlyIncome]]&lt;10000,"Medium","High"))</f>
        <v>Low</v>
      </c>
      <c r="AC151" t="str">
        <f>IF(H_A[[#This Row],[YearsAtCompany]]&lt;3,"Early",IF(H_A[[#This Row],[YearsAtCompany]]&lt;7,"Mid","Long"))</f>
        <v>Early</v>
      </c>
      <c r="AD151" t="str">
        <f>IF(H_A[[#This Row],[PercentSalaryHike]]&lt;13,"Low",IF(H_A[[#This Row],[PercentSalaryHike]]&lt;18,"Medium","High"))</f>
        <v>Medium</v>
      </c>
    </row>
    <row r="152" spans="1:30" x14ac:dyDescent="0.3">
      <c r="A152">
        <v>40</v>
      </c>
      <c r="B152">
        <v>202</v>
      </c>
      <c r="C152" t="s">
        <v>36</v>
      </c>
      <c r="D152" t="s">
        <v>37</v>
      </c>
      <c r="E152">
        <v>26</v>
      </c>
      <c r="F152">
        <v>3</v>
      </c>
      <c r="G152" t="s">
        <v>43</v>
      </c>
      <c r="H152">
        <v>2</v>
      </c>
      <c r="I152" t="s">
        <v>33</v>
      </c>
      <c r="J152">
        <v>3</v>
      </c>
      <c r="K152">
        <v>2</v>
      </c>
      <c r="L152" t="s">
        <v>39</v>
      </c>
      <c r="M152">
        <v>2</v>
      </c>
      <c r="N152" t="s">
        <v>44</v>
      </c>
      <c r="O152">
        <v>5605</v>
      </c>
      <c r="P152">
        <v>1</v>
      </c>
      <c r="Q152" t="s">
        <v>36</v>
      </c>
      <c r="R152">
        <v>1</v>
      </c>
      <c r="S152">
        <v>20</v>
      </c>
      <c r="T152">
        <v>3</v>
      </c>
      <c r="U152">
        <v>20</v>
      </c>
      <c r="V152">
        <v>7</v>
      </c>
      <c r="W152">
        <v>2</v>
      </c>
      <c r="X152">
        <v>13</v>
      </c>
      <c r="Y152">
        <v>11</v>
      </c>
      <c r="Z152">
        <f>IF(H_A[[#This Row],[Attrition]]="Yes",1,0)</f>
        <v>0</v>
      </c>
      <c r="AA152" t="str">
        <f>IF(H_A[[#This Row],[Age]]&lt;30,"Young",IF(H_A[[#This Row],[Age]]&lt;45,"Mid","Senior"))</f>
        <v>Mid</v>
      </c>
      <c r="AB152" t="str">
        <f>IF(H_A[[#This Row],[MonthlyIncome]]&lt;5000,"Low",IF(H_A[[#This Row],[MonthlyIncome]]&lt;10000,"Medium","High"))</f>
        <v>Medium</v>
      </c>
      <c r="AC152" t="str">
        <f>IF(H_A[[#This Row],[YearsAtCompany]]&lt;3,"Early",IF(H_A[[#This Row],[YearsAtCompany]]&lt;7,"Mid","Long"))</f>
        <v>Long</v>
      </c>
      <c r="AD152" t="str">
        <f>IF(H_A[[#This Row],[PercentSalaryHike]]&lt;13,"Low",IF(H_A[[#This Row],[PercentSalaryHike]]&lt;18,"Medium","High"))</f>
        <v>Low</v>
      </c>
    </row>
    <row r="153" spans="1:30" x14ac:dyDescent="0.3">
      <c r="A153">
        <v>35</v>
      </c>
      <c r="B153">
        <v>204</v>
      </c>
      <c r="C153" t="s">
        <v>36</v>
      </c>
      <c r="D153" t="s">
        <v>31</v>
      </c>
      <c r="E153">
        <v>1</v>
      </c>
      <c r="F153">
        <v>5</v>
      </c>
      <c r="G153" t="s">
        <v>50</v>
      </c>
      <c r="H153">
        <v>3</v>
      </c>
      <c r="I153" t="s">
        <v>38</v>
      </c>
      <c r="J153">
        <v>3</v>
      </c>
      <c r="K153">
        <v>3</v>
      </c>
      <c r="L153" t="s">
        <v>34</v>
      </c>
      <c r="M153">
        <v>2</v>
      </c>
      <c r="N153" t="s">
        <v>40</v>
      </c>
      <c r="O153">
        <v>7295</v>
      </c>
      <c r="P153">
        <v>1</v>
      </c>
      <c r="Q153" t="s">
        <v>36</v>
      </c>
      <c r="R153">
        <v>1</v>
      </c>
      <c r="S153">
        <v>10</v>
      </c>
      <c r="T153">
        <v>3</v>
      </c>
      <c r="U153">
        <v>10</v>
      </c>
      <c r="V153">
        <v>8</v>
      </c>
      <c r="W153">
        <v>0</v>
      </c>
      <c r="X153">
        <v>6</v>
      </c>
      <c r="Y153">
        <v>13</v>
      </c>
      <c r="Z153">
        <f>IF(H_A[[#This Row],[Attrition]]="Yes",1,0)</f>
        <v>0</v>
      </c>
      <c r="AA153" t="str">
        <f>IF(H_A[[#This Row],[Age]]&lt;30,"Young",IF(H_A[[#This Row],[Age]]&lt;45,"Mid","Senior"))</f>
        <v>Mid</v>
      </c>
      <c r="AB153" t="str">
        <f>IF(H_A[[#This Row],[MonthlyIncome]]&lt;5000,"Low",IF(H_A[[#This Row],[MonthlyIncome]]&lt;10000,"Medium","High"))</f>
        <v>Medium</v>
      </c>
      <c r="AC153" t="str">
        <f>IF(H_A[[#This Row],[YearsAtCompany]]&lt;3,"Early",IF(H_A[[#This Row],[YearsAtCompany]]&lt;7,"Mid","Long"))</f>
        <v>Long</v>
      </c>
      <c r="AD153" t="str">
        <f>IF(H_A[[#This Row],[PercentSalaryHike]]&lt;13,"Low",IF(H_A[[#This Row],[PercentSalaryHike]]&lt;18,"Medium","High"))</f>
        <v>Medium</v>
      </c>
    </row>
    <row r="154" spans="1:30" x14ac:dyDescent="0.3">
      <c r="A154">
        <v>53</v>
      </c>
      <c r="B154">
        <v>205</v>
      </c>
      <c r="C154" t="s">
        <v>36</v>
      </c>
      <c r="D154" t="s">
        <v>31</v>
      </c>
      <c r="E154">
        <v>6</v>
      </c>
      <c r="F154">
        <v>2</v>
      </c>
      <c r="G154" t="s">
        <v>50</v>
      </c>
      <c r="H154">
        <v>2</v>
      </c>
      <c r="I154" t="s">
        <v>38</v>
      </c>
      <c r="J154">
        <v>3</v>
      </c>
      <c r="K154">
        <v>2</v>
      </c>
      <c r="L154" t="s">
        <v>48</v>
      </c>
      <c r="M154">
        <v>3</v>
      </c>
      <c r="N154" t="s">
        <v>40</v>
      </c>
      <c r="O154">
        <v>2306</v>
      </c>
      <c r="P154">
        <v>2</v>
      </c>
      <c r="Q154" t="s">
        <v>30</v>
      </c>
      <c r="R154">
        <v>4</v>
      </c>
      <c r="S154">
        <v>13</v>
      </c>
      <c r="T154">
        <v>1</v>
      </c>
      <c r="U154">
        <v>7</v>
      </c>
      <c r="V154">
        <v>7</v>
      </c>
      <c r="W154">
        <v>4</v>
      </c>
      <c r="X154">
        <v>5</v>
      </c>
      <c r="Y154">
        <v>20</v>
      </c>
      <c r="Z154">
        <f>IF(H_A[[#This Row],[Attrition]]="Yes",1,0)</f>
        <v>0</v>
      </c>
      <c r="AA154" t="str">
        <f>IF(H_A[[#This Row],[Age]]&lt;30,"Young",IF(H_A[[#This Row],[Age]]&lt;45,"Mid","Senior"))</f>
        <v>Senior</v>
      </c>
      <c r="AB154" t="str">
        <f>IF(H_A[[#This Row],[MonthlyIncome]]&lt;5000,"Low",IF(H_A[[#This Row],[MonthlyIncome]]&lt;10000,"Medium","High"))</f>
        <v>Low</v>
      </c>
      <c r="AC154" t="str">
        <f>IF(H_A[[#This Row],[YearsAtCompany]]&lt;3,"Early",IF(H_A[[#This Row],[YearsAtCompany]]&lt;7,"Mid","Long"))</f>
        <v>Long</v>
      </c>
      <c r="AD154" t="str">
        <f>IF(H_A[[#This Row],[PercentSalaryHike]]&lt;13,"Low",IF(H_A[[#This Row],[PercentSalaryHike]]&lt;18,"Medium","High"))</f>
        <v>High</v>
      </c>
    </row>
    <row r="155" spans="1:30" x14ac:dyDescent="0.3">
      <c r="A155">
        <v>45</v>
      </c>
      <c r="B155">
        <v>206</v>
      </c>
      <c r="C155" t="s">
        <v>36</v>
      </c>
      <c r="D155" t="s">
        <v>37</v>
      </c>
      <c r="E155">
        <v>9</v>
      </c>
      <c r="F155">
        <v>3</v>
      </c>
      <c r="G155" t="s">
        <v>32</v>
      </c>
      <c r="H155">
        <v>2</v>
      </c>
      <c r="I155" t="s">
        <v>38</v>
      </c>
      <c r="J155">
        <v>3</v>
      </c>
      <c r="K155">
        <v>2</v>
      </c>
      <c r="L155" t="s">
        <v>42</v>
      </c>
      <c r="M155">
        <v>2</v>
      </c>
      <c r="N155" t="s">
        <v>44</v>
      </c>
      <c r="O155">
        <v>2348</v>
      </c>
      <c r="P155">
        <v>8</v>
      </c>
      <c r="Q155" t="s">
        <v>36</v>
      </c>
      <c r="R155">
        <v>3</v>
      </c>
      <c r="S155">
        <v>20</v>
      </c>
      <c r="T155">
        <v>1</v>
      </c>
      <c r="U155">
        <v>17</v>
      </c>
      <c r="V155">
        <v>9</v>
      </c>
      <c r="W155">
        <v>0</v>
      </c>
      <c r="X155">
        <v>15</v>
      </c>
      <c r="Y155">
        <v>18</v>
      </c>
      <c r="Z155">
        <f>IF(H_A[[#This Row],[Attrition]]="Yes",1,0)</f>
        <v>0</v>
      </c>
      <c r="AA155" t="str">
        <f>IF(H_A[[#This Row],[Age]]&lt;30,"Young",IF(H_A[[#This Row],[Age]]&lt;45,"Mid","Senior"))</f>
        <v>Senior</v>
      </c>
      <c r="AB155" t="str">
        <f>IF(H_A[[#This Row],[MonthlyIncome]]&lt;5000,"Low",IF(H_A[[#This Row],[MonthlyIncome]]&lt;10000,"Medium","High"))</f>
        <v>Low</v>
      </c>
      <c r="AC155" t="str">
        <f>IF(H_A[[#This Row],[YearsAtCompany]]&lt;3,"Early",IF(H_A[[#This Row],[YearsAtCompany]]&lt;7,"Mid","Long"))</f>
        <v>Long</v>
      </c>
      <c r="AD155" t="str">
        <f>IF(H_A[[#This Row],[PercentSalaryHike]]&lt;13,"Low",IF(H_A[[#This Row],[PercentSalaryHike]]&lt;18,"Medium","High"))</f>
        <v>High</v>
      </c>
    </row>
    <row r="156" spans="1:30" x14ac:dyDescent="0.3">
      <c r="A156">
        <v>32</v>
      </c>
      <c r="B156">
        <v>207</v>
      </c>
      <c r="C156" t="s">
        <v>36</v>
      </c>
      <c r="D156" t="s">
        <v>31</v>
      </c>
      <c r="E156">
        <v>8</v>
      </c>
      <c r="F156">
        <v>3</v>
      </c>
      <c r="G156" t="s">
        <v>50</v>
      </c>
      <c r="H156">
        <v>2</v>
      </c>
      <c r="I156" t="s">
        <v>33</v>
      </c>
      <c r="J156">
        <v>3</v>
      </c>
      <c r="K156">
        <v>3</v>
      </c>
      <c r="L156" t="s">
        <v>34</v>
      </c>
      <c r="M156">
        <v>4</v>
      </c>
      <c r="N156" t="s">
        <v>35</v>
      </c>
      <c r="O156">
        <v>8998</v>
      </c>
      <c r="P156">
        <v>1</v>
      </c>
      <c r="Q156" t="s">
        <v>36</v>
      </c>
      <c r="R156">
        <v>4</v>
      </c>
      <c r="S156">
        <v>9</v>
      </c>
      <c r="T156">
        <v>3</v>
      </c>
      <c r="U156">
        <v>9</v>
      </c>
      <c r="V156">
        <v>8</v>
      </c>
      <c r="W156">
        <v>3</v>
      </c>
      <c r="X156">
        <v>7</v>
      </c>
      <c r="Y156">
        <v>14</v>
      </c>
      <c r="Z156">
        <f>IF(H_A[[#This Row],[Attrition]]="Yes",1,0)</f>
        <v>0</v>
      </c>
      <c r="AA156" t="str">
        <f>IF(H_A[[#This Row],[Age]]&lt;30,"Young",IF(H_A[[#This Row],[Age]]&lt;45,"Mid","Senior"))</f>
        <v>Mid</v>
      </c>
      <c r="AB156" t="str">
        <f>IF(H_A[[#This Row],[MonthlyIncome]]&lt;5000,"Low",IF(H_A[[#This Row],[MonthlyIncome]]&lt;10000,"Medium","High"))</f>
        <v>Medium</v>
      </c>
      <c r="AC156" t="str">
        <f>IF(H_A[[#This Row],[YearsAtCompany]]&lt;3,"Early",IF(H_A[[#This Row],[YearsAtCompany]]&lt;7,"Mid","Long"))</f>
        <v>Long</v>
      </c>
      <c r="AD156" t="str">
        <f>IF(H_A[[#This Row],[PercentSalaryHike]]&lt;13,"Low",IF(H_A[[#This Row],[PercentSalaryHike]]&lt;18,"Medium","High"))</f>
        <v>Medium</v>
      </c>
    </row>
    <row r="157" spans="1:30" x14ac:dyDescent="0.3">
      <c r="A157">
        <v>29</v>
      </c>
      <c r="B157">
        <v>208</v>
      </c>
      <c r="C157" t="s">
        <v>36</v>
      </c>
      <c r="D157" t="s">
        <v>37</v>
      </c>
      <c r="E157">
        <v>1</v>
      </c>
      <c r="F157">
        <v>1</v>
      </c>
      <c r="G157" t="s">
        <v>51</v>
      </c>
      <c r="H157">
        <v>4</v>
      </c>
      <c r="I157" t="s">
        <v>38</v>
      </c>
      <c r="J157">
        <v>3</v>
      </c>
      <c r="K157">
        <v>2</v>
      </c>
      <c r="L157" t="s">
        <v>45</v>
      </c>
      <c r="M157">
        <v>3</v>
      </c>
      <c r="N157" t="s">
        <v>40</v>
      </c>
      <c r="O157">
        <v>4319</v>
      </c>
      <c r="P157">
        <v>1</v>
      </c>
      <c r="Q157" t="s">
        <v>36</v>
      </c>
      <c r="R157">
        <v>1</v>
      </c>
      <c r="S157">
        <v>10</v>
      </c>
      <c r="T157">
        <v>3</v>
      </c>
      <c r="U157">
        <v>10</v>
      </c>
      <c r="V157">
        <v>7</v>
      </c>
      <c r="W157">
        <v>0</v>
      </c>
      <c r="X157">
        <v>9</v>
      </c>
      <c r="Y157">
        <v>13</v>
      </c>
      <c r="Z157">
        <f>IF(H_A[[#This Row],[Attrition]]="Yes",1,0)</f>
        <v>0</v>
      </c>
      <c r="AA157" t="str">
        <f>IF(H_A[[#This Row],[Age]]&lt;30,"Young",IF(H_A[[#This Row],[Age]]&lt;45,"Mid","Senior"))</f>
        <v>Young</v>
      </c>
      <c r="AB157" t="str">
        <f>IF(H_A[[#This Row],[MonthlyIncome]]&lt;5000,"Low",IF(H_A[[#This Row],[MonthlyIncome]]&lt;10000,"Medium","High"))</f>
        <v>Low</v>
      </c>
      <c r="AC157" t="str">
        <f>IF(H_A[[#This Row],[YearsAtCompany]]&lt;3,"Early",IF(H_A[[#This Row],[YearsAtCompany]]&lt;7,"Mid","Long"))</f>
        <v>Long</v>
      </c>
      <c r="AD157" t="str">
        <f>IF(H_A[[#This Row],[PercentSalaryHike]]&lt;13,"Low",IF(H_A[[#This Row],[PercentSalaryHike]]&lt;18,"Medium","High"))</f>
        <v>Medium</v>
      </c>
    </row>
    <row r="158" spans="1:30" x14ac:dyDescent="0.3">
      <c r="A158">
        <v>51</v>
      </c>
      <c r="B158">
        <v>211</v>
      </c>
      <c r="C158" t="s">
        <v>36</v>
      </c>
      <c r="D158" t="s">
        <v>37</v>
      </c>
      <c r="E158">
        <v>7</v>
      </c>
      <c r="G158" t="s">
        <v>43</v>
      </c>
      <c r="H158">
        <v>2</v>
      </c>
      <c r="I158" t="s">
        <v>38</v>
      </c>
      <c r="J158">
        <v>2</v>
      </c>
      <c r="K158">
        <v>2</v>
      </c>
      <c r="L158" t="s">
        <v>45</v>
      </c>
      <c r="M158">
        <v>3</v>
      </c>
      <c r="N158" t="s">
        <v>40</v>
      </c>
      <c r="O158">
        <v>6132</v>
      </c>
      <c r="P158">
        <v>2</v>
      </c>
      <c r="Q158" t="s">
        <v>36</v>
      </c>
      <c r="R158">
        <v>3</v>
      </c>
      <c r="S158">
        <v>10</v>
      </c>
      <c r="T158">
        <v>3</v>
      </c>
      <c r="U158">
        <v>1</v>
      </c>
      <c r="V158">
        <v>0</v>
      </c>
      <c r="W158">
        <v>0</v>
      </c>
      <c r="X158">
        <v>0</v>
      </c>
      <c r="Y158">
        <v>17</v>
      </c>
      <c r="Z158">
        <f>IF(H_A[[#This Row],[Attrition]]="Yes",1,0)</f>
        <v>0</v>
      </c>
      <c r="AA158" t="str">
        <f>IF(H_A[[#This Row],[Age]]&lt;30,"Young",IF(H_A[[#This Row],[Age]]&lt;45,"Mid","Senior"))</f>
        <v>Senior</v>
      </c>
      <c r="AB158" t="str">
        <f>IF(H_A[[#This Row],[MonthlyIncome]]&lt;5000,"Low",IF(H_A[[#This Row],[MonthlyIncome]]&lt;10000,"Medium","High"))</f>
        <v>Medium</v>
      </c>
      <c r="AC158" t="str">
        <f>IF(H_A[[#This Row],[YearsAtCompany]]&lt;3,"Early",IF(H_A[[#This Row],[YearsAtCompany]]&lt;7,"Mid","Long"))</f>
        <v>Early</v>
      </c>
      <c r="AD158" t="str">
        <f>IF(H_A[[#This Row],[PercentSalaryHike]]&lt;13,"Low",IF(H_A[[#This Row],[PercentSalaryHike]]&lt;18,"Medium","High"))</f>
        <v>Medium</v>
      </c>
    </row>
    <row r="159" spans="1:30" x14ac:dyDescent="0.3">
      <c r="A159">
        <v>58</v>
      </c>
      <c r="B159">
        <v>214</v>
      </c>
      <c r="C159" t="s">
        <v>36</v>
      </c>
      <c r="D159" t="s">
        <v>37</v>
      </c>
      <c r="E159">
        <v>9</v>
      </c>
      <c r="F159">
        <v>3</v>
      </c>
      <c r="G159" t="s">
        <v>43</v>
      </c>
      <c r="H159">
        <v>2</v>
      </c>
      <c r="I159" t="s">
        <v>33</v>
      </c>
      <c r="J159">
        <v>2</v>
      </c>
      <c r="K159">
        <v>1</v>
      </c>
      <c r="L159" t="s">
        <v>39</v>
      </c>
      <c r="M159">
        <v>2</v>
      </c>
      <c r="N159" t="s">
        <v>40</v>
      </c>
      <c r="O159">
        <v>3346</v>
      </c>
      <c r="P159">
        <v>4</v>
      </c>
      <c r="Q159" t="s">
        <v>30</v>
      </c>
      <c r="R159">
        <v>2</v>
      </c>
      <c r="S159">
        <v>9</v>
      </c>
      <c r="T159">
        <v>2</v>
      </c>
      <c r="U159">
        <v>1</v>
      </c>
      <c r="V159">
        <v>0</v>
      </c>
      <c r="W159">
        <v>0</v>
      </c>
      <c r="X159">
        <v>0</v>
      </c>
      <c r="Y159">
        <v>20</v>
      </c>
      <c r="Z159">
        <f>IF(H_A[[#This Row],[Attrition]]="Yes",1,0)</f>
        <v>0</v>
      </c>
      <c r="AA159" t="str">
        <f>IF(H_A[[#This Row],[Age]]&lt;30,"Young",IF(H_A[[#This Row],[Age]]&lt;45,"Mid","Senior"))</f>
        <v>Senior</v>
      </c>
      <c r="AB159" t="str">
        <f>IF(H_A[[#This Row],[MonthlyIncome]]&lt;5000,"Low",IF(H_A[[#This Row],[MonthlyIncome]]&lt;10000,"Medium","High"))</f>
        <v>Low</v>
      </c>
      <c r="AC159" t="str">
        <f>IF(H_A[[#This Row],[YearsAtCompany]]&lt;3,"Early",IF(H_A[[#This Row],[YearsAtCompany]]&lt;7,"Mid","Long"))</f>
        <v>Early</v>
      </c>
      <c r="AD159" t="str">
        <f>IF(H_A[[#This Row],[PercentSalaryHike]]&lt;13,"Low",IF(H_A[[#This Row],[PercentSalaryHike]]&lt;18,"Medium","High"))</f>
        <v>High</v>
      </c>
    </row>
    <row r="160" spans="1:30" x14ac:dyDescent="0.3">
      <c r="A160">
        <v>40</v>
      </c>
      <c r="B160">
        <v>215</v>
      </c>
      <c r="C160" t="s">
        <v>36</v>
      </c>
      <c r="D160" t="s">
        <v>31</v>
      </c>
      <c r="E160">
        <v>4</v>
      </c>
      <c r="F160">
        <v>4</v>
      </c>
      <c r="G160" t="s">
        <v>50</v>
      </c>
      <c r="H160">
        <v>3</v>
      </c>
      <c r="I160" t="s">
        <v>38</v>
      </c>
      <c r="J160">
        <v>2</v>
      </c>
      <c r="K160">
        <v>3</v>
      </c>
      <c r="L160" t="s">
        <v>34</v>
      </c>
      <c r="M160">
        <v>4</v>
      </c>
      <c r="N160" t="s">
        <v>40</v>
      </c>
      <c r="O160">
        <v>10855</v>
      </c>
      <c r="P160">
        <v>7</v>
      </c>
      <c r="Q160" t="s">
        <v>36</v>
      </c>
      <c r="R160">
        <v>1</v>
      </c>
      <c r="S160">
        <v>15</v>
      </c>
      <c r="T160">
        <v>2</v>
      </c>
      <c r="U160">
        <v>12</v>
      </c>
      <c r="V160">
        <v>11</v>
      </c>
      <c r="W160">
        <v>2</v>
      </c>
      <c r="X160">
        <v>11</v>
      </c>
      <c r="Y160">
        <v>11</v>
      </c>
      <c r="Z160">
        <f>IF(H_A[[#This Row],[Attrition]]="Yes",1,0)</f>
        <v>0</v>
      </c>
      <c r="AA160" t="str">
        <f>IF(H_A[[#This Row],[Age]]&lt;30,"Young",IF(H_A[[#This Row],[Age]]&lt;45,"Mid","Senior"))</f>
        <v>Mid</v>
      </c>
      <c r="AB160" t="str">
        <f>IF(H_A[[#This Row],[MonthlyIncome]]&lt;5000,"Low",IF(H_A[[#This Row],[MonthlyIncome]]&lt;10000,"Medium","High"))</f>
        <v>High</v>
      </c>
      <c r="AC160" t="str">
        <f>IF(H_A[[#This Row],[YearsAtCompany]]&lt;3,"Early",IF(H_A[[#This Row],[YearsAtCompany]]&lt;7,"Mid","Long"))</f>
        <v>Long</v>
      </c>
      <c r="AD160" t="str">
        <f>IF(H_A[[#This Row],[PercentSalaryHike]]&lt;13,"Low",IF(H_A[[#This Row],[PercentSalaryHike]]&lt;18,"Medium","High"))</f>
        <v>Low</v>
      </c>
    </row>
    <row r="161" spans="1:30" x14ac:dyDescent="0.3">
      <c r="A161">
        <v>34</v>
      </c>
      <c r="B161">
        <v>216</v>
      </c>
      <c r="C161" t="s">
        <v>36</v>
      </c>
      <c r="D161" t="s">
        <v>31</v>
      </c>
      <c r="E161">
        <v>2</v>
      </c>
      <c r="F161">
        <v>4</v>
      </c>
      <c r="G161" t="s">
        <v>50</v>
      </c>
      <c r="H161">
        <v>3</v>
      </c>
      <c r="I161" t="s">
        <v>33</v>
      </c>
      <c r="J161">
        <v>3</v>
      </c>
      <c r="K161">
        <v>1</v>
      </c>
      <c r="L161" t="s">
        <v>48</v>
      </c>
      <c r="M161">
        <v>3</v>
      </c>
      <c r="N161" t="s">
        <v>40</v>
      </c>
      <c r="O161">
        <v>2231</v>
      </c>
      <c r="P161">
        <v>6</v>
      </c>
      <c r="Q161" t="s">
        <v>36</v>
      </c>
      <c r="R161">
        <v>4</v>
      </c>
      <c r="S161">
        <v>6</v>
      </c>
      <c r="T161">
        <v>3</v>
      </c>
      <c r="U161">
        <v>4</v>
      </c>
      <c r="V161">
        <v>3</v>
      </c>
      <c r="W161">
        <v>1</v>
      </c>
      <c r="X161">
        <v>2</v>
      </c>
      <c r="Y161">
        <v>18</v>
      </c>
      <c r="Z161">
        <f>IF(H_A[[#This Row],[Attrition]]="Yes",1,0)</f>
        <v>0</v>
      </c>
      <c r="AA161" t="str">
        <f>IF(H_A[[#This Row],[Age]]&lt;30,"Young",IF(H_A[[#This Row],[Age]]&lt;45,"Mid","Senior"))</f>
        <v>Mid</v>
      </c>
      <c r="AB161" t="str">
        <f>IF(H_A[[#This Row],[MonthlyIncome]]&lt;5000,"Low",IF(H_A[[#This Row],[MonthlyIncome]]&lt;10000,"Medium","High"))</f>
        <v>Low</v>
      </c>
      <c r="AC161" t="str">
        <f>IF(H_A[[#This Row],[YearsAtCompany]]&lt;3,"Early",IF(H_A[[#This Row],[YearsAtCompany]]&lt;7,"Mid","Long"))</f>
        <v>Mid</v>
      </c>
      <c r="AD161" t="str">
        <f>IF(H_A[[#This Row],[PercentSalaryHike]]&lt;13,"Low",IF(H_A[[#This Row],[PercentSalaryHike]]&lt;18,"Medium","High"))</f>
        <v>High</v>
      </c>
    </row>
    <row r="162" spans="1:30" x14ac:dyDescent="0.3">
      <c r="A162">
        <v>22</v>
      </c>
      <c r="B162">
        <v>217</v>
      </c>
      <c r="C162" t="s">
        <v>36</v>
      </c>
      <c r="D162" t="s">
        <v>37</v>
      </c>
      <c r="E162">
        <v>19</v>
      </c>
      <c r="F162">
        <v>1</v>
      </c>
      <c r="G162" t="s">
        <v>43</v>
      </c>
      <c r="H162">
        <v>3</v>
      </c>
      <c r="I162" t="s">
        <v>38</v>
      </c>
      <c r="J162">
        <v>3</v>
      </c>
      <c r="K162">
        <v>1</v>
      </c>
      <c r="L162" t="s">
        <v>39</v>
      </c>
      <c r="M162">
        <v>4</v>
      </c>
      <c r="N162" t="s">
        <v>40</v>
      </c>
      <c r="O162">
        <v>2323</v>
      </c>
      <c r="P162">
        <v>1</v>
      </c>
      <c r="Q162" t="s">
        <v>36</v>
      </c>
      <c r="R162">
        <v>1</v>
      </c>
      <c r="S162">
        <v>2</v>
      </c>
      <c r="T162">
        <v>3</v>
      </c>
      <c r="U162">
        <v>2</v>
      </c>
      <c r="V162">
        <v>2</v>
      </c>
      <c r="W162">
        <v>2</v>
      </c>
      <c r="X162">
        <v>2</v>
      </c>
      <c r="Y162">
        <v>24</v>
      </c>
      <c r="Z162">
        <f>IF(H_A[[#This Row],[Attrition]]="Yes",1,0)</f>
        <v>0</v>
      </c>
      <c r="AA162" t="str">
        <f>IF(H_A[[#This Row],[Age]]&lt;30,"Young",IF(H_A[[#This Row],[Age]]&lt;45,"Mid","Senior"))</f>
        <v>Young</v>
      </c>
      <c r="AB162" t="str">
        <f>IF(H_A[[#This Row],[MonthlyIncome]]&lt;5000,"Low",IF(H_A[[#This Row],[MonthlyIncome]]&lt;10000,"Medium","High"))</f>
        <v>Low</v>
      </c>
      <c r="AC162" t="str">
        <f>IF(H_A[[#This Row],[YearsAtCompany]]&lt;3,"Early",IF(H_A[[#This Row],[YearsAtCompany]]&lt;7,"Mid","Long"))</f>
        <v>Early</v>
      </c>
      <c r="AD162" t="str">
        <f>IF(H_A[[#This Row],[PercentSalaryHike]]&lt;13,"Low",IF(H_A[[#This Row],[PercentSalaryHike]]&lt;18,"Medium","High"))</f>
        <v>High</v>
      </c>
    </row>
    <row r="163" spans="1:30" x14ac:dyDescent="0.3">
      <c r="A163">
        <v>27</v>
      </c>
      <c r="B163">
        <v>218</v>
      </c>
      <c r="C163" t="s">
        <v>36</v>
      </c>
      <c r="D163" t="s">
        <v>37</v>
      </c>
      <c r="E163">
        <v>9</v>
      </c>
      <c r="F163">
        <v>3</v>
      </c>
      <c r="G163" t="s">
        <v>43</v>
      </c>
      <c r="H163">
        <v>4</v>
      </c>
      <c r="I163" t="s">
        <v>38</v>
      </c>
      <c r="J163">
        <v>3</v>
      </c>
      <c r="K163">
        <v>1</v>
      </c>
      <c r="L163" t="s">
        <v>39</v>
      </c>
      <c r="M163">
        <v>2</v>
      </c>
      <c r="N163" t="s">
        <v>44</v>
      </c>
      <c r="O163">
        <v>2024</v>
      </c>
      <c r="P163">
        <v>6</v>
      </c>
      <c r="Q163" t="s">
        <v>36</v>
      </c>
      <c r="R163">
        <v>4</v>
      </c>
      <c r="S163">
        <v>6</v>
      </c>
      <c r="T163">
        <v>1</v>
      </c>
      <c r="U163">
        <v>2</v>
      </c>
      <c r="V163">
        <v>2</v>
      </c>
      <c r="W163">
        <v>2</v>
      </c>
      <c r="X163">
        <v>2</v>
      </c>
      <c r="Y163">
        <v>18</v>
      </c>
      <c r="Z163">
        <f>IF(H_A[[#This Row],[Attrition]]="Yes",1,0)</f>
        <v>0</v>
      </c>
      <c r="AA163" t="str">
        <f>IF(H_A[[#This Row],[Age]]&lt;30,"Young",IF(H_A[[#This Row],[Age]]&lt;45,"Mid","Senior"))</f>
        <v>Young</v>
      </c>
      <c r="AB163" t="str">
        <f>IF(H_A[[#This Row],[MonthlyIncome]]&lt;5000,"Low",IF(H_A[[#This Row],[MonthlyIncome]]&lt;10000,"Medium","High"))</f>
        <v>Low</v>
      </c>
      <c r="AC163" t="str">
        <f>IF(H_A[[#This Row],[YearsAtCompany]]&lt;3,"Early",IF(H_A[[#This Row],[YearsAtCompany]]&lt;7,"Mid","Long"))</f>
        <v>Early</v>
      </c>
      <c r="AD163" t="str">
        <f>IF(H_A[[#This Row],[PercentSalaryHike]]&lt;13,"Low",IF(H_A[[#This Row],[PercentSalaryHike]]&lt;18,"Medium","High"))</f>
        <v>High</v>
      </c>
    </row>
    <row r="164" spans="1:30" x14ac:dyDescent="0.3">
      <c r="A164">
        <v>28</v>
      </c>
      <c r="B164">
        <v>221</v>
      </c>
      <c r="C164" t="s">
        <v>36</v>
      </c>
      <c r="D164" t="s">
        <v>37</v>
      </c>
      <c r="E164">
        <v>21</v>
      </c>
      <c r="F164">
        <v>3</v>
      </c>
      <c r="G164" t="s">
        <v>43</v>
      </c>
      <c r="H164">
        <v>3</v>
      </c>
      <c r="I164" t="s">
        <v>38</v>
      </c>
      <c r="J164">
        <v>3</v>
      </c>
      <c r="K164">
        <v>1</v>
      </c>
      <c r="L164" t="s">
        <v>39</v>
      </c>
      <c r="M164">
        <v>4</v>
      </c>
      <c r="N164" t="s">
        <v>40</v>
      </c>
      <c r="O164">
        <v>2713</v>
      </c>
      <c r="P164">
        <v>1</v>
      </c>
      <c r="Q164" t="s">
        <v>36</v>
      </c>
      <c r="R164">
        <v>3</v>
      </c>
      <c r="S164">
        <v>5</v>
      </c>
      <c r="T164">
        <v>1</v>
      </c>
      <c r="U164">
        <v>5</v>
      </c>
      <c r="V164">
        <v>2</v>
      </c>
      <c r="W164">
        <v>0</v>
      </c>
      <c r="X164">
        <v>2</v>
      </c>
      <c r="Y164">
        <v>11</v>
      </c>
      <c r="Z164">
        <f>IF(H_A[[#This Row],[Attrition]]="Yes",1,0)</f>
        <v>0</v>
      </c>
      <c r="AA164" t="str">
        <f>IF(H_A[[#This Row],[Age]]&lt;30,"Young",IF(H_A[[#This Row],[Age]]&lt;45,"Mid","Senior"))</f>
        <v>Young</v>
      </c>
      <c r="AB164" t="str">
        <f>IF(H_A[[#This Row],[MonthlyIncome]]&lt;5000,"Low",IF(H_A[[#This Row],[MonthlyIncome]]&lt;10000,"Medium","High"))</f>
        <v>Low</v>
      </c>
      <c r="AC164" t="str">
        <f>IF(H_A[[#This Row],[YearsAtCompany]]&lt;3,"Early",IF(H_A[[#This Row],[YearsAtCompany]]&lt;7,"Mid","Long"))</f>
        <v>Mid</v>
      </c>
      <c r="AD164" t="str">
        <f>IF(H_A[[#This Row],[PercentSalaryHike]]&lt;13,"Low",IF(H_A[[#This Row],[PercentSalaryHike]]&lt;18,"Medium","High"))</f>
        <v>Low</v>
      </c>
    </row>
    <row r="165" spans="1:30" x14ac:dyDescent="0.3">
      <c r="A165">
        <v>57</v>
      </c>
      <c r="B165">
        <v>223</v>
      </c>
      <c r="C165" t="s">
        <v>36</v>
      </c>
      <c r="D165" t="s">
        <v>37</v>
      </c>
      <c r="E165">
        <v>24</v>
      </c>
      <c r="F165">
        <v>2</v>
      </c>
      <c r="G165" t="s">
        <v>32</v>
      </c>
      <c r="H165">
        <v>3</v>
      </c>
      <c r="I165" t="s">
        <v>38</v>
      </c>
      <c r="J165">
        <v>4</v>
      </c>
      <c r="K165">
        <v>3</v>
      </c>
      <c r="L165" t="s">
        <v>46</v>
      </c>
      <c r="M165">
        <v>4</v>
      </c>
      <c r="N165" t="s">
        <v>44</v>
      </c>
      <c r="O165">
        <v>9439</v>
      </c>
      <c r="P165">
        <v>3</v>
      </c>
      <c r="Q165" t="s">
        <v>30</v>
      </c>
      <c r="R165">
        <v>2</v>
      </c>
      <c r="S165">
        <v>12</v>
      </c>
      <c r="T165">
        <v>1</v>
      </c>
      <c r="U165">
        <v>5</v>
      </c>
      <c r="V165">
        <v>3</v>
      </c>
      <c r="W165">
        <v>1</v>
      </c>
      <c r="X165">
        <v>4</v>
      </c>
      <c r="Y165">
        <v>16</v>
      </c>
      <c r="Z165">
        <f>IF(H_A[[#This Row],[Attrition]]="Yes",1,0)</f>
        <v>0</v>
      </c>
      <c r="AA165" t="str">
        <f>IF(H_A[[#This Row],[Age]]&lt;30,"Young",IF(H_A[[#This Row],[Age]]&lt;45,"Mid","Senior"))</f>
        <v>Senior</v>
      </c>
      <c r="AB165" t="str">
        <f>IF(H_A[[#This Row],[MonthlyIncome]]&lt;5000,"Low",IF(H_A[[#This Row],[MonthlyIncome]]&lt;10000,"Medium","High"))</f>
        <v>Medium</v>
      </c>
      <c r="AC165" t="str">
        <f>IF(H_A[[#This Row],[YearsAtCompany]]&lt;3,"Early",IF(H_A[[#This Row],[YearsAtCompany]]&lt;7,"Mid","Long"))</f>
        <v>Mid</v>
      </c>
      <c r="AD165" t="str">
        <f>IF(H_A[[#This Row],[PercentSalaryHike]]&lt;13,"Low",IF(H_A[[#This Row],[PercentSalaryHike]]&lt;18,"Medium","High"))</f>
        <v>Medium</v>
      </c>
    </row>
    <row r="166" spans="1:30" x14ac:dyDescent="0.3">
      <c r="A166">
        <v>27</v>
      </c>
      <c r="B166">
        <v>224</v>
      </c>
      <c r="C166" t="s">
        <v>36</v>
      </c>
      <c r="D166" t="s">
        <v>37</v>
      </c>
      <c r="E166">
        <v>3</v>
      </c>
      <c r="F166">
        <v>3</v>
      </c>
      <c r="G166" t="s">
        <v>43</v>
      </c>
      <c r="H166">
        <v>3</v>
      </c>
      <c r="I166" t="s">
        <v>38</v>
      </c>
      <c r="J166">
        <v>2</v>
      </c>
      <c r="K166">
        <v>1</v>
      </c>
      <c r="L166" t="s">
        <v>39</v>
      </c>
      <c r="M166">
        <v>3</v>
      </c>
      <c r="N166" t="s">
        <v>44</v>
      </c>
      <c r="O166">
        <v>2566</v>
      </c>
      <c r="P166">
        <v>1</v>
      </c>
      <c r="Q166" t="s">
        <v>30</v>
      </c>
      <c r="R166">
        <v>4</v>
      </c>
      <c r="S166">
        <v>1</v>
      </c>
      <c r="T166">
        <v>2</v>
      </c>
      <c r="U166">
        <v>1</v>
      </c>
      <c r="V166">
        <v>1</v>
      </c>
      <c r="W166">
        <v>0</v>
      </c>
      <c r="X166">
        <v>1</v>
      </c>
      <c r="Y166">
        <v>15</v>
      </c>
      <c r="Z166">
        <f>IF(H_A[[#This Row],[Attrition]]="Yes",1,0)</f>
        <v>0</v>
      </c>
      <c r="AA166" t="str">
        <f>IF(H_A[[#This Row],[Age]]&lt;30,"Young",IF(H_A[[#This Row],[Age]]&lt;45,"Mid","Senior"))</f>
        <v>Young</v>
      </c>
      <c r="AB166" t="str">
        <f>IF(H_A[[#This Row],[MonthlyIncome]]&lt;5000,"Low",IF(H_A[[#This Row],[MonthlyIncome]]&lt;10000,"Medium","High"))</f>
        <v>Low</v>
      </c>
      <c r="AC166" t="str">
        <f>IF(H_A[[#This Row],[YearsAtCompany]]&lt;3,"Early",IF(H_A[[#This Row],[YearsAtCompany]]&lt;7,"Mid","Long"))</f>
        <v>Early</v>
      </c>
      <c r="AD166" t="str">
        <f>IF(H_A[[#This Row],[PercentSalaryHike]]&lt;13,"Low",IF(H_A[[#This Row],[PercentSalaryHike]]&lt;18,"Medium","High"))</f>
        <v>Medium</v>
      </c>
    </row>
    <row r="167" spans="1:30" x14ac:dyDescent="0.3">
      <c r="A167">
        <v>50</v>
      </c>
      <c r="B167">
        <v>226</v>
      </c>
      <c r="C167" t="s">
        <v>36</v>
      </c>
      <c r="D167" t="s">
        <v>37</v>
      </c>
      <c r="E167">
        <v>11</v>
      </c>
      <c r="F167">
        <v>3</v>
      </c>
      <c r="G167" t="s">
        <v>32</v>
      </c>
      <c r="H167">
        <v>3</v>
      </c>
      <c r="I167" t="s">
        <v>33</v>
      </c>
      <c r="J167">
        <v>3</v>
      </c>
      <c r="K167">
        <v>5</v>
      </c>
      <c r="L167" t="s">
        <v>47</v>
      </c>
      <c r="M167">
        <v>2</v>
      </c>
      <c r="N167" t="s">
        <v>35</v>
      </c>
      <c r="O167">
        <v>19926</v>
      </c>
      <c r="P167">
        <v>3</v>
      </c>
      <c r="Q167" t="s">
        <v>36</v>
      </c>
      <c r="R167">
        <v>2</v>
      </c>
      <c r="S167">
        <v>21</v>
      </c>
      <c r="T167">
        <v>3</v>
      </c>
      <c r="U167">
        <v>5</v>
      </c>
      <c r="V167">
        <v>4</v>
      </c>
      <c r="W167">
        <v>4</v>
      </c>
      <c r="X167">
        <v>4</v>
      </c>
      <c r="Y167">
        <v>15</v>
      </c>
      <c r="Z167">
        <f>IF(H_A[[#This Row],[Attrition]]="Yes",1,0)</f>
        <v>0</v>
      </c>
      <c r="AA167" t="str">
        <f>IF(H_A[[#This Row],[Age]]&lt;30,"Young",IF(H_A[[#This Row],[Age]]&lt;45,"Mid","Senior"))</f>
        <v>Senior</v>
      </c>
      <c r="AB167" t="str">
        <f>IF(H_A[[#This Row],[MonthlyIncome]]&lt;5000,"Low",IF(H_A[[#This Row],[MonthlyIncome]]&lt;10000,"Medium","High"))</f>
        <v>High</v>
      </c>
      <c r="AC167" t="str">
        <f>IF(H_A[[#This Row],[YearsAtCompany]]&lt;3,"Early",IF(H_A[[#This Row],[YearsAtCompany]]&lt;7,"Mid","Long"))</f>
        <v>Mid</v>
      </c>
      <c r="AD167" t="str">
        <f>IF(H_A[[#This Row],[PercentSalaryHike]]&lt;13,"Low",IF(H_A[[#This Row],[PercentSalaryHike]]&lt;18,"Medium","High"))</f>
        <v>Medium</v>
      </c>
    </row>
    <row r="168" spans="1:30" x14ac:dyDescent="0.3">
      <c r="A168">
        <v>41</v>
      </c>
      <c r="B168">
        <v>227</v>
      </c>
      <c r="C168" t="s">
        <v>36</v>
      </c>
      <c r="D168" t="s">
        <v>37</v>
      </c>
      <c r="E168">
        <v>14</v>
      </c>
      <c r="F168">
        <v>3</v>
      </c>
      <c r="G168" t="s">
        <v>32</v>
      </c>
      <c r="H168">
        <v>1</v>
      </c>
      <c r="I168" t="s">
        <v>38</v>
      </c>
      <c r="J168">
        <v>3</v>
      </c>
      <c r="K168">
        <v>1</v>
      </c>
      <c r="L168" t="s">
        <v>39</v>
      </c>
      <c r="M168">
        <v>3</v>
      </c>
      <c r="N168" t="s">
        <v>44</v>
      </c>
      <c r="O168">
        <v>2451</v>
      </c>
      <c r="P168">
        <v>4</v>
      </c>
      <c r="Q168" t="s">
        <v>36</v>
      </c>
      <c r="R168">
        <v>1</v>
      </c>
      <c r="S168">
        <v>13</v>
      </c>
      <c r="T168">
        <v>3</v>
      </c>
      <c r="U168">
        <v>9</v>
      </c>
      <c r="V168">
        <v>8</v>
      </c>
      <c r="W168">
        <v>1</v>
      </c>
      <c r="X168">
        <v>8</v>
      </c>
      <c r="Y168">
        <v>12</v>
      </c>
      <c r="Z168">
        <f>IF(H_A[[#This Row],[Attrition]]="Yes",1,0)</f>
        <v>0</v>
      </c>
      <c r="AA168" t="str">
        <f>IF(H_A[[#This Row],[Age]]&lt;30,"Young",IF(H_A[[#This Row],[Age]]&lt;45,"Mid","Senior"))</f>
        <v>Mid</v>
      </c>
      <c r="AB168" t="str">
        <f>IF(H_A[[#This Row],[MonthlyIncome]]&lt;5000,"Low",IF(H_A[[#This Row],[MonthlyIncome]]&lt;10000,"Medium","High"))</f>
        <v>Low</v>
      </c>
      <c r="AC168" t="str">
        <f>IF(H_A[[#This Row],[YearsAtCompany]]&lt;3,"Early",IF(H_A[[#This Row],[YearsAtCompany]]&lt;7,"Mid","Long"))</f>
        <v>Long</v>
      </c>
      <c r="AD168" t="str">
        <f>IF(H_A[[#This Row],[PercentSalaryHike]]&lt;13,"Low",IF(H_A[[#This Row],[PercentSalaryHike]]&lt;18,"Medium","High"))</f>
        <v>Low</v>
      </c>
    </row>
    <row r="169" spans="1:30" x14ac:dyDescent="0.3">
      <c r="A169">
        <v>30</v>
      </c>
      <c r="B169">
        <v>228</v>
      </c>
      <c r="C169" t="s">
        <v>36</v>
      </c>
      <c r="D169" t="s">
        <v>31</v>
      </c>
      <c r="E169">
        <v>5</v>
      </c>
      <c r="F169">
        <v>3</v>
      </c>
      <c r="G169" t="s">
        <v>32</v>
      </c>
      <c r="H169">
        <v>2</v>
      </c>
      <c r="I169" t="s">
        <v>33</v>
      </c>
      <c r="J169">
        <v>3</v>
      </c>
      <c r="K169">
        <v>3</v>
      </c>
      <c r="L169" t="s">
        <v>34</v>
      </c>
      <c r="M169">
        <v>4</v>
      </c>
      <c r="N169" t="s">
        <v>40</v>
      </c>
      <c r="O169">
        <v>9419</v>
      </c>
      <c r="P169">
        <v>2</v>
      </c>
      <c r="Q169" t="s">
        <v>36</v>
      </c>
      <c r="R169">
        <v>3</v>
      </c>
      <c r="S169">
        <v>12</v>
      </c>
      <c r="T169">
        <v>3</v>
      </c>
      <c r="U169">
        <v>10</v>
      </c>
      <c r="V169">
        <v>9</v>
      </c>
      <c r="W169">
        <v>7</v>
      </c>
      <c r="X169">
        <v>4</v>
      </c>
      <c r="Y169">
        <v>12</v>
      </c>
      <c r="Z169">
        <f>IF(H_A[[#This Row],[Attrition]]="Yes",1,0)</f>
        <v>0</v>
      </c>
      <c r="AA169" t="str">
        <f>IF(H_A[[#This Row],[Age]]&lt;30,"Young",IF(H_A[[#This Row],[Age]]&lt;45,"Mid","Senior"))</f>
        <v>Mid</v>
      </c>
      <c r="AB169" t="str">
        <f>IF(H_A[[#This Row],[MonthlyIncome]]&lt;5000,"Low",IF(H_A[[#This Row],[MonthlyIncome]]&lt;10000,"Medium","High"))</f>
        <v>Medium</v>
      </c>
      <c r="AC169" t="str">
        <f>IF(H_A[[#This Row],[YearsAtCompany]]&lt;3,"Early",IF(H_A[[#This Row],[YearsAtCompany]]&lt;7,"Mid","Long"))</f>
        <v>Long</v>
      </c>
      <c r="AD169" t="str">
        <f>IF(H_A[[#This Row],[PercentSalaryHike]]&lt;13,"Low",IF(H_A[[#This Row],[PercentSalaryHike]]&lt;18,"Medium","High"))</f>
        <v>Low</v>
      </c>
    </row>
    <row r="170" spans="1:30" x14ac:dyDescent="0.3">
      <c r="A170">
        <v>38</v>
      </c>
      <c r="B170">
        <v>230</v>
      </c>
      <c r="C170" t="s">
        <v>36</v>
      </c>
      <c r="D170" t="s">
        <v>31</v>
      </c>
      <c r="E170">
        <v>1</v>
      </c>
      <c r="F170">
        <v>4</v>
      </c>
      <c r="G170" t="s">
        <v>32</v>
      </c>
      <c r="H170">
        <v>1</v>
      </c>
      <c r="I170" t="s">
        <v>33</v>
      </c>
      <c r="J170">
        <v>2</v>
      </c>
      <c r="K170">
        <v>2</v>
      </c>
      <c r="L170" t="s">
        <v>34</v>
      </c>
      <c r="M170">
        <v>4</v>
      </c>
      <c r="N170" t="s">
        <v>35</v>
      </c>
      <c r="O170">
        <v>8686</v>
      </c>
      <c r="P170">
        <v>4</v>
      </c>
      <c r="Q170" t="s">
        <v>36</v>
      </c>
      <c r="R170">
        <v>3</v>
      </c>
      <c r="S170">
        <v>12</v>
      </c>
      <c r="T170">
        <v>4</v>
      </c>
      <c r="U170">
        <v>8</v>
      </c>
      <c r="V170">
        <v>3</v>
      </c>
      <c r="W170">
        <v>0</v>
      </c>
      <c r="X170">
        <v>7</v>
      </c>
      <c r="Y170">
        <v>22</v>
      </c>
      <c r="Z170">
        <f>IF(H_A[[#This Row],[Attrition]]="Yes",1,0)</f>
        <v>0</v>
      </c>
      <c r="AA170" t="str">
        <f>IF(H_A[[#This Row],[Age]]&lt;30,"Young",IF(H_A[[#This Row],[Age]]&lt;45,"Mid","Senior"))</f>
        <v>Mid</v>
      </c>
      <c r="AB170" t="str">
        <f>IF(H_A[[#This Row],[MonthlyIncome]]&lt;5000,"Low",IF(H_A[[#This Row],[MonthlyIncome]]&lt;10000,"Medium","High"))</f>
        <v>Medium</v>
      </c>
      <c r="AC170" t="str">
        <f>IF(H_A[[#This Row],[YearsAtCompany]]&lt;3,"Early",IF(H_A[[#This Row],[YearsAtCompany]]&lt;7,"Mid","Long"))</f>
        <v>Long</v>
      </c>
      <c r="AD170" t="str">
        <f>IF(H_A[[#This Row],[PercentSalaryHike]]&lt;13,"Low",IF(H_A[[#This Row],[PercentSalaryHike]]&lt;18,"Medium","High"))</f>
        <v>High</v>
      </c>
    </row>
    <row r="171" spans="1:30" x14ac:dyDescent="0.3">
      <c r="A171">
        <v>32</v>
      </c>
      <c r="B171">
        <v>231</v>
      </c>
      <c r="C171" t="s">
        <v>36</v>
      </c>
      <c r="D171" t="s">
        <v>37</v>
      </c>
      <c r="E171">
        <v>6</v>
      </c>
      <c r="F171">
        <v>5</v>
      </c>
      <c r="G171" t="s">
        <v>32</v>
      </c>
      <c r="H171">
        <v>3</v>
      </c>
      <c r="I171" t="s">
        <v>38</v>
      </c>
      <c r="J171">
        <v>3</v>
      </c>
      <c r="K171">
        <v>1</v>
      </c>
      <c r="L171" t="s">
        <v>39</v>
      </c>
      <c r="M171">
        <v>3</v>
      </c>
      <c r="N171" t="s">
        <v>35</v>
      </c>
      <c r="O171">
        <v>3038</v>
      </c>
      <c r="P171">
        <v>3</v>
      </c>
      <c r="Q171" t="s">
        <v>36</v>
      </c>
      <c r="R171">
        <v>1</v>
      </c>
      <c r="S171">
        <v>8</v>
      </c>
      <c r="T171">
        <v>3</v>
      </c>
      <c r="U171">
        <v>5</v>
      </c>
      <c r="V171">
        <v>4</v>
      </c>
      <c r="W171">
        <v>1</v>
      </c>
      <c r="X171">
        <v>4</v>
      </c>
      <c r="Y171">
        <v>20</v>
      </c>
      <c r="Z171">
        <f>IF(H_A[[#This Row],[Attrition]]="Yes",1,0)</f>
        <v>0</v>
      </c>
      <c r="AA171" t="str">
        <f>IF(H_A[[#This Row],[Age]]&lt;30,"Young",IF(H_A[[#This Row],[Age]]&lt;45,"Mid","Senior"))</f>
        <v>Mid</v>
      </c>
      <c r="AB171" t="str">
        <f>IF(H_A[[#This Row],[MonthlyIncome]]&lt;5000,"Low",IF(H_A[[#This Row],[MonthlyIncome]]&lt;10000,"Medium","High"))</f>
        <v>Low</v>
      </c>
      <c r="AC171" t="str">
        <f>IF(H_A[[#This Row],[YearsAtCompany]]&lt;3,"Early",IF(H_A[[#This Row],[YearsAtCompany]]&lt;7,"Mid","Long"))</f>
        <v>Mid</v>
      </c>
      <c r="AD171" t="str">
        <f>IF(H_A[[#This Row],[PercentSalaryHike]]&lt;13,"Low",IF(H_A[[#This Row],[PercentSalaryHike]]&lt;18,"Medium","High"))</f>
        <v>High</v>
      </c>
    </row>
    <row r="172" spans="1:30" x14ac:dyDescent="0.3">
      <c r="A172">
        <v>27</v>
      </c>
      <c r="B172">
        <v>233</v>
      </c>
      <c r="C172" t="s">
        <v>36</v>
      </c>
      <c r="D172" t="s">
        <v>37</v>
      </c>
      <c r="E172">
        <v>17</v>
      </c>
      <c r="F172">
        <v>3</v>
      </c>
      <c r="G172" t="s">
        <v>51</v>
      </c>
      <c r="H172">
        <v>3</v>
      </c>
      <c r="I172" t="s">
        <v>38</v>
      </c>
      <c r="J172">
        <v>3</v>
      </c>
      <c r="K172">
        <v>1</v>
      </c>
      <c r="L172" t="s">
        <v>39</v>
      </c>
      <c r="M172">
        <v>2</v>
      </c>
      <c r="N172" t="s">
        <v>40</v>
      </c>
      <c r="O172">
        <v>3058</v>
      </c>
      <c r="P172">
        <v>0</v>
      </c>
      <c r="Q172" t="s">
        <v>30</v>
      </c>
      <c r="R172">
        <v>4</v>
      </c>
      <c r="S172">
        <v>6</v>
      </c>
      <c r="T172">
        <v>2</v>
      </c>
      <c r="U172">
        <v>5</v>
      </c>
      <c r="V172">
        <v>2</v>
      </c>
      <c r="W172">
        <v>1</v>
      </c>
      <c r="X172">
        <v>1</v>
      </c>
      <c r="Y172">
        <v>16</v>
      </c>
      <c r="Z172">
        <f>IF(H_A[[#This Row],[Attrition]]="Yes",1,0)</f>
        <v>0</v>
      </c>
      <c r="AA172" t="str">
        <f>IF(H_A[[#This Row],[Age]]&lt;30,"Young",IF(H_A[[#This Row],[Age]]&lt;45,"Mid","Senior"))</f>
        <v>Young</v>
      </c>
      <c r="AB172" t="str">
        <f>IF(H_A[[#This Row],[MonthlyIncome]]&lt;5000,"Low",IF(H_A[[#This Row],[MonthlyIncome]]&lt;10000,"Medium","High"))</f>
        <v>Low</v>
      </c>
      <c r="AC172" t="str">
        <f>IF(H_A[[#This Row],[YearsAtCompany]]&lt;3,"Early",IF(H_A[[#This Row],[YearsAtCompany]]&lt;7,"Mid","Long"))</f>
        <v>Mid</v>
      </c>
      <c r="AD172" t="str">
        <f>IF(H_A[[#This Row],[PercentSalaryHike]]&lt;13,"Low",IF(H_A[[#This Row],[PercentSalaryHike]]&lt;18,"Medium","High"))</f>
        <v>Medium</v>
      </c>
    </row>
    <row r="173" spans="1:30" x14ac:dyDescent="0.3">
      <c r="A173">
        <v>19</v>
      </c>
      <c r="B173">
        <v>235</v>
      </c>
      <c r="C173" t="s">
        <v>30</v>
      </c>
      <c r="D173" t="s">
        <v>31</v>
      </c>
      <c r="E173">
        <v>1</v>
      </c>
      <c r="F173">
        <v>1</v>
      </c>
      <c r="G173" t="s">
        <v>51</v>
      </c>
      <c r="H173">
        <v>3</v>
      </c>
      <c r="I173" t="s">
        <v>33</v>
      </c>
      <c r="J173">
        <v>1</v>
      </c>
      <c r="K173">
        <v>1</v>
      </c>
      <c r="L173" t="s">
        <v>48</v>
      </c>
      <c r="M173">
        <v>1</v>
      </c>
      <c r="N173" t="s">
        <v>35</v>
      </c>
      <c r="O173">
        <v>2325</v>
      </c>
      <c r="P173">
        <v>0</v>
      </c>
      <c r="Q173" t="s">
        <v>36</v>
      </c>
      <c r="R173">
        <v>1</v>
      </c>
      <c r="S173">
        <v>1</v>
      </c>
      <c r="T173">
        <v>4</v>
      </c>
      <c r="U173">
        <v>0</v>
      </c>
      <c r="V173">
        <v>0</v>
      </c>
      <c r="W173">
        <v>0</v>
      </c>
      <c r="X173">
        <v>0</v>
      </c>
      <c r="Y173">
        <v>21</v>
      </c>
      <c r="Z173">
        <f>IF(H_A[[#This Row],[Attrition]]="Yes",1,0)</f>
        <v>1</v>
      </c>
      <c r="AA173" t="str">
        <f>IF(H_A[[#This Row],[Age]]&lt;30,"Young",IF(H_A[[#This Row],[Age]]&lt;45,"Mid","Senior"))</f>
        <v>Young</v>
      </c>
      <c r="AB173" t="str">
        <f>IF(H_A[[#This Row],[MonthlyIncome]]&lt;5000,"Low",IF(H_A[[#This Row],[MonthlyIncome]]&lt;10000,"Medium","High"))</f>
        <v>Low</v>
      </c>
      <c r="AC173" t="str">
        <f>IF(H_A[[#This Row],[YearsAtCompany]]&lt;3,"Early",IF(H_A[[#This Row],[YearsAtCompany]]&lt;7,"Mid","Long"))</f>
        <v>Early</v>
      </c>
      <c r="AD173" t="str">
        <f>IF(H_A[[#This Row],[PercentSalaryHike]]&lt;13,"Low",IF(H_A[[#This Row],[PercentSalaryHike]]&lt;18,"Medium","High"))</f>
        <v>High</v>
      </c>
    </row>
    <row r="174" spans="1:30" x14ac:dyDescent="0.3">
      <c r="A174">
        <v>36</v>
      </c>
      <c r="B174">
        <v>238</v>
      </c>
      <c r="C174" t="s">
        <v>36</v>
      </c>
      <c r="D174" t="s">
        <v>37</v>
      </c>
      <c r="E174">
        <v>3</v>
      </c>
      <c r="F174">
        <v>2</v>
      </c>
      <c r="G174" t="s">
        <v>43</v>
      </c>
      <c r="H174">
        <v>4</v>
      </c>
      <c r="I174" t="s">
        <v>38</v>
      </c>
      <c r="J174">
        <v>3</v>
      </c>
      <c r="K174">
        <v>1</v>
      </c>
      <c r="L174" t="s">
        <v>42</v>
      </c>
      <c r="M174">
        <v>2</v>
      </c>
      <c r="N174" t="s">
        <v>35</v>
      </c>
      <c r="O174">
        <v>2088</v>
      </c>
      <c r="P174">
        <v>4</v>
      </c>
      <c r="Q174" t="s">
        <v>36</v>
      </c>
      <c r="R174">
        <v>3</v>
      </c>
      <c r="S174">
        <v>13</v>
      </c>
      <c r="T174">
        <v>2</v>
      </c>
      <c r="U174">
        <v>8</v>
      </c>
      <c r="V174">
        <v>7</v>
      </c>
      <c r="W174">
        <v>7</v>
      </c>
      <c r="X174">
        <v>2</v>
      </c>
      <c r="Y174">
        <v>12</v>
      </c>
      <c r="Z174">
        <f>IF(H_A[[#This Row],[Attrition]]="Yes",1,0)</f>
        <v>0</v>
      </c>
      <c r="AA174" t="str">
        <f>IF(H_A[[#This Row],[Age]]&lt;30,"Young",IF(H_A[[#This Row],[Age]]&lt;45,"Mid","Senior"))</f>
        <v>Mid</v>
      </c>
      <c r="AB174" t="str">
        <f>IF(H_A[[#This Row],[MonthlyIncome]]&lt;5000,"Low",IF(H_A[[#This Row],[MonthlyIncome]]&lt;10000,"Medium","High"))</f>
        <v>Low</v>
      </c>
      <c r="AC174" t="str">
        <f>IF(H_A[[#This Row],[YearsAtCompany]]&lt;3,"Early",IF(H_A[[#This Row],[YearsAtCompany]]&lt;7,"Mid","Long"))</f>
        <v>Long</v>
      </c>
      <c r="AD174" t="str">
        <f>IF(H_A[[#This Row],[PercentSalaryHike]]&lt;13,"Low",IF(H_A[[#This Row],[PercentSalaryHike]]&lt;18,"Medium","High"))</f>
        <v>Low</v>
      </c>
    </row>
    <row r="175" spans="1:30" x14ac:dyDescent="0.3">
      <c r="A175">
        <v>30</v>
      </c>
      <c r="B175">
        <v>239</v>
      </c>
      <c r="C175" t="s">
        <v>36</v>
      </c>
      <c r="D175" t="s">
        <v>37</v>
      </c>
      <c r="E175">
        <v>9</v>
      </c>
      <c r="F175">
        <v>3</v>
      </c>
      <c r="G175" t="s">
        <v>43</v>
      </c>
      <c r="H175">
        <v>3</v>
      </c>
      <c r="I175" t="s">
        <v>38</v>
      </c>
      <c r="J175">
        <v>3</v>
      </c>
      <c r="K175">
        <v>2</v>
      </c>
      <c r="L175" t="s">
        <v>42</v>
      </c>
      <c r="M175">
        <v>1</v>
      </c>
      <c r="N175" t="s">
        <v>44</v>
      </c>
      <c r="O175">
        <v>3072</v>
      </c>
      <c r="P175">
        <v>1</v>
      </c>
      <c r="Q175" t="s">
        <v>36</v>
      </c>
      <c r="R175">
        <v>3</v>
      </c>
      <c r="S175">
        <v>12</v>
      </c>
      <c r="T175">
        <v>3</v>
      </c>
      <c r="U175">
        <v>12</v>
      </c>
      <c r="V175">
        <v>9</v>
      </c>
      <c r="W175">
        <v>6</v>
      </c>
      <c r="X175">
        <v>10</v>
      </c>
      <c r="Y175">
        <v>11</v>
      </c>
      <c r="Z175">
        <f>IF(H_A[[#This Row],[Attrition]]="Yes",1,0)</f>
        <v>0</v>
      </c>
      <c r="AA175" t="str">
        <f>IF(H_A[[#This Row],[Age]]&lt;30,"Young",IF(H_A[[#This Row],[Age]]&lt;45,"Mid","Senior"))</f>
        <v>Mid</v>
      </c>
      <c r="AB175" t="str">
        <f>IF(H_A[[#This Row],[MonthlyIncome]]&lt;5000,"Low",IF(H_A[[#This Row],[MonthlyIncome]]&lt;10000,"Medium","High"))</f>
        <v>Low</v>
      </c>
      <c r="AC175" t="str">
        <f>IF(H_A[[#This Row],[YearsAtCompany]]&lt;3,"Early",IF(H_A[[#This Row],[YearsAtCompany]]&lt;7,"Mid","Long"))</f>
        <v>Long</v>
      </c>
      <c r="AD175" t="str">
        <f>IF(H_A[[#This Row],[PercentSalaryHike]]&lt;13,"Low",IF(H_A[[#This Row],[PercentSalaryHike]]&lt;18,"Medium","High"))</f>
        <v>Low</v>
      </c>
    </row>
    <row r="176" spans="1:30" x14ac:dyDescent="0.3">
      <c r="A176">
        <v>45</v>
      </c>
      <c r="B176">
        <v>240</v>
      </c>
      <c r="C176" t="s">
        <v>36</v>
      </c>
      <c r="D176" t="s">
        <v>31</v>
      </c>
      <c r="E176">
        <v>4</v>
      </c>
      <c r="F176">
        <v>2</v>
      </c>
      <c r="G176" t="s">
        <v>32</v>
      </c>
      <c r="H176">
        <v>3</v>
      </c>
      <c r="I176" t="s">
        <v>33</v>
      </c>
      <c r="J176">
        <v>3</v>
      </c>
      <c r="K176">
        <v>2</v>
      </c>
      <c r="L176" t="s">
        <v>34</v>
      </c>
      <c r="M176">
        <v>1</v>
      </c>
      <c r="N176" t="s">
        <v>44</v>
      </c>
      <c r="O176">
        <v>5006</v>
      </c>
      <c r="P176">
        <v>4</v>
      </c>
      <c r="Q176" t="s">
        <v>30</v>
      </c>
      <c r="R176">
        <v>1</v>
      </c>
      <c r="S176">
        <v>9</v>
      </c>
      <c r="T176">
        <v>4</v>
      </c>
      <c r="U176">
        <v>5</v>
      </c>
      <c r="V176">
        <v>4</v>
      </c>
      <c r="W176">
        <v>0</v>
      </c>
      <c r="X176">
        <v>3</v>
      </c>
      <c r="Y176">
        <v>11</v>
      </c>
      <c r="Z176">
        <f>IF(H_A[[#This Row],[Attrition]]="Yes",1,0)</f>
        <v>0</v>
      </c>
      <c r="AA176" t="str">
        <f>IF(H_A[[#This Row],[Age]]&lt;30,"Young",IF(H_A[[#This Row],[Age]]&lt;45,"Mid","Senior"))</f>
        <v>Senior</v>
      </c>
      <c r="AB176" t="str">
        <f>IF(H_A[[#This Row],[MonthlyIncome]]&lt;5000,"Low",IF(H_A[[#This Row],[MonthlyIncome]]&lt;10000,"Medium","High"))</f>
        <v>Medium</v>
      </c>
      <c r="AC176" t="str">
        <f>IF(H_A[[#This Row],[YearsAtCompany]]&lt;3,"Early",IF(H_A[[#This Row],[YearsAtCompany]]&lt;7,"Mid","Long"))</f>
        <v>Mid</v>
      </c>
      <c r="AD176" t="str">
        <f>IF(H_A[[#This Row],[PercentSalaryHike]]&lt;13,"Low",IF(H_A[[#This Row],[PercentSalaryHike]]&lt;18,"Medium","High"))</f>
        <v>Low</v>
      </c>
    </row>
    <row r="177" spans="1:30" x14ac:dyDescent="0.3">
      <c r="A177">
        <v>56</v>
      </c>
      <c r="B177">
        <v>241</v>
      </c>
      <c r="C177" t="s">
        <v>36</v>
      </c>
      <c r="D177" t="s">
        <v>37</v>
      </c>
      <c r="E177">
        <v>8</v>
      </c>
      <c r="F177">
        <v>3</v>
      </c>
      <c r="G177" t="s">
        <v>32</v>
      </c>
      <c r="H177">
        <v>3</v>
      </c>
      <c r="I177" t="s">
        <v>33</v>
      </c>
      <c r="J177">
        <v>3</v>
      </c>
      <c r="K177">
        <v>1</v>
      </c>
      <c r="L177" t="s">
        <v>39</v>
      </c>
      <c r="M177">
        <v>1</v>
      </c>
      <c r="N177" t="s">
        <v>44</v>
      </c>
      <c r="O177">
        <v>4257</v>
      </c>
      <c r="P177">
        <v>4</v>
      </c>
      <c r="Q177" t="s">
        <v>30</v>
      </c>
      <c r="R177">
        <v>3</v>
      </c>
      <c r="S177">
        <v>19</v>
      </c>
      <c r="T177">
        <v>3</v>
      </c>
      <c r="U177">
        <v>2</v>
      </c>
      <c r="V177">
        <v>2</v>
      </c>
      <c r="W177">
        <v>2</v>
      </c>
      <c r="X177">
        <v>2</v>
      </c>
      <c r="Y177">
        <v>18</v>
      </c>
      <c r="Z177">
        <f>IF(H_A[[#This Row],[Attrition]]="Yes",1,0)</f>
        <v>0</v>
      </c>
      <c r="AA177" t="str">
        <f>IF(H_A[[#This Row],[Age]]&lt;30,"Young",IF(H_A[[#This Row],[Age]]&lt;45,"Mid","Senior"))</f>
        <v>Senior</v>
      </c>
      <c r="AB177" t="str">
        <f>IF(H_A[[#This Row],[MonthlyIncome]]&lt;5000,"Low",IF(H_A[[#This Row],[MonthlyIncome]]&lt;10000,"Medium","High"))</f>
        <v>Low</v>
      </c>
      <c r="AC177" t="str">
        <f>IF(H_A[[#This Row],[YearsAtCompany]]&lt;3,"Early",IF(H_A[[#This Row],[YearsAtCompany]]&lt;7,"Mid","Long"))</f>
        <v>Early</v>
      </c>
      <c r="AD177" t="str">
        <f>IF(H_A[[#This Row],[PercentSalaryHike]]&lt;13,"Low",IF(H_A[[#This Row],[PercentSalaryHike]]&lt;18,"Medium","High"))</f>
        <v>High</v>
      </c>
    </row>
    <row r="178" spans="1:30" x14ac:dyDescent="0.3">
      <c r="A178">
        <v>33</v>
      </c>
      <c r="B178">
        <v>242</v>
      </c>
      <c r="C178" t="s">
        <v>36</v>
      </c>
      <c r="D178" t="s">
        <v>37</v>
      </c>
      <c r="E178">
        <v>2</v>
      </c>
      <c r="F178">
        <v>3</v>
      </c>
      <c r="G178" t="s">
        <v>32</v>
      </c>
      <c r="H178">
        <v>3</v>
      </c>
      <c r="I178" t="s">
        <v>38</v>
      </c>
      <c r="J178">
        <v>3</v>
      </c>
      <c r="K178">
        <v>1</v>
      </c>
      <c r="L178" t="s">
        <v>39</v>
      </c>
      <c r="M178">
        <v>4</v>
      </c>
      <c r="N178" t="s">
        <v>35</v>
      </c>
      <c r="O178">
        <v>2500</v>
      </c>
      <c r="P178">
        <v>0</v>
      </c>
      <c r="Q178" t="s">
        <v>36</v>
      </c>
      <c r="R178">
        <v>1</v>
      </c>
      <c r="S178">
        <v>4</v>
      </c>
      <c r="T178">
        <v>4</v>
      </c>
      <c r="U178">
        <v>3</v>
      </c>
      <c r="V178">
        <v>1</v>
      </c>
      <c r="W178">
        <v>0</v>
      </c>
      <c r="X178">
        <v>2</v>
      </c>
      <c r="Y178">
        <v>14</v>
      </c>
      <c r="Z178">
        <f>IF(H_A[[#This Row],[Attrition]]="Yes",1,0)</f>
        <v>0</v>
      </c>
      <c r="AA178" t="str">
        <f>IF(H_A[[#This Row],[Age]]&lt;30,"Young",IF(H_A[[#This Row],[Age]]&lt;45,"Mid","Senior"))</f>
        <v>Mid</v>
      </c>
      <c r="AB178" t="str">
        <f>IF(H_A[[#This Row],[MonthlyIncome]]&lt;5000,"Low",IF(H_A[[#This Row],[MonthlyIncome]]&lt;10000,"Medium","High"))</f>
        <v>Low</v>
      </c>
      <c r="AC178" t="str">
        <f>IF(H_A[[#This Row],[YearsAtCompany]]&lt;3,"Early",IF(H_A[[#This Row],[YearsAtCompany]]&lt;7,"Mid","Long"))</f>
        <v>Mid</v>
      </c>
      <c r="AD178" t="str">
        <f>IF(H_A[[#This Row],[PercentSalaryHike]]&lt;13,"Low",IF(H_A[[#This Row],[PercentSalaryHike]]&lt;18,"Medium","High"))</f>
        <v>Medium</v>
      </c>
    </row>
    <row r="179" spans="1:30" x14ac:dyDescent="0.3">
      <c r="A179">
        <v>19</v>
      </c>
      <c r="B179">
        <v>243</v>
      </c>
      <c r="C179" t="s">
        <v>30</v>
      </c>
      <c r="D179" t="s">
        <v>37</v>
      </c>
      <c r="E179">
        <v>2</v>
      </c>
      <c r="F179">
        <v>3</v>
      </c>
      <c r="G179" t="s">
        <v>32</v>
      </c>
      <c r="H179">
        <v>2</v>
      </c>
      <c r="I179" t="s">
        <v>38</v>
      </c>
      <c r="J179">
        <v>2</v>
      </c>
      <c r="K179">
        <v>1</v>
      </c>
      <c r="L179" t="s">
        <v>42</v>
      </c>
      <c r="M179">
        <v>4</v>
      </c>
      <c r="N179" t="s">
        <v>35</v>
      </c>
      <c r="O179">
        <v>1102</v>
      </c>
      <c r="P179">
        <v>1</v>
      </c>
      <c r="Q179" t="s">
        <v>36</v>
      </c>
      <c r="R179">
        <v>3</v>
      </c>
      <c r="S179">
        <v>1</v>
      </c>
      <c r="T179">
        <v>2</v>
      </c>
      <c r="U179">
        <v>1</v>
      </c>
      <c r="V179">
        <v>0</v>
      </c>
      <c r="W179">
        <v>1</v>
      </c>
      <c r="X179">
        <v>0</v>
      </c>
      <c r="Y179">
        <v>22</v>
      </c>
      <c r="Z179">
        <f>IF(H_A[[#This Row],[Attrition]]="Yes",1,0)</f>
        <v>1</v>
      </c>
      <c r="AA179" t="str">
        <f>IF(H_A[[#This Row],[Age]]&lt;30,"Young",IF(H_A[[#This Row],[Age]]&lt;45,"Mid","Senior"))</f>
        <v>Young</v>
      </c>
      <c r="AB179" t="str">
        <f>IF(H_A[[#This Row],[MonthlyIncome]]&lt;5000,"Low",IF(H_A[[#This Row],[MonthlyIncome]]&lt;10000,"Medium","High"))</f>
        <v>Low</v>
      </c>
      <c r="AC179" t="str">
        <f>IF(H_A[[#This Row],[YearsAtCompany]]&lt;3,"Early",IF(H_A[[#This Row],[YearsAtCompany]]&lt;7,"Mid","Long"))</f>
        <v>Early</v>
      </c>
      <c r="AD179" t="str">
        <f>IF(H_A[[#This Row],[PercentSalaryHike]]&lt;13,"Low",IF(H_A[[#This Row],[PercentSalaryHike]]&lt;18,"Medium","High"))</f>
        <v>High</v>
      </c>
    </row>
    <row r="180" spans="1:30" x14ac:dyDescent="0.3">
      <c r="A180">
        <v>46</v>
      </c>
      <c r="B180">
        <v>244</v>
      </c>
      <c r="C180" t="s">
        <v>36</v>
      </c>
      <c r="D180" t="s">
        <v>31</v>
      </c>
      <c r="E180">
        <v>1</v>
      </c>
      <c r="F180">
        <v>2</v>
      </c>
      <c r="G180" t="s">
        <v>50</v>
      </c>
      <c r="H180">
        <v>2</v>
      </c>
      <c r="I180" t="s">
        <v>33</v>
      </c>
      <c r="J180">
        <v>3</v>
      </c>
      <c r="K180">
        <v>3</v>
      </c>
      <c r="L180" t="s">
        <v>34</v>
      </c>
      <c r="M180">
        <v>1</v>
      </c>
      <c r="N180" t="s">
        <v>44</v>
      </c>
      <c r="O180">
        <v>10453</v>
      </c>
      <c r="P180">
        <v>1</v>
      </c>
      <c r="Q180" t="s">
        <v>36</v>
      </c>
      <c r="R180">
        <v>3</v>
      </c>
      <c r="S180">
        <v>24</v>
      </c>
      <c r="T180">
        <v>3</v>
      </c>
      <c r="U180">
        <v>24</v>
      </c>
      <c r="V180">
        <v>13</v>
      </c>
      <c r="W180">
        <v>15</v>
      </c>
      <c r="X180">
        <v>7</v>
      </c>
      <c r="Y180">
        <v>25</v>
      </c>
      <c r="Z180">
        <f>IF(H_A[[#This Row],[Attrition]]="Yes",1,0)</f>
        <v>0</v>
      </c>
      <c r="AA180" t="str">
        <f>IF(H_A[[#This Row],[Age]]&lt;30,"Young",IF(H_A[[#This Row],[Age]]&lt;45,"Mid","Senior"))</f>
        <v>Senior</v>
      </c>
      <c r="AB180" t="str">
        <f>IF(H_A[[#This Row],[MonthlyIncome]]&lt;5000,"Low",IF(H_A[[#This Row],[MonthlyIncome]]&lt;10000,"Medium","High"))</f>
        <v>High</v>
      </c>
      <c r="AC180" t="str">
        <f>IF(H_A[[#This Row],[YearsAtCompany]]&lt;3,"Early",IF(H_A[[#This Row],[YearsAtCompany]]&lt;7,"Mid","Long"))</f>
        <v>Long</v>
      </c>
      <c r="AD180" t="str">
        <f>IF(H_A[[#This Row],[PercentSalaryHike]]&lt;13,"Low",IF(H_A[[#This Row],[PercentSalaryHike]]&lt;18,"Medium","High"))</f>
        <v>High</v>
      </c>
    </row>
    <row r="181" spans="1:30" x14ac:dyDescent="0.3">
      <c r="A181">
        <v>38</v>
      </c>
      <c r="B181">
        <v>245</v>
      </c>
      <c r="C181" t="s">
        <v>36</v>
      </c>
      <c r="D181" t="s">
        <v>37</v>
      </c>
      <c r="E181">
        <v>9</v>
      </c>
      <c r="F181">
        <v>2</v>
      </c>
      <c r="G181" t="s">
        <v>32</v>
      </c>
      <c r="H181">
        <v>3</v>
      </c>
      <c r="I181" t="s">
        <v>33</v>
      </c>
      <c r="J181">
        <v>3</v>
      </c>
      <c r="K181">
        <v>1</v>
      </c>
      <c r="L181" t="s">
        <v>42</v>
      </c>
      <c r="M181">
        <v>4</v>
      </c>
      <c r="N181" t="s">
        <v>35</v>
      </c>
      <c r="O181">
        <v>2288</v>
      </c>
      <c r="P181">
        <v>1</v>
      </c>
      <c r="Q181" t="s">
        <v>36</v>
      </c>
      <c r="R181">
        <v>3</v>
      </c>
      <c r="S181">
        <v>2</v>
      </c>
      <c r="T181">
        <v>3</v>
      </c>
      <c r="U181">
        <v>2</v>
      </c>
      <c r="V181">
        <v>2</v>
      </c>
      <c r="W181">
        <v>2</v>
      </c>
      <c r="X181">
        <v>1</v>
      </c>
      <c r="Y181">
        <v>12</v>
      </c>
      <c r="Z181">
        <f>IF(H_A[[#This Row],[Attrition]]="Yes",1,0)</f>
        <v>0</v>
      </c>
      <c r="AA181" t="str">
        <f>IF(H_A[[#This Row],[Age]]&lt;30,"Young",IF(H_A[[#This Row],[Age]]&lt;45,"Mid","Senior"))</f>
        <v>Mid</v>
      </c>
      <c r="AB181" t="str">
        <f>IF(H_A[[#This Row],[MonthlyIncome]]&lt;5000,"Low",IF(H_A[[#This Row],[MonthlyIncome]]&lt;10000,"Medium","High"))</f>
        <v>Low</v>
      </c>
      <c r="AC181" t="str">
        <f>IF(H_A[[#This Row],[YearsAtCompany]]&lt;3,"Early",IF(H_A[[#This Row],[YearsAtCompany]]&lt;7,"Mid","Long"))</f>
        <v>Early</v>
      </c>
      <c r="AD181" t="str">
        <f>IF(H_A[[#This Row],[PercentSalaryHike]]&lt;13,"Low",IF(H_A[[#This Row],[PercentSalaryHike]]&lt;18,"Medium","High"))</f>
        <v>Low</v>
      </c>
    </row>
    <row r="182" spans="1:30" x14ac:dyDescent="0.3">
      <c r="A182">
        <v>31</v>
      </c>
      <c r="B182">
        <v>246</v>
      </c>
      <c r="C182" t="s">
        <v>36</v>
      </c>
      <c r="D182" t="s">
        <v>37</v>
      </c>
      <c r="E182">
        <v>12</v>
      </c>
      <c r="F182">
        <v>1</v>
      </c>
      <c r="G182" t="s">
        <v>43</v>
      </c>
      <c r="H182">
        <v>3</v>
      </c>
      <c r="I182" t="s">
        <v>33</v>
      </c>
      <c r="J182">
        <v>3</v>
      </c>
      <c r="K182">
        <v>1</v>
      </c>
      <c r="L182" t="s">
        <v>39</v>
      </c>
      <c r="M182">
        <v>4</v>
      </c>
      <c r="N182" t="s">
        <v>40</v>
      </c>
      <c r="O182">
        <v>3929</v>
      </c>
      <c r="P182">
        <v>8</v>
      </c>
      <c r="Q182" t="s">
        <v>30</v>
      </c>
      <c r="R182">
        <v>3</v>
      </c>
      <c r="S182">
        <v>7</v>
      </c>
      <c r="T182">
        <v>3</v>
      </c>
      <c r="U182">
        <v>4</v>
      </c>
      <c r="V182">
        <v>2</v>
      </c>
      <c r="W182">
        <v>0</v>
      </c>
      <c r="X182">
        <v>2</v>
      </c>
      <c r="Y182">
        <v>23</v>
      </c>
      <c r="Z182">
        <f>IF(H_A[[#This Row],[Attrition]]="Yes",1,0)</f>
        <v>0</v>
      </c>
      <c r="AA182" t="str">
        <f>IF(H_A[[#This Row],[Age]]&lt;30,"Young",IF(H_A[[#This Row],[Age]]&lt;45,"Mid","Senior"))</f>
        <v>Mid</v>
      </c>
      <c r="AB182" t="str">
        <f>IF(H_A[[#This Row],[MonthlyIncome]]&lt;5000,"Low",IF(H_A[[#This Row],[MonthlyIncome]]&lt;10000,"Medium","High"))</f>
        <v>Low</v>
      </c>
      <c r="AC182" t="str">
        <f>IF(H_A[[#This Row],[YearsAtCompany]]&lt;3,"Early",IF(H_A[[#This Row],[YearsAtCompany]]&lt;7,"Mid","Long"))</f>
        <v>Mid</v>
      </c>
      <c r="AD182" t="str">
        <f>IF(H_A[[#This Row],[PercentSalaryHike]]&lt;13,"Low",IF(H_A[[#This Row],[PercentSalaryHike]]&lt;18,"Medium","High"))</f>
        <v>High</v>
      </c>
    </row>
    <row r="183" spans="1:30" x14ac:dyDescent="0.3">
      <c r="A183">
        <v>34</v>
      </c>
      <c r="B183">
        <v>247</v>
      </c>
      <c r="C183" t="s">
        <v>36</v>
      </c>
      <c r="D183" t="s">
        <v>37</v>
      </c>
      <c r="E183">
        <v>27</v>
      </c>
      <c r="F183">
        <v>2</v>
      </c>
      <c r="G183" t="s">
        <v>43</v>
      </c>
      <c r="H183">
        <v>4</v>
      </c>
      <c r="I183" t="s">
        <v>33</v>
      </c>
      <c r="J183">
        <v>3</v>
      </c>
      <c r="K183">
        <v>1</v>
      </c>
      <c r="L183" t="s">
        <v>39</v>
      </c>
      <c r="M183">
        <v>2</v>
      </c>
      <c r="N183" t="s">
        <v>35</v>
      </c>
      <c r="O183">
        <v>2311</v>
      </c>
      <c r="P183">
        <v>2</v>
      </c>
      <c r="Q183" t="s">
        <v>36</v>
      </c>
      <c r="R183">
        <v>4</v>
      </c>
      <c r="S183">
        <v>9</v>
      </c>
      <c r="T183">
        <v>3</v>
      </c>
      <c r="U183">
        <v>3</v>
      </c>
      <c r="V183">
        <v>2</v>
      </c>
      <c r="W183">
        <v>1</v>
      </c>
      <c r="X183">
        <v>2</v>
      </c>
      <c r="Y183">
        <v>15</v>
      </c>
      <c r="Z183">
        <f>IF(H_A[[#This Row],[Attrition]]="Yes",1,0)</f>
        <v>0</v>
      </c>
      <c r="AA183" t="str">
        <f>IF(H_A[[#This Row],[Age]]&lt;30,"Young",IF(H_A[[#This Row],[Age]]&lt;45,"Mid","Senior"))</f>
        <v>Mid</v>
      </c>
      <c r="AB183" t="str">
        <f>IF(H_A[[#This Row],[MonthlyIncome]]&lt;5000,"Low",IF(H_A[[#This Row],[MonthlyIncome]]&lt;10000,"Medium","High"))</f>
        <v>Low</v>
      </c>
      <c r="AC183" t="str">
        <f>IF(H_A[[#This Row],[YearsAtCompany]]&lt;3,"Early",IF(H_A[[#This Row],[YearsAtCompany]]&lt;7,"Mid","Long"))</f>
        <v>Mid</v>
      </c>
      <c r="AD183" t="str">
        <f>IF(H_A[[#This Row],[PercentSalaryHike]]&lt;13,"Low",IF(H_A[[#This Row],[PercentSalaryHike]]&lt;18,"Medium","High"))</f>
        <v>Medium</v>
      </c>
    </row>
    <row r="184" spans="1:30" x14ac:dyDescent="0.3">
      <c r="A184">
        <v>41</v>
      </c>
      <c r="B184">
        <v>248</v>
      </c>
      <c r="C184" t="s">
        <v>30</v>
      </c>
      <c r="D184" t="s">
        <v>31</v>
      </c>
      <c r="E184">
        <v>20</v>
      </c>
      <c r="F184">
        <v>2</v>
      </c>
      <c r="G184" t="s">
        <v>50</v>
      </c>
      <c r="H184">
        <v>2</v>
      </c>
      <c r="I184" t="s">
        <v>33</v>
      </c>
      <c r="J184">
        <v>3</v>
      </c>
      <c r="K184">
        <v>1</v>
      </c>
      <c r="L184" t="s">
        <v>48</v>
      </c>
      <c r="M184">
        <v>2</v>
      </c>
      <c r="N184" t="s">
        <v>35</v>
      </c>
      <c r="O184">
        <v>3140</v>
      </c>
      <c r="P184">
        <v>1</v>
      </c>
      <c r="Q184" t="s">
        <v>30</v>
      </c>
      <c r="R184">
        <v>4</v>
      </c>
      <c r="S184">
        <v>4</v>
      </c>
      <c r="T184">
        <v>2</v>
      </c>
      <c r="U184">
        <v>4</v>
      </c>
      <c r="V184">
        <v>3</v>
      </c>
      <c r="W184">
        <v>0</v>
      </c>
      <c r="X184">
        <v>2</v>
      </c>
      <c r="Y184">
        <v>22</v>
      </c>
      <c r="Z184">
        <f>IF(H_A[[#This Row],[Attrition]]="Yes",1,0)</f>
        <v>1</v>
      </c>
      <c r="AA184" t="str">
        <f>IF(H_A[[#This Row],[Age]]&lt;30,"Young",IF(H_A[[#This Row],[Age]]&lt;45,"Mid","Senior"))</f>
        <v>Mid</v>
      </c>
      <c r="AB184" t="str">
        <f>IF(H_A[[#This Row],[MonthlyIncome]]&lt;5000,"Low",IF(H_A[[#This Row],[MonthlyIncome]]&lt;10000,"Medium","High"))</f>
        <v>Low</v>
      </c>
      <c r="AC184" t="str">
        <f>IF(H_A[[#This Row],[YearsAtCompany]]&lt;3,"Early",IF(H_A[[#This Row],[YearsAtCompany]]&lt;7,"Mid","Long"))</f>
        <v>Mid</v>
      </c>
      <c r="AD184" t="str">
        <f>IF(H_A[[#This Row],[PercentSalaryHike]]&lt;13,"Low",IF(H_A[[#This Row],[PercentSalaryHike]]&lt;18,"Medium","High"))</f>
        <v>High</v>
      </c>
    </row>
    <row r="185" spans="1:30" x14ac:dyDescent="0.3">
      <c r="A185">
        <v>50</v>
      </c>
      <c r="B185">
        <v>249</v>
      </c>
      <c r="C185" t="s">
        <v>36</v>
      </c>
      <c r="D185" t="s">
        <v>37</v>
      </c>
      <c r="E185">
        <v>1</v>
      </c>
      <c r="F185">
        <v>3</v>
      </c>
      <c r="G185" t="s">
        <v>43</v>
      </c>
      <c r="H185">
        <v>3</v>
      </c>
      <c r="I185" t="s">
        <v>38</v>
      </c>
      <c r="J185">
        <v>2</v>
      </c>
      <c r="K185">
        <v>1</v>
      </c>
      <c r="L185" t="s">
        <v>42</v>
      </c>
      <c r="M185">
        <v>3</v>
      </c>
      <c r="N185" t="s">
        <v>40</v>
      </c>
      <c r="O185">
        <v>3690</v>
      </c>
      <c r="P185">
        <v>2</v>
      </c>
      <c r="Q185" t="s">
        <v>36</v>
      </c>
      <c r="R185">
        <v>4</v>
      </c>
      <c r="S185">
        <v>5</v>
      </c>
      <c r="T185">
        <v>2</v>
      </c>
      <c r="U185">
        <v>3</v>
      </c>
      <c r="V185">
        <v>2</v>
      </c>
      <c r="W185">
        <v>0</v>
      </c>
      <c r="X185">
        <v>2</v>
      </c>
      <c r="Y185">
        <v>15</v>
      </c>
      <c r="Z185">
        <f>IF(H_A[[#This Row],[Attrition]]="Yes",1,0)</f>
        <v>0</v>
      </c>
      <c r="AA185" t="str">
        <f>IF(H_A[[#This Row],[Age]]&lt;30,"Young",IF(H_A[[#This Row],[Age]]&lt;45,"Mid","Senior"))</f>
        <v>Senior</v>
      </c>
      <c r="AB185" t="str">
        <f>IF(H_A[[#This Row],[MonthlyIncome]]&lt;5000,"Low",IF(H_A[[#This Row],[MonthlyIncome]]&lt;10000,"Medium","High"))</f>
        <v>Low</v>
      </c>
      <c r="AC185" t="str">
        <f>IF(H_A[[#This Row],[YearsAtCompany]]&lt;3,"Early",IF(H_A[[#This Row],[YearsAtCompany]]&lt;7,"Mid","Long"))</f>
        <v>Mid</v>
      </c>
      <c r="AD185" t="str">
        <f>IF(H_A[[#This Row],[PercentSalaryHike]]&lt;13,"Low",IF(H_A[[#This Row],[PercentSalaryHike]]&lt;18,"Medium","High"))</f>
        <v>Medium</v>
      </c>
    </row>
    <row r="186" spans="1:30" x14ac:dyDescent="0.3">
      <c r="A186">
        <v>53</v>
      </c>
      <c r="B186">
        <v>250</v>
      </c>
      <c r="C186" t="s">
        <v>36</v>
      </c>
      <c r="D186" t="s">
        <v>37</v>
      </c>
      <c r="E186">
        <v>13</v>
      </c>
      <c r="F186">
        <v>2</v>
      </c>
      <c r="G186" t="s">
        <v>43</v>
      </c>
      <c r="H186">
        <v>4</v>
      </c>
      <c r="I186" t="s">
        <v>33</v>
      </c>
      <c r="J186">
        <v>4</v>
      </c>
      <c r="K186">
        <v>2</v>
      </c>
      <c r="L186" t="s">
        <v>45</v>
      </c>
      <c r="M186">
        <v>1</v>
      </c>
      <c r="N186" t="s">
        <v>44</v>
      </c>
      <c r="O186">
        <v>4450</v>
      </c>
      <c r="P186">
        <v>1</v>
      </c>
      <c r="Q186" t="s">
        <v>36</v>
      </c>
      <c r="R186">
        <v>3</v>
      </c>
      <c r="S186">
        <v>5</v>
      </c>
      <c r="T186">
        <v>3</v>
      </c>
      <c r="U186">
        <v>4</v>
      </c>
      <c r="V186">
        <v>2</v>
      </c>
      <c r="W186">
        <v>1</v>
      </c>
      <c r="X186">
        <v>3</v>
      </c>
      <c r="Y186">
        <v>11</v>
      </c>
      <c r="Z186">
        <f>IF(H_A[[#This Row],[Attrition]]="Yes",1,0)</f>
        <v>0</v>
      </c>
      <c r="AA186" t="str">
        <f>IF(H_A[[#This Row],[Age]]&lt;30,"Young",IF(H_A[[#This Row],[Age]]&lt;45,"Mid","Senior"))</f>
        <v>Senior</v>
      </c>
      <c r="AB186" t="str">
        <f>IF(H_A[[#This Row],[MonthlyIncome]]&lt;5000,"Low",IF(H_A[[#This Row],[MonthlyIncome]]&lt;10000,"Medium","High"))</f>
        <v>Low</v>
      </c>
      <c r="AC186" t="str">
        <f>IF(H_A[[#This Row],[YearsAtCompany]]&lt;3,"Early",IF(H_A[[#This Row],[YearsAtCompany]]&lt;7,"Mid","Long"))</f>
        <v>Mid</v>
      </c>
      <c r="AD186" t="str">
        <f>IF(H_A[[#This Row],[PercentSalaryHike]]&lt;13,"Low",IF(H_A[[#This Row],[PercentSalaryHike]]&lt;18,"Medium","High"))</f>
        <v>Low</v>
      </c>
    </row>
    <row r="187" spans="1:30" x14ac:dyDescent="0.3">
      <c r="A187">
        <v>33</v>
      </c>
      <c r="B187">
        <v>252</v>
      </c>
      <c r="C187" t="s">
        <v>36</v>
      </c>
      <c r="D187" t="s">
        <v>37</v>
      </c>
      <c r="E187">
        <v>14</v>
      </c>
      <c r="F187">
        <v>3</v>
      </c>
      <c r="G187" t="s">
        <v>43</v>
      </c>
      <c r="H187">
        <v>4</v>
      </c>
      <c r="I187" t="s">
        <v>33</v>
      </c>
      <c r="J187">
        <v>3</v>
      </c>
      <c r="K187">
        <v>1</v>
      </c>
      <c r="L187" t="s">
        <v>39</v>
      </c>
      <c r="M187">
        <v>2</v>
      </c>
      <c r="N187" t="s">
        <v>40</v>
      </c>
      <c r="O187">
        <v>2756</v>
      </c>
      <c r="P187">
        <v>1</v>
      </c>
      <c r="Q187" t="s">
        <v>36</v>
      </c>
      <c r="R187">
        <v>4</v>
      </c>
      <c r="S187">
        <v>8</v>
      </c>
      <c r="T187">
        <v>3</v>
      </c>
      <c r="U187">
        <v>8</v>
      </c>
      <c r="V187">
        <v>7</v>
      </c>
      <c r="W187">
        <v>1</v>
      </c>
      <c r="X187">
        <v>6</v>
      </c>
      <c r="Y187">
        <v>13</v>
      </c>
      <c r="Z187">
        <f>IF(H_A[[#This Row],[Attrition]]="Yes",1,0)</f>
        <v>0</v>
      </c>
      <c r="AA187" t="str">
        <f>IF(H_A[[#This Row],[Age]]&lt;30,"Young",IF(H_A[[#This Row],[Age]]&lt;45,"Mid","Senior"))</f>
        <v>Mid</v>
      </c>
      <c r="AB187" t="str">
        <f>IF(H_A[[#This Row],[MonthlyIncome]]&lt;5000,"Low",IF(H_A[[#This Row],[MonthlyIncome]]&lt;10000,"Medium","High"))</f>
        <v>Low</v>
      </c>
      <c r="AC187" t="str">
        <f>IF(H_A[[#This Row],[YearsAtCompany]]&lt;3,"Early",IF(H_A[[#This Row],[YearsAtCompany]]&lt;7,"Mid","Long"))</f>
        <v>Long</v>
      </c>
      <c r="AD187" t="str">
        <f>IF(H_A[[#This Row],[PercentSalaryHike]]&lt;13,"Low",IF(H_A[[#This Row],[PercentSalaryHike]]&lt;18,"Medium","High"))</f>
        <v>Medium</v>
      </c>
    </row>
    <row r="188" spans="1:30" x14ac:dyDescent="0.3">
      <c r="A188">
        <v>40</v>
      </c>
      <c r="B188">
        <v>253</v>
      </c>
      <c r="C188" t="s">
        <v>36</v>
      </c>
      <c r="D188" t="s">
        <v>37</v>
      </c>
      <c r="E188">
        <v>4</v>
      </c>
      <c r="F188">
        <v>1</v>
      </c>
      <c r="G188" t="s">
        <v>43</v>
      </c>
      <c r="H188">
        <v>4</v>
      </c>
      <c r="I188" t="s">
        <v>33</v>
      </c>
      <c r="J188">
        <v>3</v>
      </c>
      <c r="K188">
        <v>5</v>
      </c>
      <c r="L188" t="s">
        <v>47</v>
      </c>
      <c r="M188">
        <v>3</v>
      </c>
      <c r="N188" t="s">
        <v>40</v>
      </c>
      <c r="O188">
        <v>19033</v>
      </c>
      <c r="P188">
        <v>1</v>
      </c>
      <c r="Q188" t="s">
        <v>36</v>
      </c>
      <c r="R188">
        <v>2</v>
      </c>
      <c r="S188">
        <v>21</v>
      </c>
      <c r="T188">
        <v>3</v>
      </c>
      <c r="U188">
        <v>20</v>
      </c>
      <c r="V188">
        <v>8</v>
      </c>
      <c r="W188">
        <v>9</v>
      </c>
      <c r="X188">
        <v>9</v>
      </c>
      <c r="Y188">
        <v>14</v>
      </c>
      <c r="Z188">
        <f>IF(H_A[[#This Row],[Attrition]]="Yes",1,0)</f>
        <v>0</v>
      </c>
      <c r="AA188" t="str">
        <f>IF(H_A[[#This Row],[Age]]&lt;30,"Young",IF(H_A[[#This Row],[Age]]&lt;45,"Mid","Senior"))</f>
        <v>Mid</v>
      </c>
      <c r="AB188" t="str">
        <f>IF(H_A[[#This Row],[MonthlyIncome]]&lt;5000,"Low",IF(H_A[[#This Row],[MonthlyIncome]]&lt;10000,"Medium","High"))</f>
        <v>High</v>
      </c>
      <c r="AC188" t="str">
        <f>IF(H_A[[#This Row],[YearsAtCompany]]&lt;3,"Early",IF(H_A[[#This Row],[YearsAtCompany]]&lt;7,"Mid","Long"))</f>
        <v>Long</v>
      </c>
      <c r="AD188" t="str">
        <f>IF(H_A[[#This Row],[PercentSalaryHike]]&lt;13,"Low",IF(H_A[[#This Row],[PercentSalaryHike]]&lt;18,"Medium","High"))</f>
        <v>Medium</v>
      </c>
    </row>
    <row r="189" spans="1:30" x14ac:dyDescent="0.3">
      <c r="A189">
        <v>55</v>
      </c>
      <c r="B189">
        <v>254</v>
      </c>
      <c r="C189" t="s">
        <v>36</v>
      </c>
      <c r="D189" t="s">
        <v>37</v>
      </c>
      <c r="E189">
        <v>14</v>
      </c>
      <c r="F189">
        <v>4</v>
      </c>
      <c r="G189" t="s">
        <v>43</v>
      </c>
      <c r="H189">
        <v>3</v>
      </c>
      <c r="I189" t="s">
        <v>38</v>
      </c>
      <c r="J189">
        <v>4</v>
      </c>
      <c r="K189">
        <v>5</v>
      </c>
      <c r="L189" t="s">
        <v>49</v>
      </c>
      <c r="M189">
        <v>2</v>
      </c>
      <c r="N189" t="s">
        <v>35</v>
      </c>
      <c r="O189">
        <v>18722</v>
      </c>
      <c r="P189">
        <v>8</v>
      </c>
      <c r="Q189" t="s">
        <v>36</v>
      </c>
      <c r="R189">
        <v>4</v>
      </c>
      <c r="S189">
        <v>36</v>
      </c>
      <c r="T189">
        <v>3</v>
      </c>
      <c r="U189">
        <v>24</v>
      </c>
      <c r="V189">
        <v>15</v>
      </c>
      <c r="W189">
        <v>2</v>
      </c>
      <c r="X189">
        <v>15</v>
      </c>
      <c r="Y189">
        <v>11</v>
      </c>
      <c r="Z189">
        <f>IF(H_A[[#This Row],[Attrition]]="Yes",1,0)</f>
        <v>0</v>
      </c>
      <c r="AA189" t="str">
        <f>IF(H_A[[#This Row],[Age]]&lt;30,"Young",IF(H_A[[#This Row],[Age]]&lt;45,"Mid","Senior"))</f>
        <v>Senior</v>
      </c>
      <c r="AB189" t="str">
        <f>IF(H_A[[#This Row],[MonthlyIncome]]&lt;5000,"Low",IF(H_A[[#This Row],[MonthlyIncome]]&lt;10000,"Medium","High"))</f>
        <v>High</v>
      </c>
      <c r="AC189" t="str">
        <f>IF(H_A[[#This Row],[YearsAtCompany]]&lt;3,"Early",IF(H_A[[#This Row],[YearsAtCompany]]&lt;7,"Mid","Long"))</f>
        <v>Long</v>
      </c>
      <c r="AD189" t="str">
        <f>IF(H_A[[#This Row],[PercentSalaryHike]]&lt;13,"Low",IF(H_A[[#This Row],[PercentSalaryHike]]&lt;18,"Medium","High"))</f>
        <v>Low</v>
      </c>
    </row>
    <row r="190" spans="1:30" x14ac:dyDescent="0.3">
      <c r="A190">
        <v>34</v>
      </c>
      <c r="B190">
        <v>256</v>
      </c>
      <c r="C190" t="s">
        <v>36</v>
      </c>
      <c r="D190" t="s">
        <v>37</v>
      </c>
      <c r="E190">
        <v>2</v>
      </c>
      <c r="F190">
        <v>1</v>
      </c>
      <c r="G190" t="s">
        <v>32</v>
      </c>
      <c r="H190">
        <v>4</v>
      </c>
      <c r="I190" t="s">
        <v>38</v>
      </c>
      <c r="J190">
        <v>2</v>
      </c>
      <c r="K190">
        <v>2</v>
      </c>
      <c r="L190" t="s">
        <v>45</v>
      </c>
      <c r="M190">
        <v>3</v>
      </c>
      <c r="N190" t="s">
        <v>40</v>
      </c>
      <c r="O190">
        <v>9547</v>
      </c>
      <c r="P190">
        <v>1</v>
      </c>
      <c r="Q190" t="s">
        <v>36</v>
      </c>
      <c r="R190">
        <v>3</v>
      </c>
      <c r="S190">
        <v>10</v>
      </c>
      <c r="T190">
        <v>2</v>
      </c>
      <c r="U190">
        <v>10</v>
      </c>
      <c r="V190">
        <v>9</v>
      </c>
      <c r="W190">
        <v>1</v>
      </c>
      <c r="X190">
        <v>9</v>
      </c>
      <c r="Y190">
        <v>17</v>
      </c>
      <c r="Z190">
        <f>IF(H_A[[#This Row],[Attrition]]="Yes",1,0)</f>
        <v>0</v>
      </c>
      <c r="AA190" t="str">
        <f>IF(H_A[[#This Row],[Age]]&lt;30,"Young",IF(H_A[[#This Row],[Age]]&lt;45,"Mid","Senior"))</f>
        <v>Mid</v>
      </c>
      <c r="AB190" t="str">
        <f>IF(H_A[[#This Row],[MonthlyIncome]]&lt;5000,"Low",IF(H_A[[#This Row],[MonthlyIncome]]&lt;10000,"Medium","High"))</f>
        <v>Medium</v>
      </c>
      <c r="AC190" t="str">
        <f>IF(H_A[[#This Row],[YearsAtCompany]]&lt;3,"Early",IF(H_A[[#This Row],[YearsAtCompany]]&lt;7,"Mid","Long"))</f>
        <v>Long</v>
      </c>
      <c r="AD190" t="str">
        <f>IF(H_A[[#This Row],[PercentSalaryHike]]&lt;13,"Low",IF(H_A[[#This Row],[PercentSalaryHike]]&lt;18,"Medium","High"))</f>
        <v>Medium</v>
      </c>
    </row>
    <row r="191" spans="1:30" x14ac:dyDescent="0.3">
      <c r="A191">
        <v>51</v>
      </c>
      <c r="B191">
        <v>258</v>
      </c>
      <c r="C191" t="s">
        <v>36</v>
      </c>
      <c r="D191" t="s">
        <v>37</v>
      </c>
      <c r="E191">
        <v>3</v>
      </c>
      <c r="F191">
        <v>3</v>
      </c>
      <c r="G191" t="s">
        <v>43</v>
      </c>
      <c r="H191">
        <v>4</v>
      </c>
      <c r="I191" t="s">
        <v>33</v>
      </c>
      <c r="J191">
        <v>3</v>
      </c>
      <c r="K191">
        <v>4</v>
      </c>
      <c r="L191" t="s">
        <v>46</v>
      </c>
      <c r="M191">
        <v>2</v>
      </c>
      <c r="N191" t="s">
        <v>35</v>
      </c>
      <c r="O191">
        <v>13734</v>
      </c>
      <c r="P191">
        <v>3</v>
      </c>
      <c r="Q191" t="s">
        <v>36</v>
      </c>
      <c r="R191">
        <v>3</v>
      </c>
      <c r="S191">
        <v>21</v>
      </c>
      <c r="T191">
        <v>3</v>
      </c>
      <c r="U191">
        <v>7</v>
      </c>
      <c r="V191">
        <v>7</v>
      </c>
      <c r="W191">
        <v>1</v>
      </c>
      <c r="X191">
        <v>0</v>
      </c>
      <c r="Y191">
        <v>18</v>
      </c>
      <c r="Z191">
        <f>IF(H_A[[#This Row],[Attrition]]="Yes",1,0)</f>
        <v>0</v>
      </c>
      <c r="AA191" t="str">
        <f>IF(H_A[[#This Row],[Age]]&lt;30,"Young",IF(H_A[[#This Row],[Age]]&lt;45,"Mid","Senior"))</f>
        <v>Senior</v>
      </c>
      <c r="AB191" t="str">
        <f>IF(H_A[[#This Row],[MonthlyIncome]]&lt;5000,"Low",IF(H_A[[#This Row],[MonthlyIncome]]&lt;10000,"Medium","High"))</f>
        <v>High</v>
      </c>
      <c r="AC191" t="str">
        <f>IF(H_A[[#This Row],[YearsAtCompany]]&lt;3,"Early",IF(H_A[[#This Row],[YearsAtCompany]]&lt;7,"Mid","Long"))</f>
        <v>Long</v>
      </c>
      <c r="AD191" t="str">
        <f>IF(H_A[[#This Row],[PercentSalaryHike]]&lt;13,"Low",IF(H_A[[#This Row],[PercentSalaryHike]]&lt;18,"Medium","High"))</f>
        <v>High</v>
      </c>
    </row>
    <row r="192" spans="1:30" x14ac:dyDescent="0.3">
      <c r="A192">
        <v>52</v>
      </c>
      <c r="B192">
        <v>259</v>
      </c>
      <c r="C192" t="s">
        <v>36</v>
      </c>
      <c r="D192" t="s">
        <v>37</v>
      </c>
      <c r="E192">
        <v>1</v>
      </c>
      <c r="F192">
        <v>4</v>
      </c>
      <c r="G192" t="s">
        <v>32</v>
      </c>
      <c r="H192">
        <v>3</v>
      </c>
      <c r="I192" t="s">
        <v>38</v>
      </c>
      <c r="J192">
        <v>2</v>
      </c>
      <c r="K192">
        <v>5</v>
      </c>
      <c r="L192" t="s">
        <v>47</v>
      </c>
      <c r="M192">
        <v>3</v>
      </c>
      <c r="N192" t="s">
        <v>40</v>
      </c>
      <c r="O192">
        <v>19999</v>
      </c>
      <c r="P192">
        <v>0</v>
      </c>
      <c r="Q192" t="s">
        <v>36</v>
      </c>
      <c r="R192">
        <v>1</v>
      </c>
      <c r="S192">
        <v>34</v>
      </c>
      <c r="T192">
        <v>3</v>
      </c>
      <c r="U192">
        <v>33</v>
      </c>
      <c r="V192">
        <v>18</v>
      </c>
      <c r="W192">
        <v>11</v>
      </c>
      <c r="X192">
        <v>9</v>
      </c>
      <c r="Y192">
        <v>14</v>
      </c>
      <c r="Z192">
        <f>IF(H_A[[#This Row],[Attrition]]="Yes",1,0)</f>
        <v>0</v>
      </c>
      <c r="AA192" t="str">
        <f>IF(H_A[[#This Row],[Age]]&lt;30,"Young",IF(H_A[[#This Row],[Age]]&lt;45,"Mid","Senior"))</f>
        <v>Senior</v>
      </c>
      <c r="AB192" t="str">
        <f>IF(H_A[[#This Row],[MonthlyIncome]]&lt;5000,"Low",IF(H_A[[#This Row],[MonthlyIncome]]&lt;10000,"Medium","High"))</f>
        <v>High</v>
      </c>
      <c r="AC192" t="str">
        <f>IF(H_A[[#This Row],[YearsAtCompany]]&lt;3,"Early",IF(H_A[[#This Row],[YearsAtCompany]]&lt;7,"Mid","Long"))</f>
        <v>Long</v>
      </c>
      <c r="AD192" t="str">
        <f>IF(H_A[[#This Row],[PercentSalaryHike]]&lt;13,"Low",IF(H_A[[#This Row],[PercentSalaryHike]]&lt;18,"Medium","High"))</f>
        <v>Medium</v>
      </c>
    </row>
    <row r="193" spans="1:30" x14ac:dyDescent="0.3">
      <c r="A193">
        <v>27</v>
      </c>
      <c r="B193">
        <v>260</v>
      </c>
      <c r="C193" t="s">
        <v>36</v>
      </c>
      <c r="D193" t="s">
        <v>37</v>
      </c>
      <c r="E193">
        <v>9</v>
      </c>
      <c r="F193">
        <v>3</v>
      </c>
      <c r="G193" t="s">
        <v>43</v>
      </c>
      <c r="H193">
        <v>4</v>
      </c>
      <c r="I193" t="s">
        <v>33</v>
      </c>
      <c r="J193">
        <v>3</v>
      </c>
      <c r="K193">
        <v>1</v>
      </c>
      <c r="L193" t="s">
        <v>39</v>
      </c>
      <c r="M193">
        <v>2</v>
      </c>
      <c r="N193" t="s">
        <v>35</v>
      </c>
      <c r="O193">
        <v>2279</v>
      </c>
      <c r="P193">
        <v>1</v>
      </c>
      <c r="Q193" t="s">
        <v>36</v>
      </c>
      <c r="R193">
        <v>4</v>
      </c>
      <c r="S193">
        <v>7</v>
      </c>
      <c r="T193">
        <v>2</v>
      </c>
      <c r="U193">
        <v>7</v>
      </c>
      <c r="V193">
        <v>7</v>
      </c>
      <c r="W193">
        <v>0</v>
      </c>
      <c r="X193">
        <v>3</v>
      </c>
      <c r="Y193">
        <v>16</v>
      </c>
      <c r="Z193">
        <f>IF(H_A[[#This Row],[Attrition]]="Yes",1,0)</f>
        <v>0</v>
      </c>
      <c r="AA193" t="str">
        <f>IF(H_A[[#This Row],[Age]]&lt;30,"Young",IF(H_A[[#This Row],[Age]]&lt;45,"Mid","Senior"))</f>
        <v>Young</v>
      </c>
      <c r="AB193" t="str">
        <f>IF(H_A[[#This Row],[MonthlyIncome]]&lt;5000,"Low",IF(H_A[[#This Row],[MonthlyIncome]]&lt;10000,"Medium","High"))</f>
        <v>Low</v>
      </c>
      <c r="AC193" t="str">
        <f>IF(H_A[[#This Row],[YearsAtCompany]]&lt;3,"Early",IF(H_A[[#This Row],[YearsAtCompany]]&lt;7,"Mid","Long"))</f>
        <v>Long</v>
      </c>
      <c r="AD193" t="str">
        <f>IF(H_A[[#This Row],[PercentSalaryHike]]&lt;13,"Low",IF(H_A[[#This Row],[PercentSalaryHike]]&lt;18,"Medium","High"))</f>
        <v>Medium</v>
      </c>
    </row>
    <row r="194" spans="1:30" x14ac:dyDescent="0.3">
      <c r="A194">
        <v>35</v>
      </c>
      <c r="B194">
        <v>261</v>
      </c>
      <c r="C194" t="s">
        <v>30</v>
      </c>
      <c r="D194" t="s">
        <v>37</v>
      </c>
      <c r="E194">
        <v>23</v>
      </c>
      <c r="F194">
        <v>2</v>
      </c>
      <c r="G194" t="s">
        <v>32</v>
      </c>
      <c r="H194">
        <v>2</v>
      </c>
      <c r="I194" t="s">
        <v>38</v>
      </c>
      <c r="J194">
        <v>2</v>
      </c>
      <c r="K194">
        <v>2</v>
      </c>
      <c r="L194" t="s">
        <v>45</v>
      </c>
      <c r="M194">
        <v>3</v>
      </c>
      <c r="N194" t="s">
        <v>40</v>
      </c>
      <c r="O194">
        <v>5916</v>
      </c>
      <c r="P194">
        <v>3</v>
      </c>
      <c r="Q194" t="s">
        <v>30</v>
      </c>
      <c r="R194">
        <v>1</v>
      </c>
      <c r="S194">
        <v>8</v>
      </c>
      <c r="T194">
        <v>3</v>
      </c>
      <c r="U194">
        <v>1</v>
      </c>
      <c r="V194">
        <v>0</v>
      </c>
      <c r="W194">
        <v>0</v>
      </c>
      <c r="X194">
        <v>1</v>
      </c>
      <c r="Y194">
        <v>13</v>
      </c>
      <c r="Z194">
        <f>IF(H_A[[#This Row],[Attrition]]="Yes",1,0)</f>
        <v>1</v>
      </c>
      <c r="AA194" t="str">
        <f>IF(H_A[[#This Row],[Age]]&lt;30,"Young",IF(H_A[[#This Row],[Age]]&lt;45,"Mid","Senior"))</f>
        <v>Mid</v>
      </c>
      <c r="AB194" t="str">
        <f>IF(H_A[[#This Row],[MonthlyIncome]]&lt;5000,"Low",IF(H_A[[#This Row],[MonthlyIncome]]&lt;10000,"Medium","High"))</f>
        <v>Medium</v>
      </c>
      <c r="AC194" t="str">
        <f>IF(H_A[[#This Row],[YearsAtCompany]]&lt;3,"Early",IF(H_A[[#This Row],[YearsAtCompany]]&lt;7,"Mid","Long"))</f>
        <v>Early</v>
      </c>
      <c r="AD194" t="str">
        <f>IF(H_A[[#This Row],[PercentSalaryHike]]&lt;13,"Low",IF(H_A[[#This Row],[PercentSalaryHike]]&lt;18,"Medium","High"))</f>
        <v>Medium</v>
      </c>
    </row>
    <row r="195" spans="1:30" x14ac:dyDescent="0.3">
      <c r="A195">
        <v>43</v>
      </c>
      <c r="B195">
        <v>262</v>
      </c>
      <c r="C195" t="s">
        <v>36</v>
      </c>
      <c r="D195" t="s">
        <v>37</v>
      </c>
      <c r="E195">
        <v>7</v>
      </c>
      <c r="F195">
        <v>3</v>
      </c>
      <c r="G195" t="s">
        <v>43</v>
      </c>
      <c r="H195">
        <v>4</v>
      </c>
      <c r="I195" t="s">
        <v>38</v>
      </c>
      <c r="J195">
        <v>4</v>
      </c>
      <c r="K195">
        <v>1</v>
      </c>
      <c r="L195" t="s">
        <v>39</v>
      </c>
      <c r="M195">
        <v>4</v>
      </c>
      <c r="N195" t="s">
        <v>44</v>
      </c>
      <c r="O195">
        <v>2089</v>
      </c>
      <c r="P195">
        <v>4</v>
      </c>
      <c r="Q195" t="s">
        <v>36</v>
      </c>
      <c r="R195">
        <v>4</v>
      </c>
      <c r="S195">
        <v>7</v>
      </c>
      <c r="T195">
        <v>4</v>
      </c>
      <c r="U195">
        <v>5</v>
      </c>
      <c r="V195">
        <v>4</v>
      </c>
      <c r="W195">
        <v>2</v>
      </c>
      <c r="X195">
        <v>2</v>
      </c>
      <c r="Y195">
        <v>14</v>
      </c>
      <c r="Z195">
        <f>IF(H_A[[#This Row],[Attrition]]="Yes",1,0)</f>
        <v>0</v>
      </c>
      <c r="AA195" t="str">
        <f>IF(H_A[[#This Row],[Age]]&lt;30,"Young",IF(H_A[[#This Row],[Age]]&lt;45,"Mid","Senior"))</f>
        <v>Mid</v>
      </c>
      <c r="AB195" t="str">
        <f>IF(H_A[[#This Row],[MonthlyIncome]]&lt;5000,"Low",IF(H_A[[#This Row],[MonthlyIncome]]&lt;10000,"Medium","High"))</f>
        <v>Low</v>
      </c>
      <c r="AC195" t="str">
        <f>IF(H_A[[#This Row],[YearsAtCompany]]&lt;3,"Early",IF(H_A[[#This Row],[YearsAtCompany]]&lt;7,"Mid","Long"))</f>
        <v>Mid</v>
      </c>
      <c r="AD195" t="str">
        <f>IF(H_A[[#This Row],[PercentSalaryHike]]&lt;13,"Low",IF(H_A[[#This Row],[PercentSalaryHike]]&lt;18,"Medium","High"))</f>
        <v>Medium</v>
      </c>
    </row>
    <row r="196" spans="1:30" x14ac:dyDescent="0.3">
      <c r="A196">
        <v>45</v>
      </c>
      <c r="B196">
        <v>264</v>
      </c>
      <c r="C196" t="s">
        <v>36</v>
      </c>
      <c r="D196" t="s">
        <v>37</v>
      </c>
      <c r="E196">
        <v>2</v>
      </c>
      <c r="F196">
        <v>2</v>
      </c>
      <c r="G196" t="s">
        <v>43</v>
      </c>
      <c r="H196">
        <v>1</v>
      </c>
      <c r="I196" t="s">
        <v>38</v>
      </c>
      <c r="J196">
        <v>2</v>
      </c>
      <c r="K196">
        <v>4</v>
      </c>
      <c r="L196" t="s">
        <v>47</v>
      </c>
      <c r="M196">
        <v>4</v>
      </c>
      <c r="N196" t="s">
        <v>40</v>
      </c>
      <c r="O196">
        <v>16792</v>
      </c>
      <c r="P196">
        <v>9</v>
      </c>
      <c r="Q196" t="s">
        <v>36</v>
      </c>
      <c r="R196">
        <v>4</v>
      </c>
      <c r="S196">
        <v>22</v>
      </c>
      <c r="T196">
        <v>3</v>
      </c>
      <c r="U196">
        <v>20</v>
      </c>
      <c r="V196">
        <v>8</v>
      </c>
      <c r="W196">
        <v>11</v>
      </c>
      <c r="X196">
        <v>8</v>
      </c>
      <c r="Y196">
        <v>23</v>
      </c>
      <c r="Z196">
        <f>IF(H_A[[#This Row],[Attrition]]="Yes",1,0)</f>
        <v>0</v>
      </c>
      <c r="AA196" t="str">
        <f>IF(H_A[[#This Row],[Age]]&lt;30,"Young",IF(H_A[[#This Row],[Age]]&lt;45,"Mid","Senior"))</f>
        <v>Senior</v>
      </c>
      <c r="AB196" t="str">
        <f>IF(H_A[[#This Row],[MonthlyIncome]]&lt;5000,"Low",IF(H_A[[#This Row],[MonthlyIncome]]&lt;10000,"Medium","High"))</f>
        <v>High</v>
      </c>
      <c r="AC196" t="str">
        <f>IF(H_A[[#This Row],[YearsAtCompany]]&lt;3,"Early",IF(H_A[[#This Row],[YearsAtCompany]]&lt;7,"Mid","Long"))</f>
        <v>Long</v>
      </c>
      <c r="AD196" t="str">
        <f>IF(H_A[[#This Row],[PercentSalaryHike]]&lt;13,"Low",IF(H_A[[#This Row],[PercentSalaryHike]]&lt;18,"Medium","High"))</f>
        <v>High</v>
      </c>
    </row>
    <row r="197" spans="1:30" x14ac:dyDescent="0.3">
      <c r="A197">
        <v>37</v>
      </c>
      <c r="B197">
        <v>267</v>
      </c>
      <c r="C197" t="s">
        <v>36</v>
      </c>
      <c r="D197" t="s">
        <v>37</v>
      </c>
      <c r="E197">
        <v>21</v>
      </c>
      <c r="F197">
        <v>3</v>
      </c>
      <c r="G197" t="s">
        <v>32</v>
      </c>
      <c r="H197">
        <v>2</v>
      </c>
      <c r="I197" t="s">
        <v>38</v>
      </c>
      <c r="J197">
        <v>4</v>
      </c>
      <c r="K197">
        <v>1</v>
      </c>
      <c r="L197" t="s">
        <v>39</v>
      </c>
      <c r="M197">
        <v>1</v>
      </c>
      <c r="N197" t="s">
        <v>40</v>
      </c>
      <c r="O197">
        <v>3564</v>
      </c>
      <c r="P197">
        <v>1</v>
      </c>
      <c r="Q197" t="s">
        <v>30</v>
      </c>
      <c r="R197">
        <v>1</v>
      </c>
      <c r="S197">
        <v>8</v>
      </c>
      <c r="T197">
        <v>2</v>
      </c>
      <c r="U197">
        <v>8</v>
      </c>
      <c r="V197">
        <v>7</v>
      </c>
      <c r="W197">
        <v>1</v>
      </c>
      <c r="X197">
        <v>7</v>
      </c>
      <c r="Y197">
        <v>12</v>
      </c>
      <c r="Z197">
        <f>IF(H_A[[#This Row],[Attrition]]="Yes",1,0)</f>
        <v>0</v>
      </c>
      <c r="AA197" t="str">
        <f>IF(H_A[[#This Row],[Age]]&lt;30,"Young",IF(H_A[[#This Row],[Age]]&lt;45,"Mid","Senior"))</f>
        <v>Mid</v>
      </c>
      <c r="AB197" t="str">
        <f>IF(H_A[[#This Row],[MonthlyIncome]]&lt;5000,"Low",IF(H_A[[#This Row],[MonthlyIncome]]&lt;10000,"Medium","High"))</f>
        <v>Low</v>
      </c>
      <c r="AC197" t="str">
        <f>IF(H_A[[#This Row],[YearsAtCompany]]&lt;3,"Early",IF(H_A[[#This Row],[YearsAtCompany]]&lt;7,"Mid","Long"))</f>
        <v>Long</v>
      </c>
      <c r="AD197" t="str">
        <f>IF(H_A[[#This Row],[PercentSalaryHike]]&lt;13,"Low",IF(H_A[[#This Row],[PercentSalaryHike]]&lt;18,"Medium","High"))</f>
        <v>Low</v>
      </c>
    </row>
    <row r="198" spans="1:30" x14ac:dyDescent="0.3">
      <c r="A198">
        <v>35</v>
      </c>
      <c r="B198">
        <v>269</v>
      </c>
      <c r="C198" t="s">
        <v>36</v>
      </c>
      <c r="D198" t="s">
        <v>37</v>
      </c>
      <c r="E198">
        <v>2</v>
      </c>
      <c r="F198">
        <v>3</v>
      </c>
      <c r="G198" t="s">
        <v>43</v>
      </c>
      <c r="H198">
        <v>2</v>
      </c>
      <c r="I198" t="s">
        <v>33</v>
      </c>
      <c r="J198">
        <v>3</v>
      </c>
      <c r="K198">
        <v>2</v>
      </c>
      <c r="L198" t="s">
        <v>42</v>
      </c>
      <c r="M198">
        <v>2</v>
      </c>
      <c r="N198" t="s">
        <v>35</v>
      </c>
      <c r="O198">
        <v>4425</v>
      </c>
      <c r="P198">
        <v>5</v>
      </c>
      <c r="Q198" t="s">
        <v>36</v>
      </c>
      <c r="R198">
        <v>4</v>
      </c>
      <c r="S198">
        <v>10</v>
      </c>
      <c r="T198">
        <v>3</v>
      </c>
      <c r="U198">
        <v>6</v>
      </c>
      <c r="V198">
        <v>2</v>
      </c>
      <c r="W198">
        <v>1</v>
      </c>
      <c r="X198">
        <v>2</v>
      </c>
      <c r="Y198">
        <v>11</v>
      </c>
      <c r="Z198">
        <f>IF(H_A[[#This Row],[Attrition]]="Yes",1,0)</f>
        <v>0</v>
      </c>
      <c r="AA198" t="str">
        <f>IF(H_A[[#This Row],[Age]]&lt;30,"Young",IF(H_A[[#This Row],[Age]]&lt;45,"Mid","Senior"))</f>
        <v>Mid</v>
      </c>
      <c r="AB198" t="str">
        <f>IF(H_A[[#This Row],[MonthlyIncome]]&lt;5000,"Low",IF(H_A[[#This Row],[MonthlyIncome]]&lt;10000,"Medium","High"))</f>
        <v>Low</v>
      </c>
      <c r="AC198" t="str">
        <f>IF(H_A[[#This Row],[YearsAtCompany]]&lt;3,"Early",IF(H_A[[#This Row],[YearsAtCompany]]&lt;7,"Mid","Long"))</f>
        <v>Mid</v>
      </c>
      <c r="AD198" t="str">
        <f>IF(H_A[[#This Row],[PercentSalaryHike]]&lt;13,"Low",IF(H_A[[#This Row],[PercentSalaryHike]]&lt;18,"Medium","High"))</f>
        <v>Low</v>
      </c>
    </row>
    <row r="199" spans="1:30" x14ac:dyDescent="0.3">
      <c r="A199">
        <v>42</v>
      </c>
      <c r="B199">
        <v>270</v>
      </c>
      <c r="C199" t="s">
        <v>36</v>
      </c>
      <c r="D199" t="s">
        <v>37</v>
      </c>
      <c r="E199">
        <v>21</v>
      </c>
      <c r="F199">
        <v>2</v>
      </c>
      <c r="G199" t="s">
        <v>43</v>
      </c>
      <c r="H199">
        <v>3</v>
      </c>
      <c r="I199" t="s">
        <v>33</v>
      </c>
      <c r="J199">
        <v>3</v>
      </c>
      <c r="K199">
        <v>2</v>
      </c>
      <c r="L199" t="s">
        <v>45</v>
      </c>
      <c r="M199">
        <v>3</v>
      </c>
      <c r="N199" t="s">
        <v>44</v>
      </c>
      <c r="O199">
        <v>5265</v>
      </c>
      <c r="P199">
        <v>2</v>
      </c>
      <c r="Q199" t="s">
        <v>36</v>
      </c>
      <c r="R199">
        <v>2</v>
      </c>
      <c r="S199">
        <v>11</v>
      </c>
      <c r="T199">
        <v>3</v>
      </c>
      <c r="U199">
        <v>5</v>
      </c>
      <c r="V199">
        <v>3</v>
      </c>
      <c r="W199">
        <v>0</v>
      </c>
      <c r="X199">
        <v>2</v>
      </c>
      <c r="Y199">
        <v>16</v>
      </c>
      <c r="Z199">
        <f>IF(H_A[[#This Row],[Attrition]]="Yes",1,0)</f>
        <v>0</v>
      </c>
      <c r="AA199" t="str">
        <f>IF(H_A[[#This Row],[Age]]&lt;30,"Young",IF(H_A[[#This Row],[Age]]&lt;45,"Mid","Senior"))</f>
        <v>Mid</v>
      </c>
      <c r="AB199" t="str">
        <f>IF(H_A[[#This Row],[MonthlyIncome]]&lt;5000,"Low",IF(H_A[[#This Row],[MonthlyIncome]]&lt;10000,"Medium","High"))</f>
        <v>Medium</v>
      </c>
      <c r="AC199" t="str">
        <f>IF(H_A[[#This Row],[YearsAtCompany]]&lt;3,"Early",IF(H_A[[#This Row],[YearsAtCompany]]&lt;7,"Mid","Long"))</f>
        <v>Mid</v>
      </c>
      <c r="AD199" t="str">
        <f>IF(H_A[[#This Row],[PercentSalaryHike]]&lt;13,"Low",IF(H_A[[#This Row],[PercentSalaryHike]]&lt;18,"Medium","High"))</f>
        <v>Medium</v>
      </c>
    </row>
    <row r="200" spans="1:30" x14ac:dyDescent="0.3">
      <c r="A200">
        <v>38</v>
      </c>
      <c r="B200">
        <v>271</v>
      </c>
      <c r="C200" t="s">
        <v>36</v>
      </c>
      <c r="D200" t="s">
        <v>37</v>
      </c>
      <c r="E200">
        <v>2</v>
      </c>
      <c r="F200">
        <v>4</v>
      </c>
      <c r="G200" t="s">
        <v>32</v>
      </c>
      <c r="H200">
        <v>4</v>
      </c>
      <c r="I200" t="s">
        <v>38</v>
      </c>
      <c r="J200">
        <v>3</v>
      </c>
      <c r="K200">
        <v>2</v>
      </c>
      <c r="L200" t="s">
        <v>45</v>
      </c>
      <c r="M200">
        <v>3</v>
      </c>
      <c r="N200" t="s">
        <v>40</v>
      </c>
      <c r="O200">
        <v>6553</v>
      </c>
      <c r="P200">
        <v>9</v>
      </c>
      <c r="Q200" t="s">
        <v>36</v>
      </c>
      <c r="R200">
        <v>2</v>
      </c>
      <c r="S200">
        <v>14</v>
      </c>
      <c r="T200">
        <v>3</v>
      </c>
      <c r="U200">
        <v>1</v>
      </c>
      <c r="V200">
        <v>0</v>
      </c>
      <c r="W200">
        <v>0</v>
      </c>
      <c r="X200">
        <v>0</v>
      </c>
      <c r="Y200">
        <v>14</v>
      </c>
      <c r="Z200">
        <f>IF(H_A[[#This Row],[Attrition]]="Yes",1,0)</f>
        <v>0</v>
      </c>
      <c r="AA200" t="str">
        <f>IF(H_A[[#This Row],[Age]]&lt;30,"Young",IF(H_A[[#This Row],[Age]]&lt;45,"Mid","Senior"))</f>
        <v>Mid</v>
      </c>
      <c r="AB200" t="str">
        <f>IF(H_A[[#This Row],[MonthlyIncome]]&lt;5000,"Low",IF(H_A[[#This Row],[MonthlyIncome]]&lt;10000,"Medium","High"))</f>
        <v>Medium</v>
      </c>
      <c r="AC200" t="str">
        <f>IF(H_A[[#This Row],[YearsAtCompany]]&lt;3,"Early",IF(H_A[[#This Row],[YearsAtCompany]]&lt;7,"Mid","Long"))</f>
        <v>Early</v>
      </c>
      <c r="AD200" t="str">
        <f>IF(H_A[[#This Row],[PercentSalaryHike]]&lt;13,"Low",IF(H_A[[#This Row],[PercentSalaryHike]]&lt;18,"Medium","High"))</f>
        <v>Medium</v>
      </c>
    </row>
    <row r="201" spans="1:30" x14ac:dyDescent="0.3">
      <c r="A201">
        <v>38</v>
      </c>
      <c r="B201">
        <v>273</v>
      </c>
      <c r="C201" t="s">
        <v>36</v>
      </c>
      <c r="D201" t="s">
        <v>37</v>
      </c>
      <c r="E201">
        <v>29</v>
      </c>
      <c r="F201">
        <v>3</v>
      </c>
      <c r="G201" t="s">
        <v>51</v>
      </c>
      <c r="H201">
        <v>4</v>
      </c>
      <c r="I201" t="s">
        <v>38</v>
      </c>
      <c r="J201">
        <v>3</v>
      </c>
      <c r="K201">
        <v>2</v>
      </c>
      <c r="L201" t="s">
        <v>45</v>
      </c>
      <c r="M201">
        <v>4</v>
      </c>
      <c r="N201" t="s">
        <v>40</v>
      </c>
      <c r="O201">
        <v>6261</v>
      </c>
      <c r="P201">
        <v>3</v>
      </c>
      <c r="Q201" t="s">
        <v>36</v>
      </c>
      <c r="R201">
        <v>1</v>
      </c>
      <c r="S201">
        <v>9</v>
      </c>
      <c r="T201">
        <v>1</v>
      </c>
      <c r="U201">
        <v>7</v>
      </c>
      <c r="V201">
        <v>7</v>
      </c>
      <c r="W201">
        <v>1</v>
      </c>
      <c r="X201">
        <v>7</v>
      </c>
      <c r="Y201">
        <v>18</v>
      </c>
      <c r="Z201">
        <f>IF(H_A[[#This Row],[Attrition]]="Yes",1,0)</f>
        <v>0</v>
      </c>
      <c r="AA201" t="str">
        <f>IF(H_A[[#This Row],[Age]]&lt;30,"Young",IF(H_A[[#This Row],[Age]]&lt;45,"Mid","Senior"))</f>
        <v>Mid</v>
      </c>
      <c r="AB201" t="str">
        <f>IF(H_A[[#This Row],[MonthlyIncome]]&lt;5000,"Low",IF(H_A[[#This Row],[MonthlyIncome]]&lt;10000,"Medium","High"))</f>
        <v>Medium</v>
      </c>
      <c r="AC201" t="str">
        <f>IF(H_A[[#This Row],[YearsAtCompany]]&lt;3,"Early",IF(H_A[[#This Row],[YearsAtCompany]]&lt;7,"Mid","Long"))</f>
        <v>Long</v>
      </c>
      <c r="AD201" t="str">
        <f>IF(H_A[[#This Row],[PercentSalaryHike]]&lt;13,"Low",IF(H_A[[#This Row],[PercentSalaryHike]]&lt;18,"Medium","High"))</f>
        <v>High</v>
      </c>
    </row>
    <row r="202" spans="1:30" x14ac:dyDescent="0.3">
      <c r="A202">
        <v>27</v>
      </c>
      <c r="B202">
        <v>274</v>
      </c>
      <c r="C202" t="s">
        <v>36</v>
      </c>
      <c r="D202" t="s">
        <v>37</v>
      </c>
      <c r="E202">
        <v>1</v>
      </c>
      <c r="F202">
        <v>1</v>
      </c>
      <c r="G202" t="s">
        <v>51</v>
      </c>
      <c r="H202">
        <v>3</v>
      </c>
      <c r="I202" t="s">
        <v>38</v>
      </c>
      <c r="J202">
        <v>2</v>
      </c>
      <c r="K202">
        <v>2</v>
      </c>
      <c r="L202" t="s">
        <v>45</v>
      </c>
      <c r="M202">
        <v>1</v>
      </c>
      <c r="N202" t="s">
        <v>40</v>
      </c>
      <c r="O202">
        <v>4298</v>
      </c>
      <c r="P202">
        <v>5</v>
      </c>
      <c r="Q202" t="s">
        <v>36</v>
      </c>
      <c r="R202">
        <v>3</v>
      </c>
      <c r="S202">
        <v>6</v>
      </c>
      <c r="T202">
        <v>3</v>
      </c>
      <c r="U202">
        <v>2</v>
      </c>
      <c r="V202">
        <v>2</v>
      </c>
      <c r="W202">
        <v>2</v>
      </c>
      <c r="X202">
        <v>0</v>
      </c>
      <c r="Y202">
        <v>19</v>
      </c>
      <c r="Z202">
        <f>IF(H_A[[#This Row],[Attrition]]="Yes",1,0)</f>
        <v>0</v>
      </c>
      <c r="AA202" t="str">
        <f>IF(H_A[[#This Row],[Age]]&lt;30,"Young",IF(H_A[[#This Row],[Age]]&lt;45,"Mid","Senior"))</f>
        <v>Young</v>
      </c>
      <c r="AB202" t="str">
        <f>IF(H_A[[#This Row],[MonthlyIncome]]&lt;5000,"Low",IF(H_A[[#This Row],[MonthlyIncome]]&lt;10000,"Medium","High"))</f>
        <v>Low</v>
      </c>
      <c r="AC202" t="str">
        <f>IF(H_A[[#This Row],[YearsAtCompany]]&lt;3,"Early",IF(H_A[[#This Row],[YearsAtCompany]]&lt;7,"Mid","Long"))</f>
        <v>Early</v>
      </c>
      <c r="AD202" t="str">
        <f>IF(H_A[[#This Row],[PercentSalaryHike]]&lt;13,"Low",IF(H_A[[#This Row],[PercentSalaryHike]]&lt;18,"Medium","High"))</f>
        <v>High</v>
      </c>
    </row>
    <row r="203" spans="1:30" x14ac:dyDescent="0.3">
      <c r="A203">
        <v>49</v>
      </c>
      <c r="B203">
        <v>275</v>
      </c>
      <c r="C203" t="s">
        <v>36</v>
      </c>
      <c r="D203" t="s">
        <v>37</v>
      </c>
      <c r="E203">
        <v>18</v>
      </c>
      <c r="F203">
        <v>4</v>
      </c>
      <c r="G203" t="s">
        <v>32</v>
      </c>
      <c r="H203">
        <v>4</v>
      </c>
      <c r="I203" t="s">
        <v>38</v>
      </c>
      <c r="J203">
        <v>3</v>
      </c>
      <c r="K203">
        <v>2</v>
      </c>
      <c r="L203" t="s">
        <v>45</v>
      </c>
      <c r="M203">
        <v>4</v>
      </c>
      <c r="N203" t="s">
        <v>44</v>
      </c>
      <c r="O203">
        <v>6804</v>
      </c>
      <c r="P203">
        <v>1</v>
      </c>
      <c r="Q203" t="s">
        <v>30</v>
      </c>
      <c r="R203">
        <v>1</v>
      </c>
      <c r="S203">
        <v>7</v>
      </c>
      <c r="T203">
        <v>3</v>
      </c>
      <c r="U203">
        <v>7</v>
      </c>
      <c r="V203">
        <v>7</v>
      </c>
      <c r="W203">
        <v>1</v>
      </c>
      <c r="X203">
        <v>7</v>
      </c>
      <c r="Y203">
        <v>15</v>
      </c>
      <c r="Z203">
        <f>IF(H_A[[#This Row],[Attrition]]="Yes",1,0)</f>
        <v>0</v>
      </c>
      <c r="AA203" t="str">
        <f>IF(H_A[[#This Row],[Age]]&lt;30,"Young",IF(H_A[[#This Row],[Age]]&lt;45,"Mid","Senior"))</f>
        <v>Senior</v>
      </c>
      <c r="AB203" t="str">
        <f>IF(H_A[[#This Row],[MonthlyIncome]]&lt;5000,"Low",IF(H_A[[#This Row],[MonthlyIncome]]&lt;10000,"Medium","High"))</f>
        <v>Medium</v>
      </c>
      <c r="AC203" t="str">
        <f>IF(H_A[[#This Row],[YearsAtCompany]]&lt;3,"Early",IF(H_A[[#This Row],[YearsAtCompany]]&lt;7,"Mid","Long"))</f>
        <v>Long</v>
      </c>
      <c r="AD203" t="str">
        <f>IF(H_A[[#This Row],[PercentSalaryHike]]&lt;13,"Low",IF(H_A[[#This Row],[PercentSalaryHike]]&lt;18,"Medium","High"))</f>
        <v>Medium</v>
      </c>
    </row>
    <row r="204" spans="1:30" x14ac:dyDescent="0.3">
      <c r="A204">
        <v>34</v>
      </c>
      <c r="B204">
        <v>277</v>
      </c>
      <c r="C204" t="s">
        <v>36</v>
      </c>
      <c r="D204" t="s">
        <v>37</v>
      </c>
      <c r="E204">
        <v>10</v>
      </c>
      <c r="F204">
        <v>4</v>
      </c>
      <c r="G204" t="s">
        <v>43</v>
      </c>
      <c r="H204">
        <v>4</v>
      </c>
      <c r="I204" t="s">
        <v>38</v>
      </c>
      <c r="J204">
        <v>3</v>
      </c>
      <c r="K204">
        <v>1</v>
      </c>
      <c r="L204" t="s">
        <v>39</v>
      </c>
      <c r="M204">
        <v>3</v>
      </c>
      <c r="N204" t="s">
        <v>44</v>
      </c>
      <c r="O204">
        <v>3815</v>
      </c>
      <c r="P204">
        <v>1</v>
      </c>
      <c r="Q204" t="s">
        <v>30</v>
      </c>
      <c r="R204">
        <v>4</v>
      </c>
      <c r="S204">
        <v>5</v>
      </c>
      <c r="T204">
        <v>4</v>
      </c>
      <c r="U204">
        <v>5</v>
      </c>
      <c r="V204">
        <v>3</v>
      </c>
      <c r="W204">
        <v>2</v>
      </c>
      <c r="X204">
        <v>0</v>
      </c>
      <c r="Y204">
        <v>17</v>
      </c>
      <c r="Z204">
        <f>IF(H_A[[#This Row],[Attrition]]="Yes",1,0)</f>
        <v>0</v>
      </c>
      <c r="AA204" t="str">
        <f>IF(H_A[[#This Row],[Age]]&lt;30,"Young",IF(H_A[[#This Row],[Age]]&lt;45,"Mid","Senior"))</f>
        <v>Mid</v>
      </c>
      <c r="AB204" t="str">
        <f>IF(H_A[[#This Row],[MonthlyIncome]]&lt;5000,"Low",IF(H_A[[#This Row],[MonthlyIncome]]&lt;10000,"Medium","High"))</f>
        <v>Low</v>
      </c>
      <c r="AC204" t="str">
        <f>IF(H_A[[#This Row],[YearsAtCompany]]&lt;3,"Early",IF(H_A[[#This Row],[YearsAtCompany]]&lt;7,"Mid","Long"))</f>
        <v>Mid</v>
      </c>
      <c r="AD204" t="str">
        <f>IF(H_A[[#This Row],[PercentSalaryHike]]&lt;13,"Low",IF(H_A[[#This Row],[PercentSalaryHike]]&lt;18,"Medium","High"))</f>
        <v>Medium</v>
      </c>
    </row>
    <row r="205" spans="1:30" x14ac:dyDescent="0.3">
      <c r="A205">
        <v>40</v>
      </c>
      <c r="B205">
        <v>281</v>
      </c>
      <c r="C205" t="s">
        <v>36</v>
      </c>
      <c r="D205" t="s">
        <v>37</v>
      </c>
      <c r="E205">
        <v>19</v>
      </c>
      <c r="F205">
        <v>2</v>
      </c>
      <c r="G205" t="s">
        <v>43</v>
      </c>
      <c r="H205">
        <v>3</v>
      </c>
      <c r="I205" t="s">
        <v>38</v>
      </c>
      <c r="J205">
        <v>3</v>
      </c>
      <c r="K205">
        <v>2</v>
      </c>
      <c r="L205" t="s">
        <v>42</v>
      </c>
      <c r="M205">
        <v>4</v>
      </c>
      <c r="N205" t="s">
        <v>40</v>
      </c>
      <c r="O205">
        <v>2741</v>
      </c>
      <c r="P205">
        <v>8</v>
      </c>
      <c r="Q205" t="s">
        <v>30</v>
      </c>
      <c r="R205">
        <v>3</v>
      </c>
      <c r="S205">
        <v>15</v>
      </c>
      <c r="T205">
        <v>4</v>
      </c>
      <c r="U205">
        <v>7</v>
      </c>
      <c r="V205">
        <v>2</v>
      </c>
      <c r="W205">
        <v>3</v>
      </c>
      <c r="X205">
        <v>7</v>
      </c>
      <c r="Y205">
        <v>15</v>
      </c>
      <c r="Z205">
        <f>IF(H_A[[#This Row],[Attrition]]="Yes",1,0)</f>
        <v>0</v>
      </c>
      <c r="AA205" t="str">
        <f>IF(H_A[[#This Row],[Age]]&lt;30,"Young",IF(H_A[[#This Row],[Age]]&lt;45,"Mid","Senior"))</f>
        <v>Mid</v>
      </c>
      <c r="AB205" t="str">
        <f>IF(H_A[[#This Row],[MonthlyIncome]]&lt;5000,"Low",IF(H_A[[#This Row],[MonthlyIncome]]&lt;10000,"Medium","High"))</f>
        <v>Low</v>
      </c>
      <c r="AC205" t="str">
        <f>IF(H_A[[#This Row],[YearsAtCompany]]&lt;3,"Early",IF(H_A[[#This Row],[YearsAtCompany]]&lt;7,"Mid","Long"))</f>
        <v>Long</v>
      </c>
      <c r="AD205" t="str">
        <f>IF(H_A[[#This Row],[PercentSalaryHike]]&lt;13,"Low",IF(H_A[[#This Row],[PercentSalaryHike]]&lt;18,"Medium","High"))</f>
        <v>Medium</v>
      </c>
    </row>
    <row r="206" spans="1:30" x14ac:dyDescent="0.3">
      <c r="A206">
        <v>38</v>
      </c>
      <c r="B206">
        <v>282</v>
      </c>
      <c r="C206" t="s">
        <v>30</v>
      </c>
      <c r="D206" t="s">
        <v>37</v>
      </c>
      <c r="E206">
        <v>29</v>
      </c>
      <c r="F206">
        <v>1</v>
      </c>
      <c r="G206" t="s">
        <v>43</v>
      </c>
      <c r="H206">
        <v>2</v>
      </c>
      <c r="I206" t="s">
        <v>38</v>
      </c>
      <c r="J206">
        <v>3</v>
      </c>
      <c r="K206">
        <v>2</v>
      </c>
      <c r="L206" t="s">
        <v>46</v>
      </c>
      <c r="M206">
        <v>1</v>
      </c>
      <c r="N206" t="s">
        <v>40</v>
      </c>
      <c r="O206">
        <v>6673</v>
      </c>
      <c r="P206">
        <v>7</v>
      </c>
      <c r="Q206" t="s">
        <v>30</v>
      </c>
      <c r="R206">
        <v>2</v>
      </c>
      <c r="S206">
        <v>17</v>
      </c>
      <c r="T206">
        <v>3</v>
      </c>
      <c r="U206">
        <v>1</v>
      </c>
      <c r="V206">
        <v>0</v>
      </c>
      <c r="W206">
        <v>0</v>
      </c>
      <c r="X206">
        <v>0</v>
      </c>
      <c r="Y206">
        <v>19</v>
      </c>
      <c r="Z206">
        <f>IF(H_A[[#This Row],[Attrition]]="Yes",1,0)</f>
        <v>1</v>
      </c>
      <c r="AA206" t="str">
        <f>IF(H_A[[#This Row],[Age]]&lt;30,"Young",IF(H_A[[#This Row],[Age]]&lt;45,"Mid","Senior"))</f>
        <v>Mid</v>
      </c>
      <c r="AB206" t="str">
        <f>IF(H_A[[#This Row],[MonthlyIncome]]&lt;5000,"Low",IF(H_A[[#This Row],[MonthlyIncome]]&lt;10000,"Medium","High"))</f>
        <v>Medium</v>
      </c>
      <c r="AC206" t="str">
        <f>IF(H_A[[#This Row],[YearsAtCompany]]&lt;3,"Early",IF(H_A[[#This Row],[YearsAtCompany]]&lt;7,"Mid","Long"))</f>
        <v>Early</v>
      </c>
      <c r="AD206" t="str">
        <f>IF(H_A[[#This Row],[PercentSalaryHike]]&lt;13,"Low",IF(H_A[[#This Row],[PercentSalaryHike]]&lt;18,"Medium","High"))</f>
        <v>High</v>
      </c>
    </row>
    <row r="207" spans="1:30" x14ac:dyDescent="0.3">
      <c r="A207">
        <v>29</v>
      </c>
      <c r="B207">
        <v>283</v>
      </c>
      <c r="C207" t="s">
        <v>30</v>
      </c>
      <c r="D207" t="s">
        <v>31</v>
      </c>
      <c r="E207">
        <v>27</v>
      </c>
      <c r="F207">
        <v>3</v>
      </c>
      <c r="G207" t="s">
        <v>50</v>
      </c>
      <c r="H207">
        <v>2</v>
      </c>
      <c r="I207" t="s">
        <v>33</v>
      </c>
      <c r="J207">
        <v>3</v>
      </c>
      <c r="K207">
        <v>3</v>
      </c>
      <c r="L207" t="s">
        <v>34</v>
      </c>
      <c r="M207">
        <v>4</v>
      </c>
      <c r="N207" t="s">
        <v>40</v>
      </c>
      <c r="O207">
        <v>7639</v>
      </c>
      <c r="P207">
        <v>1</v>
      </c>
      <c r="Q207" t="s">
        <v>36</v>
      </c>
      <c r="R207">
        <v>4</v>
      </c>
      <c r="S207">
        <v>10</v>
      </c>
      <c r="T207">
        <v>2</v>
      </c>
      <c r="U207">
        <v>10</v>
      </c>
      <c r="V207">
        <v>4</v>
      </c>
      <c r="W207">
        <v>1</v>
      </c>
      <c r="X207">
        <v>9</v>
      </c>
      <c r="Y207">
        <v>22</v>
      </c>
      <c r="Z207">
        <f>IF(H_A[[#This Row],[Attrition]]="Yes",1,0)</f>
        <v>1</v>
      </c>
      <c r="AA207" t="str">
        <f>IF(H_A[[#This Row],[Age]]&lt;30,"Young",IF(H_A[[#This Row],[Age]]&lt;45,"Mid","Senior"))</f>
        <v>Young</v>
      </c>
      <c r="AB207" t="str">
        <f>IF(H_A[[#This Row],[MonthlyIncome]]&lt;5000,"Low",IF(H_A[[#This Row],[MonthlyIncome]]&lt;10000,"Medium","High"))</f>
        <v>Medium</v>
      </c>
      <c r="AC207" t="str">
        <f>IF(H_A[[#This Row],[YearsAtCompany]]&lt;3,"Early",IF(H_A[[#This Row],[YearsAtCompany]]&lt;7,"Mid","Long"))</f>
        <v>Long</v>
      </c>
      <c r="AD207" t="str">
        <f>IF(H_A[[#This Row],[PercentSalaryHike]]&lt;13,"Low",IF(H_A[[#This Row],[PercentSalaryHike]]&lt;18,"Medium","High"))</f>
        <v>High</v>
      </c>
    </row>
    <row r="208" spans="1:30" x14ac:dyDescent="0.3">
      <c r="A208">
        <v>22</v>
      </c>
      <c r="B208">
        <v>284</v>
      </c>
      <c r="C208" t="s">
        <v>36</v>
      </c>
      <c r="D208" t="s">
        <v>37</v>
      </c>
      <c r="E208">
        <v>5</v>
      </c>
      <c r="F208">
        <v>3</v>
      </c>
      <c r="G208" t="s">
        <v>32</v>
      </c>
      <c r="H208">
        <v>4</v>
      </c>
      <c r="I208" t="s">
        <v>38</v>
      </c>
      <c r="J208">
        <v>4</v>
      </c>
      <c r="K208">
        <v>1</v>
      </c>
      <c r="L208" t="s">
        <v>39</v>
      </c>
      <c r="M208">
        <v>2</v>
      </c>
      <c r="N208" t="s">
        <v>44</v>
      </c>
      <c r="O208">
        <v>2328</v>
      </c>
      <c r="P208">
        <v>1</v>
      </c>
      <c r="Q208" t="s">
        <v>30</v>
      </c>
      <c r="R208">
        <v>1</v>
      </c>
      <c r="S208">
        <v>4</v>
      </c>
      <c r="T208">
        <v>2</v>
      </c>
      <c r="U208">
        <v>4</v>
      </c>
      <c r="V208">
        <v>2</v>
      </c>
      <c r="W208">
        <v>2</v>
      </c>
      <c r="X208">
        <v>2</v>
      </c>
      <c r="Y208">
        <v>16</v>
      </c>
      <c r="Z208">
        <f>IF(H_A[[#This Row],[Attrition]]="Yes",1,0)</f>
        <v>0</v>
      </c>
      <c r="AA208" t="str">
        <f>IF(H_A[[#This Row],[Age]]&lt;30,"Young",IF(H_A[[#This Row],[Age]]&lt;45,"Mid","Senior"))</f>
        <v>Young</v>
      </c>
      <c r="AB208" t="str">
        <f>IF(H_A[[#This Row],[MonthlyIncome]]&lt;5000,"Low",IF(H_A[[#This Row],[MonthlyIncome]]&lt;10000,"Medium","High"))</f>
        <v>Low</v>
      </c>
      <c r="AC208" t="str">
        <f>IF(H_A[[#This Row],[YearsAtCompany]]&lt;3,"Early",IF(H_A[[#This Row],[YearsAtCompany]]&lt;7,"Mid","Long"))</f>
        <v>Mid</v>
      </c>
      <c r="AD208" t="str">
        <f>IF(H_A[[#This Row],[PercentSalaryHike]]&lt;13,"Low",IF(H_A[[#This Row],[PercentSalaryHike]]&lt;18,"Medium","High"))</f>
        <v>Medium</v>
      </c>
    </row>
    <row r="209" spans="1:30" x14ac:dyDescent="0.3">
      <c r="A209">
        <v>36</v>
      </c>
      <c r="B209">
        <v>286</v>
      </c>
      <c r="C209" t="s">
        <v>36</v>
      </c>
      <c r="D209" t="s">
        <v>37</v>
      </c>
      <c r="E209">
        <v>18</v>
      </c>
      <c r="F209">
        <v>1</v>
      </c>
      <c r="G209" t="s">
        <v>43</v>
      </c>
      <c r="H209">
        <v>2</v>
      </c>
      <c r="I209" t="s">
        <v>33</v>
      </c>
      <c r="J209">
        <v>3</v>
      </c>
      <c r="K209">
        <v>1</v>
      </c>
      <c r="L209" t="s">
        <v>42</v>
      </c>
      <c r="M209">
        <v>4</v>
      </c>
      <c r="N209" t="s">
        <v>35</v>
      </c>
      <c r="O209">
        <v>2153</v>
      </c>
      <c r="P209">
        <v>1</v>
      </c>
      <c r="Q209" t="s">
        <v>36</v>
      </c>
      <c r="R209">
        <v>1</v>
      </c>
      <c r="S209">
        <v>8</v>
      </c>
      <c r="T209">
        <v>3</v>
      </c>
      <c r="U209">
        <v>8</v>
      </c>
      <c r="V209">
        <v>1</v>
      </c>
      <c r="W209">
        <v>1</v>
      </c>
      <c r="X209">
        <v>7</v>
      </c>
      <c r="Y209">
        <v>13</v>
      </c>
      <c r="Z209">
        <f>IF(H_A[[#This Row],[Attrition]]="Yes",1,0)</f>
        <v>0</v>
      </c>
      <c r="AA209" t="str">
        <f>IF(H_A[[#This Row],[Age]]&lt;30,"Young",IF(H_A[[#This Row],[Age]]&lt;45,"Mid","Senior"))</f>
        <v>Mid</v>
      </c>
      <c r="AB209" t="str">
        <f>IF(H_A[[#This Row],[MonthlyIncome]]&lt;5000,"Low",IF(H_A[[#This Row],[MonthlyIncome]]&lt;10000,"Medium","High"))</f>
        <v>Low</v>
      </c>
      <c r="AC209" t="str">
        <f>IF(H_A[[#This Row],[YearsAtCompany]]&lt;3,"Early",IF(H_A[[#This Row],[YearsAtCompany]]&lt;7,"Mid","Long"))</f>
        <v>Long</v>
      </c>
      <c r="AD209" t="str">
        <f>IF(H_A[[#This Row],[PercentSalaryHike]]&lt;13,"Low",IF(H_A[[#This Row],[PercentSalaryHike]]&lt;18,"Medium","High"))</f>
        <v>Medium</v>
      </c>
    </row>
    <row r="210" spans="1:30" x14ac:dyDescent="0.3">
      <c r="A210">
        <v>40</v>
      </c>
      <c r="B210">
        <v>287</v>
      </c>
      <c r="C210" t="s">
        <v>36</v>
      </c>
      <c r="D210" t="s">
        <v>37</v>
      </c>
      <c r="E210">
        <v>9</v>
      </c>
      <c r="F210">
        <v>5</v>
      </c>
      <c r="G210" t="s">
        <v>32</v>
      </c>
      <c r="H210">
        <v>4</v>
      </c>
      <c r="I210" t="s">
        <v>38</v>
      </c>
      <c r="J210">
        <v>2</v>
      </c>
      <c r="K210">
        <v>2</v>
      </c>
      <c r="L210" t="s">
        <v>46</v>
      </c>
      <c r="M210">
        <v>4</v>
      </c>
      <c r="N210" t="s">
        <v>40</v>
      </c>
      <c r="O210">
        <v>4876</v>
      </c>
      <c r="P210">
        <v>9</v>
      </c>
      <c r="Q210" t="s">
        <v>36</v>
      </c>
      <c r="R210">
        <v>4</v>
      </c>
      <c r="S210">
        <v>5</v>
      </c>
      <c r="T210">
        <v>1</v>
      </c>
      <c r="U210">
        <v>3</v>
      </c>
      <c r="V210">
        <v>2</v>
      </c>
      <c r="W210">
        <v>0</v>
      </c>
      <c r="X210">
        <v>2</v>
      </c>
      <c r="Y210">
        <v>14</v>
      </c>
      <c r="Z210">
        <f>IF(H_A[[#This Row],[Attrition]]="Yes",1,0)</f>
        <v>0</v>
      </c>
      <c r="AA210" t="str">
        <f>IF(H_A[[#This Row],[Age]]&lt;30,"Young",IF(H_A[[#This Row],[Age]]&lt;45,"Mid","Senior"))</f>
        <v>Mid</v>
      </c>
      <c r="AB210" t="str">
        <f>IF(H_A[[#This Row],[MonthlyIncome]]&lt;5000,"Low",IF(H_A[[#This Row],[MonthlyIncome]]&lt;10000,"Medium","High"))</f>
        <v>Low</v>
      </c>
      <c r="AC210" t="str">
        <f>IF(H_A[[#This Row],[YearsAtCompany]]&lt;3,"Early",IF(H_A[[#This Row],[YearsAtCompany]]&lt;7,"Mid","Long"))</f>
        <v>Mid</v>
      </c>
      <c r="AD210" t="str">
        <f>IF(H_A[[#This Row],[PercentSalaryHike]]&lt;13,"Low",IF(H_A[[#This Row],[PercentSalaryHike]]&lt;18,"Medium","High"))</f>
        <v>Medium</v>
      </c>
    </row>
    <row r="211" spans="1:30" x14ac:dyDescent="0.3">
      <c r="A211">
        <v>46</v>
      </c>
      <c r="B211">
        <v>288</v>
      </c>
      <c r="C211" t="s">
        <v>36</v>
      </c>
      <c r="D211" t="s">
        <v>37</v>
      </c>
      <c r="E211">
        <v>1</v>
      </c>
      <c r="F211">
        <v>4</v>
      </c>
      <c r="G211" t="s">
        <v>43</v>
      </c>
      <c r="H211">
        <v>4</v>
      </c>
      <c r="I211" t="s">
        <v>38</v>
      </c>
      <c r="J211">
        <v>3</v>
      </c>
      <c r="K211">
        <v>3</v>
      </c>
      <c r="L211" t="s">
        <v>46</v>
      </c>
      <c r="M211">
        <v>1</v>
      </c>
      <c r="N211" t="s">
        <v>44</v>
      </c>
      <c r="O211">
        <v>9396</v>
      </c>
      <c r="P211">
        <v>7</v>
      </c>
      <c r="Q211" t="s">
        <v>36</v>
      </c>
      <c r="R211">
        <v>3</v>
      </c>
      <c r="S211">
        <v>17</v>
      </c>
      <c r="T211">
        <v>3</v>
      </c>
      <c r="U211">
        <v>4</v>
      </c>
      <c r="V211">
        <v>2</v>
      </c>
      <c r="W211">
        <v>0</v>
      </c>
      <c r="X211">
        <v>3</v>
      </c>
      <c r="Y211">
        <v>16</v>
      </c>
      <c r="Z211">
        <f>IF(H_A[[#This Row],[Attrition]]="Yes",1,0)</f>
        <v>0</v>
      </c>
      <c r="AA211" t="str">
        <f>IF(H_A[[#This Row],[Age]]&lt;30,"Young",IF(H_A[[#This Row],[Age]]&lt;45,"Mid","Senior"))</f>
        <v>Senior</v>
      </c>
      <c r="AB211" t="str">
        <f>IF(H_A[[#This Row],[MonthlyIncome]]&lt;5000,"Low",IF(H_A[[#This Row],[MonthlyIncome]]&lt;10000,"Medium","High"))</f>
        <v>Medium</v>
      </c>
      <c r="AC211" t="str">
        <f>IF(H_A[[#This Row],[YearsAtCompany]]&lt;3,"Early",IF(H_A[[#This Row],[YearsAtCompany]]&lt;7,"Mid","Long"))</f>
        <v>Mid</v>
      </c>
      <c r="AD211" t="str">
        <f>IF(H_A[[#This Row],[PercentSalaryHike]]&lt;13,"Low",IF(H_A[[#This Row],[PercentSalaryHike]]&lt;18,"Medium","High"))</f>
        <v>Medium</v>
      </c>
    </row>
    <row r="212" spans="1:30" x14ac:dyDescent="0.3">
      <c r="A212">
        <v>32</v>
      </c>
      <c r="B212">
        <v>291</v>
      </c>
      <c r="C212" t="s">
        <v>30</v>
      </c>
      <c r="D212" t="s">
        <v>31</v>
      </c>
      <c r="E212">
        <v>4</v>
      </c>
      <c r="F212">
        <v>4</v>
      </c>
      <c r="G212" t="s">
        <v>43</v>
      </c>
      <c r="H212">
        <v>4</v>
      </c>
      <c r="I212" t="s">
        <v>38</v>
      </c>
      <c r="J212">
        <v>1</v>
      </c>
      <c r="K212">
        <v>3</v>
      </c>
      <c r="L212" t="s">
        <v>34</v>
      </c>
      <c r="M212">
        <v>4</v>
      </c>
      <c r="N212" t="s">
        <v>40</v>
      </c>
      <c r="O212">
        <v>10400</v>
      </c>
      <c r="P212">
        <v>1</v>
      </c>
      <c r="Q212" t="s">
        <v>36</v>
      </c>
      <c r="R212">
        <v>3</v>
      </c>
      <c r="S212">
        <v>14</v>
      </c>
      <c r="T212">
        <v>2</v>
      </c>
      <c r="U212">
        <v>14</v>
      </c>
      <c r="V212">
        <v>8</v>
      </c>
      <c r="W212">
        <v>9</v>
      </c>
      <c r="X212">
        <v>8</v>
      </c>
      <c r="Y212">
        <v>11</v>
      </c>
      <c r="Z212">
        <f>IF(H_A[[#This Row],[Attrition]]="Yes",1,0)</f>
        <v>1</v>
      </c>
      <c r="AA212" t="str">
        <f>IF(H_A[[#This Row],[Age]]&lt;30,"Young",IF(H_A[[#This Row],[Age]]&lt;45,"Mid","Senior"))</f>
        <v>Mid</v>
      </c>
      <c r="AB212" t="str">
        <f>IF(H_A[[#This Row],[MonthlyIncome]]&lt;5000,"Low",IF(H_A[[#This Row],[MonthlyIncome]]&lt;10000,"Medium","High"))</f>
        <v>High</v>
      </c>
      <c r="AC212" t="str">
        <f>IF(H_A[[#This Row],[YearsAtCompany]]&lt;3,"Early",IF(H_A[[#This Row],[YearsAtCompany]]&lt;7,"Mid","Long"))</f>
        <v>Long</v>
      </c>
      <c r="AD212" t="str">
        <f>IF(H_A[[#This Row],[PercentSalaryHike]]&lt;13,"Low",IF(H_A[[#This Row],[PercentSalaryHike]]&lt;18,"Medium","High"))</f>
        <v>Low</v>
      </c>
    </row>
    <row r="213" spans="1:30" x14ac:dyDescent="0.3">
      <c r="A213">
        <v>30</v>
      </c>
      <c r="B213">
        <v>292</v>
      </c>
      <c r="C213" t="s">
        <v>36</v>
      </c>
      <c r="D213" t="s">
        <v>37</v>
      </c>
      <c r="E213">
        <v>1</v>
      </c>
      <c r="F213">
        <v>1</v>
      </c>
      <c r="G213" t="s">
        <v>32</v>
      </c>
      <c r="H213">
        <v>3</v>
      </c>
      <c r="I213" t="s">
        <v>38</v>
      </c>
      <c r="J213">
        <v>2</v>
      </c>
      <c r="K213">
        <v>3</v>
      </c>
      <c r="L213" t="s">
        <v>45</v>
      </c>
      <c r="M213">
        <v>3</v>
      </c>
      <c r="N213" t="s">
        <v>35</v>
      </c>
      <c r="O213">
        <v>8474</v>
      </c>
      <c r="P213">
        <v>1</v>
      </c>
      <c r="Q213" t="s">
        <v>36</v>
      </c>
      <c r="R213">
        <v>3</v>
      </c>
      <c r="S213">
        <v>12</v>
      </c>
      <c r="T213">
        <v>3</v>
      </c>
      <c r="U213">
        <v>11</v>
      </c>
      <c r="V213">
        <v>8</v>
      </c>
      <c r="W213">
        <v>5</v>
      </c>
      <c r="X213">
        <v>8</v>
      </c>
      <c r="Y213">
        <v>22</v>
      </c>
      <c r="Z213">
        <f>IF(H_A[[#This Row],[Attrition]]="Yes",1,0)</f>
        <v>0</v>
      </c>
      <c r="AA213" t="str">
        <f>IF(H_A[[#This Row],[Age]]&lt;30,"Young",IF(H_A[[#This Row],[Age]]&lt;45,"Mid","Senior"))</f>
        <v>Mid</v>
      </c>
      <c r="AB213" t="str">
        <f>IF(H_A[[#This Row],[MonthlyIncome]]&lt;5000,"Low",IF(H_A[[#This Row],[MonthlyIncome]]&lt;10000,"Medium","High"))</f>
        <v>Medium</v>
      </c>
      <c r="AC213" t="str">
        <f>IF(H_A[[#This Row],[YearsAtCompany]]&lt;3,"Early",IF(H_A[[#This Row],[YearsAtCompany]]&lt;7,"Mid","Long"))</f>
        <v>Long</v>
      </c>
      <c r="AD213" t="str">
        <f>IF(H_A[[#This Row],[PercentSalaryHike]]&lt;13,"Low",IF(H_A[[#This Row],[PercentSalaryHike]]&lt;18,"Medium","High"))</f>
        <v>High</v>
      </c>
    </row>
    <row r="214" spans="1:30" x14ac:dyDescent="0.3">
      <c r="A214">
        <v>27</v>
      </c>
      <c r="B214">
        <v>293</v>
      </c>
      <c r="C214" t="s">
        <v>36</v>
      </c>
      <c r="D214" t="s">
        <v>31</v>
      </c>
      <c r="E214">
        <v>20</v>
      </c>
      <c r="F214">
        <v>3</v>
      </c>
      <c r="G214" t="s">
        <v>32</v>
      </c>
      <c r="H214">
        <v>4</v>
      </c>
      <c r="I214" t="s">
        <v>33</v>
      </c>
      <c r="J214">
        <v>3</v>
      </c>
      <c r="K214">
        <v>2</v>
      </c>
      <c r="L214" t="s">
        <v>34</v>
      </c>
      <c r="M214">
        <v>3</v>
      </c>
      <c r="N214" t="s">
        <v>35</v>
      </c>
      <c r="O214">
        <v>9981</v>
      </c>
      <c r="P214">
        <v>1</v>
      </c>
      <c r="Q214" t="s">
        <v>36</v>
      </c>
      <c r="R214">
        <v>4</v>
      </c>
      <c r="S214">
        <v>7</v>
      </c>
      <c r="T214">
        <v>3</v>
      </c>
      <c r="U214">
        <v>7</v>
      </c>
      <c r="V214">
        <v>7</v>
      </c>
      <c r="W214">
        <v>0</v>
      </c>
      <c r="X214">
        <v>7</v>
      </c>
      <c r="Y214">
        <v>14</v>
      </c>
      <c r="Z214">
        <f>IF(H_A[[#This Row],[Attrition]]="Yes",1,0)</f>
        <v>0</v>
      </c>
      <c r="AA214" t="str">
        <f>IF(H_A[[#This Row],[Age]]&lt;30,"Young",IF(H_A[[#This Row],[Age]]&lt;45,"Mid","Senior"))</f>
        <v>Young</v>
      </c>
      <c r="AB214" t="str">
        <f>IF(H_A[[#This Row],[MonthlyIncome]]&lt;5000,"Low",IF(H_A[[#This Row],[MonthlyIncome]]&lt;10000,"Medium","High"))</f>
        <v>Medium</v>
      </c>
      <c r="AC214" t="str">
        <f>IF(H_A[[#This Row],[YearsAtCompany]]&lt;3,"Early",IF(H_A[[#This Row],[YearsAtCompany]]&lt;7,"Mid","Long"))</f>
        <v>Long</v>
      </c>
      <c r="AD214" t="str">
        <f>IF(H_A[[#This Row],[PercentSalaryHike]]&lt;13,"Low",IF(H_A[[#This Row],[PercentSalaryHike]]&lt;18,"Medium","High"))</f>
        <v>Medium</v>
      </c>
    </row>
    <row r="215" spans="1:30" x14ac:dyDescent="0.3">
      <c r="A215">
        <v>51</v>
      </c>
      <c r="B215">
        <v>296</v>
      </c>
      <c r="C215" t="s">
        <v>36</v>
      </c>
      <c r="D215" t="s">
        <v>37</v>
      </c>
      <c r="E215">
        <v>8</v>
      </c>
      <c r="F215">
        <v>4</v>
      </c>
      <c r="G215" t="s">
        <v>32</v>
      </c>
      <c r="H215">
        <v>2</v>
      </c>
      <c r="I215" t="s">
        <v>38</v>
      </c>
      <c r="J215">
        <v>2</v>
      </c>
      <c r="K215">
        <v>3</v>
      </c>
      <c r="L215" t="s">
        <v>49</v>
      </c>
      <c r="M215">
        <v>2</v>
      </c>
      <c r="N215" t="s">
        <v>40</v>
      </c>
      <c r="O215">
        <v>12490</v>
      </c>
      <c r="P215">
        <v>5</v>
      </c>
      <c r="Q215" t="s">
        <v>36</v>
      </c>
      <c r="R215">
        <v>4</v>
      </c>
      <c r="S215">
        <v>16</v>
      </c>
      <c r="T215">
        <v>1</v>
      </c>
      <c r="U215">
        <v>10</v>
      </c>
      <c r="V215">
        <v>9</v>
      </c>
      <c r="W215">
        <v>4</v>
      </c>
      <c r="X215">
        <v>7</v>
      </c>
      <c r="Y215">
        <v>16</v>
      </c>
      <c r="Z215">
        <f>IF(H_A[[#This Row],[Attrition]]="Yes",1,0)</f>
        <v>0</v>
      </c>
      <c r="AA215" t="str">
        <f>IF(H_A[[#This Row],[Age]]&lt;30,"Young",IF(H_A[[#This Row],[Age]]&lt;45,"Mid","Senior"))</f>
        <v>Senior</v>
      </c>
      <c r="AB215" t="str">
        <f>IF(H_A[[#This Row],[MonthlyIncome]]&lt;5000,"Low",IF(H_A[[#This Row],[MonthlyIncome]]&lt;10000,"Medium","High"))</f>
        <v>High</v>
      </c>
      <c r="AC215" t="str">
        <f>IF(H_A[[#This Row],[YearsAtCompany]]&lt;3,"Early",IF(H_A[[#This Row],[YearsAtCompany]]&lt;7,"Mid","Long"))</f>
        <v>Long</v>
      </c>
      <c r="AD215" t="str">
        <f>IF(H_A[[#This Row],[PercentSalaryHike]]&lt;13,"Low",IF(H_A[[#This Row],[PercentSalaryHike]]&lt;18,"Medium","High"))</f>
        <v>Medium</v>
      </c>
    </row>
    <row r="216" spans="1:30" x14ac:dyDescent="0.3">
      <c r="A216">
        <v>30</v>
      </c>
      <c r="B216">
        <v>297</v>
      </c>
      <c r="C216" t="s">
        <v>30</v>
      </c>
      <c r="D216" t="s">
        <v>37</v>
      </c>
      <c r="E216">
        <v>3</v>
      </c>
      <c r="F216">
        <v>3</v>
      </c>
      <c r="G216" t="s">
        <v>51</v>
      </c>
      <c r="H216">
        <v>4</v>
      </c>
      <c r="I216" t="s">
        <v>33</v>
      </c>
      <c r="J216">
        <v>3</v>
      </c>
      <c r="K216">
        <v>1</v>
      </c>
      <c r="L216" t="s">
        <v>39</v>
      </c>
      <c r="M216">
        <v>1</v>
      </c>
      <c r="N216" t="s">
        <v>35</v>
      </c>
      <c r="O216">
        <v>2657</v>
      </c>
      <c r="P216">
        <v>5</v>
      </c>
      <c r="Q216" t="s">
        <v>30</v>
      </c>
      <c r="R216">
        <v>3</v>
      </c>
      <c r="S216">
        <v>8</v>
      </c>
      <c r="T216">
        <v>3</v>
      </c>
      <c r="U216">
        <v>5</v>
      </c>
      <c r="V216">
        <v>2</v>
      </c>
      <c r="W216">
        <v>0</v>
      </c>
      <c r="X216">
        <v>4</v>
      </c>
      <c r="Y216">
        <v>11</v>
      </c>
      <c r="Z216">
        <f>IF(H_A[[#This Row],[Attrition]]="Yes",1,0)</f>
        <v>1</v>
      </c>
      <c r="AA216" t="str">
        <f>IF(H_A[[#This Row],[Age]]&lt;30,"Young",IF(H_A[[#This Row],[Age]]&lt;45,"Mid","Senior"))</f>
        <v>Mid</v>
      </c>
      <c r="AB216" t="str">
        <f>IF(H_A[[#This Row],[MonthlyIncome]]&lt;5000,"Low",IF(H_A[[#This Row],[MonthlyIncome]]&lt;10000,"Medium","High"))</f>
        <v>Low</v>
      </c>
      <c r="AC216" t="str">
        <f>IF(H_A[[#This Row],[YearsAtCompany]]&lt;3,"Early",IF(H_A[[#This Row],[YearsAtCompany]]&lt;7,"Mid","Long"))</f>
        <v>Mid</v>
      </c>
      <c r="AD216" t="str">
        <f>IF(H_A[[#This Row],[PercentSalaryHike]]&lt;13,"Low",IF(H_A[[#This Row],[PercentSalaryHike]]&lt;18,"Medium","High"))</f>
        <v>Low</v>
      </c>
    </row>
    <row r="217" spans="1:30" x14ac:dyDescent="0.3">
      <c r="A217">
        <v>41</v>
      </c>
      <c r="B217">
        <v>298</v>
      </c>
      <c r="C217" t="s">
        <v>36</v>
      </c>
      <c r="D217" t="s">
        <v>31</v>
      </c>
      <c r="E217">
        <v>6</v>
      </c>
      <c r="F217">
        <v>3</v>
      </c>
      <c r="G217" t="s">
        <v>32</v>
      </c>
      <c r="H217">
        <v>4</v>
      </c>
      <c r="I217" t="s">
        <v>33</v>
      </c>
      <c r="J217">
        <v>3</v>
      </c>
      <c r="K217">
        <v>3</v>
      </c>
      <c r="L217" t="s">
        <v>47</v>
      </c>
      <c r="M217">
        <v>4</v>
      </c>
      <c r="N217" t="s">
        <v>35</v>
      </c>
      <c r="O217">
        <v>13591</v>
      </c>
      <c r="P217">
        <v>3</v>
      </c>
      <c r="Q217" t="s">
        <v>30</v>
      </c>
      <c r="R217">
        <v>3</v>
      </c>
      <c r="S217">
        <v>16</v>
      </c>
      <c r="T217">
        <v>3</v>
      </c>
      <c r="U217">
        <v>1</v>
      </c>
      <c r="V217">
        <v>0</v>
      </c>
      <c r="W217">
        <v>0</v>
      </c>
      <c r="X217">
        <v>0</v>
      </c>
      <c r="Y217">
        <v>18</v>
      </c>
      <c r="Z217">
        <f>IF(H_A[[#This Row],[Attrition]]="Yes",1,0)</f>
        <v>0</v>
      </c>
      <c r="AA217" t="str">
        <f>IF(H_A[[#This Row],[Age]]&lt;30,"Young",IF(H_A[[#This Row],[Age]]&lt;45,"Mid","Senior"))</f>
        <v>Mid</v>
      </c>
      <c r="AB217" t="str">
        <f>IF(H_A[[#This Row],[MonthlyIncome]]&lt;5000,"Low",IF(H_A[[#This Row],[MonthlyIncome]]&lt;10000,"Medium","High"))</f>
        <v>High</v>
      </c>
      <c r="AC217" t="str">
        <f>IF(H_A[[#This Row],[YearsAtCompany]]&lt;3,"Early",IF(H_A[[#This Row],[YearsAtCompany]]&lt;7,"Mid","Long"))</f>
        <v>Early</v>
      </c>
      <c r="AD217" t="str">
        <f>IF(H_A[[#This Row],[PercentSalaryHike]]&lt;13,"Low",IF(H_A[[#This Row],[PercentSalaryHike]]&lt;18,"Medium","High"))</f>
        <v>High</v>
      </c>
    </row>
    <row r="218" spans="1:30" x14ac:dyDescent="0.3">
      <c r="A218">
        <v>30</v>
      </c>
      <c r="B218">
        <v>299</v>
      </c>
      <c r="C218" t="s">
        <v>30</v>
      </c>
      <c r="D218" t="s">
        <v>31</v>
      </c>
      <c r="E218">
        <v>26</v>
      </c>
      <c r="F218">
        <v>4</v>
      </c>
      <c r="G218" t="s">
        <v>50</v>
      </c>
      <c r="H218">
        <v>3</v>
      </c>
      <c r="I218" t="s">
        <v>33</v>
      </c>
      <c r="J218">
        <v>2</v>
      </c>
      <c r="K218">
        <v>2</v>
      </c>
      <c r="L218" t="s">
        <v>34</v>
      </c>
      <c r="M218">
        <v>1</v>
      </c>
      <c r="N218" t="s">
        <v>35</v>
      </c>
      <c r="O218">
        <v>6696</v>
      </c>
      <c r="P218">
        <v>5</v>
      </c>
      <c r="Q218" t="s">
        <v>36</v>
      </c>
      <c r="R218">
        <v>3</v>
      </c>
      <c r="S218">
        <v>9</v>
      </c>
      <c r="T218">
        <v>2</v>
      </c>
      <c r="U218">
        <v>6</v>
      </c>
      <c r="V218">
        <v>3</v>
      </c>
      <c r="W218">
        <v>0</v>
      </c>
      <c r="X218">
        <v>1</v>
      </c>
      <c r="Y218">
        <v>15</v>
      </c>
      <c r="Z218">
        <f>IF(H_A[[#This Row],[Attrition]]="Yes",1,0)</f>
        <v>1</v>
      </c>
      <c r="AA218" t="str">
        <f>IF(H_A[[#This Row],[Age]]&lt;30,"Young",IF(H_A[[#This Row],[Age]]&lt;45,"Mid","Senior"))</f>
        <v>Mid</v>
      </c>
      <c r="AB218" t="str">
        <f>IF(H_A[[#This Row],[MonthlyIncome]]&lt;5000,"Low",IF(H_A[[#This Row],[MonthlyIncome]]&lt;10000,"Medium","High"))</f>
        <v>Medium</v>
      </c>
      <c r="AC218" t="str">
        <f>IF(H_A[[#This Row],[YearsAtCompany]]&lt;3,"Early",IF(H_A[[#This Row],[YearsAtCompany]]&lt;7,"Mid","Long"))</f>
        <v>Mid</v>
      </c>
      <c r="AD218" t="str">
        <f>IF(H_A[[#This Row],[PercentSalaryHike]]&lt;13,"Low",IF(H_A[[#This Row],[PercentSalaryHike]]&lt;18,"Medium","High"))</f>
        <v>Medium</v>
      </c>
    </row>
    <row r="219" spans="1:30" x14ac:dyDescent="0.3">
      <c r="A219">
        <v>29</v>
      </c>
      <c r="B219">
        <v>300</v>
      </c>
      <c r="C219" t="s">
        <v>30</v>
      </c>
      <c r="D219" t="s">
        <v>37</v>
      </c>
      <c r="E219">
        <v>1</v>
      </c>
      <c r="F219">
        <v>3</v>
      </c>
      <c r="G219" t="s">
        <v>51</v>
      </c>
      <c r="H219">
        <v>3</v>
      </c>
      <c r="I219" t="s">
        <v>38</v>
      </c>
      <c r="J219">
        <v>3</v>
      </c>
      <c r="K219">
        <v>1</v>
      </c>
      <c r="L219" t="s">
        <v>39</v>
      </c>
      <c r="M219">
        <v>3</v>
      </c>
      <c r="N219" t="s">
        <v>35</v>
      </c>
      <c r="O219">
        <v>2058</v>
      </c>
      <c r="P219">
        <v>0</v>
      </c>
      <c r="Q219" t="s">
        <v>36</v>
      </c>
      <c r="R219">
        <v>4</v>
      </c>
      <c r="S219">
        <v>7</v>
      </c>
      <c r="T219">
        <v>2</v>
      </c>
      <c r="U219">
        <v>6</v>
      </c>
      <c r="V219">
        <v>2</v>
      </c>
      <c r="W219">
        <v>1</v>
      </c>
      <c r="X219">
        <v>5</v>
      </c>
      <c r="Y219">
        <v>14</v>
      </c>
      <c r="Z219">
        <f>IF(H_A[[#This Row],[Attrition]]="Yes",1,0)</f>
        <v>1</v>
      </c>
      <c r="AA219" t="str">
        <f>IF(H_A[[#This Row],[Age]]&lt;30,"Young",IF(H_A[[#This Row],[Age]]&lt;45,"Mid","Senior"))</f>
        <v>Young</v>
      </c>
      <c r="AB219" t="str">
        <f>IF(H_A[[#This Row],[MonthlyIncome]]&lt;5000,"Low",IF(H_A[[#This Row],[MonthlyIncome]]&lt;10000,"Medium","High"))</f>
        <v>Low</v>
      </c>
      <c r="AC219" t="str">
        <f>IF(H_A[[#This Row],[YearsAtCompany]]&lt;3,"Early",IF(H_A[[#This Row],[YearsAtCompany]]&lt;7,"Mid","Long"))</f>
        <v>Mid</v>
      </c>
      <c r="AD219" t="str">
        <f>IF(H_A[[#This Row],[PercentSalaryHike]]&lt;13,"Low",IF(H_A[[#This Row],[PercentSalaryHike]]&lt;18,"Medium","High"))</f>
        <v>Medium</v>
      </c>
    </row>
    <row r="220" spans="1:30" x14ac:dyDescent="0.3">
      <c r="A220">
        <v>45</v>
      </c>
      <c r="B220">
        <v>302</v>
      </c>
      <c r="C220" t="s">
        <v>36</v>
      </c>
      <c r="D220" t="s">
        <v>31</v>
      </c>
      <c r="E220">
        <v>6</v>
      </c>
      <c r="F220">
        <v>3</v>
      </c>
      <c r="G220" t="s">
        <v>43</v>
      </c>
      <c r="H220">
        <v>4</v>
      </c>
      <c r="I220" t="s">
        <v>33</v>
      </c>
      <c r="J220">
        <v>2</v>
      </c>
      <c r="K220">
        <v>3</v>
      </c>
      <c r="L220" t="s">
        <v>34</v>
      </c>
      <c r="M220">
        <v>4</v>
      </c>
      <c r="N220" t="s">
        <v>35</v>
      </c>
      <c r="O220">
        <v>8865</v>
      </c>
      <c r="P220">
        <v>6</v>
      </c>
      <c r="Q220" t="s">
        <v>36</v>
      </c>
      <c r="R220">
        <v>4</v>
      </c>
      <c r="S220">
        <v>23</v>
      </c>
      <c r="T220">
        <v>3</v>
      </c>
      <c r="U220">
        <v>19</v>
      </c>
      <c r="V220">
        <v>7</v>
      </c>
      <c r="W220">
        <v>12</v>
      </c>
      <c r="X220">
        <v>8</v>
      </c>
      <c r="Y220">
        <v>12</v>
      </c>
      <c r="Z220">
        <f>IF(H_A[[#This Row],[Attrition]]="Yes",1,0)</f>
        <v>0</v>
      </c>
      <c r="AA220" t="str">
        <f>IF(H_A[[#This Row],[Age]]&lt;30,"Young",IF(H_A[[#This Row],[Age]]&lt;45,"Mid","Senior"))</f>
        <v>Senior</v>
      </c>
      <c r="AB220" t="str">
        <f>IF(H_A[[#This Row],[MonthlyIncome]]&lt;5000,"Low",IF(H_A[[#This Row],[MonthlyIncome]]&lt;10000,"Medium","High"))</f>
        <v>Medium</v>
      </c>
      <c r="AC220" t="str">
        <f>IF(H_A[[#This Row],[YearsAtCompany]]&lt;3,"Early",IF(H_A[[#This Row],[YearsAtCompany]]&lt;7,"Mid","Long"))</f>
        <v>Long</v>
      </c>
      <c r="AD220" t="str">
        <f>IF(H_A[[#This Row],[PercentSalaryHike]]&lt;13,"Low",IF(H_A[[#This Row],[PercentSalaryHike]]&lt;18,"Medium","High"))</f>
        <v>Low</v>
      </c>
    </row>
    <row r="221" spans="1:30" x14ac:dyDescent="0.3">
      <c r="A221">
        <v>54</v>
      </c>
      <c r="B221">
        <v>303</v>
      </c>
      <c r="C221" t="s">
        <v>36</v>
      </c>
      <c r="D221" t="s">
        <v>31</v>
      </c>
      <c r="E221">
        <v>3</v>
      </c>
      <c r="F221">
        <v>3</v>
      </c>
      <c r="G221" t="s">
        <v>50</v>
      </c>
      <c r="H221">
        <v>4</v>
      </c>
      <c r="I221" t="s">
        <v>33</v>
      </c>
      <c r="J221">
        <v>3</v>
      </c>
      <c r="K221">
        <v>2</v>
      </c>
      <c r="L221" t="s">
        <v>34</v>
      </c>
      <c r="M221">
        <v>1</v>
      </c>
      <c r="N221" t="s">
        <v>40</v>
      </c>
      <c r="O221">
        <v>5940</v>
      </c>
      <c r="P221">
        <v>2</v>
      </c>
      <c r="Q221" t="s">
        <v>36</v>
      </c>
      <c r="R221">
        <v>4</v>
      </c>
      <c r="S221">
        <v>16</v>
      </c>
      <c r="T221">
        <v>3</v>
      </c>
      <c r="U221">
        <v>6</v>
      </c>
      <c r="V221">
        <v>2</v>
      </c>
      <c r="W221">
        <v>0</v>
      </c>
      <c r="X221">
        <v>5</v>
      </c>
      <c r="Y221">
        <v>14</v>
      </c>
      <c r="Z221">
        <f>IF(H_A[[#This Row],[Attrition]]="Yes",1,0)</f>
        <v>0</v>
      </c>
      <c r="AA221" t="str">
        <f>IF(H_A[[#This Row],[Age]]&lt;30,"Young",IF(H_A[[#This Row],[Age]]&lt;45,"Mid","Senior"))</f>
        <v>Senior</v>
      </c>
      <c r="AB221" t="str">
        <f>IF(H_A[[#This Row],[MonthlyIncome]]&lt;5000,"Low",IF(H_A[[#This Row],[MonthlyIncome]]&lt;10000,"Medium","High"))</f>
        <v>Medium</v>
      </c>
      <c r="AC221" t="str">
        <f>IF(H_A[[#This Row],[YearsAtCompany]]&lt;3,"Early",IF(H_A[[#This Row],[YearsAtCompany]]&lt;7,"Mid","Long"))</f>
        <v>Mid</v>
      </c>
      <c r="AD221" t="str">
        <f>IF(H_A[[#This Row],[PercentSalaryHike]]&lt;13,"Low",IF(H_A[[#This Row],[PercentSalaryHike]]&lt;18,"Medium","High"))</f>
        <v>Medium</v>
      </c>
    </row>
    <row r="222" spans="1:30" x14ac:dyDescent="0.3">
      <c r="A222">
        <v>36</v>
      </c>
      <c r="B222">
        <v>304</v>
      </c>
      <c r="C222" t="s">
        <v>36</v>
      </c>
      <c r="D222" t="s">
        <v>37</v>
      </c>
      <c r="E222">
        <v>5</v>
      </c>
      <c r="F222">
        <v>2</v>
      </c>
      <c r="G222" t="s">
        <v>32</v>
      </c>
      <c r="H222">
        <v>4</v>
      </c>
      <c r="I222" t="s">
        <v>38</v>
      </c>
      <c r="J222">
        <v>3</v>
      </c>
      <c r="K222">
        <v>2</v>
      </c>
      <c r="L222" t="s">
        <v>42</v>
      </c>
      <c r="M222">
        <v>2</v>
      </c>
      <c r="N222" t="s">
        <v>35</v>
      </c>
      <c r="O222">
        <v>5914</v>
      </c>
      <c r="P222">
        <v>8</v>
      </c>
      <c r="Q222" t="s">
        <v>36</v>
      </c>
      <c r="R222">
        <v>4</v>
      </c>
      <c r="S222">
        <v>16</v>
      </c>
      <c r="T222">
        <v>4</v>
      </c>
      <c r="U222">
        <v>13</v>
      </c>
      <c r="V222">
        <v>11</v>
      </c>
      <c r="W222">
        <v>3</v>
      </c>
      <c r="X222">
        <v>7</v>
      </c>
      <c r="Y222">
        <v>16</v>
      </c>
      <c r="Z222">
        <f>IF(H_A[[#This Row],[Attrition]]="Yes",1,0)</f>
        <v>0</v>
      </c>
      <c r="AA222" t="str">
        <f>IF(H_A[[#This Row],[Age]]&lt;30,"Young",IF(H_A[[#This Row],[Age]]&lt;45,"Mid","Senior"))</f>
        <v>Mid</v>
      </c>
      <c r="AB222" t="str">
        <f>IF(H_A[[#This Row],[MonthlyIncome]]&lt;5000,"Low",IF(H_A[[#This Row],[MonthlyIncome]]&lt;10000,"Medium","High"))</f>
        <v>Medium</v>
      </c>
      <c r="AC222" t="str">
        <f>IF(H_A[[#This Row],[YearsAtCompany]]&lt;3,"Early",IF(H_A[[#This Row],[YearsAtCompany]]&lt;7,"Mid","Long"))</f>
        <v>Long</v>
      </c>
      <c r="AD222" t="str">
        <f>IF(H_A[[#This Row],[PercentSalaryHike]]&lt;13,"Low",IF(H_A[[#This Row],[PercentSalaryHike]]&lt;18,"Medium","High"))</f>
        <v>Medium</v>
      </c>
    </row>
    <row r="223" spans="1:30" x14ac:dyDescent="0.3">
      <c r="A223">
        <v>33</v>
      </c>
      <c r="B223">
        <v>305</v>
      </c>
      <c r="C223" t="s">
        <v>36</v>
      </c>
      <c r="D223" t="s">
        <v>37</v>
      </c>
      <c r="E223">
        <v>4</v>
      </c>
      <c r="F223">
        <v>4</v>
      </c>
      <c r="G223" t="s">
        <v>43</v>
      </c>
      <c r="H223">
        <v>3</v>
      </c>
      <c r="I223" t="s">
        <v>33</v>
      </c>
      <c r="J223">
        <v>2</v>
      </c>
      <c r="K223">
        <v>1</v>
      </c>
      <c r="L223" t="s">
        <v>39</v>
      </c>
      <c r="M223">
        <v>2</v>
      </c>
      <c r="N223" t="s">
        <v>40</v>
      </c>
      <c r="O223">
        <v>2622</v>
      </c>
      <c r="P223">
        <v>6</v>
      </c>
      <c r="Q223" t="s">
        <v>36</v>
      </c>
      <c r="R223">
        <v>4</v>
      </c>
      <c r="S223">
        <v>7</v>
      </c>
      <c r="T223">
        <v>3</v>
      </c>
      <c r="U223">
        <v>3</v>
      </c>
      <c r="V223">
        <v>2</v>
      </c>
      <c r="W223">
        <v>1</v>
      </c>
      <c r="X223">
        <v>1</v>
      </c>
      <c r="Y223">
        <v>21</v>
      </c>
      <c r="Z223">
        <f>IF(H_A[[#This Row],[Attrition]]="Yes",1,0)</f>
        <v>0</v>
      </c>
      <c r="AA223" t="str">
        <f>IF(H_A[[#This Row],[Age]]&lt;30,"Young",IF(H_A[[#This Row],[Age]]&lt;45,"Mid","Senior"))</f>
        <v>Mid</v>
      </c>
      <c r="AB223" t="str">
        <f>IF(H_A[[#This Row],[MonthlyIncome]]&lt;5000,"Low",IF(H_A[[#This Row],[MonthlyIncome]]&lt;10000,"Medium","High"))</f>
        <v>Low</v>
      </c>
      <c r="AC223" t="str">
        <f>IF(H_A[[#This Row],[YearsAtCompany]]&lt;3,"Early",IF(H_A[[#This Row],[YearsAtCompany]]&lt;7,"Mid","Long"))</f>
        <v>Mid</v>
      </c>
      <c r="AD223" t="str">
        <f>IF(H_A[[#This Row],[PercentSalaryHike]]&lt;13,"Low",IF(H_A[[#This Row],[PercentSalaryHike]]&lt;18,"Medium","High"))</f>
        <v>High</v>
      </c>
    </row>
    <row r="224" spans="1:30" x14ac:dyDescent="0.3">
      <c r="A224">
        <v>37</v>
      </c>
      <c r="B224">
        <v>306</v>
      </c>
      <c r="C224" t="s">
        <v>36</v>
      </c>
      <c r="D224" t="s">
        <v>37</v>
      </c>
      <c r="E224">
        <v>11</v>
      </c>
      <c r="F224">
        <v>3</v>
      </c>
      <c r="G224" t="s">
        <v>41</v>
      </c>
      <c r="H224">
        <v>2</v>
      </c>
      <c r="I224" t="s">
        <v>38</v>
      </c>
      <c r="J224">
        <v>3</v>
      </c>
      <c r="K224">
        <v>3</v>
      </c>
      <c r="L224" t="s">
        <v>49</v>
      </c>
      <c r="M224">
        <v>4</v>
      </c>
      <c r="N224" t="s">
        <v>44</v>
      </c>
      <c r="O224">
        <v>12185</v>
      </c>
      <c r="P224">
        <v>1</v>
      </c>
      <c r="Q224" t="s">
        <v>30</v>
      </c>
      <c r="R224">
        <v>3</v>
      </c>
      <c r="S224">
        <v>10</v>
      </c>
      <c r="T224">
        <v>3</v>
      </c>
      <c r="U224">
        <v>10</v>
      </c>
      <c r="V224">
        <v>8</v>
      </c>
      <c r="W224">
        <v>0</v>
      </c>
      <c r="X224">
        <v>7</v>
      </c>
      <c r="Y224">
        <v>14</v>
      </c>
      <c r="Z224">
        <f>IF(H_A[[#This Row],[Attrition]]="Yes",1,0)</f>
        <v>0</v>
      </c>
      <c r="AA224" t="str">
        <f>IF(H_A[[#This Row],[Age]]&lt;30,"Young",IF(H_A[[#This Row],[Age]]&lt;45,"Mid","Senior"))</f>
        <v>Mid</v>
      </c>
      <c r="AB224" t="str">
        <f>IF(H_A[[#This Row],[MonthlyIncome]]&lt;5000,"Low",IF(H_A[[#This Row],[MonthlyIncome]]&lt;10000,"Medium","High"))</f>
        <v>High</v>
      </c>
      <c r="AC224" t="str">
        <f>IF(H_A[[#This Row],[YearsAtCompany]]&lt;3,"Early",IF(H_A[[#This Row],[YearsAtCompany]]&lt;7,"Mid","Long"))</f>
        <v>Long</v>
      </c>
      <c r="AD224" t="str">
        <f>IF(H_A[[#This Row],[PercentSalaryHike]]&lt;13,"Low",IF(H_A[[#This Row],[PercentSalaryHike]]&lt;18,"Medium","High"))</f>
        <v>Medium</v>
      </c>
    </row>
    <row r="225" spans="1:30" x14ac:dyDescent="0.3">
      <c r="A225">
        <v>38</v>
      </c>
      <c r="B225">
        <v>307</v>
      </c>
      <c r="C225" t="s">
        <v>36</v>
      </c>
      <c r="D225" t="s">
        <v>31</v>
      </c>
      <c r="E225">
        <v>3</v>
      </c>
      <c r="F225">
        <v>3</v>
      </c>
      <c r="G225" t="s">
        <v>32</v>
      </c>
      <c r="H225">
        <v>1</v>
      </c>
      <c r="I225" t="s">
        <v>38</v>
      </c>
      <c r="J225">
        <v>3</v>
      </c>
      <c r="K225">
        <v>3</v>
      </c>
      <c r="L225" t="s">
        <v>34</v>
      </c>
      <c r="M225">
        <v>3</v>
      </c>
      <c r="N225" t="s">
        <v>44</v>
      </c>
      <c r="O225">
        <v>10609</v>
      </c>
      <c r="P225">
        <v>0</v>
      </c>
      <c r="Q225" t="s">
        <v>36</v>
      </c>
      <c r="R225">
        <v>3</v>
      </c>
      <c r="S225">
        <v>17</v>
      </c>
      <c r="T225">
        <v>2</v>
      </c>
      <c r="U225">
        <v>16</v>
      </c>
      <c r="V225">
        <v>10</v>
      </c>
      <c r="W225">
        <v>5</v>
      </c>
      <c r="X225">
        <v>13</v>
      </c>
      <c r="Y225">
        <v>12</v>
      </c>
      <c r="Z225">
        <f>IF(H_A[[#This Row],[Attrition]]="Yes",1,0)</f>
        <v>0</v>
      </c>
      <c r="AA225" t="str">
        <f>IF(H_A[[#This Row],[Age]]&lt;30,"Young",IF(H_A[[#This Row],[Age]]&lt;45,"Mid","Senior"))</f>
        <v>Mid</v>
      </c>
      <c r="AB225" t="str">
        <f>IF(H_A[[#This Row],[MonthlyIncome]]&lt;5000,"Low",IF(H_A[[#This Row],[MonthlyIncome]]&lt;10000,"Medium","High"))</f>
        <v>High</v>
      </c>
      <c r="AC225" t="str">
        <f>IF(H_A[[#This Row],[YearsAtCompany]]&lt;3,"Early",IF(H_A[[#This Row],[YearsAtCompany]]&lt;7,"Mid","Long"))</f>
        <v>Long</v>
      </c>
      <c r="AD225" t="str">
        <f>IF(H_A[[#This Row],[PercentSalaryHike]]&lt;13,"Low",IF(H_A[[#This Row],[PercentSalaryHike]]&lt;18,"Medium","High"))</f>
        <v>Low</v>
      </c>
    </row>
    <row r="226" spans="1:30" x14ac:dyDescent="0.3">
      <c r="A226">
        <v>31</v>
      </c>
      <c r="B226">
        <v>308</v>
      </c>
      <c r="C226" t="s">
        <v>36</v>
      </c>
      <c r="D226" t="s">
        <v>37</v>
      </c>
      <c r="E226">
        <v>1</v>
      </c>
      <c r="F226">
        <v>4</v>
      </c>
      <c r="G226" t="s">
        <v>43</v>
      </c>
      <c r="H226">
        <v>3</v>
      </c>
      <c r="I226" t="s">
        <v>38</v>
      </c>
      <c r="J226">
        <v>1</v>
      </c>
      <c r="K226">
        <v>2</v>
      </c>
      <c r="L226" t="s">
        <v>45</v>
      </c>
      <c r="M226">
        <v>3</v>
      </c>
      <c r="N226" t="s">
        <v>40</v>
      </c>
      <c r="O226">
        <v>4345</v>
      </c>
      <c r="P226">
        <v>0</v>
      </c>
      <c r="Q226" t="s">
        <v>36</v>
      </c>
      <c r="R226">
        <v>4</v>
      </c>
      <c r="S226">
        <v>6</v>
      </c>
      <c r="T226">
        <v>3</v>
      </c>
      <c r="U226">
        <v>5</v>
      </c>
      <c r="V226">
        <v>4</v>
      </c>
      <c r="W226">
        <v>1</v>
      </c>
      <c r="X226">
        <v>4</v>
      </c>
      <c r="Y226">
        <v>12</v>
      </c>
      <c r="Z226">
        <f>IF(H_A[[#This Row],[Attrition]]="Yes",1,0)</f>
        <v>0</v>
      </c>
      <c r="AA226" t="str">
        <f>IF(H_A[[#This Row],[Age]]&lt;30,"Young",IF(H_A[[#This Row],[Age]]&lt;45,"Mid","Senior"))</f>
        <v>Mid</v>
      </c>
      <c r="AB226" t="str">
        <f>IF(H_A[[#This Row],[MonthlyIncome]]&lt;5000,"Low",IF(H_A[[#This Row],[MonthlyIncome]]&lt;10000,"Medium","High"))</f>
        <v>Low</v>
      </c>
      <c r="AC226" t="str">
        <f>IF(H_A[[#This Row],[YearsAtCompany]]&lt;3,"Early",IF(H_A[[#This Row],[YearsAtCompany]]&lt;7,"Mid","Long"))</f>
        <v>Mid</v>
      </c>
      <c r="AD226" t="str">
        <f>IF(H_A[[#This Row],[PercentSalaryHike]]&lt;13,"Low",IF(H_A[[#This Row],[PercentSalaryHike]]&lt;18,"Medium","High"))</f>
        <v>Low</v>
      </c>
    </row>
    <row r="227" spans="1:30" x14ac:dyDescent="0.3">
      <c r="A227">
        <v>59</v>
      </c>
      <c r="B227">
        <v>309</v>
      </c>
      <c r="C227" t="s">
        <v>36</v>
      </c>
      <c r="D227" t="s">
        <v>37</v>
      </c>
      <c r="E227">
        <v>3</v>
      </c>
      <c r="F227">
        <v>3</v>
      </c>
      <c r="G227" t="s">
        <v>32</v>
      </c>
      <c r="H227">
        <v>3</v>
      </c>
      <c r="I227" t="s">
        <v>38</v>
      </c>
      <c r="J227">
        <v>2</v>
      </c>
      <c r="K227">
        <v>1</v>
      </c>
      <c r="L227" t="s">
        <v>39</v>
      </c>
      <c r="M227">
        <v>4</v>
      </c>
      <c r="N227" t="s">
        <v>40</v>
      </c>
      <c r="O227">
        <v>2177</v>
      </c>
      <c r="P227">
        <v>3</v>
      </c>
      <c r="Q227" t="s">
        <v>36</v>
      </c>
      <c r="R227">
        <v>1</v>
      </c>
      <c r="S227">
        <v>7</v>
      </c>
      <c r="T227">
        <v>3</v>
      </c>
      <c r="U227">
        <v>1</v>
      </c>
      <c r="V227">
        <v>0</v>
      </c>
      <c r="W227">
        <v>0</v>
      </c>
      <c r="X227">
        <v>0</v>
      </c>
      <c r="Y227">
        <v>17</v>
      </c>
      <c r="Z227">
        <f>IF(H_A[[#This Row],[Attrition]]="Yes",1,0)</f>
        <v>0</v>
      </c>
      <c r="AA227" t="str">
        <f>IF(H_A[[#This Row],[Age]]&lt;30,"Young",IF(H_A[[#This Row],[Age]]&lt;45,"Mid","Senior"))</f>
        <v>Senior</v>
      </c>
      <c r="AB227" t="str">
        <f>IF(H_A[[#This Row],[MonthlyIncome]]&lt;5000,"Low",IF(H_A[[#This Row],[MonthlyIncome]]&lt;10000,"Medium","High"))</f>
        <v>Low</v>
      </c>
      <c r="AC227" t="str">
        <f>IF(H_A[[#This Row],[YearsAtCompany]]&lt;3,"Early",IF(H_A[[#This Row],[YearsAtCompany]]&lt;7,"Mid","Long"))</f>
        <v>Early</v>
      </c>
      <c r="AD227" t="str">
        <f>IF(H_A[[#This Row],[PercentSalaryHike]]&lt;13,"Low",IF(H_A[[#This Row],[PercentSalaryHike]]&lt;18,"Medium","High"))</f>
        <v>Medium</v>
      </c>
    </row>
    <row r="228" spans="1:30" x14ac:dyDescent="0.3">
      <c r="A228">
        <v>37</v>
      </c>
      <c r="B228">
        <v>311</v>
      </c>
      <c r="C228" t="s">
        <v>36</v>
      </c>
      <c r="D228" t="s">
        <v>31</v>
      </c>
      <c r="E228">
        <v>4</v>
      </c>
      <c r="F228">
        <v>4</v>
      </c>
      <c r="G228" t="s">
        <v>50</v>
      </c>
      <c r="H228">
        <v>1</v>
      </c>
      <c r="I228" t="s">
        <v>38</v>
      </c>
      <c r="J228">
        <v>3</v>
      </c>
      <c r="K228">
        <v>1</v>
      </c>
      <c r="L228" t="s">
        <v>48</v>
      </c>
      <c r="M228">
        <v>4</v>
      </c>
      <c r="N228" t="s">
        <v>44</v>
      </c>
      <c r="O228">
        <v>2793</v>
      </c>
      <c r="P228">
        <v>4</v>
      </c>
      <c r="Q228" t="s">
        <v>36</v>
      </c>
      <c r="R228">
        <v>3</v>
      </c>
      <c r="S228">
        <v>13</v>
      </c>
      <c r="T228">
        <v>3</v>
      </c>
      <c r="U228">
        <v>9</v>
      </c>
      <c r="V228">
        <v>8</v>
      </c>
      <c r="W228">
        <v>5</v>
      </c>
      <c r="X228">
        <v>8</v>
      </c>
      <c r="Y228">
        <v>17</v>
      </c>
      <c r="Z228">
        <f>IF(H_A[[#This Row],[Attrition]]="Yes",1,0)</f>
        <v>0</v>
      </c>
      <c r="AA228" t="str">
        <f>IF(H_A[[#This Row],[Age]]&lt;30,"Young",IF(H_A[[#This Row],[Age]]&lt;45,"Mid","Senior"))</f>
        <v>Mid</v>
      </c>
      <c r="AB228" t="str">
        <f>IF(H_A[[#This Row],[MonthlyIncome]]&lt;5000,"Low",IF(H_A[[#This Row],[MonthlyIncome]]&lt;10000,"Medium","High"))</f>
        <v>Low</v>
      </c>
      <c r="AC228" t="str">
        <f>IF(H_A[[#This Row],[YearsAtCompany]]&lt;3,"Early",IF(H_A[[#This Row],[YearsAtCompany]]&lt;7,"Mid","Long"))</f>
        <v>Long</v>
      </c>
      <c r="AD228" t="str">
        <f>IF(H_A[[#This Row],[PercentSalaryHike]]&lt;13,"Low",IF(H_A[[#This Row],[PercentSalaryHike]]&lt;18,"Medium","High"))</f>
        <v>Medium</v>
      </c>
    </row>
    <row r="229" spans="1:30" x14ac:dyDescent="0.3">
      <c r="A229">
        <v>29</v>
      </c>
      <c r="B229">
        <v>312</v>
      </c>
      <c r="C229" t="s">
        <v>36</v>
      </c>
      <c r="D229" t="s">
        <v>31</v>
      </c>
      <c r="E229">
        <v>1</v>
      </c>
      <c r="F229">
        <v>1</v>
      </c>
      <c r="G229" t="s">
        <v>43</v>
      </c>
      <c r="H229">
        <v>2</v>
      </c>
      <c r="I229" t="s">
        <v>33</v>
      </c>
      <c r="J229">
        <v>3</v>
      </c>
      <c r="K229">
        <v>3</v>
      </c>
      <c r="L229" t="s">
        <v>34</v>
      </c>
      <c r="M229">
        <v>4</v>
      </c>
      <c r="N229" t="s">
        <v>40</v>
      </c>
      <c r="O229">
        <v>7918</v>
      </c>
      <c r="P229">
        <v>1</v>
      </c>
      <c r="Q229" t="s">
        <v>36</v>
      </c>
      <c r="R229">
        <v>4</v>
      </c>
      <c r="S229">
        <v>11</v>
      </c>
      <c r="T229">
        <v>3</v>
      </c>
      <c r="U229">
        <v>11</v>
      </c>
      <c r="V229">
        <v>10</v>
      </c>
      <c r="W229">
        <v>4</v>
      </c>
      <c r="X229">
        <v>1</v>
      </c>
      <c r="Y229">
        <v>14</v>
      </c>
      <c r="Z229">
        <f>IF(H_A[[#This Row],[Attrition]]="Yes",1,0)</f>
        <v>0</v>
      </c>
      <c r="AA229" t="str">
        <f>IF(H_A[[#This Row],[Age]]&lt;30,"Young",IF(H_A[[#This Row],[Age]]&lt;45,"Mid","Senior"))</f>
        <v>Young</v>
      </c>
      <c r="AB229" t="str">
        <f>IF(H_A[[#This Row],[MonthlyIncome]]&lt;5000,"Low",IF(H_A[[#This Row],[MonthlyIncome]]&lt;10000,"Medium","High"))</f>
        <v>Medium</v>
      </c>
      <c r="AC229" t="str">
        <f>IF(H_A[[#This Row],[YearsAtCompany]]&lt;3,"Early",IF(H_A[[#This Row],[YearsAtCompany]]&lt;7,"Mid","Long"))</f>
        <v>Long</v>
      </c>
      <c r="AD229" t="str">
        <f>IF(H_A[[#This Row],[PercentSalaryHike]]&lt;13,"Low",IF(H_A[[#This Row],[PercentSalaryHike]]&lt;18,"Medium","High"))</f>
        <v>Medium</v>
      </c>
    </row>
    <row r="230" spans="1:30" x14ac:dyDescent="0.3">
      <c r="A230">
        <v>35</v>
      </c>
      <c r="B230">
        <v>314</v>
      </c>
      <c r="C230" t="s">
        <v>36</v>
      </c>
      <c r="D230" t="s">
        <v>31</v>
      </c>
      <c r="E230">
        <v>1</v>
      </c>
      <c r="F230">
        <v>3</v>
      </c>
      <c r="G230" t="s">
        <v>50</v>
      </c>
      <c r="H230">
        <v>3</v>
      </c>
      <c r="I230" t="s">
        <v>33</v>
      </c>
      <c r="J230">
        <v>3</v>
      </c>
      <c r="K230">
        <v>3</v>
      </c>
      <c r="L230" t="s">
        <v>34</v>
      </c>
      <c r="M230">
        <v>3</v>
      </c>
      <c r="N230" t="s">
        <v>35</v>
      </c>
      <c r="O230">
        <v>8789</v>
      </c>
      <c r="P230">
        <v>1</v>
      </c>
      <c r="Q230" t="s">
        <v>36</v>
      </c>
      <c r="R230">
        <v>1</v>
      </c>
      <c r="S230">
        <v>10</v>
      </c>
      <c r="T230">
        <v>4</v>
      </c>
      <c r="U230">
        <v>10</v>
      </c>
      <c r="V230">
        <v>7</v>
      </c>
      <c r="W230">
        <v>0</v>
      </c>
      <c r="X230">
        <v>8</v>
      </c>
      <c r="Y230">
        <v>14</v>
      </c>
      <c r="Z230">
        <f>IF(H_A[[#This Row],[Attrition]]="Yes",1,0)</f>
        <v>0</v>
      </c>
      <c r="AA230" t="str">
        <f>IF(H_A[[#This Row],[Age]]&lt;30,"Young",IF(H_A[[#This Row],[Age]]&lt;45,"Mid","Senior"))</f>
        <v>Mid</v>
      </c>
      <c r="AB230" t="str">
        <f>IF(H_A[[#This Row],[MonthlyIncome]]&lt;5000,"Low",IF(H_A[[#This Row],[MonthlyIncome]]&lt;10000,"Medium","High"))</f>
        <v>Medium</v>
      </c>
      <c r="AC230" t="str">
        <f>IF(H_A[[#This Row],[YearsAtCompany]]&lt;3,"Early",IF(H_A[[#This Row],[YearsAtCompany]]&lt;7,"Mid","Long"))</f>
        <v>Long</v>
      </c>
      <c r="AD230" t="str">
        <f>IF(H_A[[#This Row],[PercentSalaryHike]]&lt;13,"Low",IF(H_A[[#This Row],[PercentSalaryHike]]&lt;18,"Medium","High"))</f>
        <v>Medium</v>
      </c>
    </row>
    <row r="231" spans="1:30" x14ac:dyDescent="0.3">
      <c r="A231">
        <v>29</v>
      </c>
      <c r="B231">
        <v>315</v>
      </c>
      <c r="C231" t="s">
        <v>30</v>
      </c>
      <c r="D231" t="s">
        <v>37</v>
      </c>
      <c r="E231">
        <v>18</v>
      </c>
      <c r="F231">
        <v>1</v>
      </c>
      <c r="G231" t="s">
        <v>43</v>
      </c>
      <c r="H231">
        <v>3</v>
      </c>
      <c r="I231" t="s">
        <v>38</v>
      </c>
      <c r="J231">
        <v>2</v>
      </c>
      <c r="K231">
        <v>1</v>
      </c>
      <c r="L231" t="s">
        <v>39</v>
      </c>
      <c r="M231">
        <v>4</v>
      </c>
      <c r="N231" t="s">
        <v>35</v>
      </c>
      <c r="O231">
        <v>2389</v>
      </c>
      <c r="P231">
        <v>1</v>
      </c>
      <c r="Q231" t="s">
        <v>30</v>
      </c>
      <c r="R231">
        <v>3</v>
      </c>
      <c r="S231">
        <v>4</v>
      </c>
      <c r="T231">
        <v>2</v>
      </c>
      <c r="U231">
        <v>4</v>
      </c>
      <c r="V231">
        <v>3</v>
      </c>
      <c r="W231">
        <v>0</v>
      </c>
      <c r="X231">
        <v>1</v>
      </c>
      <c r="Y231">
        <v>13</v>
      </c>
      <c r="Z231">
        <f>IF(H_A[[#This Row],[Attrition]]="Yes",1,0)</f>
        <v>1</v>
      </c>
      <c r="AA231" t="str">
        <f>IF(H_A[[#This Row],[Age]]&lt;30,"Young",IF(H_A[[#This Row],[Age]]&lt;45,"Mid","Senior"))</f>
        <v>Young</v>
      </c>
      <c r="AB231" t="str">
        <f>IF(H_A[[#This Row],[MonthlyIncome]]&lt;5000,"Low",IF(H_A[[#This Row],[MonthlyIncome]]&lt;10000,"Medium","High"))</f>
        <v>Low</v>
      </c>
      <c r="AC231" t="str">
        <f>IF(H_A[[#This Row],[YearsAtCompany]]&lt;3,"Early",IF(H_A[[#This Row],[YearsAtCompany]]&lt;7,"Mid","Long"))</f>
        <v>Mid</v>
      </c>
      <c r="AD231" t="str">
        <f>IF(H_A[[#This Row],[PercentSalaryHike]]&lt;13,"Low",IF(H_A[[#This Row],[PercentSalaryHike]]&lt;18,"Medium","High"))</f>
        <v>Medium</v>
      </c>
    </row>
    <row r="232" spans="1:30" x14ac:dyDescent="0.3">
      <c r="A232">
        <v>52</v>
      </c>
      <c r="B232">
        <v>316</v>
      </c>
      <c r="C232" t="s">
        <v>36</v>
      </c>
      <c r="D232" t="s">
        <v>37</v>
      </c>
      <c r="E232">
        <v>2</v>
      </c>
      <c r="F232">
        <v>3</v>
      </c>
      <c r="G232" t="s">
        <v>32</v>
      </c>
      <c r="H232">
        <v>3</v>
      </c>
      <c r="I232" t="s">
        <v>33</v>
      </c>
      <c r="J232">
        <v>2</v>
      </c>
      <c r="K232">
        <v>1</v>
      </c>
      <c r="L232" t="s">
        <v>42</v>
      </c>
      <c r="M232">
        <v>4</v>
      </c>
      <c r="N232" t="s">
        <v>35</v>
      </c>
      <c r="O232">
        <v>3212</v>
      </c>
      <c r="P232">
        <v>7</v>
      </c>
      <c r="Q232" t="s">
        <v>36</v>
      </c>
      <c r="R232">
        <v>2</v>
      </c>
      <c r="S232">
        <v>6</v>
      </c>
      <c r="T232">
        <v>2</v>
      </c>
      <c r="U232">
        <v>2</v>
      </c>
      <c r="V232">
        <v>2</v>
      </c>
      <c r="W232">
        <v>2</v>
      </c>
      <c r="X232">
        <v>2</v>
      </c>
      <c r="Y232">
        <v>15</v>
      </c>
      <c r="Z232">
        <f>IF(H_A[[#This Row],[Attrition]]="Yes",1,0)</f>
        <v>0</v>
      </c>
      <c r="AA232" t="str">
        <f>IF(H_A[[#This Row],[Age]]&lt;30,"Young",IF(H_A[[#This Row],[Age]]&lt;45,"Mid","Senior"))</f>
        <v>Senior</v>
      </c>
      <c r="AB232" t="str">
        <f>IF(H_A[[#This Row],[MonthlyIncome]]&lt;5000,"Low",IF(H_A[[#This Row],[MonthlyIncome]]&lt;10000,"Medium","High"))</f>
        <v>Low</v>
      </c>
      <c r="AC232" t="str">
        <f>IF(H_A[[#This Row],[YearsAtCompany]]&lt;3,"Early",IF(H_A[[#This Row],[YearsAtCompany]]&lt;7,"Mid","Long"))</f>
        <v>Early</v>
      </c>
      <c r="AD232" t="str">
        <f>IF(H_A[[#This Row],[PercentSalaryHike]]&lt;13,"Low",IF(H_A[[#This Row],[PercentSalaryHike]]&lt;18,"Medium","High"))</f>
        <v>Medium</v>
      </c>
    </row>
    <row r="233" spans="1:30" x14ac:dyDescent="0.3">
      <c r="A233">
        <v>42</v>
      </c>
      <c r="B233">
        <v>319</v>
      </c>
      <c r="C233" t="s">
        <v>36</v>
      </c>
      <c r="D233" t="s">
        <v>37</v>
      </c>
      <c r="E233">
        <v>4</v>
      </c>
      <c r="F233">
        <v>2</v>
      </c>
      <c r="G233" t="s">
        <v>51</v>
      </c>
      <c r="H233">
        <v>3</v>
      </c>
      <c r="I233" t="s">
        <v>38</v>
      </c>
      <c r="J233">
        <v>3</v>
      </c>
      <c r="K233">
        <v>5</v>
      </c>
      <c r="L233" t="s">
        <v>47</v>
      </c>
      <c r="M233">
        <v>4</v>
      </c>
      <c r="N233" t="s">
        <v>40</v>
      </c>
      <c r="O233">
        <v>19232</v>
      </c>
      <c r="P233">
        <v>1</v>
      </c>
      <c r="Q233" t="s">
        <v>36</v>
      </c>
      <c r="R233">
        <v>4</v>
      </c>
      <c r="S233">
        <v>22</v>
      </c>
      <c r="T233">
        <v>3</v>
      </c>
      <c r="U233">
        <v>22</v>
      </c>
      <c r="V233">
        <v>17</v>
      </c>
      <c r="W233">
        <v>11</v>
      </c>
      <c r="X233">
        <v>15</v>
      </c>
      <c r="Y233">
        <v>11</v>
      </c>
      <c r="Z233">
        <f>IF(H_A[[#This Row],[Attrition]]="Yes",1,0)</f>
        <v>0</v>
      </c>
      <c r="AA233" t="str">
        <f>IF(H_A[[#This Row],[Age]]&lt;30,"Young",IF(H_A[[#This Row],[Age]]&lt;45,"Mid","Senior"))</f>
        <v>Mid</v>
      </c>
      <c r="AB233" t="str">
        <f>IF(H_A[[#This Row],[MonthlyIncome]]&lt;5000,"Low",IF(H_A[[#This Row],[MonthlyIncome]]&lt;10000,"Medium","High"))</f>
        <v>High</v>
      </c>
      <c r="AC233" t="str">
        <f>IF(H_A[[#This Row],[YearsAtCompany]]&lt;3,"Early",IF(H_A[[#This Row],[YearsAtCompany]]&lt;7,"Mid","Long"))</f>
        <v>Long</v>
      </c>
      <c r="AD233" t="str">
        <f>IF(H_A[[#This Row],[PercentSalaryHike]]&lt;13,"Low",IF(H_A[[#This Row],[PercentSalaryHike]]&lt;18,"Medium","High"))</f>
        <v>Low</v>
      </c>
    </row>
    <row r="234" spans="1:30" x14ac:dyDescent="0.3">
      <c r="A234">
        <v>59</v>
      </c>
      <c r="B234">
        <v>321</v>
      </c>
      <c r="C234" t="s">
        <v>36</v>
      </c>
      <c r="D234" t="s">
        <v>52</v>
      </c>
      <c r="E234">
        <v>6</v>
      </c>
      <c r="F234">
        <v>2</v>
      </c>
      <c r="G234" t="s">
        <v>43</v>
      </c>
      <c r="H234">
        <v>2</v>
      </c>
      <c r="I234" t="s">
        <v>38</v>
      </c>
      <c r="J234">
        <v>3</v>
      </c>
      <c r="K234">
        <v>1</v>
      </c>
      <c r="L234" t="s">
        <v>52</v>
      </c>
      <c r="M234">
        <v>3</v>
      </c>
      <c r="N234" t="s">
        <v>40</v>
      </c>
      <c r="O234">
        <v>2267</v>
      </c>
      <c r="P234">
        <v>8</v>
      </c>
      <c r="Q234" t="s">
        <v>36</v>
      </c>
      <c r="R234">
        <v>4</v>
      </c>
      <c r="S234">
        <v>7</v>
      </c>
      <c r="T234">
        <v>2</v>
      </c>
      <c r="U234">
        <v>2</v>
      </c>
      <c r="V234">
        <v>2</v>
      </c>
      <c r="W234">
        <v>2</v>
      </c>
      <c r="X234">
        <v>2</v>
      </c>
      <c r="Y234">
        <v>17</v>
      </c>
      <c r="Z234">
        <f>IF(H_A[[#This Row],[Attrition]]="Yes",1,0)</f>
        <v>0</v>
      </c>
      <c r="AA234" t="str">
        <f>IF(H_A[[#This Row],[Age]]&lt;30,"Young",IF(H_A[[#This Row],[Age]]&lt;45,"Mid","Senior"))</f>
        <v>Senior</v>
      </c>
      <c r="AB234" t="str">
        <f>IF(H_A[[#This Row],[MonthlyIncome]]&lt;5000,"Low",IF(H_A[[#This Row],[MonthlyIncome]]&lt;10000,"Medium","High"))</f>
        <v>Low</v>
      </c>
      <c r="AC234" t="str">
        <f>IF(H_A[[#This Row],[YearsAtCompany]]&lt;3,"Early",IF(H_A[[#This Row],[YearsAtCompany]]&lt;7,"Mid","Long"))</f>
        <v>Early</v>
      </c>
      <c r="AD234" t="str">
        <f>IF(H_A[[#This Row],[PercentSalaryHike]]&lt;13,"Low",IF(H_A[[#This Row],[PercentSalaryHike]]&lt;18,"Medium","High"))</f>
        <v>Medium</v>
      </c>
    </row>
    <row r="235" spans="1:30" x14ac:dyDescent="0.3">
      <c r="A235">
        <v>50</v>
      </c>
      <c r="B235">
        <v>323</v>
      </c>
      <c r="C235" t="s">
        <v>36</v>
      </c>
      <c r="D235" t="s">
        <v>31</v>
      </c>
      <c r="E235">
        <v>1</v>
      </c>
      <c r="F235">
        <v>4</v>
      </c>
      <c r="G235" t="s">
        <v>43</v>
      </c>
      <c r="H235">
        <v>4</v>
      </c>
      <c r="I235" t="s">
        <v>33</v>
      </c>
      <c r="J235">
        <v>3</v>
      </c>
      <c r="K235">
        <v>5</v>
      </c>
      <c r="L235" t="s">
        <v>47</v>
      </c>
      <c r="M235">
        <v>4</v>
      </c>
      <c r="N235" t="s">
        <v>44</v>
      </c>
      <c r="O235">
        <v>19517</v>
      </c>
      <c r="P235">
        <v>3</v>
      </c>
      <c r="Q235" t="s">
        <v>36</v>
      </c>
      <c r="R235">
        <v>3</v>
      </c>
      <c r="S235">
        <v>32</v>
      </c>
      <c r="T235">
        <v>2</v>
      </c>
      <c r="U235">
        <v>7</v>
      </c>
      <c r="V235">
        <v>0</v>
      </c>
      <c r="W235">
        <v>0</v>
      </c>
      <c r="X235">
        <v>6</v>
      </c>
      <c r="Y235">
        <v>11</v>
      </c>
      <c r="Z235">
        <f>IF(H_A[[#This Row],[Attrition]]="Yes",1,0)</f>
        <v>0</v>
      </c>
      <c r="AA235" t="str">
        <f>IF(H_A[[#This Row],[Age]]&lt;30,"Young",IF(H_A[[#This Row],[Age]]&lt;45,"Mid","Senior"))</f>
        <v>Senior</v>
      </c>
      <c r="AB235" t="str">
        <f>IF(H_A[[#This Row],[MonthlyIncome]]&lt;5000,"Low",IF(H_A[[#This Row],[MonthlyIncome]]&lt;10000,"Medium","High"))</f>
        <v>High</v>
      </c>
      <c r="AC235" t="str">
        <f>IF(H_A[[#This Row],[YearsAtCompany]]&lt;3,"Early",IF(H_A[[#This Row],[YearsAtCompany]]&lt;7,"Mid","Long"))</f>
        <v>Long</v>
      </c>
      <c r="AD235" t="str">
        <f>IF(H_A[[#This Row],[PercentSalaryHike]]&lt;13,"Low",IF(H_A[[#This Row],[PercentSalaryHike]]&lt;18,"Medium","High"))</f>
        <v>Low</v>
      </c>
    </row>
    <row r="236" spans="1:30" x14ac:dyDescent="0.3">
      <c r="A236">
        <v>33</v>
      </c>
      <c r="B236">
        <v>325</v>
      </c>
      <c r="C236" t="s">
        <v>30</v>
      </c>
      <c r="D236" t="s">
        <v>37</v>
      </c>
      <c r="E236">
        <v>14</v>
      </c>
      <c r="F236">
        <v>3</v>
      </c>
      <c r="G236" t="s">
        <v>43</v>
      </c>
      <c r="H236">
        <v>3</v>
      </c>
      <c r="I236" t="s">
        <v>38</v>
      </c>
      <c r="J236">
        <v>3</v>
      </c>
      <c r="K236">
        <v>1</v>
      </c>
      <c r="L236" t="s">
        <v>42</v>
      </c>
      <c r="M236">
        <v>4</v>
      </c>
      <c r="N236" t="s">
        <v>40</v>
      </c>
      <c r="O236">
        <v>2436</v>
      </c>
      <c r="P236">
        <v>5</v>
      </c>
      <c r="Q236" t="s">
        <v>30</v>
      </c>
      <c r="R236">
        <v>3</v>
      </c>
      <c r="S236">
        <v>8</v>
      </c>
      <c r="T236">
        <v>1</v>
      </c>
      <c r="U236">
        <v>5</v>
      </c>
      <c r="V236">
        <v>4</v>
      </c>
      <c r="W236">
        <v>0</v>
      </c>
      <c r="X236">
        <v>4</v>
      </c>
      <c r="Y236">
        <v>13</v>
      </c>
      <c r="Z236">
        <f>IF(H_A[[#This Row],[Attrition]]="Yes",1,0)</f>
        <v>1</v>
      </c>
      <c r="AA236" t="str">
        <f>IF(H_A[[#This Row],[Age]]&lt;30,"Young",IF(H_A[[#This Row],[Age]]&lt;45,"Mid","Senior"))</f>
        <v>Mid</v>
      </c>
      <c r="AB236" t="str">
        <f>IF(H_A[[#This Row],[MonthlyIncome]]&lt;5000,"Low",IF(H_A[[#This Row],[MonthlyIncome]]&lt;10000,"Medium","High"))</f>
        <v>Low</v>
      </c>
      <c r="AC236" t="str">
        <f>IF(H_A[[#This Row],[YearsAtCompany]]&lt;3,"Early",IF(H_A[[#This Row],[YearsAtCompany]]&lt;7,"Mid","Long"))</f>
        <v>Mid</v>
      </c>
      <c r="AD236" t="str">
        <f>IF(H_A[[#This Row],[PercentSalaryHike]]&lt;13,"Low",IF(H_A[[#This Row],[PercentSalaryHike]]&lt;18,"Medium","High"))</f>
        <v>Medium</v>
      </c>
    </row>
    <row r="237" spans="1:30" x14ac:dyDescent="0.3">
      <c r="A237">
        <v>43</v>
      </c>
      <c r="B237">
        <v>327</v>
      </c>
      <c r="C237" t="s">
        <v>36</v>
      </c>
      <c r="D237" t="s">
        <v>31</v>
      </c>
      <c r="E237">
        <v>16</v>
      </c>
      <c r="F237">
        <v>3</v>
      </c>
      <c r="G237" t="s">
        <v>50</v>
      </c>
      <c r="H237">
        <v>4</v>
      </c>
      <c r="I237" t="s">
        <v>33</v>
      </c>
      <c r="J237">
        <v>3</v>
      </c>
      <c r="K237">
        <v>4</v>
      </c>
      <c r="L237" t="s">
        <v>47</v>
      </c>
      <c r="M237">
        <v>4</v>
      </c>
      <c r="N237" t="s">
        <v>40</v>
      </c>
      <c r="O237">
        <v>16064</v>
      </c>
      <c r="P237">
        <v>5</v>
      </c>
      <c r="Q237" t="s">
        <v>30</v>
      </c>
      <c r="R237">
        <v>3</v>
      </c>
      <c r="S237">
        <v>22</v>
      </c>
      <c r="T237">
        <v>3</v>
      </c>
      <c r="U237">
        <v>17</v>
      </c>
      <c r="V237">
        <v>13</v>
      </c>
      <c r="W237">
        <v>1</v>
      </c>
      <c r="X237">
        <v>9</v>
      </c>
      <c r="Y237">
        <v>22</v>
      </c>
      <c r="Z237">
        <f>IF(H_A[[#This Row],[Attrition]]="Yes",1,0)</f>
        <v>0</v>
      </c>
      <c r="AA237" t="str">
        <f>IF(H_A[[#This Row],[Age]]&lt;30,"Young",IF(H_A[[#This Row],[Age]]&lt;45,"Mid","Senior"))</f>
        <v>Mid</v>
      </c>
      <c r="AB237" t="str">
        <f>IF(H_A[[#This Row],[MonthlyIncome]]&lt;5000,"Low",IF(H_A[[#This Row],[MonthlyIncome]]&lt;10000,"Medium","High"))</f>
        <v>High</v>
      </c>
      <c r="AC237" t="str">
        <f>IF(H_A[[#This Row],[YearsAtCompany]]&lt;3,"Early",IF(H_A[[#This Row],[YearsAtCompany]]&lt;7,"Mid","Long"))</f>
        <v>Long</v>
      </c>
      <c r="AD237" t="str">
        <f>IF(H_A[[#This Row],[PercentSalaryHike]]&lt;13,"Low",IF(H_A[[#This Row],[PercentSalaryHike]]&lt;18,"Medium","High"))</f>
        <v>High</v>
      </c>
    </row>
    <row r="238" spans="1:30" x14ac:dyDescent="0.3">
      <c r="A238">
        <v>33</v>
      </c>
      <c r="B238">
        <v>328</v>
      </c>
      <c r="C238" t="s">
        <v>30</v>
      </c>
      <c r="D238" t="s">
        <v>37</v>
      </c>
      <c r="E238">
        <v>2</v>
      </c>
      <c r="F238">
        <v>2</v>
      </c>
      <c r="G238" t="s">
        <v>32</v>
      </c>
      <c r="H238">
        <v>1</v>
      </c>
      <c r="I238" t="s">
        <v>33</v>
      </c>
      <c r="J238">
        <v>3</v>
      </c>
      <c r="K238">
        <v>1</v>
      </c>
      <c r="L238" t="s">
        <v>42</v>
      </c>
      <c r="M238">
        <v>1</v>
      </c>
      <c r="N238" t="s">
        <v>40</v>
      </c>
      <c r="O238">
        <v>2707</v>
      </c>
      <c r="P238">
        <v>7</v>
      </c>
      <c r="Q238" t="s">
        <v>36</v>
      </c>
      <c r="R238">
        <v>1</v>
      </c>
      <c r="S238">
        <v>13</v>
      </c>
      <c r="T238">
        <v>4</v>
      </c>
      <c r="U238">
        <v>9</v>
      </c>
      <c r="V238">
        <v>7</v>
      </c>
      <c r="W238">
        <v>1</v>
      </c>
      <c r="X238">
        <v>7</v>
      </c>
      <c r="Y238">
        <v>20</v>
      </c>
      <c r="Z238">
        <f>IF(H_A[[#This Row],[Attrition]]="Yes",1,0)</f>
        <v>1</v>
      </c>
      <c r="AA238" t="str">
        <f>IF(H_A[[#This Row],[Age]]&lt;30,"Young",IF(H_A[[#This Row],[Age]]&lt;45,"Mid","Senior"))</f>
        <v>Mid</v>
      </c>
      <c r="AB238" t="str">
        <f>IF(H_A[[#This Row],[MonthlyIncome]]&lt;5000,"Low",IF(H_A[[#This Row],[MonthlyIncome]]&lt;10000,"Medium","High"))</f>
        <v>Low</v>
      </c>
      <c r="AC238" t="str">
        <f>IF(H_A[[#This Row],[YearsAtCompany]]&lt;3,"Early",IF(H_A[[#This Row],[YearsAtCompany]]&lt;7,"Mid","Long"))</f>
        <v>Long</v>
      </c>
      <c r="AD238" t="str">
        <f>IF(H_A[[#This Row],[PercentSalaryHike]]&lt;13,"Low",IF(H_A[[#This Row],[PercentSalaryHike]]&lt;18,"Medium","High"))</f>
        <v>High</v>
      </c>
    </row>
    <row r="239" spans="1:30" x14ac:dyDescent="0.3">
      <c r="A239">
        <v>52</v>
      </c>
      <c r="B239">
        <v>329</v>
      </c>
      <c r="C239" t="s">
        <v>36</v>
      </c>
      <c r="D239" t="s">
        <v>31</v>
      </c>
      <c r="E239">
        <v>2</v>
      </c>
      <c r="F239">
        <v>4</v>
      </c>
      <c r="G239" t="s">
        <v>32</v>
      </c>
      <c r="H239">
        <v>1</v>
      </c>
      <c r="I239" t="s">
        <v>38</v>
      </c>
      <c r="J239">
        <v>2</v>
      </c>
      <c r="K239">
        <v>5</v>
      </c>
      <c r="L239" t="s">
        <v>47</v>
      </c>
      <c r="M239">
        <v>3</v>
      </c>
      <c r="N239" t="s">
        <v>35</v>
      </c>
      <c r="O239">
        <v>19068</v>
      </c>
      <c r="P239">
        <v>1</v>
      </c>
      <c r="Q239" t="s">
        <v>30</v>
      </c>
      <c r="R239">
        <v>4</v>
      </c>
      <c r="S239">
        <v>33</v>
      </c>
      <c r="T239">
        <v>4</v>
      </c>
      <c r="U239">
        <v>33</v>
      </c>
      <c r="V239">
        <v>7</v>
      </c>
      <c r="W239">
        <v>15</v>
      </c>
      <c r="X239">
        <v>12</v>
      </c>
      <c r="Y239">
        <v>18</v>
      </c>
      <c r="Z239">
        <f>IF(H_A[[#This Row],[Attrition]]="Yes",1,0)</f>
        <v>0</v>
      </c>
      <c r="AA239" t="str">
        <f>IF(H_A[[#This Row],[Age]]&lt;30,"Young",IF(H_A[[#This Row],[Age]]&lt;45,"Mid","Senior"))</f>
        <v>Senior</v>
      </c>
      <c r="AB239" t="str">
        <f>IF(H_A[[#This Row],[MonthlyIncome]]&lt;5000,"Low",IF(H_A[[#This Row],[MonthlyIncome]]&lt;10000,"Medium","High"))</f>
        <v>High</v>
      </c>
      <c r="AC239" t="str">
        <f>IF(H_A[[#This Row],[YearsAtCompany]]&lt;3,"Early",IF(H_A[[#This Row],[YearsAtCompany]]&lt;7,"Mid","Long"))</f>
        <v>Long</v>
      </c>
      <c r="AD239" t="str">
        <f>IF(H_A[[#This Row],[PercentSalaryHike]]&lt;13,"Low",IF(H_A[[#This Row],[PercentSalaryHike]]&lt;18,"Medium","High"))</f>
        <v>High</v>
      </c>
    </row>
    <row r="240" spans="1:30" x14ac:dyDescent="0.3">
      <c r="A240">
        <v>32</v>
      </c>
      <c r="B240">
        <v>330</v>
      </c>
      <c r="C240" t="s">
        <v>36</v>
      </c>
      <c r="D240" t="s">
        <v>31</v>
      </c>
      <c r="E240">
        <v>4</v>
      </c>
      <c r="F240">
        <v>2</v>
      </c>
      <c r="G240" t="s">
        <v>32</v>
      </c>
      <c r="H240">
        <v>3</v>
      </c>
      <c r="I240" t="s">
        <v>33</v>
      </c>
      <c r="J240">
        <v>3</v>
      </c>
      <c r="K240">
        <v>1</v>
      </c>
      <c r="L240" t="s">
        <v>48</v>
      </c>
      <c r="M240">
        <v>2</v>
      </c>
      <c r="N240" t="s">
        <v>40</v>
      </c>
      <c r="O240">
        <v>3931</v>
      </c>
      <c r="P240">
        <v>2</v>
      </c>
      <c r="Q240" t="s">
        <v>36</v>
      </c>
      <c r="R240">
        <v>1</v>
      </c>
      <c r="S240">
        <v>6</v>
      </c>
      <c r="T240">
        <v>3</v>
      </c>
      <c r="U240">
        <v>4</v>
      </c>
      <c r="V240">
        <v>3</v>
      </c>
      <c r="W240">
        <v>1</v>
      </c>
      <c r="X240">
        <v>2</v>
      </c>
      <c r="Y240">
        <v>11</v>
      </c>
      <c r="Z240">
        <f>IF(H_A[[#This Row],[Attrition]]="Yes",1,0)</f>
        <v>0</v>
      </c>
      <c r="AA240" t="str">
        <f>IF(H_A[[#This Row],[Age]]&lt;30,"Young",IF(H_A[[#This Row],[Age]]&lt;45,"Mid","Senior"))</f>
        <v>Mid</v>
      </c>
      <c r="AB240" t="str">
        <f>IF(H_A[[#This Row],[MonthlyIncome]]&lt;5000,"Low",IF(H_A[[#This Row],[MonthlyIncome]]&lt;10000,"Medium","High"))</f>
        <v>Low</v>
      </c>
      <c r="AC240" t="str">
        <f>IF(H_A[[#This Row],[YearsAtCompany]]&lt;3,"Early",IF(H_A[[#This Row],[YearsAtCompany]]&lt;7,"Mid","Long"))</f>
        <v>Mid</v>
      </c>
      <c r="AD240" t="str">
        <f>IF(H_A[[#This Row],[PercentSalaryHike]]&lt;13,"Low",IF(H_A[[#This Row],[PercentSalaryHike]]&lt;18,"Medium","High"))</f>
        <v>Low</v>
      </c>
    </row>
    <row r="241" spans="1:30" x14ac:dyDescent="0.3">
      <c r="A241">
        <v>32</v>
      </c>
      <c r="B241">
        <v>331</v>
      </c>
      <c r="C241" t="s">
        <v>30</v>
      </c>
      <c r="D241" t="s">
        <v>37</v>
      </c>
      <c r="E241">
        <v>1</v>
      </c>
      <c r="F241">
        <v>3</v>
      </c>
      <c r="G241" t="s">
        <v>32</v>
      </c>
      <c r="H241">
        <v>4</v>
      </c>
      <c r="I241" t="s">
        <v>38</v>
      </c>
      <c r="J241">
        <v>2</v>
      </c>
      <c r="K241">
        <v>1</v>
      </c>
      <c r="L241" t="s">
        <v>42</v>
      </c>
      <c r="M241">
        <v>3</v>
      </c>
      <c r="N241" t="s">
        <v>35</v>
      </c>
      <c r="O241">
        <v>3730</v>
      </c>
      <c r="P241">
        <v>0</v>
      </c>
      <c r="Q241" t="s">
        <v>30</v>
      </c>
      <c r="R241">
        <v>4</v>
      </c>
      <c r="S241">
        <v>4</v>
      </c>
      <c r="T241">
        <v>1</v>
      </c>
      <c r="U241">
        <v>3</v>
      </c>
      <c r="V241">
        <v>2</v>
      </c>
      <c r="W241">
        <v>1</v>
      </c>
      <c r="X241">
        <v>2</v>
      </c>
      <c r="Y241">
        <v>14</v>
      </c>
      <c r="Z241">
        <f>IF(H_A[[#This Row],[Attrition]]="Yes",1,0)</f>
        <v>1</v>
      </c>
      <c r="AA241" t="str">
        <f>IF(H_A[[#This Row],[Age]]&lt;30,"Young",IF(H_A[[#This Row],[Age]]&lt;45,"Mid","Senior"))</f>
        <v>Mid</v>
      </c>
      <c r="AB241" t="str">
        <f>IF(H_A[[#This Row],[MonthlyIncome]]&lt;5000,"Low",IF(H_A[[#This Row],[MonthlyIncome]]&lt;10000,"Medium","High"))</f>
        <v>Low</v>
      </c>
      <c r="AC241" t="str">
        <f>IF(H_A[[#This Row],[YearsAtCompany]]&lt;3,"Early",IF(H_A[[#This Row],[YearsAtCompany]]&lt;7,"Mid","Long"))</f>
        <v>Mid</v>
      </c>
      <c r="AD241" t="str">
        <f>IF(H_A[[#This Row],[PercentSalaryHike]]&lt;13,"Low",IF(H_A[[#This Row],[PercentSalaryHike]]&lt;18,"Medium","High"))</f>
        <v>Medium</v>
      </c>
    </row>
    <row r="242" spans="1:30" x14ac:dyDescent="0.3">
      <c r="A242">
        <v>39</v>
      </c>
      <c r="B242">
        <v>332</v>
      </c>
      <c r="C242" t="s">
        <v>36</v>
      </c>
      <c r="D242" t="s">
        <v>37</v>
      </c>
      <c r="E242">
        <v>1</v>
      </c>
      <c r="F242">
        <v>4</v>
      </c>
      <c r="G242" t="s">
        <v>43</v>
      </c>
      <c r="H242">
        <v>3</v>
      </c>
      <c r="I242" t="s">
        <v>33</v>
      </c>
      <c r="J242">
        <v>3</v>
      </c>
      <c r="K242">
        <v>1</v>
      </c>
      <c r="L242" t="s">
        <v>42</v>
      </c>
      <c r="M242">
        <v>3</v>
      </c>
      <c r="N242" t="s">
        <v>44</v>
      </c>
      <c r="O242">
        <v>2232</v>
      </c>
      <c r="P242">
        <v>7</v>
      </c>
      <c r="Q242" t="s">
        <v>36</v>
      </c>
      <c r="R242">
        <v>3</v>
      </c>
      <c r="S242">
        <v>7</v>
      </c>
      <c r="T242">
        <v>3</v>
      </c>
      <c r="U242">
        <v>3</v>
      </c>
      <c r="V242">
        <v>2</v>
      </c>
      <c r="W242">
        <v>1</v>
      </c>
      <c r="X242">
        <v>2</v>
      </c>
      <c r="Y242">
        <v>14</v>
      </c>
      <c r="Z242">
        <f>IF(H_A[[#This Row],[Attrition]]="Yes",1,0)</f>
        <v>0</v>
      </c>
      <c r="AA242" t="str">
        <f>IF(H_A[[#This Row],[Age]]&lt;30,"Young",IF(H_A[[#This Row],[Age]]&lt;45,"Mid","Senior"))</f>
        <v>Mid</v>
      </c>
      <c r="AB242" t="str">
        <f>IF(H_A[[#This Row],[MonthlyIncome]]&lt;5000,"Low",IF(H_A[[#This Row],[MonthlyIncome]]&lt;10000,"Medium","High"))</f>
        <v>Low</v>
      </c>
      <c r="AC242" t="str">
        <f>IF(H_A[[#This Row],[YearsAtCompany]]&lt;3,"Early",IF(H_A[[#This Row],[YearsAtCompany]]&lt;7,"Mid","Long"))</f>
        <v>Mid</v>
      </c>
      <c r="AD242" t="str">
        <f>IF(H_A[[#This Row],[PercentSalaryHike]]&lt;13,"Low",IF(H_A[[#This Row],[PercentSalaryHike]]&lt;18,"Medium","High"))</f>
        <v>Medium</v>
      </c>
    </row>
    <row r="243" spans="1:30" x14ac:dyDescent="0.3">
      <c r="A243">
        <v>32</v>
      </c>
      <c r="B243">
        <v>333</v>
      </c>
      <c r="C243" t="s">
        <v>36</v>
      </c>
      <c r="D243" t="s">
        <v>31</v>
      </c>
      <c r="E243">
        <v>26</v>
      </c>
      <c r="F243">
        <v>4</v>
      </c>
      <c r="G243" t="s">
        <v>50</v>
      </c>
      <c r="H243">
        <v>3</v>
      </c>
      <c r="I243" t="s">
        <v>38</v>
      </c>
      <c r="J243">
        <v>3</v>
      </c>
      <c r="K243">
        <v>2</v>
      </c>
      <c r="L243" t="s">
        <v>34</v>
      </c>
      <c r="M243">
        <v>4</v>
      </c>
      <c r="N243" t="s">
        <v>40</v>
      </c>
      <c r="O243">
        <v>4465</v>
      </c>
      <c r="P243">
        <v>0</v>
      </c>
      <c r="Q243" t="s">
        <v>36</v>
      </c>
      <c r="R243">
        <v>1</v>
      </c>
      <c r="S243">
        <v>4</v>
      </c>
      <c r="T243">
        <v>3</v>
      </c>
      <c r="U243">
        <v>3</v>
      </c>
      <c r="V243">
        <v>2</v>
      </c>
      <c r="W243">
        <v>2</v>
      </c>
      <c r="X243">
        <v>2</v>
      </c>
      <c r="Y243">
        <v>18</v>
      </c>
      <c r="Z243">
        <f>IF(H_A[[#This Row],[Attrition]]="Yes",1,0)</f>
        <v>0</v>
      </c>
      <c r="AA243" t="str">
        <f>IF(H_A[[#This Row],[Age]]&lt;30,"Young",IF(H_A[[#This Row],[Age]]&lt;45,"Mid","Senior"))</f>
        <v>Mid</v>
      </c>
      <c r="AB243" t="str">
        <f>IF(H_A[[#This Row],[MonthlyIncome]]&lt;5000,"Low",IF(H_A[[#This Row],[MonthlyIncome]]&lt;10000,"Medium","High"))</f>
        <v>Low</v>
      </c>
      <c r="AC243" t="str">
        <f>IF(H_A[[#This Row],[YearsAtCompany]]&lt;3,"Early",IF(H_A[[#This Row],[YearsAtCompany]]&lt;7,"Mid","Long"))</f>
        <v>Mid</v>
      </c>
      <c r="AD243" t="str">
        <f>IF(H_A[[#This Row],[PercentSalaryHike]]&lt;13,"Low",IF(H_A[[#This Row],[PercentSalaryHike]]&lt;18,"Medium","High"))</f>
        <v>High</v>
      </c>
    </row>
    <row r="244" spans="1:30" x14ac:dyDescent="0.3">
      <c r="A244">
        <v>41</v>
      </c>
      <c r="B244">
        <v>334</v>
      </c>
      <c r="C244" t="s">
        <v>36</v>
      </c>
      <c r="D244" t="s">
        <v>37</v>
      </c>
      <c r="E244">
        <v>19</v>
      </c>
      <c r="F244">
        <v>2</v>
      </c>
      <c r="G244" t="s">
        <v>32</v>
      </c>
      <c r="H244">
        <v>3</v>
      </c>
      <c r="I244" t="s">
        <v>38</v>
      </c>
      <c r="J244">
        <v>3</v>
      </c>
      <c r="K244">
        <v>2</v>
      </c>
      <c r="L244" t="s">
        <v>39</v>
      </c>
      <c r="M244">
        <v>1</v>
      </c>
      <c r="N244" t="s">
        <v>44</v>
      </c>
      <c r="O244">
        <v>3072</v>
      </c>
      <c r="P244">
        <v>2</v>
      </c>
      <c r="Q244" t="s">
        <v>36</v>
      </c>
      <c r="R244">
        <v>1</v>
      </c>
      <c r="S244">
        <v>17</v>
      </c>
      <c r="T244">
        <v>2</v>
      </c>
      <c r="U244">
        <v>1</v>
      </c>
      <c r="V244">
        <v>0</v>
      </c>
      <c r="W244">
        <v>0</v>
      </c>
      <c r="X244">
        <v>0</v>
      </c>
      <c r="Y244">
        <v>16</v>
      </c>
      <c r="Z244">
        <f>IF(H_A[[#This Row],[Attrition]]="Yes",1,0)</f>
        <v>0</v>
      </c>
      <c r="AA244" t="str">
        <f>IF(H_A[[#This Row],[Age]]&lt;30,"Young",IF(H_A[[#This Row],[Age]]&lt;45,"Mid","Senior"))</f>
        <v>Mid</v>
      </c>
      <c r="AB244" t="str">
        <f>IF(H_A[[#This Row],[MonthlyIncome]]&lt;5000,"Low",IF(H_A[[#This Row],[MonthlyIncome]]&lt;10000,"Medium","High"))</f>
        <v>Low</v>
      </c>
      <c r="AC244" t="str">
        <f>IF(H_A[[#This Row],[YearsAtCompany]]&lt;3,"Early",IF(H_A[[#This Row],[YearsAtCompany]]&lt;7,"Mid","Long"))</f>
        <v>Early</v>
      </c>
      <c r="AD244" t="str">
        <f>IF(H_A[[#This Row],[PercentSalaryHike]]&lt;13,"Low",IF(H_A[[#This Row],[PercentSalaryHike]]&lt;18,"Medium","High"))</f>
        <v>Medium</v>
      </c>
    </row>
    <row r="245" spans="1:30" x14ac:dyDescent="0.3">
      <c r="A245">
        <v>40</v>
      </c>
      <c r="B245">
        <v>335</v>
      </c>
      <c r="C245" t="s">
        <v>36</v>
      </c>
      <c r="D245" t="s">
        <v>37</v>
      </c>
      <c r="E245">
        <v>24</v>
      </c>
      <c r="F245">
        <v>2</v>
      </c>
      <c r="G245" t="s">
        <v>51</v>
      </c>
      <c r="H245">
        <v>1</v>
      </c>
      <c r="I245" t="s">
        <v>38</v>
      </c>
      <c r="J245">
        <v>3</v>
      </c>
      <c r="K245">
        <v>2</v>
      </c>
      <c r="L245" t="s">
        <v>39</v>
      </c>
      <c r="M245">
        <v>4</v>
      </c>
      <c r="N245" t="s">
        <v>44</v>
      </c>
      <c r="O245">
        <v>3319</v>
      </c>
      <c r="P245">
        <v>1</v>
      </c>
      <c r="Q245" t="s">
        <v>36</v>
      </c>
      <c r="R245">
        <v>1</v>
      </c>
      <c r="S245">
        <v>9</v>
      </c>
      <c r="T245">
        <v>3</v>
      </c>
      <c r="U245">
        <v>9</v>
      </c>
      <c r="V245">
        <v>8</v>
      </c>
      <c r="W245">
        <v>4</v>
      </c>
      <c r="X245">
        <v>7</v>
      </c>
      <c r="Y245">
        <v>17</v>
      </c>
      <c r="Z245">
        <f>IF(H_A[[#This Row],[Attrition]]="Yes",1,0)</f>
        <v>0</v>
      </c>
      <c r="AA245" t="str">
        <f>IF(H_A[[#This Row],[Age]]&lt;30,"Young",IF(H_A[[#This Row],[Age]]&lt;45,"Mid","Senior"))</f>
        <v>Mid</v>
      </c>
      <c r="AB245" t="str">
        <f>IF(H_A[[#This Row],[MonthlyIncome]]&lt;5000,"Low",IF(H_A[[#This Row],[MonthlyIncome]]&lt;10000,"Medium","High"))</f>
        <v>Low</v>
      </c>
      <c r="AC245" t="str">
        <f>IF(H_A[[#This Row],[YearsAtCompany]]&lt;3,"Early",IF(H_A[[#This Row],[YearsAtCompany]]&lt;7,"Mid","Long"))</f>
        <v>Long</v>
      </c>
      <c r="AD245" t="str">
        <f>IF(H_A[[#This Row],[PercentSalaryHike]]&lt;13,"Low",IF(H_A[[#This Row],[PercentSalaryHike]]&lt;18,"Medium","High"))</f>
        <v>Medium</v>
      </c>
    </row>
    <row r="246" spans="1:30" x14ac:dyDescent="0.3">
      <c r="A246">
        <v>45</v>
      </c>
      <c r="B246">
        <v>336</v>
      </c>
      <c r="C246" t="s">
        <v>36</v>
      </c>
      <c r="D246" t="s">
        <v>37</v>
      </c>
      <c r="E246">
        <v>1</v>
      </c>
      <c r="F246">
        <v>3</v>
      </c>
      <c r="G246" t="s">
        <v>41</v>
      </c>
      <c r="H246">
        <v>3</v>
      </c>
      <c r="I246" t="s">
        <v>38</v>
      </c>
      <c r="J246">
        <v>4</v>
      </c>
      <c r="K246">
        <v>5</v>
      </c>
      <c r="L246" t="s">
        <v>47</v>
      </c>
      <c r="M246">
        <v>4</v>
      </c>
      <c r="N246" t="s">
        <v>40</v>
      </c>
      <c r="O246">
        <v>19202</v>
      </c>
      <c r="P246">
        <v>0</v>
      </c>
      <c r="Q246" t="s">
        <v>36</v>
      </c>
      <c r="R246">
        <v>3</v>
      </c>
      <c r="S246">
        <v>25</v>
      </c>
      <c r="T246">
        <v>3</v>
      </c>
      <c r="U246">
        <v>24</v>
      </c>
      <c r="V246">
        <v>0</v>
      </c>
      <c r="W246">
        <v>1</v>
      </c>
      <c r="X246">
        <v>7</v>
      </c>
      <c r="Y246">
        <v>11</v>
      </c>
      <c r="Z246">
        <f>IF(H_A[[#This Row],[Attrition]]="Yes",1,0)</f>
        <v>0</v>
      </c>
      <c r="AA246" t="str">
        <f>IF(H_A[[#This Row],[Age]]&lt;30,"Young",IF(H_A[[#This Row],[Age]]&lt;45,"Mid","Senior"))</f>
        <v>Senior</v>
      </c>
      <c r="AB246" t="str">
        <f>IF(H_A[[#This Row],[MonthlyIncome]]&lt;5000,"Low",IF(H_A[[#This Row],[MonthlyIncome]]&lt;10000,"Medium","High"))</f>
        <v>High</v>
      </c>
      <c r="AC246" t="str">
        <f>IF(H_A[[#This Row],[YearsAtCompany]]&lt;3,"Early",IF(H_A[[#This Row],[YearsAtCompany]]&lt;7,"Mid","Long"))</f>
        <v>Long</v>
      </c>
      <c r="AD246" t="str">
        <f>IF(H_A[[#This Row],[PercentSalaryHike]]&lt;13,"Low",IF(H_A[[#This Row],[PercentSalaryHike]]&lt;18,"Medium","High"))</f>
        <v>Low</v>
      </c>
    </row>
    <row r="247" spans="1:30" x14ac:dyDescent="0.3">
      <c r="A247">
        <v>31</v>
      </c>
      <c r="B247">
        <v>337</v>
      </c>
      <c r="C247" t="s">
        <v>36</v>
      </c>
      <c r="D247" t="s">
        <v>37</v>
      </c>
      <c r="E247">
        <v>3</v>
      </c>
      <c r="F247">
        <v>4</v>
      </c>
      <c r="G247" t="s">
        <v>43</v>
      </c>
      <c r="H247">
        <v>2</v>
      </c>
      <c r="I247" t="s">
        <v>38</v>
      </c>
      <c r="J247">
        <v>3</v>
      </c>
      <c r="K247">
        <v>3</v>
      </c>
      <c r="L247" t="s">
        <v>49</v>
      </c>
      <c r="M247">
        <v>3</v>
      </c>
      <c r="N247" t="s">
        <v>44</v>
      </c>
      <c r="O247">
        <v>13675</v>
      </c>
      <c r="P247">
        <v>9</v>
      </c>
      <c r="Q247" t="s">
        <v>36</v>
      </c>
      <c r="R247">
        <v>1</v>
      </c>
      <c r="S247">
        <v>9</v>
      </c>
      <c r="T247">
        <v>3</v>
      </c>
      <c r="U247">
        <v>2</v>
      </c>
      <c r="V247">
        <v>2</v>
      </c>
      <c r="W247">
        <v>2</v>
      </c>
      <c r="X247">
        <v>2</v>
      </c>
      <c r="Y247">
        <v>12</v>
      </c>
      <c r="Z247">
        <f>IF(H_A[[#This Row],[Attrition]]="Yes",1,0)</f>
        <v>0</v>
      </c>
      <c r="AA247" t="str">
        <f>IF(H_A[[#This Row],[Age]]&lt;30,"Young",IF(H_A[[#This Row],[Age]]&lt;45,"Mid","Senior"))</f>
        <v>Mid</v>
      </c>
      <c r="AB247" t="str">
        <f>IF(H_A[[#This Row],[MonthlyIncome]]&lt;5000,"Low",IF(H_A[[#This Row],[MonthlyIncome]]&lt;10000,"Medium","High"))</f>
        <v>High</v>
      </c>
      <c r="AC247" t="str">
        <f>IF(H_A[[#This Row],[YearsAtCompany]]&lt;3,"Early",IF(H_A[[#This Row],[YearsAtCompany]]&lt;7,"Mid","Long"))</f>
        <v>Early</v>
      </c>
      <c r="AD247" t="str">
        <f>IF(H_A[[#This Row],[PercentSalaryHike]]&lt;13,"Low",IF(H_A[[#This Row],[PercentSalaryHike]]&lt;18,"Medium","High"))</f>
        <v>Low</v>
      </c>
    </row>
    <row r="248" spans="1:30" x14ac:dyDescent="0.3">
      <c r="A248">
        <v>33</v>
      </c>
      <c r="B248">
        <v>338</v>
      </c>
      <c r="C248" t="s">
        <v>36</v>
      </c>
      <c r="D248" t="s">
        <v>37</v>
      </c>
      <c r="E248">
        <v>5</v>
      </c>
      <c r="F248">
        <v>4</v>
      </c>
      <c r="G248" t="s">
        <v>32</v>
      </c>
      <c r="H248">
        <v>3</v>
      </c>
      <c r="I248" t="s">
        <v>33</v>
      </c>
      <c r="J248">
        <v>2</v>
      </c>
      <c r="K248">
        <v>1</v>
      </c>
      <c r="L248" t="s">
        <v>39</v>
      </c>
      <c r="M248">
        <v>4</v>
      </c>
      <c r="N248" t="s">
        <v>40</v>
      </c>
      <c r="O248">
        <v>2911</v>
      </c>
      <c r="P248">
        <v>1</v>
      </c>
      <c r="Q248" t="s">
        <v>36</v>
      </c>
      <c r="R248">
        <v>3</v>
      </c>
      <c r="S248">
        <v>2</v>
      </c>
      <c r="T248">
        <v>2</v>
      </c>
      <c r="U248">
        <v>2</v>
      </c>
      <c r="V248">
        <v>2</v>
      </c>
      <c r="W248">
        <v>0</v>
      </c>
      <c r="X248">
        <v>2</v>
      </c>
      <c r="Y248">
        <v>13</v>
      </c>
      <c r="Z248">
        <f>IF(H_A[[#This Row],[Attrition]]="Yes",1,0)</f>
        <v>0</v>
      </c>
      <c r="AA248" t="str">
        <f>IF(H_A[[#This Row],[Age]]&lt;30,"Young",IF(H_A[[#This Row],[Age]]&lt;45,"Mid","Senior"))</f>
        <v>Mid</v>
      </c>
      <c r="AB248" t="str">
        <f>IF(H_A[[#This Row],[MonthlyIncome]]&lt;5000,"Low",IF(H_A[[#This Row],[MonthlyIncome]]&lt;10000,"Medium","High"))</f>
        <v>Low</v>
      </c>
      <c r="AC248" t="str">
        <f>IF(H_A[[#This Row],[YearsAtCompany]]&lt;3,"Early",IF(H_A[[#This Row],[YearsAtCompany]]&lt;7,"Mid","Long"))</f>
        <v>Early</v>
      </c>
      <c r="AD248" t="str">
        <f>IF(H_A[[#This Row],[PercentSalaryHike]]&lt;13,"Low",IF(H_A[[#This Row],[PercentSalaryHike]]&lt;18,"Medium","High"))</f>
        <v>Medium</v>
      </c>
    </row>
    <row r="249" spans="1:30" x14ac:dyDescent="0.3">
      <c r="A249">
        <v>34</v>
      </c>
      <c r="B249">
        <v>339</v>
      </c>
      <c r="C249" t="s">
        <v>36</v>
      </c>
      <c r="D249" t="s">
        <v>37</v>
      </c>
      <c r="E249">
        <v>2</v>
      </c>
      <c r="F249">
        <v>4</v>
      </c>
      <c r="G249" t="s">
        <v>32</v>
      </c>
      <c r="H249">
        <v>4</v>
      </c>
      <c r="I249" t="s">
        <v>38</v>
      </c>
      <c r="J249">
        <v>2</v>
      </c>
      <c r="K249">
        <v>2</v>
      </c>
      <c r="L249" t="s">
        <v>45</v>
      </c>
      <c r="M249">
        <v>1</v>
      </c>
      <c r="N249" t="s">
        <v>40</v>
      </c>
      <c r="O249">
        <v>5957</v>
      </c>
      <c r="P249">
        <v>6</v>
      </c>
      <c r="Q249" t="s">
        <v>36</v>
      </c>
      <c r="R249">
        <v>2</v>
      </c>
      <c r="S249">
        <v>13</v>
      </c>
      <c r="T249">
        <v>3</v>
      </c>
      <c r="U249">
        <v>11</v>
      </c>
      <c r="V249">
        <v>9</v>
      </c>
      <c r="W249">
        <v>5</v>
      </c>
      <c r="X249">
        <v>9</v>
      </c>
      <c r="Y249">
        <v>13</v>
      </c>
      <c r="Z249">
        <f>IF(H_A[[#This Row],[Attrition]]="Yes",1,0)</f>
        <v>0</v>
      </c>
      <c r="AA249" t="str">
        <f>IF(H_A[[#This Row],[Age]]&lt;30,"Young",IF(H_A[[#This Row],[Age]]&lt;45,"Mid","Senior"))</f>
        <v>Mid</v>
      </c>
      <c r="AB249" t="str">
        <f>IF(H_A[[#This Row],[MonthlyIncome]]&lt;5000,"Low",IF(H_A[[#This Row],[MonthlyIncome]]&lt;10000,"Medium","High"))</f>
        <v>Medium</v>
      </c>
      <c r="AC249" t="str">
        <f>IF(H_A[[#This Row],[YearsAtCompany]]&lt;3,"Early",IF(H_A[[#This Row],[YearsAtCompany]]&lt;7,"Mid","Long"))</f>
        <v>Long</v>
      </c>
      <c r="AD249" t="str">
        <f>IF(H_A[[#This Row],[PercentSalaryHike]]&lt;13,"Low",IF(H_A[[#This Row],[PercentSalaryHike]]&lt;18,"Medium","High"))</f>
        <v>Medium</v>
      </c>
    </row>
    <row r="250" spans="1:30" x14ac:dyDescent="0.3">
      <c r="A250">
        <v>37</v>
      </c>
      <c r="B250">
        <v>340</v>
      </c>
      <c r="C250" t="s">
        <v>36</v>
      </c>
      <c r="D250" t="s">
        <v>37</v>
      </c>
      <c r="E250">
        <v>1</v>
      </c>
      <c r="F250">
        <v>2</v>
      </c>
      <c r="G250" t="s">
        <v>43</v>
      </c>
      <c r="H250">
        <v>3</v>
      </c>
      <c r="I250" t="s">
        <v>33</v>
      </c>
      <c r="J250">
        <v>2</v>
      </c>
      <c r="K250">
        <v>1</v>
      </c>
      <c r="L250" t="s">
        <v>39</v>
      </c>
      <c r="M250">
        <v>1</v>
      </c>
      <c r="N250" t="s">
        <v>40</v>
      </c>
      <c r="O250">
        <v>3920</v>
      </c>
      <c r="P250">
        <v>2</v>
      </c>
      <c r="Q250" t="s">
        <v>36</v>
      </c>
      <c r="R250">
        <v>1</v>
      </c>
      <c r="S250">
        <v>17</v>
      </c>
      <c r="T250">
        <v>2</v>
      </c>
      <c r="U250">
        <v>3</v>
      </c>
      <c r="V250">
        <v>1</v>
      </c>
      <c r="W250">
        <v>0</v>
      </c>
      <c r="X250">
        <v>2</v>
      </c>
      <c r="Y250">
        <v>14</v>
      </c>
      <c r="Z250">
        <f>IF(H_A[[#This Row],[Attrition]]="Yes",1,0)</f>
        <v>0</v>
      </c>
      <c r="AA250" t="str">
        <f>IF(H_A[[#This Row],[Age]]&lt;30,"Young",IF(H_A[[#This Row],[Age]]&lt;45,"Mid","Senior"))</f>
        <v>Mid</v>
      </c>
      <c r="AB250" t="str">
        <f>IF(H_A[[#This Row],[MonthlyIncome]]&lt;5000,"Low",IF(H_A[[#This Row],[MonthlyIncome]]&lt;10000,"Medium","High"))</f>
        <v>Low</v>
      </c>
      <c r="AC250" t="str">
        <f>IF(H_A[[#This Row],[YearsAtCompany]]&lt;3,"Early",IF(H_A[[#This Row],[YearsAtCompany]]&lt;7,"Mid","Long"))</f>
        <v>Mid</v>
      </c>
      <c r="AD250" t="str">
        <f>IF(H_A[[#This Row],[PercentSalaryHike]]&lt;13,"Low",IF(H_A[[#This Row],[PercentSalaryHike]]&lt;18,"Medium","High"))</f>
        <v>Medium</v>
      </c>
    </row>
    <row r="251" spans="1:30" x14ac:dyDescent="0.3">
      <c r="A251">
        <v>45</v>
      </c>
      <c r="B251">
        <v>341</v>
      </c>
      <c r="C251" t="s">
        <v>36</v>
      </c>
      <c r="D251" t="s">
        <v>37</v>
      </c>
      <c r="E251">
        <v>7</v>
      </c>
      <c r="F251">
        <v>4</v>
      </c>
      <c r="G251" t="s">
        <v>32</v>
      </c>
      <c r="H251">
        <v>1</v>
      </c>
      <c r="I251" t="s">
        <v>38</v>
      </c>
      <c r="J251">
        <v>4</v>
      </c>
      <c r="K251">
        <v>2</v>
      </c>
      <c r="L251" t="s">
        <v>45</v>
      </c>
      <c r="M251">
        <v>3</v>
      </c>
      <c r="N251" t="s">
        <v>40</v>
      </c>
      <c r="O251">
        <v>6434</v>
      </c>
      <c r="P251">
        <v>4</v>
      </c>
      <c r="Q251" t="s">
        <v>36</v>
      </c>
      <c r="R251">
        <v>4</v>
      </c>
      <c r="S251">
        <v>9</v>
      </c>
      <c r="T251">
        <v>3</v>
      </c>
      <c r="U251">
        <v>3</v>
      </c>
      <c r="V251">
        <v>2</v>
      </c>
      <c r="W251">
        <v>0</v>
      </c>
      <c r="X251">
        <v>2</v>
      </c>
      <c r="Y251">
        <v>17</v>
      </c>
      <c r="Z251">
        <f>IF(H_A[[#This Row],[Attrition]]="Yes",1,0)</f>
        <v>0</v>
      </c>
      <c r="AA251" t="str">
        <f>IF(H_A[[#This Row],[Age]]&lt;30,"Young",IF(H_A[[#This Row],[Age]]&lt;45,"Mid","Senior"))</f>
        <v>Senior</v>
      </c>
      <c r="AB251" t="str">
        <f>IF(H_A[[#This Row],[MonthlyIncome]]&lt;5000,"Low",IF(H_A[[#This Row],[MonthlyIncome]]&lt;10000,"Medium","High"))</f>
        <v>Medium</v>
      </c>
      <c r="AC251" t="str">
        <f>IF(H_A[[#This Row],[YearsAtCompany]]&lt;3,"Early",IF(H_A[[#This Row],[YearsAtCompany]]&lt;7,"Mid","Long"))</f>
        <v>Mid</v>
      </c>
      <c r="AD251" t="str">
        <f>IF(H_A[[#This Row],[PercentSalaryHike]]&lt;13,"Low",IF(H_A[[#This Row],[PercentSalaryHike]]&lt;18,"Medium","High"))</f>
        <v>Medium</v>
      </c>
    </row>
    <row r="252" spans="1:30" x14ac:dyDescent="0.3">
      <c r="A252">
        <v>37</v>
      </c>
      <c r="B252">
        <v>342</v>
      </c>
      <c r="C252" t="s">
        <v>30</v>
      </c>
      <c r="D252" t="s">
        <v>37</v>
      </c>
      <c r="E252">
        <v>10</v>
      </c>
      <c r="F252">
        <v>3</v>
      </c>
      <c r="G252" t="s">
        <v>43</v>
      </c>
      <c r="H252">
        <v>1</v>
      </c>
      <c r="I252" t="s">
        <v>38</v>
      </c>
      <c r="J252">
        <v>3</v>
      </c>
      <c r="K252">
        <v>3</v>
      </c>
      <c r="L252" t="s">
        <v>45</v>
      </c>
      <c r="M252">
        <v>3</v>
      </c>
      <c r="N252" t="s">
        <v>44</v>
      </c>
      <c r="O252">
        <v>10048</v>
      </c>
      <c r="P252">
        <v>6</v>
      </c>
      <c r="Q252" t="s">
        <v>36</v>
      </c>
      <c r="R252">
        <v>2</v>
      </c>
      <c r="S252">
        <v>17</v>
      </c>
      <c r="T252">
        <v>3</v>
      </c>
      <c r="U252">
        <v>1</v>
      </c>
      <c r="V252">
        <v>0</v>
      </c>
      <c r="W252">
        <v>0</v>
      </c>
      <c r="X252">
        <v>0</v>
      </c>
      <c r="Y252">
        <v>11</v>
      </c>
      <c r="Z252">
        <f>IF(H_A[[#This Row],[Attrition]]="Yes",1,0)</f>
        <v>1</v>
      </c>
      <c r="AA252" t="str">
        <f>IF(H_A[[#This Row],[Age]]&lt;30,"Young",IF(H_A[[#This Row],[Age]]&lt;45,"Mid","Senior"))</f>
        <v>Mid</v>
      </c>
      <c r="AB252" t="str">
        <f>IF(H_A[[#This Row],[MonthlyIncome]]&lt;5000,"Low",IF(H_A[[#This Row],[MonthlyIncome]]&lt;10000,"Medium","High"))</f>
        <v>High</v>
      </c>
      <c r="AC252" t="str">
        <f>IF(H_A[[#This Row],[YearsAtCompany]]&lt;3,"Early",IF(H_A[[#This Row],[YearsAtCompany]]&lt;7,"Mid","Long"))</f>
        <v>Early</v>
      </c>
      <c r="AD252" t="str">
        <f>IF(H_A[[#This Row],[PercentSalaryHike]]&lt;13,"Low",IF(H_A[[#This Row],[PercentSalaryHike]]&lt;18,"Medium","High"))</f>
        <v>Low</v>
      </c>
    </row>
    <row r="253" spans="1:30" x14ac:dyDescent="0.3">
      <c r="A253">
        <v>39</v>
      </c>
      <c r="B253">
        <v>343</v>
      </c>
      <c r="C253" t="s">
        <v>36</v>
      </c>
      <c r="D253" t="s">
        <v>37</v>
      </c>
      <c r="E253">
        <v>2</v>
      </c>
      <c r="F253">
        <v>4</v>
      </c>
      <c r="G253" t="s">
        <v>51</v>
      </c>
      <c r="H253">
        <v>3</v>
      </c>
      <c r="I253" t="s">
        <v>33</v>
      </c>
      <c r="J253">
        <v>3</v>
      </c>
      <c r="K253">
        <v>3</v>
      </c>
      <c r="L253" t="s">
        <v>46</v>
      </c>
      <c r="M253">
        <v>3</v>
      </c>
      <c r="N253" t="s">
        <v>35</v>
      </c>
      <c r="O253">
        <v>10938</v>
      </c>
      <c r="P253">
        <v>0</v>
      </c>
      <c r="Q253" t="s">
        <v>36</v>
      </c>
      <c r="R253">
        <v>4</v>
      </c>
      <c r="S253">
        <v>20</v>
      </c>
      <c r="T253">
        <v>3</v>
      </c>
      <c r="U253">
        <v>19</v>
      </c>
      <c r="V253">
        <v>6</v>
      </c>
      <c r="W253">
        <v>11</v>
      </c>
      <c r="X253">
        <v>8</v>
      </c>
      <c r="Y253">
        <v>25</v>
      </c>
      <c r="Z253">
        <f>IF(H_A[[#This Row],[Attrition]]="Yes",1,0)</f>
        <v>0</v>
      </c>
      <c r="AA253" t="str">
        <f>IF(H_A[[#This Row],[Age]]&lt;30,"Young",IF(H_A[[#This Row],[Age]]&lt;45,"Mid","Senior"))</f>
        <v>Mid</v>
      </c>
      <c r="AB253" t="str">
        <f>IF(H_A[[#This Row],[MonthlyIncome]]&lt;5000,"Low",IF(H_A[[#This Row],[MonthlyIncome]]&lt;10000,"Medium","High"))</f>
        <v>High</v>
      </c>
      <c r="AC253" t="str">
        <f>IF(H_A[[#This Row],[YearsAtCompany]]&lt;3,"Early",IF(H_A[[#This Row],[YearsAtCompany]]&lt;7,"Mid","Long"))</f>
        <v>Long</v>
      </c>
      <c r="AD253" t="str">
        <f>IF(H_A[[#This Row],[PercentSalaryHike]]&lt;13,"Low",IF(H_A[[#This Row],[PercentSalaryHike]]&lt;18,"Medium","High"))</f>
        <v>High</v>
      </c>
    </row>
    <row r="254" spans="1:30" x14ac:dyDescent="0.3">
      <c r="A254">
        <v>29</v>
      </c>
      <c r="B254">
        <v>346</v>
      </c>
      <c r="C254" t="s">
        <v>36</v>
      </c>
      <c r="D254" t="s">
        <v>37</v>
      </c>
      <c r="E254">
        <v>15</v>
      </c>
      <c r="F254">
        <v>3</v>
      </c>
      <c r="G254" t="s">
        <v>32</v>
      </c>
      <c r="H254">
        <v>3</v>
      </c>
      <c r="I254" t="s">
        <v>38</v>
      </c>
      <c r="J254">
        <v>3</v>
      </c>
      <c r="K254">
        <v>1</v>
      </c>
      <c r="L254" t="s">
        <v>39</v>
      </c>
      <c r="M254">
        <v>4</v>
      </c>
      <c r="N254" t="s">
        <v>35</v>
      </c>
      <c r="O254">
        <v>2340</v>
      </c>
      <c r="P254">
        <v>1</v>
      </c>
      <c r="Q254" t="s">
        <v>36</v>
      </c>
      <c r="R254">
        <v>1</v>
      </c>
      <c r="S254">
        <v>6</v>
      </c>
      <c r="T254">
        <v>3</v>
      </c>
      <c r="U254">
        <v>6</v>
      </c>
      <c r="V254">
        <v>5</v>
      </c>
      <c r="W254">
        <v>1</v>
      </c>
      <c r="X254">
        <v>5</v>
      </c>
      <c r="Y254">
        <v>19</v>
      </c>
      <c r="Z254">
        <f>IF(H_A[[#This Row],[Attrition]]="Yes",1,0)</f>
        <v>0</v>
      </c>
      <c r="AA254" t="str">
        <f>IF(H_A[[#This Row],[Age]]&lt;30,"Young",IF(H_A[[#This Row],[Age]]&lt;45,"Mid","Senior"))</f>
        <v>Young</v>
      </c>
      <c r="AB254" t="str">
        <f>IF(H_A[[#This Row],[MonthlyIncome]]&lt;5000,"Low",IF(H_A[[#This Row],[MonthlyIncome]]&lt;10000,"Medium","High"))</f>
        <v>Low</v>
      </c>
      <c r="AC254" t="str">
        <f>IF(H_A[[#This Row],[YearsAtCompany]]&lt;3,"Early",IF(H_A[[#This Row],[YearsAtCompany]]&lt;7,"Mid","Long"))</f>
        <v>Mid</v>
      </c>
      <c r="AD254" t="str">
        <f>IF(H_A[[#This Row],[PercentSalaryHike]]&lt;13,"Low",IF(H_A[[#This Row],[PercentSalaryHike]]&lt;18,"Medium","High"))</f>
        <v>High</v>
      </c>
    </row>
    <row r="255" spans="1:30" x14ac:dyDescent="0.3">
      <c r="A255">
        <v>42</v>
      </c>
      <c r="B255">
        <v>347</v>
      </c>
      <c r="C255" t="s">
        <v>36</v>
      </c>
      <c r="D255" t="s">
        <v>37</v>
      </c>
      <c r="E255">
        <v>17</v>
      </c>
      <c r="F255">
        <v>2</v>
      </c>
      <c r="G255" t="s">
        <v>32</v>
      </c>
      <c r="H255">
        <v>4</v>
      </c>
      <c r="I255" t="s">
        <v>33</v>
      </c>
      <c r="J255">
        <v>4</v>
      </c>
      <c r="K255">
        <v>2</v>
      </c>
      <c r="L255" t="s">
        <v>39</v>
      </c>
      <c r="M255">
        <v>1</v>
      </c>
      <c r="N255" t="s">
        <v>35</v>
      </c>
      <c r="O255">
        <v>6545</v>
      </c>
      <c r="P255">
        <v>3</v>
      </c>
      <c r="Q255" t="s">
        <v>30</v>
      </c>
      <c r="R255">
        <v>3</v>
      </c>
      <c r="S255">
        <v>10</v>
      </c>
      <c r="T255">
        <v>3</v>
      </c>
      <c r="U255">
        <v>3</v>
      </c>
      <c r="V255">
        <v>2</v>
      </c>
      <c r="W255">
        <v>0</v>
      </c>
      <c r="X255">
        <v>2</v>
      </c>
      <c r="Y255">
        <v>13</v>
      </c>
      <c r="Z255">
        <f>IF(H_A[[#This Row],[Attrition]]="Yes",1,0)</f>
        <v>0</v>
      </c>
      <c r="AA255" t="str">
        <f>IF(H_A[[#This Row],[Age]]&lt;30,"Young",IF(H_A[[#This Row],[Age]]&lt;45,"Mid","Senior"))</f>
        <v>Mid</v>
      </c>
      <c r="AB255" t="str">
        <f>IF(H_A[[#This Row],[MonthlyIncome]]&lt;5000,"Low",IF(H_A[[#This Row],[MonthlyIncome]]&lt;10000,"Medium","High"))</f>
        <v>Medium</v>
      </c>
      <c r="AC255" t="str">
        <f>IF(H_A[[#This Row],[YearsAtCompany]]&lt;3,"Early",IF(H_A[[#This Row],[YearsAtCompany]]&lt;7,"Mid","Long"))</f>
        <v>Mid</v>
      </c>
      <c r="AD255" t="str">
        <f>IF(H_A[[#This Row],[PercentSalaryHike]]&lt;13,"Low",IF(H_A[[#This Row],[PercentSalaryHike]]&lt;18,"Medium","High"))</f>
        <v>Medium</v>
      </c>
    </row>
    <row r="256" spans="1:30" x14ac:dyDescent="0.3">
      <c r="A256">
        <v>29</v>
      </c>
      <c r="B256">
        <v>349</v>
      </c>
      <c r="C256" t="s">
        <v>36</v>
      </c>
      <c r="D256" t="s">
        <v>31</v>
      </c>
      <c r="E256">
        <v>20</v>
      </c>
      <c r="F256">
        <v>2</v>
      </c>
      <c r="G256" t="s">
        <v>50</v>
      </c>
      <c r="H256">
        <v>4</v>
      </c>
      <c r="I256" t="s">
        <v>38</v>
      </c>
      <c r="J256">
        <v>3</v>
      </c>
      <c r="K256">
        <v>2</v>
      </c>
      <c r="L256" t="s">
        <v>34</v>
      </c>
      <c r="M256">
        <v>4</v>
      </c>
      <c r="N256" t="s">
        <v>44</v>
      </c>
      <c r="O256">
        <v>6931</v>
      </c>
      <c r="P256">
        <v>2</v>
      </c>
      <c r="Q256" t="s">
        <v>36</v>
      </c>
      <c r="R256">
        <v>4</v>
      </c>
      <c r="S256">
        <v>10</v>
      </c>
      <c r="T256">
        <v>3</v>
      </c>
      <c r="U256">
        <v>3</v>
      </c>
      <c r="V256">
        <v>2</v>
      </c>
      <c r="W256">
        <v>0</v>
      </c>
      <c r="X256">
        <v>2</v>
      </c>
      <c r="Y256">
        <v>14</v>
      </c>
      <c r="Z256">
        <f>IF(H_A[[#This Row],[Attrition]]="Yes",1,0)</f>
        <v>0</v>
      </c>
      <c r="AA256" t="str">
        <f>IF(H_A[[#This Row],[Age]]&lt;30,"Young",IF(H_A[[#This Row],[Age]]&lt;45,"Mid","Senior"))</f>
        <v>Young</v>
      </c>
      <c r="AB256" t="str">
        <f>IF(H_A[[#This Row],[MonthlyIncome]]&lt;5000,"Low",IF(H_A[[#This Row],[MonthlyIncome]]&lt;10000,"Medium","High"))</f>
        <v>Medium</v>
      </c>
      <c r="AC256" t="str">
        <f>IF(H_A[[#This Row],[YearsAtCompany]]&lt;3,"Early",IF(H_A[[#This Row],[YearsAtCompany]]&lt;7,"Mid","Long"))</f>
        <v>Mid</v>
      </c>
      <c r="AD256" t="str">
        <f>IF(H_A[[#This Row],[PercentSalaryHike]]&lt;13,"Low",IF(H_A[[#This Row],[PercentSalaryHike]]&lt;18,"Medium","High"))</f>
        <v>Medium</v>
      </c>
    </row>
    <row r="257" spans="1:30" x14ac:dyDescent="0.3">
      <c r="A257">
        <v>25</v>
      </c>
      <c r="B257">
        <v>350</v>
      </c>
      <c r="C257" t="s">
        <v>36</v>
      </c>
      <c r="D257" t="s">
        <v>37</v>
      </c>
      <c r="E257">
        <v>1</v>
      </c>
      <c r="F257">
        <v>3</v>
      </c>
      <c r="G257" t="s">
        <v>32</v>
      </c>
      <c r="H257">
        <v>1</v>
      </c>
      <c r="I257" t="s">
        <v>33</v>
      </c>
      <c r="J257">
        <v>3</v>
      </c>
      <c r="K257">
        <v>2</v>
      </c>
      <c r="L257" t="s">
        <v>45</v>
      </c>
      <c r="M257">
        <v>3</v>
      </c>
      <c r="N257" t="s">
        <v>40</v>
      </c>
      <c r="O257">
        <v>4898</v>
      </c>
      <c r="P257">
        <v>0</v>
      </c>
      <c r="Q257" t="s">
        <v>36</v>
      </c>
      <c r="R257">
        <v>4</v>
      </c>
      <c r="S257">
        <v>5</v>
      </c>
      <c r="T257">
        <v>3</v>
      </c>
      <c r="U257">
        <v>4</v>
      </c>
      <c r="V257">
        <v>2</v>
      </c>
      <c r="W257">
        <v>1</v>
      </c>
      <c r="X257">
        <v>2</v>
      </c>
      <c r="Y257">
        <v>12</v>
      </c>
      <c r="Z257">
        <f>IF(H_A[[#This Row],[Attrition]]="Yes",1,0)</f>
        <v>0</v>
      </c>
      <c r="AA257" t="str">
        <f>IF(H_A[[#This Row],[Age]]&lt;30,"Young",IF(H_A[[#This Row],[Age]]&lt;45,"Mid","Senior"))</f>
        <v>Young</v>
      </c>
      <c r="AB257" t="str">
        <f>IF(H_A[[#This Row],[MonthlyIncome]]&lt;5000,"Low",IF(H_A[[#This Row],[MonthlyIncome]]&lt;10000,"Medium","High"))</f>
        <v>Low</v>
      </c>
      <c r="AC257" t="str">
        <f>IF(H_A[[#This Row],[YearsAtCompany]]&lt;3,"Early",IF(H_A[[#This Row],[YearsAtCompany]]&lt;7,"Mid","Long"))</f>
        <v>Mid</v>
      </c>
      <c r="AD257" t="str">
        <f>IF(H_A[[#This Row],[PercentSalaryHike]]&lt;13,"Low",IF(H_A[[#This Row],[PercentSalaryHike]]&lt;18,"Medium","High"))</f>
        <v>Low</v>
      </c>
    </row>
    <row r="258" spans="1:30" x14ac:dyDescent="0.3">
      <c r="A258">
        <v>42</v>
      </c>
      <c r="B258">
        <v>351</v>
      </c>
      <c r="C258" t="s">
        <v>36</v>
      </c>
      <c r="D258" t="s">
        <v>37</v>
      </c>
      <c r="E258">
        <v>2</v>
      </c>
      <c r="F258">
        <v>3</v>
      </c>
      <c r="G258" t="s">
        <v>43</v>
      </c>
      <c r="H258">
        <v>4</v>
      </c>
      <c r="I258" t="s">
        <v>33</v>
      </c>
      <c r="J258">
        <v>2</v>
      </c>
      <c r="K258">
        <v>1</v>
      </c>
      <c r="L258" t="s">
        <v>42</v>
      </c>
      <c r="M258">
        <v>1</v>
      </c>
      <c r="N258" t="s">
        <v>44</v>
      </c>
      <c r="O258">
        <v>2593</v>
      </c>
      <c r="P258">
        <v>0</v>
      </c>
      <c r="Q258" t="s">
        <v>30</v>
      </c>
      <c r="R258">
        <v>3</v>
      </c>
      <c r="S258">
        <v>10</v>
      </c>
      <c r="T258">
        <v>3</v>
      </c>
      <c r="U258">
        <v>9</v>
      </c>
      <c r="V258">
        <v>6</v>
      </c>
      <c r="W258">
        <v>7</v>
      </c>
      <c r="X258">
        <v>8</v>
      </c>
      <c r="Y258">
        <v>11</v>
      </c>
      <c r="Z258">
        <f>IF(H_A[[#This Row],[Attrition]]="Yes",1,0)</f>
        <v>0</v>
      </c>
      <c r="AA258" t="str">
        <f>IF(H_A[[#This Row],[Age]]&lt;30,"Young",IF(H_A[[#This Row],[Age]]&lt;45,"Mid","Senior"))</f>
        <v>Mid</v>
      </c>
      <c r="AB258" t="str">
        <f>IF(H_A[[#This Row],[MonthlyIncome]]&lt;5000,"Low",IF(H_A[[#This Row],[MonthlyIncome]]&lt;10000,"Medium","High"))</f>
        <v>Low</v>
      </c>
      <c r="AC258" t="str">
        <f>IF(H_A[[#This Row],[YearsAtCompany]]&lt;3,"Early",IF(H_A[[#This Row],[YearsAtCompany]]&lt;7,"Mid","Long"))</f>
        <v>Long</v>
      </c>
      <c r="AD258" t="str">
        <f>IF(H_A[[#This Row],[PercentSalaryHike]]&lt;13,"Low",IF(H_A[[#This Row],[PercentSalaryHike]]&lt;18,"Medium","High"))</f>
        <v>Low</v>
      </c>
    </row>
    <row r="259" spans="1:30" x14ac:dyDescent="0.3">
      <c r="A259">
        <v>40</v>
      </c>
      <c r="B259">
        <v>352</v>
      </c>
      <c r="C259" t="s">
        <v>36</v>
      </c>
      <c r="D259" t="s">
        <v>37</v>
      </c>
      <c r="E259">
        <v>2</v>
      </c>
      <c r="F259">
        <v>2</v>
      </c>
      <c r="G259" t="s">
        <v>43</v>
      </c>
      <c r="H259">
        <v>1</v>
      </c>
      <c r="I259" t="s">
        <v>38</v>
      </c>
      <c r="J259">
        <v>3</v>
      </c>
      <c r="K259">
        <v>5</v>
      </c>
      <c r="L259" t="s">
        <v>49</v>
      </c>
      <c r="M259">
        <v>3</v>
      </c>
      <c r="N259" t="s">
        <v>44</v>
      </c>
      <c r="O259">
        <v>19436</v>
      </c>
      <c r="P259">
        <v>0</v>
      </c>
      <c r="Q259" t="s">
        <v>36</v>
      </c>
      <c r="R259">
        <v>4</v>
      </c>
      <c r="S259">
        <v>22</v>
      </c>
      <c r="T259">
        <v>3</v>
      </c>
      <c r="U259">
        <v>21</v>
      </c>
      <c r="V259">
        <v>7</v>
      </c>
      <c r="W259">
        <v>3</v>
      </c>
      <c r="X259">
        <v>9</v>
      </c>
      <c r="Y259">
        <v>19</v>
      </c>
      <c r="Z259">
        <f>IF(H_A[[#This Row],[Attrition]]="Yes",1,0)</f>
        <v>0</v>
      </c>
      <c r="AA259" t="str">
        <f>IF(H_A[[#This Row],[Age]]&lt;30,"Young",IF(H_A[[#This Row],[Age]]&lt;45,"Mid","Senior"))</f>
        <v>Mid</v>
      </c>
      <c r="AB259" t="str">
        <f>IF(H_A[[#This Row],[MonthlyIncome]]&lt;5000,"Low",IF(H_A[[#This Row],[MonthlyIncome]]&lt;10000,"Medium","High"))</f>
        <v>High</v>
      </c>
      <c r="AC259" t="str">
        <f>IF(H_A[[#This Row],[YearsAtCompany]]&lt;3,"Early",IF(H_A[[#This Row],[YearsAtCompany]]&lt;7,"Mid","Long"))</f>
        <v>Long</v>
      </c>
      <c r="AD259" t="str">
        <f>IF(H_A[[#This Row],[PercentSalaryHike]]&lt;13,"Low",IF(H_A[[#This Row],[PercentSalaryHike]]&lt;18,"Medium","High"))</f>
        <v>High</v>
      </c>
    </row>
    <row r="260" spans="1:30" x14ac:dyDescent="0.3">
      <c r="A260">
        <v>51</v>
      </c>
      <c r="B260">
        <v>353</v>
      </c>
      <c r="C260" t="s">
        <v>36</v>
      </c>
      <c r="D260" t="s">
        <v>37</v>
      </c>
      <c r="E260">
        <v>1</v>
      </c>
      <c r="F260">
        <v>3</v>
      </c>
      <c r="G260" t="s">
        <v>32</v>
      </c>
      <c r="H260">
        <v>3</v>
      </c>
      <c r="I260" t="s">
        <v>38</v>
      </c>
      <c r="J260">
        <v>3</v>
      </c>
      <c r="K260">
        <v>1</v>
      </c>
      <c r="L260" t="s">
        <v>39</v>
      </c>
      <c r="M260">
        <v>4</v>
      </c>
      <c r="N260" t="s">
        <v>40</v>
      </c>
      <c r="O260">
        <v>2723</v>
      </c>
      <c r="P260">
        <v>1</v>
      </c>
      <c r="Q260" t="s">
        <v>36</v>
      </c>
      <c r="R260">
        <v>2</v>
      </c>
      <c r="S260">
        <v>1</v>
      </c>
      <c r="T260">
        <v>2</v>
      </c>
      <c r="U260">
        <v>1</v>
      </c>
      <c r="V260">
        <v>0</v>
      </c>
      <c r="W260">
        <v>0</v>
      </c>
      <c r="X260">
        <v>0</v>
      </c>
      <c r="Y260">
        <v>11</v>
      </c>
      <c r="Z260">
        <f>IF(H_A[[#This Row],[Attrition]]="Yes",1,0)</f>
        <v>0</v>
      </c>
      <c r="AA260" t="str">
        <f>IF(H_A[[#This Row],[Age]]&lt;30,"Young",IF(H_A[[#This Row],[Age]]&lt;45,"Mid","Senior"))</f>
        <v>Senior</v>
      </c>
      <c r="AB260" t="str">
        <f>IF(H_A[[#This Row],[MonthlyIncome]]&lt;5000,"Low",IF(H_A[[#This Row],[MonthlyIncome]]&lt;10000,"Medium","High"))</f>
        <v>Low</v>
      </c>
      <c r="AC260" t="str">
        <f>IF(H_A[[#This Row],[YearsAtCompany]]&lt;3,"Early",IF(H_A[[#This Row],[YearsAtCompany]]&lt;7,"Mid","Long"))</f>
        <v>Early</v>
      </c>
      <c r="AD260" t="str">
        <f>IF(H_A[[#This Row],[PercentSalaryHike]]&lt;13,"Low",IF(H_A[[#This Row],[PercentSalaryHike]]&lt;18,"Medium","High"))</f>
        <v>Low</v>
      </c>
    </row>
    <row r="261" spans="1:30" x14ac:dyDescent="0.3">
      <c r="A261">
        <v>31</v>
      </c>
      <c r="B261">
        <v>355</v>
      </c>
      <c r="C261" t="s">
        <v>30</v>
      </c>
      <c r="D261" t="s">
        <v>37</v>
      </c>
      <c r="E261">
        <v>29</v>
      </c>
      <c r="F261">
        <v>2</v>
      </c>
      <c r="G261" t="s">
        <v>43</v>
      </c>
      <c r="H261">
        <v>3</v>
      </c>
      <c r="I261" t="s">
        <v>38</v>
      </c>
      <c r="J261">
        <v>2</v>
      </c>
      <c r="K261">
        <v>1</v>
      </c>
      <c r="L261" t="s">
        <v>42</v>
      </c>
      <c r="M261">
        <v>2</v>
      </c>
      <c r="N261" t="s">
        <v>35</v>
      </c>
      <c r="O261">
        <v>3479</v>
      </c>
      <c r="P261">
        <v>0</v>
      </c>
      <c r="Q261" t="s">
        <v>36</v>
      </c>
      <c r="R261">
        <v>2</v>
      </c>
      <c r="S261">
        <v>6</v>
      </c>
      <c r="T261">
        <v>4</v>
      </c>
      <c r="U261">
        <v>5</v>
      </c>
      <c r="V261">
        <v>4</v>
      </c>
      <c r="W261">
        <v>1</v>
      </c>
      <c r="X261">
        <v>4</v>
      </c>
      <c r="Y261">
        <v>11</v>
      </c>
      <c r="Z261">
        <f>IF(H_A[[#This Row],[Attrition]]="Yes",1,0)</f>
        <v>1</v>
      </c>
      <c r="AA261" t="str">
        <f>IF(H_A[[#This Row],[Age]]&lt;30,"Young",IF(H_A[[#This Row],[Age]]&lt;45,"Mid","Senior"))</f>
        <v>Mid</v>
      </c>
      <c r="AB261" t="str">
        <f>IF(H_A[[#This Row],[MonthlyIncome]]&lt;5000,"Low",IF(H_A[[#This Row],[MonthlyIncome]]&lt;10000,"Medium","High"))</f>
        <v>Low</v>
      </c>
      <c r="AC261" t="str">
        <f>IF(H_A[[#This Row],[YearsAtCompany]]&lt;3,"Early",IF(H_A[[#This Row],[YearsAtCompany]]&lt;7,"Mid","Long"))</f>
        <v>Mid</v>
      </c>
      <c r="AD261" t="str">
        <f>IF(H_A[[#This Row],[PercentSalaryHike]]&lt;13,"Low",IF(H_A[[#This Row],[PercentSalaryHike]]&lt;18,"Medium","High"))</f>
        <v>Low</v>
      </c>
    </row>
    <row r="262" spans="1:30" x14ac:dyDescent="0.3">
      <c r="A262">
        <v>32</v>
      </c>
      <c r="B262">
        <v>359</v>
      </c>
      <c r="C262" t="s">
        <v>36</v>
      </c>
      <c r="D262" t="s">
        <v>37</v>
      </c>
      <c r="E262">
        <v>7</v>
      </c>
      <c r="F262">
        <v>3</v>
      </c>
      <c r="G262" t="s">
        <v>32</v>
      </c>
      <c r="H262">
        <v>2</v>
      </c>
      <c r="I262" t="s">
        <v>38</v>
      </c>
      <c r="J262">
        <v>4</v>
      </c>
      <c r="K262">
        <v>1</v>
      </c>
      <c r="L262" t="s">
        <v>42</v>
      </c>
      <c r="M262">
        <v>2</v>
      </c>
      <c r="N262" t="s">
        <v>40</v>
      </c>
      <c r="O262">
        <v>2794</v>
      </c>
      <c r="P262">
        <v>1</v>
      </c>
      <c r="Q262" t="s">
        <v>36</v>
      </c>
      <c r="R262">
        <v>3</v>
      </c>
      <c r="S262">
        <v>5</v>
      </c>
      <c r="T262">
        <v>1</v>
      </c>
      <c r="U262">
        <v>5</v>
      </c>
      <c r="V262">
        <v>1</v>
      </c>
      <c r="W262">
        <v>0</v>
      </c>
      <c r="X262">
        <v>3</v>
      </c>
      <c r="Y262">
        <v>20</v>
      </c>
      <c r="Z262">
        <f>IF(H_A[[#This Row],[Attrition]]="Yes",1,0)</f>
        <v>0</v>
      </c>
      <c r="AA262" t="str">
        <f>IF(H_A[[#This Row],[Age]]&lt;30,"Young",IF(H_A[[#This Row],[Age]]&lt;45,"Mid","Senior"))</f>
        <v>Mid</v>
      </c>
      <c r="AB262" t="str">
        <f>IF(H_A[[#This Row],[MonthlyIncome]]&lt;5000,"Low",IF(H_A[[#This Row],[MonthlyIncome]]&lt;10000,"Medium","High"))</f>
        <v>Low</v>
      </c>
      <c r="AC262" t="str">
        <f>IF(H_A[[#This Row],[YearsAtCompany]]&lt;3,"Early",IF(H_A[[#This Row],[YearsAtCompany]]&lt;7,"Mid","Long"))</f>
        <v>Mid</v>
      </c>
      <c r="AD262" t="str">
        <f>IF(H_A[[#This Row],[PercentSalaryHike]]&lt;13,"Low",IF(H_A[[#This Row],[PercentSalaryHike]]&lt;18,"Medium","High"))</f>
        <v>High</v>
      </c>
    </row>
    <row r="263" spans="1:30" x14ac:dyDescent="0.3">
      <c r="A263">
        <v>38</v>
      </c>
      <c r="B263">
        <v>361</v>
      </c>
      <c r="C263" t="s">
        <v>36</v>
      </c>
      <c r="D263" t="s">
        <v>31</v>
      </c>
      <c r="E263">
        <v>2</v>
      </c>
      <c r="F263">
        <v>2</v>
      </c>
      <c r="G263" t="s">
        <v>32</v>
      </c>
      <c r="H263">
        <v>4</v>
      </c>
      <c r="I263" t="s">
        <v>38</v>
      </c>
      <c r="J263">
        <v>2</v>
      </c>
      <c r="K263">
        <v>2</v>
      </c>
      <c r="L263" t="s">
        <v>34</v>
      </c>
      <c r="M263">
        <v>4</v>
      </c>
      <c r="N263" t="s">
        <v>40</v>
      </c>
      <c r="O263">
        <v>5249</v>
      </c>
      <c r="P263">
        <v>3</v>
      </c>
      <c r="Q263" t="s">
        <v>36</v>
      </c>
      <c r="R263">
        <v>4</v>
      </c>
      <c r="S263">
        <v>13</v>
      </c>
      <c r="T263">
        <v>3</v>
      </c>
      <c r="U263">
        <v>8</v>
      </c>
      <c r="V263">
        <v>7</v>
      </c>
      <c r="W263">
        <v>7</v>
      </c>
      <c r="X263">
        <v>5</v>
      </c>
      <c r="Y263">
        <v>18</v>
      </c>
      <c r="Z263">
        <f>IF(H_A[[#This Row],[Attrition]]="Yes",1,0)</f>
        <v>0</v>
      </c>
      <c r="AA263" t="str">
        <f>IF(H_A[[#This Row],[Age]]&lt;30,"Young",IF(H_A[[#This Row],[Age]]&lt;45,"Mid","Senior"))</f>
        <v>Mid</v>
      </c>
      <c r="AB263" t="str">
        <f>IF(H_A[[#This Row],[MonthlyIncome]]&lt;5000,"Low",IF(H_A[[#This Row],[MonthlyIncome]]&lt;10000,"Medium","High"))</f>
        <v>Medium</v>
      </c>
      <c r="AC263" t="str">
        <f>IF(H_A[[#This Row],[YearsAtCompany]]&lt;3,"Early",IF(H_A[[#This Row],[YearsAtCompany]]&lt;7,"Mid","Long"))</f>
        <v>Long</v>
      </c>
      <c r="AD263" t="str">
        <f>IF(H_A[[#This Row],[PercentSalaryHike]]&lt;13,"Low",IF(H_A[[#This Row],[PercentSalaryHike]]&lt;18,"Medium","High"))</f>
        <v>High</v>
      </c>
    </row>
    <row r="264" spans="1:30" x14ac:dyDescent="0.3">
      <c r="A264">
        <v>32</v>
      </c>
      <c r="B264">
        <v>362</v>
      </c>
      <c r="C264" t="s">
        <v>36</v>
      </c>
      <c r="D264" t="s">
        <v>37</v>
      </c>
      <c r="E264">
        <v>2</v>
      </c>
      <c r="F264">
        <v>1</v>
      </c>
      <c r="G264" t="s">
        <v>51</v>
      </c>
      <c r="H264">
        <v>4</v>
      </c>
      <c r="I264" t="s">
        <v>38</v>
      </c>
      <c r="J264">
        <v>2</v>
      </c>
      <c r="K264">
        <v>2</v>
      </c>
      <c r="L264" t="s">
        <v>42</v>
      </c>
      <c r="M264">
        <v>1</v>
      </c>
      <c r="N264" t="s">
        <v>35</v>
      </c>
      <c r="O264">
        <v>2176</v>
      </c>
      <c r="P264">
        <v>4</v>
      </c>
      <c r="Q264" t="s">
        <v>36</v>
      </c>
      <c r="R264">
        <v>4</v>
      </c>
      <c r="S264">
        <v>9</v>
      </c>
      <c r="T264">
        <v>3</v>
      </c>
      <c r="U264">
        <v>6</v>
      </c>
      <c r="V264">
        <v>2</v>
      </c>
      <c r="W264">
        <v>0</v>
      </c>
      <c r="X264">
        <v>4</v>
      </c>
      <c r="Y264">
        <v>13</v>
      </c>
      <c r="Z264">
        <f>IF(H_A[[#This Row],[Attrition]]="Yes",1,0)</f>
        <v>0</v>
      </c>
      <c r="AA264" t="str">
        <f>IF(H_A[[#This Row],[Age]]&lt;30,"Young",IF(H_A[[#This Row],[Age]]&lt;45,"Mid","Senior"))</f>
        <v>Mid</v>
      </c>
      <c r="AB264" t="str">
        <f>IF(H_A[[#This Row],[MonthlyIncome]]&lt;5000,"Low",IF(H_A[[#This Row],[MonthlyIncome]]&lt;10000,"Medium","High"))</f>
        <v>Low</v>
      </c>
      <c r="AC264" t="str">
        <f>IF(H_A[[#This Row],[YearsAtCompany]]&lt;3,"Early",IF(H_A[[#This Row],[YearsAtCompany]]&lt;7,"Mid","Long"))</f>
        <v>Mid</v>
      </c>
      <c r="AD264" t="str">
        <f>IF(H_A[[#This Row],[PercentSalaryHike]]&lt;13,"Low",IF(H_A[[#This Row],[PercentSalaryHike]]&lt;18,"Medium","High"))</f>
        <v>Medium</v>
      </c>
    </row>
    <row r="265" spans="1:30" x14ac:dyDescent="0.3">
      <c r="A265">
        <v>46</v>
      </c>
      <c r="B265">
        <v>363</v>
      </c>
      <c r="C265" t="s">
        <v>36</v>
      </c>
      <c r="D265" t="s">
        <v>31</v>
      </c>
      <c r="E265">
        <v>2</v>
      </c>
      <c r="F265">
        <v>3</v>
      </c>
      <c r="G265" t="s">
        <v>51</v>
      </c>
      <c r="H265">
        <v>3</v>
      </c>
      <c r="I265" t="s">
        <v>33</v>
      </c>
      <c r="J265">
        <v>1</v>
      </c>
      <c r="K265">
        <v>4</v>
      </c>
      <c r="L265" t="s">
        <v>47</v>
      </c>
      <c r="M265">
        <v>2</v>
      </c>
      <c r="N265" t="s">
        <v>40</v>
      </c>
      <c r="O265">
        <v>16872</v>
      </c>
      <c r="P265">
        <v>3</v>
      </c>
      <c r="Q265" t="s">
        <v>30</v>
      </c>
      <c r="R265">
        <v>2</v>
      </c>
      <c r="S265">
        <v>28</v>
      </c>
      <c r="T265">
        <v>2</v>
      </c>
      <c r="U265">
        <v>7</v>
      </c>
      <c r="V265">
        <v>7</v>
      </c>
      <c r="W265">
        <v>7</v>
      </c>
      <c r="X265">
        <v>7</v>
      </c>
      <c r="Y265">
        <v>12</v>
      </c>
      <c r="Z265">
        <f>IF(H_A[[#This Row],[Attrition]]="Yes",1,0)</f>
        <v>0</v>
      </c>
      <c r="AA265" t="str">
        <f>IF(H_A[[#This Row],[Age]]&lt;30,"Young",IF(H_A[[#This Row],[Age]]&lt;45,"Mid","Senior"))</f>
        <v>Senior</v>
      </c>
      <c r="AB265" t="str">
        <f>IF(H_A[[#This Row],[MonthlyIncome]]&lt;5000,"Low",IF(H_A[[#This Row],[MonthlyIncome]]&lt;10000,"Medium","High"))</f>
        <v>High</v>
      </c>
      <c r="AC265" t="str">
        <f>IF(H_A[[#This Row],[YearsAtCompany]]&lt;3,"Early",IF(H_A[[#This Row],[YearsAtCompany]]&lt;7,"Mid","Long"))</f>
        <v>Long</v>
      </c>
      <c r="AD265" t="str">
        <f>IF(H_A[[#This Row],[PercentSalaryHike]]&lt;13,"Low",IF(H_A[[#This Row],[PercentSalaryHike]]&lt;18,"Medium","High"))</f>
        <v>Low</v>
      </c>
    </row>
    <row r="266" spans="1:30" x14ac:dyDescent="0.3">
      <c r="A266">
        <v>28</v>
      </c>
      <c r="B266">
        <v>364</v>
      </c>
      <c r="C266" t="s">
        <v>30</v>
      </c>
      <c r="D266" t="s">
        <v>37</v>
      </c>
      <c r="E266">
        <v>2</v>
      </c>
      <c r="F266">
        <v>4</v>
      </c>
      <c r="G266" t="s">
        <v>32</v>
      </c>
      <c r="H266">
        <v>1</v>
      </c>
      <c r="I266" t="s">
        <v>38</v>
      </c>
      <c r="J266">
        <v>3</v>
      </c>
      <c r="K266">
        <v>1</v>
      </c>
      <c r="L266" t="s">
        <v>42</v>
      </c>
      <c r="M266">
        <v>3</v>
      </c>
      <c r="N266" t="s">
        <v>35</v>
      </c>
      <c r="O266">
        <v>3485</v>
      </c>
      <c r="P266">
        <v>2</v>
      </c>
      <c r="Q266" t="s">
        <v>36</v>
      </c>
      <c r="R266">
        <v>3</v>
      </c>
      <c r="S266">
        <v>5</v>
      </c>
      <c r="T266">
        <v>1</v>
      </c>
      <c r="U266">
        <v>0</v>
      </c>
      <c r="V266">
        <v>0</v>
      </c>
      <c r="W266">
        <v>0</v>
      </c>
      <c r="X266">
        <v>0</v>
      </c>
      <c r="Y266">
        <v>11</v>
      </c>
      <c r="Z266">
        <f>IF(H_A[[#This Row],[Attrition]]="Yes",1,0)</f>
        <v>1</v>
      </c>
      <c r="AA266" t="str">
        <f>IF(H_A[[#This Row],[Age]]&lt;30,"Young",IF(H_A[[#This Row],[Age]]&lt;45,"Mid","Senior"))</f>
        <v>Young</v>
      </c>
      <c r="AB266" t="str">
        <f>IF(H_A[[#This Row],[MonthlyIncome]]&lt;5000,"Low",IF(H_A[[#This Row],[MonthlyIncome]]&lt;10000,"Medium","High"))</f>
        <v>Low</v>
      </c>
      <c r="AC266" t="str">
        <f>IF(H_A[[#This Row],[YearsAtCompany]]&lt;3,"Early",IF(H_A[[#This Row],[YearsAtCompany]]&lt;7,"Mid","Long"))</f>
        <v>Early</v>
      </c>
      <c r="AD266" t="str">
        <f>IF(H_A[[#This Row],[PercentSalaryHike]]&lt;13,"Low",IF(H_A[[#This Row],[PercentSalaryHike]]&lt;18,"Medium","High"))</f>
        <v>Low</v>
      </c>
    </row>
    <row r="267" spans="1:30" x14ac:dyDescent="0.3">
      <c r="A267">
        <v>29</v>
      </c>
      <c r="B267">
        <v>366</v>
      </c>
      <c r="C267" t="s">
        <v>36</v>
      </c>
      <c r="D267" t="s">
        <v>31</v>
      </c>
      <c r="E267">
        <v>2</v>
      </c>
      <c r="F267">
        <v>3</v>
      </c>
      <c r="G267" t="s">
        <v>43</v>
      </c>
      <c r="H267">
        <v>1</v>
      </c>
      <c r="I267" t="s">
        <v>38</v>
      </c>
      <c r="J267">
        <v>2</v>
      </c>
      <c r="K267">
        <v>2</v>
      </c>
      <c r="L267" t="s">
        <v>34</v>
      </c>
      <c r="M267">
        <v>2</v>
      </c>
      <c r="N267" t="s">
        <v>40</v>
      </c>
      <c r="O267">
        <v>6644</v>
      </c>
      <c r="P267">
        <v>2</v>
      </c>
      <c r="Q267" t="s">
        <v>36</v>
      </c>
      <c r="R267">
        <v>2</v>
      </c>
      <c r="S267">
        <v>10</v>
      </c>
      <c r="T267">
        <v>3</v>
      </c>
      <c r="U267">
        <v>0</v>
      </c>
      <c r="V267">
        <v>0</v>
      </c>
      <c r="W267">
        <v>0</v>
      </c>
      <c r="X267">
        <v>0</v>
      </c>
      <c r="Y267">
        <v>19</v>
      </c>
      <c r="Z267">
        <f>IF(H_A[[#This Row],[Attrition]]="Yes",1,0)</f>
        <v>0</v>
      </c>
      <c r="AA267" t="str">
        <f>IF(H_A[[#This Row],[Age]]&lt;30,"Young",IF(H_A[[#This Row],[Age]]&lt;45,"Mid","Senior"))</f>
        <v>Young</v>
      </c>
      <c r="AB267" t="str">
        <f>IF(H_A[[#This Row],[MonthlyIncome]]&lt;5000,"Low",IF(H_A[[#This Row],[MonthlyIncome]]&lt;10000,"Medium","High"))</f>
        <v>Medium</v>
      </c>
      <c r="AC267" t="str">
        <f>IF(H_A[[#This Row],[YearsAtCompany]]&lt;3,"Early",IF(H_A[[#This Row],[YearsAtCompany]]&lt;7,"Mid","Long"))</f>
        <v>Early</v>
      </c>
      <c r="AD267" t="str">
        <f>IF(H_A[[#This Row],[PercentSalaryHike]]&lt;13,"Low",IF(H_A[[#This Row],[PercentSalaryHike]]&lt;18,"Medium","High"))</f>
        <v>High</v>
      </c>
    </row>
    <row r="268" spans="1:30" x14ac:dyDescent="0.3">
      <c r="A268">
        <v>31</v>
      </c>
      <c r="B268">
        <v>367</v>
      </c>
      <c r="C268" t="s">
        <v>36</v>
      </c>
      <c r="D268" t="s">
        <v>37</v>
      </c>
      <c r="E268">
        <v>23</v>
      </c>
      <c r="F268">
        <v>3</v>
      </c>
      <c r="G268" t="s">
        <v>43</v>
      </c>
      <c r="H268">
        <v>2</v>
      </c>
      <c r="I268" t="s">
        <v>38</v>
      </c>
      <c r="J268">
        <v>2</v>
      </c>
      <c r="K268">
        <v>2</v>
      </c>
      <c r="L268" t="s">
        <v>46</v>
      </c>
      <c r="M268">
        <v>4</v>
      </c>
      <c r="N268" t="s">
        <v>40</v>
      </c>
      <c r="O268">
        <v>5582</v>
      </c>
      <c r="P268">
        <v>0</v>
      </c>
      <c r="Q268" t="s">
        <v>36</v>
      </c>
      <c r="R268">
        <v>2</v>
      </c>
      <c r="S268">
        <v>10</v>
      </c>
      <c r="T268">
        <v>3</v>
      </c>
      <c r="U268">
        <v>9</v>
      </c>
      <c r="V268">
        <v>0</v>
      </c>
      <c r="W268">
        <v>7</v>
      </c>
      <c r="X268">
        <v>8</v>
      </c>
      <c r="Y268">
        <v>21</v>
      </c>
      <c r="Z268">
        <f>IF(H_A[[#This Row],[Attrition]]="Yes",1,0)</f>
        <v>0</v>
      </c>
      <c r="AA268" t="str">
        <f>IF(H_A[[#This Row],[Age]]&lt;30,"Young",IF(H_A[[#This Row],[Age]]&lt;45,"Mid","Senior"))</f>
        <v>Mid</v>
      </c>
      <c r="AB268" t="str">
        <f>IF(H_A[[#This Row],[MonthlyIncome]]&lt;5000,"Low",IF(H_A[[#This Row],[MonthlyIncome]]&lt;10000,"Medium","High"))</f>
        <v>Medium</v>
      </c>
      <c r="AC268" t="str">
        <f>IF(H_A[[#This Row],[YearsAtCompany]]&lt;3,"Early",IF(H_A[[#This Row],[YearsAtCompany]]&lt;7,"Mid","Long"))</f>
        <v>Long</v>
      </c>
      <c r="AD268" t="str">
        <f>IF(H_A[[#This Row],[PercentSalaryHike]]&lt;13,"Low",IF(H_A[[#This Row],[PercentSalaryHike]]&lt;18,"Medium","High"))</f>
        <v>High</v>
      </c>
    </row>
    <row r="269" spans="1:30" x14ac:dyDescent="0.3">
      <c r="A269">
        <v>25</v>
      </c>
      <c r="B269">
        <v>369</v>
      </c>
      <c r="C269" t="s">
        <v>36</v>
      </c>
      <c r="D269" t="s">
        <v>37</v>
      </c>
      <c r="E269">
        <v>5</v>
      </c>
      <c r="F269">
        <v>2</v>
      </c>
      <c r="G269" t="s">
        <v>32</v>
      </c>
      <c r="H269">
        <v>2</v>
      </c>
      <c r="I269" t="s">
        <v>38</v>
      </c>
      <c r="J269">
        <v>4</v>
      </c>
      <c r="K269">
        <v>2</v>
      </c>
      <c r="L269" t="s">
        <v>46</v>
      </c>
      <c r="M269">
        <v>1</v>
      </c>
      <c r="N269" t="s">
        <v>44</v>
      </c>
      <c r="O269">
        <v>4000</v>
      </c>
      <c r="P269">
        <v>1</v>
      </c>
      <c r="Q269" t="s">
        <v>36</v>
      </c>
      <c r="R269">
        <v>4</v>
      </c>
      <c r="S269">
        <v>6</v>
      </c>
      <c r="T269">
        <v>3</v>
      </c>
      <c r="U269">
        <v>6</v>
      </c>
      <c r="V269">
        <v>3</v>
      </c>
      <c r="W269">
        <v>1</v>
      </c>
      <c r="X269">
        <v>5</v>
      </c>
      <c r="Y269">
        <v>12</v>
      </c>
      <c r="Z269">
        <f>IF(H_A[[#This Row],[Attrition]]="Yes",1,0)</f>
        <v>0</v>
      </c>
      <c r="AA269" t="str">
        <f>IF(H_A[[#This Row],[Age]]&lt;30,"Young",IF(H_A[[#This Row],[Age]]&lt;45,"Mid","Senior"))</f>
        <v>Young</v>
      </c>
      <c r="AB269" t="str">
        <f>IF(H_A[[#This Row],[MonthlyIncome]]&lt;5000,"Low",IF(H_A[[#This Row],[MonthlyIncome]]&lt;10000,"Medium","High"))</f>
        <v>Low</v>
      </c>
      <c r="AC269" t="str">
        <f>IF(H_A[[#This Row],[YearsAtCompany]]&lt;3,"Early",IF(H_A[[#This Row],[YearsAtCompany]]&lt;7,"Mid","Long"))</f>
        <v>Mid</v>
      </c>
      <c r="AD269" t="str">
        <f>IF(H_A[[#This Row],[PercentSalaryHike]]&lt;13,"Low",IF(H_A[[#This Row],[PercentSalaryHike]]&lt;18,"Medium","High"))</f>
        <v>Low</v>
      </c>
    </row>
    <row r="270" spans="1:30" x14ac:dyDescent="0.3">
      <c r="A270">
        <v>45</v>
      </c>
      <c r="B270">
        <v>372</v>
      </c>
      <c r="C270" t="s">
        <v>36</v>
      </c>
      <c r="D270" t="s">
        <v>37</v>
      </c>
      <c r="E270">
        <v>20</v>
      </c>
      <c r="F270">
        <v>2</v>
      </c>
      <c r="G270" t="s">
        <v>43</v>
      </c>
      <c r="H270">
        <v>3</v>
      </c>
      <c r="I270" t="s">
        <v>38</v>
      </c>
      <c r="J270">
        <v>3</v>
      </c>
      <c r="K270">
        <v>4</v>
      </c>
      <c r="L270" t="s">
        <v>46</v>
      </c>
      <c r="M270">
        <v>4</v>
      </c>
      <c r="N270" t="s">
        <v>40</v>
      </c>
      <c r="O270">
        <v>13496</v>
      </c>
      <c r="P270">
        <v>0</v>
      </c>
      <c r="Q270" t="s">
        <v>30</v>
      </c>
      <c r="R270">
        <v>2</v>
      </c>
      <c r="S270">
        <v>21</v>
      </c>
      <c r="T270">
        <v>3</v>
      </c>
      <c r="U270">
        <v>20</v>
      </c>
      <c r="V270">
        <v>7</v>
      </c>
      <c r="W270">
        <v>4</v>
      </c>
      <c r="X270">
        <v>10</v>
      </c>
      <c r="Y270">
        <v>14</v>
      </c>
      <c r="Z270">
        <f>IF(H_A[[#This Row],[Attrition]]="Yes",1,0)</f>
        <v>0</v>
      </c>
      <c r="AA270" t="str">
        <f>IF(H_A[[#This Row],[Age]]&lt;30,"Young",IF(H_A[[#This Row],[Age]]&lt;45,"Mid","Senior"))</f>
        <v>Senior</v>
      </c>
      <c r="AB270" t="str">
        <f>IF(H_A[[#This Row],[MonthlyIncome]]&lt;5000,"Low",IF(H_A[[#This Row],[MonthlyIncome]]&lt;10000,"Medium","High"))</f>
        <v>High</v>
      </c>
      <c r="AC270" t="str">
        <f>IF(H_A[[#This Row],[YearsAtCompany]]&lt;3,"Early",IF(H_A[[#This Row],[YearsAtCompany]]&lt;7,"Mid","Long"))</f>
        <v>Long</v>
      </c>
      <c r="AD270" t="str">
        <f>IF(H_A[[#This Row],[PercentSalaryHike]]&lt;13,"Low",IF(H_A[[#This Row],[PercentSalaryHike]]&lt;18,"Medium","High"))</f>
        <v>Medium</v>
      </c>
    </row>
    <row r="271" spans="1:30" x14ac:dyDescent="0.3">
      <c r="A271">
        <v>36</v>
      </c>
      <c r="B271">
        <v>373</v>
      </c>
      <c r="C271" t="s">
        <v>36</v>
      </c>
      <c r="D271" t="s">
        <v>37</v>
      </c>
      <c r="E271">
        <v>6</v>
      </c>
      <c r="F271">
        <v>3</v>
      </c>
      <c r="G271" t="s">
        <v>32</v>
      </c>
      <c r="H271">
        <v>4</v>
      </c>
      <c r="I271" t="s">
        <v>38</v>
      </c>
      <c r="J271">
        <v>3</v>
      </c>
      <c r="K271">
        <v>1</v>
      </c>
      <c r="L271" t="s">
        <v>42</v>
      </c>
      <c r="M271">
        <v>4</v>
      </c>
      <c r="N271" t="s">
        <v>40</v>
      </c>
      <c r="O271">
        <v>3210</v>
      </c>
      <c r="P271">
        <v>0</v>
      </c>
      <c r="Q271" t="s">
        <v>36</v>
      </c>
      <c r="R271">
        <v>3</v>
      </c>
      <c r="S271">
        <v>16</v>
      </c>
      <c r="T271">
        <v>3</v>
      </c>
      <c r="U271">
        <v>15</v>
      </c>
      <c r="V271">
        <v>13</v>
      </c>
      <c r="W271">
        <v>10</v>
      </c>
      <c r="X271">
        <v>11</v>
      </c>
      <c r="Y271">
        <v>11</v>
      </c>
      <c r="Z271">
        <f>IF(H_A[[#This Row],[Attrition]]="Yes",1,0)</f>
        <v>0</v>
      </c>
      <c r="AA271" t="str">
        <f>IF(H_A[[#This Row],[Age]]&lt;30,"Young",IF(H_A[[#This Row],[Age]]&lt;45,"Mid","Senior"))</f>
        <v>Mid</v>
      </c>
      <c r="AB271" t="str">
        <f>IF(H_A[[#This Row],[MonthlyIncome]]&lt;5000,"Low",IF(H_A[[#This Row],[MonthlyIncome]]&lt;10000,"Medium","High"))</f>
        <v>Low</v>
      </c>
      <c r="AC271" t="str">
        <f>IF(H_A[[#This Row],[YearsAtCompany]]&lt;3,"Early",IF(H_A[[#This Row],[YearsAtCompany]]&lt;7,"Mid","Long"))</f>
        <v>Long</v>
      </c>
      <c r="AD271" t="str">
        <f>IF(H_A[[#This Row],[PercentSalaryHike]]&lt;13,"Low",IF(H_A[[#This Row],[PercentSalaryHike]]&lt;18,"Medium","High"))</f>
        <v>Low</v>
      </c>
    </row>
    <row r="272" spans="1:30" x14ac:dyDescent="0.3">
      <c r="A272">
        <v>55</v>
      </c>
      <c r="B272">
        <v>374</v>
      </c>
      <c r="C272" t="s">
        <v>36</v>
      </c>
      <c r="D272" t="s">
        <v>37</v>
      </c>
      <c r="E272">
        <v>1</v>
      </c>
      <c r="F272">
        <v>3</v>
      </c>
      <c r="G272" t="s">
        <v>43</v>
      </c>
      <c r="H272">
        <v>4</v>
      </c>
      <c r="I272" t="s">
        <v>38</v>
      </c>
      <c r="J272">
        <v>3</v>
      </c>
      <c r="K272">
        <v>5</v>
      </c>
      <c r="L272" t="s">
        <v>47</v>
      </c>
      <c r="M272">
        <v>1</v>
      </c>
      <c r="N272" t="s">
        <v>35</v>
      </c>
      <c r="O272">
        <v>19045</v>
      </c>
      <c r="P272">
        <v>0</v>
      </c>
      <c r="Q272" t="s">
        <v>30</v>
      </c>
      <c r="R272">
        <v>3</v>
      </c>
      <c r="S272">
        <v>37</v>
      </c>
      <c r="T272">
        <v>3</v>
      </c>
      <c r="U272">
        <v>36</v>
      </c>
      <c r="V272">
        <v>10</v>
      </c>
      <c r="W272">
        <v>4</v>
      </c>
      <c r="X272">
        <v>13</v>
      </c>
      <c r="Y272">
        <v>14</v>
      </c>
      <c r="Z272">
        <f>IF(H_A[[#This Row],[Attrition]]="Yes",1,0)</f>
        <v>0</v>
      </c>
      <c r="AA272" t="str">
        <f>IF(H_A[[#This Row],[Age]]&lt;30,"Young",IF(H_A[[#This Row],[Age]]&lt;45,"Mid","Senior"))</f>
        <v>Senior</v>
      </c>
      <c r="AB272" t="str">
        <f>IF(H_A[[#This Row],[MonthlyIncome]]&lt;5000,"Low",IF(H_A[[#This Row],[MonthlyIncome]]&lt;10000,"Medium","High"))</f>
        <v>High</v>
      </c>
      <c r="AC272" t="str">
        <f>IF(H_A[[#This Row],[YearsAtCompany]]&lt;3,"Early",IF(H_A[[#This Row],[YearsAtCompany]]&lt;7,"Mid","Long"))</f>
        <v>Long</v>
      </c>
      <c r="AD272" t="str">
        <f>IF(H_A[[#This Row],[PercentSalaryHike]]&lt;13,"Low",IF(H_A[[#This Row],[PercentSalaryHike]]&lt;18,"Medium","High"))</f>
        <v>Medium</v>
      </c>
    </row>
    <row r="273" spans="1:30" x14ac:dyDescent="0.3">
      <c r="A273">
        <v>47</v>
      </c>
      <c r="B273">
        <v>376</v>
      </c>
      <c r="C273" t="s">
        <v>30</v>
      </c>
      <c r="D273" t="s">
        <v>37</v>
      </c>
      <c r="E273">
        <v>29</v>
      </c>
      <c r="F273">
        <v>4</v>
      </c>
      <c r="G273" t="s">
        <v>32</v>
      </c>
      <c r="H273">
        <v>1</v>
      </c>
      <c r="I273" t="s">
        <v>38</v>
      </c>
      <c r="J273">
        <v>3</v>
      </c>
      <c r="K273">
        <v>3</v>
      </c>
      <c r="L273" t="s">
        <v>47</v>
      </c>
      <c r="M273">
        <v>2</v>
      </c>
      <c r="N273" t="s">
        <v>40</v>
      </c>
      <c r="O273">
        <v>11849</v>
      </c>
      <c r="P273">
        <v>1</v>
      </c>
      <c r="Q273" t="s">
        <v>30</v>
      </c>
      <c r="R273">
        <v>4</v>
      </c>
      <c r="S273">
        <v>10</v>
      </c>
      <c r="T273">
        <v>2</v>
      </c>
      <c r="U273">
        <v>10</v>
      </c>
      <c r="V273">
        <v>7</v>
      </c>
      <c r="W273">
        <v>9</v>
      </c>
      <c r="X273">
        <v>9</v>
      </c>
      <c r="Y273">
        <v>12</v>
      </c>
      <c r="Z273">
        <f>IF(H_A[[#This Row],[Attrition]]="Yes",1,0)</f>
        <v>1</v>
      </c>
      <c r="AA273" t="str">
        <f>IF(H_A[[#This Row],[Age]]&lt;30,"Young",IF(H_A[[#This Row],[Age]]&lt;45,"Mid","Senior"))</f>
        <v>Senior</v>
      </c>
      <c r="AB273" t="str">
        <f>IF(H_A[[#This Row],[MonthlyIncome]]&lt;5000,"Low",IF(H_A[[#This Row],[MonthlyIncome]]&lt;10000,"Medium","High"))</f>
        <v>High</v>
      </c>
      <c r="AC273" t="str">
        <f>IF(H_A[[#This Row],[YearsAtCompany]]&lt;3,"Early",IF(H_A[[#This Row],[YearsAtCompany]]&lt;7,"Mid","Long"))</f>
        <v>Long</v>
      </c>
      <c r="AD273" t="str">
        <f>IF(H_A[[#This Row],[PercentSalaryHike]]&lt;13,"Low",IF(H_A[[#This Row],[PercentSalaryHike]]&lt;18,"Medium","High"))</f>
        <v>Low</v>
      </c>
    </row>
    <row r="274" spans="1:30" x14ac:dyDescent="0.3">
      <c r="A274">
        <v>28</v>
      </c>
      <c r="B274">
        <v>377</v>
      </c>
      <c r="C274" t="s">
        <v>36</v>
      </c>
      <c r="D274" t="s">
        <v>37</v>
      </c>
      <c r="E274">
        <v>9</v>
      </c>
      <c r="F274">
        <v>3</v>
      </c>
      <c r="G274" t="s">
        <v>43</v>
      </c>
      <c r="H274">
        <v>4</v>
      </c>
      <c r="I274" t="s">
        <v>38</v>
      </c>
      <c r="J274">
        <v>3</v>
      </c>
      <c r="K274">
        <v>1</v>
      </c>
      <c r="L274" t="s">
        <v>39</v>
      </c>
      <c r="M274">
        <v>4</v>
      </c>
      <c r="N274" t="s">
        <v>40</v>
      </c>
      <c r="O274">
        <v>2070</v>
      </c>
      <c r="P274">
        <v>1</v>
      </c>
      <c r="Q274" t="s">
        <v>36</v>
      </c>
      <c r="R274">
        <v>4</v>
      </c>
      <c r="S274">
        <v>5</v>
      </c>
      <c r="T274">
        <v>2</v>
      </c>
      <c r="U274">
        <v>5</v>
      </c>
      <c r="V274">
        <v>2</v>
      </c>
      <c r="W274">
        <v>0</v>
      </c>
      <c r="X274">
        <v>4</v>
      </c>
      <c r="Y274">
        <v>23</v>
      </c>
      <c r="Z274">
        <f>IF(H_A[[#This Row],[Attrition]]="Yes",1,0)</f>
        <v>0</v>
      </c>
      <c r="AA274" t="str">
        <f>IF(H_A[[#This Row],[Age]]&lt;30,"Young",IF(H_A[[#This Row],[Age]]&lt;45,"Mid","Senior"))</f>
        <v>Young</v>
      </c>
      <c r="AB274" t="str">
        <f>IF(H_A[[#This Row],[MonthlyIncome]]&lt;5000,"Low",IF(H_A[[#This Row],[MonthlyIncome]]&lt;10000,"Medium","High"))</f>
        <v>Low</v>
      </c>
      <c r="AC274" t="str">
        <f>IF(H_A[[#This Row],[YearsAtCompany]]&lt;3,"Early",IF(H_A[[#This Row],[YearsAtCompany]]&lt;7,"Mid","Long"))</f>
        <v>Mid</v>
      </c>
      <c r="AD274" t="str">
        <f>IF(H_A[[#This Row],[PercentSalaryHike]]&lt;13,"Low",IF(H_A[[#This Row],[PercentSalaryHike]]&lt;18,"Medium","High"))</f>
        <v>High</v>
      </c>
    </row>
    <row r="275" spans="1:30" x14ac:dyDescent="0.3">
      <c r="A275">
        <v>37</v>
      </c>
      <c r="B275">
        <v>378</v>
      </c>
      <c r="C275" t="s">
        <v>36</v>
      </c>
      <c r="D275" t="s">
        <v>31</v>
      </c>
      <c r="E275">
        <v>6</v>
      </c>
      <c r="F275">
        <v>4</v>
      </c>
      <c r="G275" t="s">
        <v>43</v>
      </c>
      <c r="H275">
        <v>3</v>
      </c>
      <c r="I275" t="s">
        <v>38</v>
      </c>
      <c r="J275">
        <v>3</v>
      </c>
      <c r="K275">
        <v>2</v>
      </c>
      <c r="L275" t="s">
        <v>34</v>
      </c>
      <c r="M275">
        <v>4</v>
      </c>
      <c r="N275" t="s">
        <v>40</v>
      </c>
      <c r="O275">
        <v>6502</v>
      </c>
      <c r="P275">
        <v>4</v>
      </c>
      <c r="Q275" t="s">
        <v>36</v>
      </c>
      <c r="R275">
        <v>2</v>
      </c>
      <c r="S275">
        <v>7</v>
      </c>
      <c r="T275">
        <v>4</v>
      </c>
      <c r="U275">
        <v>5</v>
      </c>
      <c r="V275">
        <v>4</v>
      </c>
      <c r="W275">
        <v>0</v>
      </c>
      <c r="X275">
        <v>1</v>
      </c>
      <c r="Y275">
        <v>14</v>
      </c>
      <c r="Z275">
        <f>IF(H_A[[#This Row],[Attrition]]="Yes",1,0)</f>
        <v>0</v>
      </c>
      <c r="AA275" t="str">
        <f>IF(H_A[[#This Row],[Age]]&lt;30,"Young",IF(H_A[[#This Row],[Age]]&lt;45,"Mid","Senior"))</f>
        <v>Mid</v>
      </c>
      <c r="AB275" t="str">
        <f>IF(H_A[[#This Row],[MonthlyIncome]]&lt;5000,"Low",IF(H_A[[#This Row],[MonthlyIncome]]&lt;10000,"Medium","High"))</f>
        <v>Medium</v>
      </c>
      <c r="AC275" t="str">
        <f>IF(H_A[[#This Row],[YearsAtCompany]]&lt;3,"Early",IF(H_A[[#This Row],[YearsAtCompany]]&lt;7,"Mid","Long"))</f>
        <v>Mid</v>
      </c>
      <c r="AD275" t="str">
        <f>IF(H_A[[#This Row],[PercentSalaryHike]]&lt;13,"Low",IF(H_A[[#This Row],[PercentSalaryHike]]&lt;18,"Medium","High"))</f>
        <v>Medium</v>
      </c>
    </row>
    <row r="276" spans="1:30" x14ac:dyDescent="0.3">
      <c r="A276">
        <v>21</v>
      </c>
      <c r="B276">
        <v>379</v>
      </c>
      <c r="C276" t="s">
        <v>36</v>
      </c>
      <c r="D276" t="s">
        <v>37</v>
      </c>
      <c r="E276">
        <v>3</v>
      </c>
      <c r="F276">
        <v>2</v>
      </c>
      <c r="G276" t="s">
        <v>43</v>
      </c>
      <c r="H276">
        <v>4</v>
      </c>
      <c r="I276" t="s">
        <v>38</v>
      </c>
      <c r="J276">
        <v>2</v>
      </c>
      <c r="K276">
        <v>1</v>
      </c>
      <c r="L276" t="s">
        <v>39</v>
      </c>
      <c r="M276">
        <v>3</v>
      </c>
      <c r="N276" t="s">
        <v>35</v>
      </c>
      <c r="O276">
        <v>3230</v>
      </c>
      <c r="P276">
        <v>1</v>
      </c>
      <c r="Q276" t="s">
        <v>36</v>
      </c>
      <c r="R276">
        <v>1</v>
      </c>
      <c r="S276">
        <v>3</v>
      </c>
      <c r="T276">
        <v>4</v>
      </c>
      <c r="U276">
        <v>3</v>
      </c>
      <c r="V276">
        <v>2</v>
      </c>
      <c r="W276">
        <v>1</v>
      </c>
      <c r="X276">
        <v>0</v>
      </c>
      <c r="Y276">
        <v>17</v>
      </c>
      <c r="Z276">
        <f>IF(H_A[[#This Row],[Attrition]]="Yes",1,0)</f>
        <v>0</v>
      </c>
      <c r="AA276" t="str">
        <f>IF(H_A[[#This Row],[Age]]&lt;30,"Young",IF(H_A[[#This Row],[Age]]&lt;45,"Mid","Senior"))</f>
        <v>Young</v>
      </c>
      <c r="AB276" t="str">
        <f>IF(H_A[[#This Row],[MonthlyIncome]]&lt;5000,"Low",IF(H_A[[#This Row],[MonthlyIncome]]&lt;10000,"Medium","High"))</f>
        <v>Low</v>
      </c>
      <c r="AC276" t="str">
        <f>IF(H_A[[#This Row],[YearsAtCompany]]&lt;3,"Early",IF(H_A[[#This Row],[YearsAtCompany]]&lt;7,"Mid","Long"))</f>
        <v>Mid</v>
      </c>
      <c r="AD276" t="str">
        <f>IF(H_A[[#This Row],[PercentSalaryHike]]&lt;13,"Low",IF(H_A[[#This Row],[PercentSalaryHike]]&lt;18,"Medium","High"))</f>
        <v>Medium</v>
      </c>
    </row>
    <row r="277" spans="1:30" x14ac:dyDescent="0.3">
      <c r="A277">
        <v>37</v>
      </c>
      <c r="B277">
        <v>380</v>
      </c>
      <c r="C277" t="s">
        <v>36</v>
      </c>
      <c r="D277" t="s">
        <v>37</v>
      </c>
      <c r="E277">
        <v>1</v>
      </c>
      <c r="F277">
        <v>4</v>
      </c>
      <c r="G277" t="s">
        <v>43</v>
      </c>
      <c r="H277">
        <v>1</v>
      </c>
      <c r="I277" t="s">
        <v>33</v>
      </c>
      <c r="J277">
        <v>3</v>
      </c>
      <c r="K277">
        <v>3</v>
      </c>
      <c r="L277" t="s">
        <v>49</v>
      </c>
      <c r="M277">
        <v>4</v>
      </c>
      <c r="N277" t="s">
        <v>44</v>
      </c>
      <c r="O277">
        <v>13603</v>
      </c>
      <c r="P277">
        <v>2</v>
      </c>
      <c r="Q277" t="s">
        <v>30</v>
      </c>
      <c r="R277">
        <v>1</v>
      </c>
      <c r="S277">
        <v>15</v>
      </c>
      <c r="T277">
        <v>3</v>
      </c>
      <c r="U277">
        <v>5</v>
      </c>
      <c r="V277">
        <v>2</v>
      </c>
      <c r="W277">
        <v>0</v>
      </c>
      <c r="X277">
        <v>2</v>
      </c>
      <c r="Y277">
        <v>18</v>
      </c>
      <c r="Z277">
        <f>IF(H_A[[#This Row],[Attrition]]="Yes",1,0)</f>
        <v>0</v>
      </c>
      <c r="AA277" t="str">
        <f>IF(H_A[[#This Row],[Age]]&lt;30,"Young",IF(H_A[[#This Row],[Age]]&lt;45,"Mid","Senior"))</f>
        <v>Mid</v>
      </c>
      <c r="AB277" t="str">
        <f>IF(H_A[[#This Row],[MonthlyIncome]]&lt;5000,"Low",IF(H_A[[#This Row],[MonthlyIncome]]&lt;10000,"Medium","High"))</f>
        <v>High</v>
      </c>
      <c r="AC277" t="str">
        <f>IF(H_A[[#This Row],[YearsAtCompany]]&lt;3,"Early",IF(H_A[[#This Row],[YearsAtCompany]]&lt;7,"Mid","Long"))</f>
        <v>Mid</v>
      </c>
      <c r="AD277" t="str">
        <f>IF(H_A[[#This Row],[PercentSalaryHike]]&lt;13,"Low",IF(H_A[[#This Row],[PercentSalaryHike]]&lt;18,"Medium","High"))</f>
        <v>High</v>
      </c>
    </row>
    <row r="278" spans="1:30" x14ac:dyDescent="0.3">
      <c r="A278">
        <v>35</v>
      </c>
      <c r="B278">
        <v>381</v>
      </c>
      <c r="C278" t="s">
        <v>36</v>
      </c>
      <c r="D278" t="s">
        <v>37</v>
      </c>
      <c r="E278">
        <v>22</v>
      </c>
      <c r="F278">
        <v>3</v>
      </c>
      <c r="G278" t="s">
        <v>32</v>
      </c>
      <c r="H278">
        <v>2</v>
      </c>
      <c r="I278" t="s">
        <v>33</v>
      </c>
      <c r="J278">
        <v>4</v>
      </c>
      <c r="K278">
        <v>3</v>
      </c>
      <c r="L278" t="s">
        <v>47</v>
      </c>
      <c r="M278">
        <v>2</v>
      </c>
      <c r="N278" t="s">
        <v>44</v>
      </c>
      <c r="O278">
        <v>11996</v>
      </c>
      <c r="P278">
        <v>7</v>
      </c>
      <c r="Q278" t="s">
        <v>36</v>
      </c>
      <c r="R278">
        <v>2</v>
      </c>
      <c r="S278">
        <v>10</v>
      </c>
      <c r="T278">
        <v>2</v>
      </c>
      <c r="U278">
        <v>7</v>
      </c>
      <c r="V278">
        <v>7</v>
      </c>
      <c r="W278">
        <v>6</v>
      </c>
      <c r="X278">
        <v>2</v>
      </c>
      <c r="Y278">
        <v>18</v>
      </c>
      <c r="Z278">
        <f>IF(H_A[[#This Row],[Attrition]]="Yes",1,0)</f>
        <v>0</v>
      </c>
      <c r="AA278" t="str">
        <f>IF(H_A[[#This Row],[Age]]&lt;30,"Young",IF(H_A[[#This Row],[Age]]&lt;45,"Mid","Senior"))</f>
        <v>Mid</v>
      </c>
      <c r="AB278" t="str">
        <f>IF(H_A[[#This Row],[MonthlyIncome]]&lt;5000,"Low",IF(H_A[[#This Row],[MonthlyIncome]]&lt;10000,"Medium","High"))</f>
        <v>High</v>
      </c>
      <c r="AC278" t="str">
        <f>IF(H_A[[#This Row],[YearsAtCompany]]&lt;3,"Early",IF(H_A[[#This Row],[YearsAtCompany]]&lt;7,"Mid","Long"))</f>
        <v>Long</v>
      </c>
      <c r="AD278" t="str">
        <f>IF(H_A[[#This Row],[PercentSalaryHike]]&lt;13,"Low",IF(H_A[[#This Row],[PercentSalaryHike]]&lt;18,"Medium","High"))</f>
        <v>High</v>
      </c>
    </row>
    <row r="279" spans="1:30" x14ac:dyDescent="0.3">
      <c r="A279">
        <v>38</v>
      </c>
      <c r="B279">
        <v>382</v>
      </c>
      <c r="C279" t="s">
        <v>36</v>
      </c>
      <c r="D279" t="s">
        <v>31</v>
      </c>
      <c r="E279">
        <v>7</v>
      </c>
      <c r="F279">
        <v>2</v>
      </c>
      <c r="G279" t="s">
        <v>43</v>
      </c>
      <c r="H279">
        <v>1</v>
      </c>
      <c r="I279" t="s">
        <v>33</v>
      </c>
      <c r="J279">
        <v>4</v>
      </c>
      <c r="K279">
        <v>2</v>
      </c>
      <c r="L279" t="s">
        <v>34</v>
      </c>
      <c r="M279">
        <v>1</v>
      </c>
      <c r="N279" t="s">
        <v>44</v>
      </c>
      <c r="O279">
        <v>5605</v>
      </c>
      <c r="P279">
        <v>1</v>
      </c>
      <c r="Q279" t="s">
        <v>30</v>
      </c>
      <c r="R279">
        <v>3</v>
      </c>
      <c r="S279">
        <v>8</v>
      </c>
      <c r="T279">
        <v>3</v>
      </c>
      <c r="U279">
        <v>8</v>
      </c>
      <c r="V279">
        <v>0</v>
      </c>
      <c r="W279">
        <v>7</v>
      </c>
      <c r="X279">
        <v>7</v>
      </c>
      <c r="Y279">
        <v>24</v>
      </c>
      <c r="Z279">
        <f>IF(H_A[[#This Row],[Attrition]]="Yes",1,0)</f>
        <v>0</v>
      </c>
      <c r="AA279" t="str">
        <f>IF(H_A[[#This Row],[Age]]&lt;30,"Young",IF(H_A[[#This Row],[Age]]&lt;45,"Mid","Senior"))</f>
        <v>Mid</v>
      </c>
      <c r="AB279" t="str">
        <f>IF(H_A[[#This Row],[MonthlyIncome]]&lt;5000,"Low",IF(H_A[[#This Row],[MonthlyIncome]]&lt;10000,"Medium","High"))</f>
        <v>Medium</v>
      </c>
      <c r="AC279" t="str">
        <f>IF(H_A[[#This Row],[YearsAtCompany]]&lt;3,"Early",IF(H_A[[#This Row],[YearsAtCompany]]&lt;7,"Mid","Long"))</f>
        <v>Long</v>
      </c>
      <c r="AD279" t="str">
        <f>IF(H_A[[#This Row],[PercentSalaryHike]]&lt;13,"Low",IF(H_A[[#This Row],[PercentSalaryHike]]&lt;18,"Medium","High"))</f>
        <v>High</v>
      </c>
    </row>
    <row r="280" spans="1:30" x14ac:dyDescent="0.3">
      <c r="A280">
        <v>26</v>
      </c>
      <c r="B280">
        <v>384</v>
      </c>
      <c r="C280" t="s">
        <v>36</v>
      </c>
      <c r="D280" t="s">
        <v>37</v>
      </c>
      <c r="E280">
        <v>1</v>
      </c>
      <c r="F280">
        <v>3</v>
      </c>
      <c r="G280" t="s">
        <v>32</v>
      </c>
      <c r="H280">
        <v>3</v>
      </c>
      <c r="I280" t="s">
        <v>33</v>
      </c>
      <c r="J280">
        <v>3</v>
      </c>
      <c r="K280">
        <v>2</v>
      </c>
      <c r="L280" t="s">
        <v>45</v>
      </c>
      <c r="M280">
        <v>2</v>
      </c>
      <c r="N280" t="s">
        <v>44</v>
      </c>
      <c r="O280">
        <v>6397</v>
      </c>
      <c r="P280">
        <v>1</v>
      </c>
      <c r="Q280" t="s">
        <v>36</v>
      </c>
      <c r="R280">
        <v>1</v>
      </c>
      <c r="S280">
        <v>6</v>
      </c>
      <c r="T280">
        <v>1</v>
      </c>
      <c r="U280">
        <v>6</v>
      </c>
      <c r="V280">
        <v>5</v>
      </c>
      <c r="W280">
        <v>1</v>
      </c>
      <c r="X280">
        <v>4</v>
      </c>
      <c r="Y280">
        <v>20</v>
      </c>
      <c r="Z280">
        <f>IF(H_A[[#This Row],[Attrition]]="Yes",1,0)</f>
        <v>0</v>
      </c>
      <c r="AA280" t="str">
        <f>IF(H_A[[#This Row],[Age]]&lt;30,"Young",IF(H_A[[#This Row],[Age]]&lt;45,"Mid","Senior"))</f>
        <v>Young</v>
      </c>
      <c r="AB280" t="str">
        <f>IF(H_A[[#This Row],[MonthlyIncome]]&lt;5000,"Low",IF(H_A[[#This Row],[MonthlyIncome]]&lt;10000,"Medium","High"))</f>
        <v>Medium</v>
      </c>
      <c r="AC280" t="str">
        <f>IF(H_A[[#This Row],[YearsAtCompany]]&lt;3,"Early",IF(H_A[[#This Row],[YearsAtCompany]]&lt;7,"Mid","Long"))</f>
        <v>Mid</v>
      </c>
      <c r="AD280" t="str">
        <f>IF(H_A[[#This Row],[PercentSalaryHike]]&lt;13,"Low",IF(H_A[[#This Row],[PercentSalaryHike]]&lt;18,"Medium","High"))</f>
        <v>High</v>
      </c>
    </row>
    <row r="281" spans="1:30" x14ac:dyDescent="0.3">
      <c r="A281">
        <v>50</v>
      </c>
      <c r="B281">
        <v>385</v>
      </c>
      <c r="C281" t="s">
        <v>36</v>
      </c>
      <c r="D281" t="s">
        <v>37</v>
      </c>
      <c r="E281">
        <v>4</v>
      </c>
      <c r="F281">
        <v>1</v>
      </c>
      <c r="G281" t="s">
        <v>32</v>
      </c>
      <c r="H281">
        <v>1</v>
      </c>
      <c r="I281" t="s">
        <v>38</v>
      </c>
      <c r="J281">
        <v>3</v>
      </c>
      <c r="K281">
        <v>5</v>
      </c>
      <c r="L281" t="s">
        <v>49</v>
      </c>
      <c r="M281">
        <v>2</v>
      </c>
      <c r="N281" t="s">
        <v>44</v>
      </c>
      <c r="O281">
        <v>19144</v>
      </c>
      <c r="P281">
        <v>3</v>
      </c>
      <c r="Q281" t="s">
        <v>36</v>
      </c>
      <c r="R281">
        <v>1</v>
      </c>
      <c r="S281">
        <v>28</v>
      </c>
      <c r="T281">
        <v>2</v>
      </c>
      <c r="U281">
        <v>10</v>
      </c>
      <c r="V281">
        <v>4</v>
      </c>
      <c r="W281">
        <v>1</v>
      </c>
      <c r="X281">
        <v>6</v>
      </c>
      <c r="Y281">
        <v>14</v>
      </c>
      <c r="Z281">
        <f>IF(H_A[[#This Row],[Attrition]]="Yes",1,0)</f>
        <v>0</v>
      </c>
      <c r="AA281" t="str">
        <f>IF(H_A[[#This Row],[Age]]&lt;30,"Young",IF(H_A[[#This Row],[Age]]&lt;45,"Mid","Senior"))</f>
        <v>Senior</v>
      </c>
      <c r="AB281" t="str">
        <f>IF(H_A[[#This Row],[MonthlyIncome]]&lt;5000,"Low",IF(H_A[[#This Row],[MonthlyIncome]]&lt;10000,"Medium","High"))</f>
        <v>High</v>
      </c>
      <c r="AC281" t="str">
        <f>IF(H_A[[#This Row],[YearsAtCompany]]&lt;3,"Early",IF(H_A[[#This Row],[YearsAtCompany]]&lt;7,"Mid","Long"))</f>
        <v>Long</v>
      </c>
      <c r="AD281" t="str">
        <f>IF(H_A[[#This Row],[PercentSalaryHike]]&lt;13,"Low",IF(H_A[[#This Row],[PercentSalaryHike]]&lt;18,"Medium","High"))</f>
        <v>Medium</v>
      </c>
    </row>
    <row r="282" spans="1:30" x14ac:dyDescent="0.3">
      <c r="A282">
        <v>53</v>
      </c>
      <c r="B282">
        <v>386</v>
      </c>
      <c r="C282" t="s">
        <v>36</v>
      </c>
      <c r="D282" t="s">
        <v>37</v>
      </c>
      <c r="E282">
        <v>3</v>
      </c>
      <c r="F282">
        <v>4</v>
      </c>
      <c r="G282" t="s">
        <v>43</v>
      </c>
      <c r="H282">
        <v>3</v>
      </c>
      <c r="I282" t="s">
        <v>38</v>
      </c>
      <c r="J282">
        <v>3</v>
      </c>
      <c r="K282">
        <v>4</v>
      </c>
      <c r="L282" t="s">
        <v>49</v>
      </c>
      <c r="M282">
        <v>3</v>
      </c>
      <c r="N282" t="s">
        <v>40</v>
      </c>
      <c r="O282">
        <v>17584</v>
      </c>
      <c r="P282">
        <v>3</v>
      </c>
      <c r="Q282" t="s">
        <v>30</v>
      </c>
      <c r="R282">
        <v>4</v>
      </c>
      <c r="S282">
        <v>21</v>
      </c>
      <c r="T282">
        <v>2</v>
      </c>
      <c r="U282">
        <v>5</v>
      </c>
      <c r="V282">
        <v>3</v>
      </c>
      <c r="W282">
        <v>1</v>
      </c>
      <c r="X282">
        <v>3</v>
      </c>
      <c r="Y282">
        <v>16</v>
      </c>
      <c r="Z282">
        <f>IF(H_A[[#This Row],[Attrition]]="Yes",1,0)</f>
        <v>0</v>
      </c>
      <c r="AA282" t="str">
        <f>IF(H_A[[#This Row],[Age]]&lt;30,"Young",IF(H_A[[#This Row],[Age]]&lt;45,"Mid","Senior"))</f>
        <v>Senior</v>
      </c>
      <c r="AB282" t="str">
        <f>IF(H_A[[#This Row],[MonthlyIncome]]&lt;5000,"Low",IF(H_A[[#This Row],[MonthlyIncome]]&lt;10000,"Medium","High"))</f>
        <v>High</v>
      </c>
      <c r="AC282" t="str">
        <f>IF(H_A[[#This Row],[YearsAtCompany]]&lt;3,"Early",IF(H_A[[#This Row],[YearsAtCompany]]&lt;7,"Mid","Long"))</f>
        <v>Mid</v>
      </c>
      <c r="AD282" t="str">
        <f>IF(H_A[[#This Row],[PercentSalaryHike]]&lt;13,"Low",IF(H_A[[#This Row],[PercentSalaryHike]]&lt;18,"Medium","High"))</f>
        <v>Medium</v>
      </c>
    </row>
    <row r="283" spans="1:30" x14ac:dyDescent="0.3">
      <c r="A283">
        <v>42</v>
      </c>
      <c r="B283">
        <v>387</v>
      </c>
      <c r="C283" t="s">
        <v>36</v>
      </c>
      <c r="D283" t="s">
        <v>31</v>
      </c>
      <c r="E283">
        <v>1</v>
      </c>
      <c r="F283">
        <v>1</v>
      </c>
      <c r="G283" t="s">
        <v>32</v>
      </c>
      <c r="H283">
        <v>2</v>
      </c>
      <c r="I283" t="s">
        <v>38</v>
      </c>
      <c r="J283">
        <v>3</v>
      </c>
      <c r="K283">
        <v>2</v>
      </c>
      <c r="L283" t="s">
        <v>34</v>
      </c>
      <c r="M283">
        <v>3</v>
      </c>
      <c r="N283" t="s">
        <v>40</v>
      </c>
      <c r="O283">
        <v>4907</v>
      </c>
      <c r="P283">
        <v>1</v>
      </c>
      <c r="Q283" t="s">
        <v>36</v>
      </c>
      <c r="R283">
        <v>3</v>
      </c>
      <c r="S283">
        <v>20</v>
      </c>
      <c r="T283">
        <v>3</v>
      </c>
      <c r="U283">
        <v>20</v>
      </c>
      <c r="V283">
        <v>16</v>
      </c>
      <c r="W283">
        <v>11</v>
      </c>
      <c r="X283">
        <v>6</v>
      </c>
      <c r="Y283">
        <v>25</v>
      </c>
      <c r="Z283">
        <f>IF(H_A[[#This Row],[Attrition]]="Yes",1,0)</f>
        <v>0</v>
      </c>
      <c r="AA283" t="str">
        <f>IF(H_A[[#This Row],[Age]]&lt;30,"Young",IF(H_A[[#This Row],[Age]]&lt;45,"Mid","Senior"))</f>
        <v>Mid</v>
      </c>
      <c r="AB283" t="str">
        <f>IF(H_A[[#This Row],[MonthlyIncome]]&lt;5000,"Low",IF(H_A[[#This Row],[MonthlyIncome]]&lt;10000,"Medium","High"))</f>
        <v>Low</v>
      </c>
      <c r="AC283" t="str">
        <f>IF(H_A[[#This Row],[YearsAtCompany]]&lt;3,"Early",IF(H_A[[#This Row],[YearsAtCompany]]&lt;7,"Mid","Long"))</f>
        <v>Long</v>
      </c>
      <c r="AD283" t="str">
        <f>IF(H_A[[#This Row],[PercentSalaryHike]]&lt;13,"Low",IF(H_A[[#This Row],[PercentSalaryHike]]&lt;18,"Medium","High"))</f>
        <v>High</v>
      </c>
    </row>
    <row r="284" spans="1:30" x14ac:dyDescent="0.3">
      <c r="A284">
        <v>29</v>
      </c>
      <c r="B284">
        <v>388</v>
      </c>
      <c r="C284" t="s">
        <v>36</v>
      </c>
      <c r="D284" t="s">
        <v>31</v>
      </c>
      <c r="E284">
        <v>2</v>
      </c>
      <c r="F284">
        <v>2</v>
      </c>
      <c r="G284" t="s">
        <v>32</v>
      </c>
      <c r="H284">
        <v>2</v>
      </c>
      <c r="I284" t="s">
        <v>38</v>
      </c>
      <c r="J284">
        <v>3</v>
      </c>
      <c r="K284">
        <v>2</v>
      </c>
      <c r="L284" t="s">
        <v>34</v>
      </c>
      <c r="M284">
        <v>4</v>
      </c>
      <c r="N284" t="s">
        <v>35</v>
      </c>
      <c r="O284">
        <v>4554</v>
      </c>
      <c r="P284">
        <v>1</v>
      </c>
      <c r="Q284" t="s">
        <v>36</v>
      </c>
      <c r="R284">
        <v>1</v>
      </c>
      <c r="S284">
        <v>10</v>
      </c>
      <c r="T284">
        <v>2</v>
      </c>
      <c r="U284">
        <v>10</v>
      </c>
      <c r="V284">
        <v>7</v>
      </c>
      <c r="W284">
        <v>0</v>
      </c>
      <c r="X284">
        <v>9</v>
      </c>
      <c r="Y284">
        <v>18</v>
      </c>
      <c r="Z284">
        <f>IF(H_A[[#This Row],[Attrition]]="Yes",1,0)</f>
        <v>0</v>
      </c>
      <c r="AA284" t="str">
        <f>IF(H_A[[#This Row],[Age]]&lt;30,"Young",IF(H_A[[#This Row],[Age]]&lt;45,"Mid","Senior"))</f>
        <v>Young</v>
      </c>
      <c r="AB284" t="str">
        <f>IF(H_A[[#This Row],[MonthlyIncome]]&lt;5000,"Low",IF(H_A[[#This Row],[MonthlyIncome]]&lt;10000,"Medium","High"))</f>
        <v>Low</v>
      </c>
      <c r="AC284" t="str">
        <f>IF(H_A[[#This Row],[YearsAtCompany]]&lt;3,"Early",IF(H_A[[#This Row],[YearsAtCompany]]&lt;7,"Mid","Long"))</f>
        <v>Long</v>
      </c>
      <c r="AD284" t="str">
        <f>IF(H_A[[#This Row],[PercentSalaryHike]]&lt;13,"Low",IF(H_A[[#This Row],[PercentSalaryHike]]&lt;18,"Medium","High"))</f>
        <v>High</v>
      </c>
    </row>
    <row r="285" spans="1:30" x14ac:dyDescent="0.3">
      <c r="A285">
        <v>55</v>
      </c>
      <c r="B285">
        <v>389</v>
      </c>
      <c r="C285" t="s">
        <v>36</v>
      </c>
      <c r="D285" t="s">
        <v>37</v>
      </c>
      <c r="E285">
        <v>20</v>
      </c>
      <c r="F285">
        <v>2</v>
      </c>
      <c r="G285" t="s">
        <v>51</v>
      </c>
      <c r="H285">
        <v>2</v>
      </c>
      <c r="I285" t="s">
        <v>38</v>
      </c>
      <c r="J285">
        <v>3</v>
      </c>
      <c r="K285">
        <v>2</v>
      </c>
      <c r="L285" t="s">
        <v>42</v>
      </c>
      <c r="M285">
        <v>4</v>
      </c>
      <c r="N285" t="s">
        <v>40</v>
      </c>
      <c r="O285">
        <v>5415</v>
      </c>
      <c r="P285">
        <v>3</v>
      </c>
      <c r="Q285" t="s">
        <v>30</v>
      </c>
      <c r="R285">
        <v>4</v>
      </c>
      <c r="S285">
        <v>12</v>
      </c>
      <c r="T285">
        <v>3</v>
      </c>
      <c r="U285">
        <v>10</v>
      </c>
      <c r="V285">
        <v>7</v>
      </c>
      <c r="W285">
        <v>0</v>
      </c>
      <c r="X285">
        <v>8</v>
      </c>
      <c r="Y285">
        <v>19</v>
      </c>
      <c r="Z285">
        <f>IF(H_A[[#This Row],[Attrition]]="Yes",1,0)</f>
        <v>0</v>
      </c>
      <c r="AA285" t="str">
        <f>IF(H_A[[#This Row],[Age]]&lt;30,"Young",IF(H_A[[#This Row],[Age]]&lt;45,"Mid","Senior"))</f>
        <v>Senior</v>
      </c>
      <c r="AB285" t="str">
        <f>IF(H_A[[#This Row],[MonthlyIncome]]&lt;5000,"Low",IF(H_A[[#This Row],[MonthlyIncome]]&lt;10000,"Medium","High"))</f>
        <v>Medium</v>
      </c>
      <c r="AC285" t="str">
        <f>IF(H_A[[#This Row],[YearsAtCompany]]&lt;3,"Early",IF(H_A[[#This Row],[YearsAtCompany]]&lt;7,"Mid","Long"))</f>
        <v>Long</v>
      </c>
      <c r="AD285" t="str">
        <f>IF(H_A[[#This Row],[PercentSalaryHike]]&lt;13,"Low",IF(H_A[[#This Row],[PercentSalaryHike]]&lt;18,"Medium","High"))</f>
        <v>High</v>
      </c>
    </row>
    <row r="286" spans="1:30" x14ac:dyDescent="0.3">
      <c r="A286">
        <v>26</v>
      </c>
      <c r="B286">
        <v>390</v>
      </c>
      <c r="C286" t="s">
        <v>36</v>
      </c>
      <c r="D286" t="s">
        <v>37</v>
      </c>
      <c r="E286">
        <v>11</v>
      </c>
      <c r="F286">
        <v>2</v>
      </c>
      <c r="G286" t="s">
        <v>43</v>
      </c>
      <c r="H286">
        <v>1</v>
      </c>
      <c r="I286" t="s">
        <v>38</v>
      </c>
      <c r="J286">
        <v>3</v>
      </c>
      <c r="K286">
        <v>2</v>
      </c>
      <c r="L286" t="s">
        <v>46</v>
      </c>
      <c r="M286">
        <v>1</v>
      </c>
      <c r="N286" t="s">
        <v>40</v>
      </c>
      <c r="O286">
        <v>4741</v>
      </c>
      <c r="P286">
        <v>1</v>
      </c>
      <c r="Q286" t="s">
        <v>30</v>
      </c>
      <c r="R286">
        <v>3</v>
      </c>
      <c r="S286">
        <v>5</v>
      </c>
      <c r="T286">
        <v>3</v>
      </c>
      <c r="U286">
        <v>5</v>
      </c>
      <c r="V286">
        <v>3</v>
      </c>
      <c r="W286">
        <v>3</v>
      </c>
      <c r="X286">
        <v>3</v>
      </c>
      <c r="Y286">
        <v>13</v>
      </c>
      <c r="Z286">
        <f>IF(H_A[[#This Row],[Attrition]]="Yes",1,0)</f>
        <v>0</v>
      </c>
      <c r="AA286" t="str">
        <f>IF(H_A[[#This Row],[Age]]&lt;30,"Young",IF(H_A[[#This Row],[Age]]&lt;45,"Mid","Senior"))</f>
        <v>Young</v>
      </c>
      <c r="AB286" t="str">
        <f>IF(H_A[[#This Row],[MonthlyIncome]]&lt;5000,"Low",IF(H_A[[#This Row],[MonthlyIncome]]&lt;10000,"Medium","High"))</f>
        <v>Low</v>
      </c>
      <c r="AC286" t="str">
        <f>IF(H_A[[#This Row],[YearsAtCompany]]&lt;3,"Early",IF(H_A[[#This Row],[YearsAtCompany]]&lt;7,"Mid","Long"))</f>
        <v>Mid</v>
      </c>
      <c r="AD286" t="str">
        <f>IF(H_A[[#This Row],[PercentSalaryHike]]&lt;13,"Low",IF(H_A[[#This Row],[PercentSalaryHike]]&lt;18,"Medium","High"))</f>
        <v>Medium</v>
      </c>
    </row>
    <row r="287" spans="1:30" x14ac:dyDescent="0.3">
      <c r="A287">
        <v>37</v>
      </c>
      <c r="B287">
        <v>391</v>
      </c>
      <c r="C287" t="s">
        <v>36</v>
      </c>
      <c r="D287" t="s">
        <v>37</v>
      </c>
      <c r="E287">
        <v>1</v>
      </c>
      <c r="F287">
        <v>3</v>
      </c>
      <c r="G287" t="s">
        <v>32</v>
      </c>
      <c r="H287">
        <v>4</v>
      </c>
      <c r="I287" t="s">
        <v>33</v>
      </c>
      <c r="J287">
        <v>3</v>
      </c>
      <c r="K287">
        <v>1</v>
      </c>
      <c r="L287" t="s">
        <v>39</v>
      </c>
      <c r="M287">
        <v>4</v>
      </c>
      <c r="N287" t="s">
        <v>35</v>
      </c>
      <c r="O287">
        <v>2115</v>
      </c>
      <c r="P287">
        <v>1</v>
      </c>
      <c r="Q287" t="s">
        <v>36</v>
      </c>
      <c r="R287">
        <v>2</v>
      </c>
      <c r="S287">
        <v>17</v>
      </c>
      <c r="T287">
        <v>3</v>
      </c>
      <c r="U287">
        <v>17</v>
      </c>
      <c r="V287">
        <v>12</v>
      </c>
      <c r="W287">
        <v>5</v>
      </c>
      <c r="X287">
        <v>7</v>
      </c>
      <c r="Y287">
        <v>12</v>
      </c>
      <c r="Z287">
        <f>IF(H_A[[#This Row],[Attrition]]="Yes",1,0)</f>
        <v>0</v>
      </c>
      <c r="AA287" t="str">
        <f>IF(H_A[[#This Row],[Age]]&lt;30,"Young",IF(H_A[[#This Row],[Age]]&lt;45,"Mid","Senior"))</f>
        <v>Mid</v>
      </c>
      <c r="AB287" t="str">
        <f>IF(H_A[[#This Row],[MonthlyIncome]]&lt;5000,"Low",IF(H_A[[#This Row],[MonthlyIncome]]&lt;10000,"Medium","High"))</f>
        <v>Low</v>
      </c>
      <c r="AC287" t="str">
        <f>IF(H_A[[#This Row],[YearsAtCompany]]&lt;3,"Early",IF(H_A[[#This Row],[YearsAtCompany]]&lt;7,"Mid","Long"))</f>
        <v>Long</v>
      </c>
      <c r="AD287" t="str">
        <f>IF(H_A[[#This Row],[PercentSalaryHike]]&lt;13,"Low",IF(H_A[[#This Row],[PercentSalaryHike]]&lt;18,"Medium","High"))</f>
        <v>Low</v>
      </c>
    </row>
    <row r="288" spans="1:30" x14ac:dyDescent="0.3">
      <c r="A288">
        <v>44</v>
      </c>
      <c r="B288">
        <v>392</v>
      </c>
      <c r="C288" t="s">
        <v>30</v>
      </c>
      <c r="D288" t="s">
        <v>37</v>
      </c>
      <c r="E288">
        <v>24</v>
      </c>
      <c r="F288">
        <v>3</v>
      </c>
      <c r="G288" t="s">
        <v>32</v>
      </c>
      <c r="H288">
        <v>4</v>
      </c>
      <c r="I288" t="s">
        <v>38</v>
      </c>
      <c r="J288">
        <v>3</v>
      </c>
      <c r="K288">
        <v>1</v>
      </c>
      <c r="L288" t="s">
        <v>42</v>
      </c>
      <c r="M288">
        <v>3</v>
      </c>
      <c r="N288" t="s">
        <v>44</v>
      </c>
      <c r="O288">
        <v>3161</v>
      </c>
      <c r="P288">
        <v>3</v>
      </c>
      <c r="Q288" t="s">
        <v>30</v>
      </c>
      <c r="R288">
        <v>4</v>
      </c>
      <c r="S288">
        <v>19</v>
      </c>
      <c r="T288">
        <v>1</v>
      </c>
      <c r="U288">
        <v>1</v>
      </c>
      <c r="V288">
        <v>0</v>
      </c>
      <c r="W288">
        <v>0</v>
      </c>
      <c r="X288">
        <v>0</v>
      </c>
      <c r="Y288">
        <v>22</v>
      </c>
      <c r="Z288">
        <f>IF(H_A[[#This Row],[Attrition]]="Yes",1,0)</f>
        <v>1</v>
      </c>
      <c r="AA288" t="str">
        <f>IF(H_A[[#This Row],[Age]]&lt;30,"Young",IF(H_A[[#This Row],[Age]]&lt;45,"Mid","Senior"))</f>
        <v>Mid</v>
      </c>
      <c r="AB288" t="str">
        <f>IF(H_A[[#This Row],[MonthlyIncome]]&lt;5000,"Low",IF(H_A[[#This Row],[MonthlyIncome]]&lt;10000,"Medium","High"))</f>
        <v>Low</v>
      </c>
      <c r="AC288" t="str">
        <f>IF(H_A[[#This Row],[YearsAtCompany]]&lt;3,"Early",IF(H_A[[#This Row],[YearsAtCompany]]&lt;7,"Mid","Long"))</f>
        <v>Early</v>
      </c>
      <c r="AD288" t="str">
        <f>IF(H_A[[#This Row],[PercentSalaryHike]]&lt;13,"Low",IF(H_A[[#This Row],[PercentSalaryHike]]&lt;18,"Medium","High"))</f>
        <v>High</v>
      </c>
    </row>
    <row r="289" spans="1:30" x14ac:dyDescent="0.3">
      <c r="A289">
        <v>38</v>
      </c>
      <c r="B289">
        <v>393</v>
      </c>
      <c r="C289" t="s">
        <v>36</v>
      </c>
      <c r="D289" t="s">
        <v>37</v>
      </c>
      <c r="E289">
        <v>23</v>
      </c>
      <c r="F289">
        <v>4</v>
      </c>
      <c r="G289" t="s">
        <v>32</v>
      </c>
      <c r="H289">
        <v>4</v>
      </c>
      <c r="I289" t="s">
        <v>38</v>
      </c>
      <c r="J289">
        <v>3</v>
      </c>
      <c r="K289">
        <v>2</v>
      </c>
      <c r="L289" t="s">
        <v>46</v>
      </c>
      <c r="M289">
        <v>4</v>
      </c>
      <c r="N289" t="s">
        <v>44</v>
      </c>
      <c r="O289">
        <v>5745</v>
      </c>
      <c r="P289">
        <v>9</v>
      </c>
      <c r="Q289" t="s">
        <v>36</v>
      </c>
      <c r="R289">
        <v>2</v>
      </c>
      <c r="S289">
        <v>10</v>
      </c>
      <c r="T289">
        <v>3</v>
      </c>
      <c r="U289">
        <v>2</v>
      </c>
      <c r="V289">
        <v>2</v>
      </c>
      <c r="W289">
        <v>1</v>
      </c>
      <c r="X289">
        <v>2</v>
      </c>
      <c r="Y289">
        <v>14</v>
      </c>
      <c r="Z289">
        <f>IF(H_A[[#This Row],[Attrition]]="Yes",1,0)</f>
        <v>0</v>
      </c>
      <c r="AA289" t="str">
        <f>IF(H_A[[#This Row],[Age]]&lt;30,"Young",IF(H_A[[#This Row],[Age]]&lt;45,"Mid","Senior"))</f>
        <v>Mid</v>
      </c>
      <c r="AB289" t="str">
        <f>IF(H_A[[#This Row],[MonthlyIncome]]&lt;5000,"Low",IF(H_A[[#This Row],[MonthlyIncome]]&lt;10000,"Medium","High"))</f>
        <v>Medium</v>
      </c>
      <c r="AC289" t="str">
        <f>IF(H_A[[#This Row],[YearsAtCompany]]&lt;3,"Early",IF(H_A[[#This Row],[YearsAtCompany]]&lt;7,"Mid","Long"))</f>
        <v>Early</v>
      </c>
      <c r="AD289" t="str">
        <f>IF(H_A[[#This Row],[PercentSalaryHike]]&lt;13,"Low",IF(H_A[[#This Row],[PercentSalaryHike]]&lt;18,"Medium","High"))</f>
        <v>Medium</v>
      </c>
    </row>
    <row r="290" spans="1:30" x14ac:dyDescent="0.3">
      <c r="A290">
        <v>26</v>
      </c>
      <c r="B290">
        <v>394</v>
      </c>
      <c r="C290" t="s">
        <v>30</v>
      </c>
      <c r="D290" t="s">
        <v>37</v>
      </c>
      <c r="E290">
        <v>16</v>
      </c>
      <c r="F290">
        <v>4</v>
      </c>
      <c r="G290" t="s">
        <v>43</v>
      </c>
      <c r="H290">
        <v>1</v>
      </c>
      <c r="I290" t="s">
        <v>38</v>
      </c>
      <c r="J290">
        <v>3</v>
      </c>
      <c r="K290">
        <v>1</v>
      </c>
      <c r="L290" t="s">
        <v>42</v>
      </c>
      <c r="M290">
        <v>2</v>
      </c>
      <c r="N290" t="s">
        <v>44</v>
      </c>
      <c r="O290">
        <v>2373</v>
      </c>
      <c r="P290">
        <v>2</v>
      </c>
      <c r="Q290" t="s">
        <v>30</v>
      </c>
      <c r="R290">
        <v>4</v>
      </c>
      <c r="S290">
        <v>5</v>
      </c>
      <c r="T290">
        <v>3</v>
      </c>
      <c r="U290">
        <v>3</v>
      </c>
      <c r="V290">
        <v>2</v>
      </c>
      <c r="W290">
        <v>0</v>
      </c>
      <c r="X290">
        <v>2</v>
      </c>
      <c r="Y290">
        <v>13</v>
      </c>
      <c r="Z290">
        <f>IF(H_A[[#This Row],[Attrition]]="Yes",1,0)</f>
        <v>1</v>
      </c>
      <c r="AA290" t="str">
        <f>IF(H_A[[#This Row],[Age]]&lt;30,"Young",IF(H_A[[#This Row],[Age]]&lt;45,"Mid","Senior"))</f>
        <v>Young</v>
      </c>
      <c r="AB290" t="str">
        <f>IF(H_A[[#This Row],[MonthlyIncome]]&lt;5000,"Low",IF(H_A[[#This Row],[MonthlyIncome]]&lt;10000,"Medium","High"))</f>
        <v>Low</v>
      </c>
      <c r="AC290" t="str">
        <f>IF(H_A[[#This Row],[YearsAtCompany]]&lt;3,"Early",IF(H_A[[#This Row],[YearsAtCompany]]&lt;7,"Mid","Long"))</f>
        <v>Mid</v>
      </c>
      <c r="AD290" t="str">
        <f>IF(H_A[[#This Row],[PercentSalaryHike]]&lt;13,"Low",IF(H_A[[#This Row],[PercentSalaryHike]]&lt;18,"Medium","High"))</f>
        <v>Medium</v>
      </c>
    </row>
    <row r="291" spans="1:30" x14ac:dyDescent="0.3">
      <c r="A291">
        <v>28</v>
      </c>
      <c r="B291">
        <v>395</v>
      </c>
      <c r="C291" t="s">
        <v>36</v>
      </c>
      <c r="D291" t="s">
        <v>37</v>
      </c>
      <c r="E291">
        <v>8</v>
      </c>
      <c r="F291">
        <v>2</v>
      </c>
      <c r="G291" t="s">
        <v>32</v>
      </c>
      <c r="H291">
        <v>4</v>
      </c>
      <c r="I291" t="s">
        <v>33</v>
      </c>
      <c r="J291">
        <v>3</v>
      </c>
      <c r="K291">
        <v>1</v>
      </c>
      <c r="L291" t="s">
        <v>39</v>
      </c>
      <c r="M291">
        <v>4</v>
      </c>
      <c r="N291" t="s">
        <v>35</v>
      </c>
      <c r="O291">
        <v>3310</v>
      </c>
      <c r="P291">
        <v>1</v>
      </c>
      <c r="Q291" t="s">
        <v>36</v>
      </c>
      <c r="R291">
        <v>4</v>
      </c>
      <c r="S291">
        <v>5</v>
      </c>
      <c r="T291">
        <v>3</v>
      </c>
      <c r="U291">
        <v>5</v>
      </c>
      <c r="V291">
        <v>3</v>
      </c>
      <c r="W291">
        <v>0</v>
      </c>
      <c r="X291">
        <v>2</v>
      </c>
      <c r="Y291">
        <v>21</v>
      </c>
      <c r="Z291">
        <f>IF(H_A[[#This Row],[Attrition]]="Yes",1,0)</f>
        <v>0</v>
      </c>
      <c r="AA291" t="str">
        <f>IF(H_A[[#This Row],[Age]]&lt;30,"Young",IF(H_A[[#This Row],[Age]]&lt;45,"Mid","Senior"))</f>
        <v>Young</v>
      </c>
      <c r="AB291" t="str">
        <f>IF(H_A[[#This Row],[MonthlyIncome]]&lt;5000,"Low",IF(H_A[[#This Row],[MonthlyIncome]]&lt;10000,"Medium","High"))</f>
        <v>Low</v>
      </c>
      <c r="AC291" t="str">
        <f>IF(H_A[[#This Row],[YearsAtCompany]]&lt;3,"Early",IF(H_A[[#This Row],[YearsAtCompany]]&lt;7,"Mid","Long"))</f>
        <v>Mid</v>
      </c>
      <c r="AD291" t="str">
        <f>IF(H_A[[#This Row],[PercentSalaryHike]]&lt;13,"Low",IF(H_A[[#This Row],[PercentSalaryHike]]&lt;18,"Medium","High"))</f>
        <v>High</v>
      </c>
    </row>
    <row r="292" spans="1:30" x14ac:dyDescent="0.3">
      <c r="A292">
        <v>49</v>
      </c>
      <c r="B292">
        <v>396</v>
      </c>
      <c r="C292" t="s">
        <v>36</v>
      </c>
      <c r="D292" t="s">
        <v>37</v>
      </c>
      <c r="E292">
        <v>10</v>
      </c>
      <c r="F292">
        <v>4</v>
      </c>
      <c r="G292" t="s">
        <v>32</v>
      </c>
      <c r="H292">
        <v>3</v>
      </c>
      <c r="I292" t="s">
        <v>33</v>
      </c>
      <c r="J292">
        <v>3</v>
      </c>
      <c r="K292">
        <v>5</v>
      </c>
      <c r="L292" t="s">
        <v>49</v>
      </c>
      <c r="M292">
        <v>1</v>
      </c>
      <c r="N292" t="s">
        <v>35</v>
      </c>
      <c r="O292">
        <v>18665</v>
      </c>
      <c r="P292">
        <v>9</v>
      </c>
      <c r="Q292" t="s">
        <v>30</v>
      </c>
      <c r="R292">
        <v>4</v>
      </c>
      <c r="S292">
        <v>22</v>
      </c>
      <c r="T292">
        <v>3</v>
      </c>
      <c r="U292">
        <v>3</v>
      </c>
      <c r="V292">
        <v>2</v>
      </c>
      <c r="W292">
        <v>1</v>
      </c>
      <c r="X292">
        <v>2</v>
      </c>
      <c r="Y292">
        <v>11</v>
      </c>
      <c r="Z292">
        <f>IF(H_A[[#This Row],[Attrition]]="Yes",1,0)</f>
        <v>0</v>
      </c>
      <c r="AA292" t="str">
        <f>IF(H_A[[#This Row],[Age]]&lt;30,"Young",IF(H_A[[#This Row],[Age]]&lt;45,"Mid","Senior"))</f>
        <v>Senior</v>
      </c>
      <c r="AB292" t="str">
        <f>IF(H_A[[#This Row],[MonthlyIncome]]&lt;5000,"Low",IF(H_A[[#This Row],[MonthlyIncome]]&lt;10000,"Medium","High"))</f>
        <v>High</v>
      </c>
      <c r="AC292" t="str">
        <f>IF(H_A[[#This Row],[YearsAtCompany]]&lt;3,"Early",IF(H_A[[#This Row],[YearsAtCompany]]&lt;7,"Mid","Long"))</f>
        <v>Mid</v>
      </c>
      <c r="AD292" t="str">
        <f>IF(H_A[[#This Row],[PercentSalaryHike]]&lt;13,"Low",IF(H_A[[#This Row],[PercentSalaryHike]]&lt;18,"Medium","High"))</f>
        <v>Low</v>
      </c>
    </row>
    <row r="293" spans="1:30" x14ac:dyDescent="0.3">
      <c r="A293">
        <v>36</v>
      </c>
      <c r="B293">
        <v>397</v>
      </c>
      <c r="C293" t="s">
        <v>36</v>
      </c>
      <c r="D293" t="s">
        <v>37</v>
      </c>
      <c r="E293">
        <v>3</v>
      </c>
      <c r="F293">
        <v>3</v>
      </c>
      <c r="G293" t="s">
        <v>51</v>
      </c>
      <c r="H293">
        <v>3</v>
      </c>
      <c r="I293" t="s">
        <v>38</v>
      </c>
      <c r="J293">
        <v>3</v>
      </c>
      <c r="K293">
        <v>2</v>
      </c>
      <c r="L293" t="s">
        <v>39</v>
      </c>
      <c r="M293">
        <v>2</v>
      </c>
      <c r="N293" t="s">
        <v>35</v>
      </c>
      <c r="O293">
        <v>4485</v>
      </c>
      <c r="P293">
        <v>4</v>
      </c>
      <c r="Q293" t="s">
        <v>36</v>
      </c>
      <c r="R293">
        <v>4</v>
      </c>
      <c r="S293">
        <v>10</v>
      </c>
      <c r="T293">
        <v>3</v>
      </c>
      <c r="U293">
        <v>8</v>
      </c>
      <c r="V293">
        <v>0</v>
      </c>
      <c r="W293">
        <v>7</v>
      </c>
      <c r="X293">
        <v>7</v>
      </c>
      <c r="Y293">
        <v>12</v>
      </c>
      <c r="Z293">
        <f>IF(H_A[[#This Row],[Attrition]]="Yes",1,0)</f>
        <v>0</v>
      </c>
      <c r="AA293" t="str">
        <f>IF(H_A[[#This Row],[Age]]&lt;30,"Young",IF(H_A[[#This Row],[Age]]&lt;45,"Mid","Senior"))</f>
        <v>Mid</v>
      </c>
      <c r="AB293" t="str">
        <f>IF(H_A[[#This Row],[MonthlyIncome]]&lt;5000,"Low",IF(H_A[[#This Row],[MonthlyIncome]]&lt;10000,"Medium","High"))</f>
        <v>Low</v>
      </c>
      <c r="AC293" t="str">
        <f>IF(H_A[[#This Row],[YearsAtCompany]]&lt;3,"Early",IF(H_A[[#This Row],[YearsAtCompany]]&lt;7,"Mid","Long"))</f>
        <v>Long</v>
      </c>
      <c r="AD293" t="str">
        <f>IF(H_A[[#This Row],[PercentSalaryHike]]&lt;13,"Low",IF(H_A[[#This Row],[PercentSalaryHike]]&lt;18,"Medium","High"))</f>
        <v>Low</v>
      </c>
    </row>
    <row r="294" spans="1:30" x14ac:dyDescent="0.3">
      <c r="A294">
        <v>31</v>
      </c>
      <c r="B294">
        <v>399</v>
      </c>
      <c r="C294" t="s">
        <v>36</v>
      </c>
      <c r="D294" t="s">
        <v>31</v>
      </c>
      <c r="E294">
        <v>5</v>
      </c>
      <c r="F294">
        <v>3</v>
      </c>
      <c r="G294" t="s">
        <v>50</v>
      </c>
      <c r="H294">
        <v>4</v>
      </c>
      <c r="I294" t="s">
        <v>33</v>
      </c>
      <c r="J294">
        <v>3</v>
      </c>
      <c r="K294">
        <v>1</v>
      </c>
      <c r="L294" t="s">
        <v>48</v>
      </c>
      <c r="M294">
        <v>2</v>
      </c>
      <c r="N294" t="s">
        <v>44</v>
      </c>
      <c r="O294">
        <v>2789</v>
      </c>
      <c r="P294">
        <v>1</v>
      </c>
      <c r="Q294" t="s">
        <v>36</v>
      </c>
      <c r="R294">
        <v>3</v>
      </c>
      <c r="S294">
        <v>2</v>
      </c>
      <c r="T294">
        <v>2</v>
      </c>
      <c r="U294">
        <v>2</v>
      </c>
      <c r="V294">
        <v>2</v>
      </c>
      <c r="W294">
        <v>2</v>
      </c>
      <c r="X294">
        <v>2</v>
      </c>
      <c r="Y294">
        <v>11</v>
      </c>
      <c r="Z294">
        <f>IF(H_A[[#This Row],[Attrition]]="Yes",1,0)</f>
        <v>0</v>
      </c>
      <c r="AA294" t="str">
        <f>IF(H_A[[#This Row],[Age]]&lt;30,"Young",IF(H_A[[#This Row],[Age]]&lt;45,"Mid","Senior"))</f>
        <v>Mid</v>
      </c>
      <c r="AB294" t="str">
        <f>IF(H_A[[#This Row],[MonthlyIncome]]&lt;5000,"Low",IF(H_A[[#This Row],[MonthlyIncome]]&lt;10000,"Medium","High"))</f>
        <v>Low</v>
      </c>
      <c r="AC294" t="str">
        <f>IF(H_A[[#This Row],[YearsAtCompany]]&lt;3,"Early",IF(H_A[[#This Row],[YearsAtCompany]]&lt;7,"Mid","Long"))</f>
        <v>Early</v>
      </c>
      <c r="AD294" t="str">
        <f>IF(H_A[[#This Row],[PercentSalaryHike]]&lt;13,"Low",IF(H_A[[#This Row],[PercentSalaryHike]]&lt;18,"Medium","High"))</f>
        <v>Low</v>
      </c>
    </row>
    <row r="295" spans="1:30" x14ac:dyDescent="0.3">
      <c r="A295">
        <v>26</v>
      </c>
      <c r="B295">
        <v>401</v>
      </c>
      <c r="C295" t="s">
        <v>30</v>
      </c>
      <c r="D295" t="s">
        <v>31</v>
      </c>
      <c r="E295">
        <v>4</v>
      </c>
      <c r="F295">
        <v>4</v>
      </c>
      <c r="G295" t="s">
        <v>50</v>
      </c>
      <c r="H295">
        <v>4</v>
      </c>
      <c r="I295" t="s">
        <v>38</v>
      </c>
      <c r="J295">
        <v>2</v>
      </c>
      <c r="K295">
        <v>2</v>
      </c>
      <c r="L295" t="s">
        <v>34</v>
      </c>
      <c r="M295">
        <v>4</v>
      </c>
      <c r="N295" t="s">
        <v>35</v>
      </c>
      <c r="O295">
        <v>5828</v>
      </c>
      <c r="P295">
        <v>1</v>
      </c>
      <c r="Q295" t="s">
        <v>30</v>
      </c>
      <c r="R295">
        <v>2</v>
      </c>
      <c r="S295">
        <v>8</v>
      </c>
      <c r="T295">
        <v>3</v>
      </c>
      <c r="U295">
        <v>8</v>
      </c>
      <c r="V295">
        <v>7</v>
      </c>
      <c r="W295">
        <v>7</v>
      </c>
      <c r="X295">
        <v>4</v>
      </c>
      <c r="Y295">
        <v>12</v>
      </c>
      <c r="Z295">
        <f>IF(H_A[[#This Row],[Attrition]]="Yes",1,0)</f>
        <v>1</v>
      </c>
      <c r="AA295" t="str">
        <f>IF(H_A[[#This Row],[Age]]&lt;30,"Young",IF(H_A[[#This Row],[Age]]&lt;45,"Mid","Senior"))</f>
        <v>Young</v>
      </c>
      <c r="AB295" t="str">
        <f>IF(H_A[[#This Row],[MonthlyIncome]]&lt;5000,"Low",IF(H_A[[#This Row],[MonthlyIncome]]&lt;10000,"Medium","High"))</f>
        <v>Medium</v>
      </c>
      <c r="AC295" t="str">
        <f>IF(H_A[[#This Row],[YearsAtCompany]]&lt;3,"Early",IF(H_A[[#This Row],[YearsAtCompany]]&lt;7,"Mid","Long"))</f>
        <v>Long</v>
      </c>
      <c r="AD295" t="str">
        <f>IF(H_A[[#This Row],[PercentSalaryHike]]&lt;13,"Low",IF(H_A[[#This Row],[PercentSalaryHike]]&lt;18,"Medium","High"))</f>
        <v>Low</v>
      </c>
    </row>
    <row r="296" spans="1:30" x14ac:dyDescent="0.3">
      <c r="A296">
        <v>37</v>
      </c>
      <c r="B296">
        <v>403</v>
      </c>
      <c r="C296" t="s">
        <v>36</v>
      </c>
      <c r="D296" t="s">
        <v>37</v>
      </c>
      <c r="E296">
        <v>9</v>
      </c>
      <c r="F296">
        <v>3</v>
      </c>
      <c r="G296" t="s">
        <v>43</v>
      </c>
      <c r="H296">
        <v>2</v>
      </c>
      <c r="I296" t="s">
        <v>38</v>
      </c>
      <c r="J296">
        <v>3</v>
      </c>
      <c r="K296">
        <v>1</v>
      </c>
      <c r="L296" t="s">
        <v>39</v>
      </c>
      <c r="M296">
        <v>4</v>
      </c>
      <c r="N296" t="s">
        <v>40</v>
      </c>
      <c r="O296">
        <v>2326</v>
      </c>
      <c r="P296">
        <v>1</v>
      </c>
      <c r="Q296" t="s">
        <v>30</v>
      </c>
      <c r="R296">
        <v>3</v>
      </c>
      <c r="S296">
        <v>4</v>
      </c>
      <c r="T296">
        <v>2</v>
      </c>
      <c r="U296">
        <v>4</v>
      </c>
      <c r="V296">
        <v>2</v>
      </c>
      <c r="W296">
        <v>1</v>
      </c>
      <c r="X296">
        <v>2</v>
      </c>
      <c r="Y296">
        <v>12</v>
      </c>
      <c r="Z296">
        <f>IF(H_A[[#This Row],[Attrition]]="Yes",1,0)</f>
        <v>0</v>
      </c>
      <c r="AA296" t="str">
        <f>IF(H_A[[#This Row],[Age]]&lt;30,"Young",IF(H_A[[#This Row],[Age]]&lt;45,"Mid","Senior"))</f>
        <v>Mid</v>
      </c>
      <c r="AB296" t="str">
        <f>IF(H_A[[#This Row],[MonthlyIncome]]&lt;5000,"Low",IF(H_A[[#This Row],[MonthlyIncome]]&lt;10000,"Medium","High"))</f>
        <v>Low</v>
      </c>
      <c r="AC296" t="str">
        <f>IF(H_A[[#This Row],[YearsAtCompany]]&lt;3,"Early",IF(H_A[[#This Row],[YearsAtCompany]]&lt;7,"Mid","Long"))</f>
        <v>Mid</v>
      </c>
      <c r="AD296" t="str">
        <f>IF(H_A[[#This Row],[PercentSalaryHike]]&lt;13,"Low",IF(H_A[[#This Row],[PercentSalaryHike]]&lt;18,"Medium","High"))</f>
        <v>Low</v>
      </c>
    </row>
    <row r="297" spans="1:30" x14ac:dyDescent="0.3">
      <c r="A297">
        <v>42</v>
      </c>
      <c r="B297">
        <v>404</v>
      </c>
      <c r="C297" t="s">
        <v>36</v>
      </c>
      <c r="D297" t="s">
        <v>31</v>
      </c>
      <c r="E297">
        <v>26</v>
      </c>
      <c r="F297">
        <v>3</v>
      </c>
      <c r="G297" t="s">
        <v>50</v>
      </c>
      <c r="H297">
        <v>3</v>
      </c>
      <c r="I297" t="s">
        <v>33</v>
      </c>
      <c r="J297">
        <v>3</v>
      </c>
      <c r="K297">
        <v>4</v>
      </c>
      <c r="L297" t="s">
        <v>34</v>
      </c>
      <c r="M297">
        <v>2</v>
      </c>
      <c r="N297" t="s">
        <v>40</v>
      </c>
      <c r="O297">
        <v>13525</v>
      </c>
      <c r="P297">
        <v>5</v>
      </c>
      <c r="Q297" t="s">
        <v>36</v>
      </c>
      <c r="R297">
        <v>4</v>
      </c>
      <c r="S297">
        <v>23</v>
      </c>
      <c r="T297">
        <v>4</v>
      </c>
      <c r="U297">
        <v>20</v>
      </c>
      <c r="V297">
        <v>4</v>
      </c>
      <c r="W297">
        <v>4</v>
      </c>
      <c r="X297">
        <v>8</v>
      </c>
      <c r="Y297">
        <v>14</v>
      </c>
      <c r="Z297">
        <f>IF(H_A[[#This Row],[Attrition]]="Yes",1,0)</f>
        <v>0</v>
      </c>
      <c r="AA297" t="str">
        <f>IF(H_A[[#This Row],[Age]]&lt;30,"Young",IF(H_A[[#This Row],[Age]]&lt;45,"Mid","Senior"))</f>
        <v>Mid</v>
      </c>
      <c r="AB297" t="str">
        <f>IF(H_A[[#This Row],[MonthlyIncome]]&lt;5000,"Low",IF(H_A[[#This Row],[MonthlyIncome]]&lt;10000,"Medium","High"))</f>
        <v>High</v>
      </c>
      <c r="AC297" t="str">
        <f>IF(H_A[[#This Row],[YearsAtCompany]]&lt;3,"Early",IF(H_A[[#This Row],[YearsAtCompany]]&lt;7,"Mid","Long"))</f>
        <v>Long</v>
      </c>
      <c r="AD297" t="str">
        <f>IF(H_A[[#This Row],[PercentSalaryHike]]&lt;13,"Low",IF(H_A[[#This Row],[PercentSalaryHike]]&lt;18,"Medium","High"))</f>
        <v>Medium</v>
      </c>
    </row>
    <row r="298" spans="1:30" x14ac:dyDescent="0.3">
      <c r="A298">
        <v>18</v>
      </c>
      <c r="B298">
        <v>405</v>
      </c>
      <c r="C298" t="s">
        <v>30</v>
      </c>
      <c r="D298" t="s">
        <v>37</v>
      </c>
      <c r="E298">
        <v>3</v>
      </c>
      <c r="F298">
        <v>3</v>
      </c>
      <c r="G298" t="s">
        <v>32</v>
      </c>
      <c r="H298">
        <v>3</v>
      </c>
      <c r="I298" t="s">
        <v>38</v>
      </c>
      <c r="J298">
        <v>3</v>
      </c>
      <c r="K298">
        <v>1</v>
      </c>
      <c r="L298" t="s">
        <v>42</v>
      </c>
      <c r="M298">
        <v>3</v>
      </c>
      <c r="N298" t="s">
        <v>35</v>
      </c>
      <c r="O298">
        <v>1420</v>
      </c>
      <c r="P298">
        <v>1</v>
      </c>
      <c r="Q298" t="s">
        <v>36</v>
      </c>
      <c r="R298">
        <v>3</v>
      </c>
      <c r="S298">
        <v>0</v>
      </c>
      <c r="T298">
        <v>3</v>
      </c>
      <c r="U298">
        <v>0</v>
      </c>
      <c r="V298">
        <v>0</v>
      </c>
      <c r="W298">
        <v>0</v>
      </c>
      <c r="X298">
        <v>0</v>
      </c>
      <c r="Y298">
        <v>13</v>
      </c>
      <c r="Z298">
        <f>IF(H_A[[#This Row],[Attrition]]="Yes",1,0)</f>
        <v>1</v>
      </c>
      <c r="AA298" t="str">
        <f>IF(H_A[[#This Row],[Age]]&lt;30,"Young",IF(H_A[[#This Row],[Age]]&lt;45,"Mid","Senior"))</f>
        <v>Young</v>
      </c>
      <c r="AB298" t="str">
        <f>IF(H_A[[#This Row],[MonthlyIncome]]&lt;5000,"Low",IF(H_A[[#This Row],[MonthlyIncome]]&lt;10000,"Medium","High"))</f>
        <v>Low</v>
      </c>
      <c r="AC298" t="str">
        <f>IF(H_A[[#This Row],[YearsAtCompany]]&lt;3,"Early",IF(H_A[[#This Row],[YearsAtCompany]]&lt;7,"Mid","Long"))</f>
        <v>Early</v>
      </c>
      <c r="AD298" t="str">
        <f>IF(H_A[[#This Row],[PercentSalaryHike]]&lt;13,"Low",IF(H_A[[#This Row],[PercentSalaryHike]]&lt;18,"Medium","High"))</f>
        <v>Medium</v>
      </c>
    </row>
    <row r="299" spans="1:30" x14ac:dyDescent="0.3">
      <c r="A299">
        <v>35</v>
      </c>
      <c r="B299">
        <v>406</v>
      </c>
      <c r="C299" t="s">
        <v>36</v>
      </c>
      <c r="D299" t="s">
        <v>31</v>
      </c>
      <c r="E299">
        <v>16</v>
      </c>
      <c r="F299">
        <v>3</v>
      </c>
      <c r="G299" t="s">
        <v>50</v>
      </c>
      <c r="H299">
        <v>3</v>
      </c>
      <c r="I299" t="s">
        <v>38</v>
      </c>
      <c r="J299">
        <v>3</v>
      </c>
      <c r="K299">
        <v>3</v>
      </c>
      <c r="L299" t="s">
        <v>34</v>
      </c>
      <c r="M299">
        <v>2</v>
      </c>
      <c r="N299" t="s">
        <v>40</v>
      </c>
      <c r="O299">
        <v>8020</v>
      </c>
      <c r="P299">
        <v>0</v>
      </c>
      <c r="Q299" t="s">
        <v>36</v>
      </c>
      <c r="R299">
        <v>3</v>
      </c>
      <c r="S299">
        <v>12</v>
      </c>
      <c r="T299">
        <v>2</v>
      </c>
      <c r="U299">
        <v>11</v>
      </c>
      <c r="V299">
        <v>9</v>
      </c>
      <c r="W299">
        <v>6</v>
      </c>
      <c r="X299">
        <v>9</v>
      </c>
      <c r="Y299">
        <v>15</v>
      </c>
      <c r="Z299">
        <f>IF(H_A[[#This Row],[Attrition]]="Yes",1,0)</f>
        <v>0</v>
      </c>
      <c r="AA299" t="str">
        <f>IF(H_A[[#This Row],[Age]]&lt;30,"Young",IF(H_A[[#This Row],[Age]]&lt;45,"Mid","Senior"))</f>
        <v>Mid</v>
      </c>
      <c r="AB299" t="str">
        <f>IF(H_A[[#This Row],[MonthlyIncome]]&lt;5000,"Low",IF(H_A[[#This Row],[MonthlyIncome]]&lt;10000,"Medium","High"))</f>
        <v>Medium</v>
      </c>
      <c r="AC299" t="str">
        <f>IF(H_A[[#This Row],[YearsAtCompany]]&lt;3,"Early",IF(H_A[[#This Row],[YearsAtCompany]]&lt;7,"Mid","Long"))</f>
        <v>Long</v>
      </c>
      <c r="AD299" t="str">
        <f>IF(H_A[[#This Row],[PercentSalaryHike]]&lt;13,"Low",IF(H_A[[#This Row],[PercentSalaryHike]]&lt;18,"Medium","High"))</f>
        <v>Medium</v>
      </c>
    </row>
    <row r="300" spans="1:30" x14ac:dyDescent="0.3">
      <c r="A300">
        <v>36</v>
      </c>
      <c r="B300">
        <v>407</v>
      </c>
      <c r="C300" t="s">
        <v>36</v>
      </c>
      <c r="D300" t="s">
        <v>37</v>
      </c>
      <c r="E300">
        <v>18</v>
      </c>
      <c r="F300">
        <v>4</v>
      </c>
      <c r="G300" t="s">
        <v>32</v>
      </c>
      <c r="H300">
        <v>3</v>
      </c>
      <c r="I300" t="s">
        <v>38</v>
      </c>
      <c r="J300">
        <v>4</v>
      </c>
      <c r="K300">
        <v>1</v>
      </c>
      <c r="L300" t="s">
        <v>42</v>
      </c>
      <c r="M300">
        <v>4</v>
      </c>
      <c r="N300" t="s">
        <v>40</v>
      </c>
      <c r="O300">
        <v>3688</v>
      </c>
      <c r="P300">
        <v>4</v>
      </c>
      <c r="Q300" t="s">
        <v>36</v>
      </c>
      <c r="R300">
        <v>4</v>
      </c>
      <c r="S300">
        <v>4</v>
      </c>
      <c r="T300">
        <v>3</v>
      </c>
      <c r="U300">
        <v>1</v>
      </c>
      <c r="V300">
        <v>0</v>
      </c>
      <c r="W300">
        <v>0</v>
      </c>
      <c r="X300">
        <v>0</v>
      </c>
      <c r="Y300">
        <v>18</v>
      </c>
      <c r="Z300">
        <f>IF(H_A[[#This Row],[Attrition]]="Yes",1,0)</f>
        <v>0</v>
      </c>
      <c r="AA300" t="str">
        <f>IF(H_A[[#This Row],[Age]]&lt;30,"Young",IF(H_A[[#This Row],[Age]]&lt;45,"Mid","Senior"))</f>
        <v>Mid</v>
      </c>
      <c r="AB300" t="str">
        <f>IF(H_A[[#This Row],[MonthlyIncome]]&lt;5000,"Low",IF(H_A[[#This Row],[MonthlyIncome]]&lt;10000,"Medium","High"))</f>
        <v>Low</v>
      </c>
      <c r="AC300" t="str">
        <f>IF(H_A[[#This Row],[YearsAtCompany]]&lt;3,"Early",IF(H_A[[#This Row],[YearsAtCompany]]&lt;7,"Mid","Long"))</f>
        <v>Early</v>
      </c>
      <c r="AD300" t="str">
        <f>IF(H_A[[#This Row],[PercentSalaryHike]]&lt;13,"Low",IF(H_A[[#This Row],[PercentSalaryHike]]&lt;18,"Medium","High"))</f>
        <v>High</v>
      </c>
    </row>
    <row r="301" spans="1:30" x14ac:dyDescent="0.3">
      <c r="A301">
        <v>51</v>
      </c>
      <c r="B301">
        <v>408</v>
      </c>
      <c r="C301" t="s">
        <v>36</v>
      </c>
      <c r="D301" t="s">
        <v>37</v>
      </c>
      <c r="E301">
        <v>2</v>
      </c>
      <c r="F301">
        <v>3</v>
      </c>
      <c r="G301" t="s">
        <v>43</v>
      </c>
      <c r="H301">
        <v>4</v>
      </c>
      <c r="I301" t="s">
        <v>38</v>
      </c>
      <c r="J301">
        <v>1</v>
      </c>
      <c r="K301">
        <v>2</v>
      </c>
      <c r="L301" t="s">
        <v>45</v>
      </c>
      <c r="M301">
        <v>2</v>
      </c>
      <c r="N301" t="s">
        <v>44</v>
      </c>
      <c r="O301">
        <v>5482</v>
      </c>
      <c r="P301">
        <v>5</v>
      </c>
      <c r="Q301" t="s">
        <v>36</v>
      </c>
      <c r="R301">
        <v>4</v>
      </c>
      <c r="S301">
        <v>13</v>
      </c>
      <c r="T301">
        <v>3</v>
      </c>
      <c r="U301">
        <v>4</v>
      </c>
      <c r="V301">
        <v>1</v>
      </c>
      <c r="W301">
        <v>1</v>
      </c>
      <c r="X301">
        <v>2</v>
      </c>
      <c r="Y301">
        <v>18</v>
      </c>
      <c r="Z301">
        <f>IF(H_A[[#This Row],[Attrition]]="Yes",1,0)</f>
        <v>0</v>
      </c>
      <c r="AA301" t="str">
        <f>IF(H_A[[#This Row],[Age]]&lt;30,"Young",IF(H_A[[#This Row],[Age]]&lt;45,"Mid","Senior"))</f>
        <v>Senior</v>
      </c>
      <c r="AB301" t="str">
        <f>IF(H_A[[#This Row],[MonthlyIncome]]&lt;5000,"Low",IF(H_A[[#This Row],[MonthlyIncome]]&lt;10000,"Medium","High"))</f>
        <v>Medium</v>
      </c>
      <c r="AC301" t="str">
        <f>IF(H_A[[#This Row],[YearsAtCompany]]&lt;3,"Early",IF(H_A[[#This Row],[YearsAtCompany]]&lt;7,"Mid","Long"))</f>
        <v>Mid</v>
      </c>
      <c r="AD301" t="str">
        <f>IF(H_A[[#This Row],[PercentSalaryHike]]&lt;13,"Low",IF(H_A[[#This Row],[PercentSalaryHike]]&lt;18,"Medium","High"))</f>
        <v>High</v>
      </c>
    </row>
    <row r="302" spans="1:30" x14ac:dyDescent="0.3">
      <c r="A302">
        <v>41</v>
      </c>
      <c r="B302">
        <v>410</v>
      </c>
      <c r="C302" t="s">
        <v>36</v>
      </c>
      <c r="D302" t="s">
        <v>31</v>
      </c>
      <c r="E302">
        <v>2</v>
      </c>
      <c r="F302">
        <v>4</v>
      </c>
      <c r="G302" t="s">
        <v>32</v>
      </c>
      <c r="H302">
        <v>4</v>
      </c>
      <c r="I302" t="s">
        <v>38</v>
      </c>
      <c r="J302">
        <v>3</v>
      </c>
      <c r="K302">
        <v>4</v>
      </c>
      <c r="L302" t="s">
        <v>47</v>
      </c>
      <c r="M302">
        <v>2</v>
      </c>
      <c r="N302" t="s">
        <v>35</v>
      </c>
      <c r="O302">
        <v>16015</v>
      </c>
      <c r="P302">
        <v>1</v>
      </c>
      <c r="Q302" t="s">
        <v>36</v>
      </c>
      <c r="R302">
        <v>2</v>
      </c>
      <c r="S302">
        <v>22</v>
      </c>
      <c r="T302">
        <v>3</v>
      </c>
      <c r="U302">
        <v>22</v>
      </c>
      <c r="V302">
        <v>10</v>
      </c>
      <c r="W302">
        <v>0</v>
      </c>
      <c r="X302">
        <v>4</v>
      </c>
      <c r="Y302">
        <v>19</v>
      </c>
      <c r="Z302">
        <f>IF(H_A[[#This Row],[Attrition]]="Yes",1,0)</f>
        <v>0</v>
      </c>
      <c r="AA302" t="str">
        <f>IF(H_A[[#This Row],[Age]]&lt;30,"Young",IF(H_A[[#This Row],[Age]]&lt;45,"Mid","Senior"))</f>
        <v>Mid</v>
      </c>
      <c r="AB302" t="str">
        <f>IF(H_A[[#This Row],[MonthlyIncome]]&lt;5000,"Low",IF(H_A[[#This Row],[MonthlyIncome]]&lt;10000,"Medium","High"))</f>
        <v>High</v>
      </c>
      <c r="AC302" t="str">
        <f>IF(H_A[[#This Row],[YearsAtCompany]]&lt;3,"Early",IF(H_A[[#This Row],[YearsAtCompany]]&lt;7,"Mid","Long"))</f>
        <v>Long</v>
      </c>
      <c r="AD302" t="str">
        <f>IF(H_A[[#This Row],[PercentSalaryHike]]&lt;13,"Low",IF(H_A[[#This Row],[PercentSalaryHike]]&lt;18,"Medium","High"))</f>
        <v>High</v>
      </c>
    </row>
    <row r="303" spans="1:30" x14ac:dyDescent="0.3">
      <c r="A303">
        <v>18</v>
      </c>
      <c r="B303">
        <v>411</v>
      </c>
      <c r="C303" t="s">
        <v>36</v>
      </c>
      <c r="D303" t="s">
        <v>31</v>
      </c>
      <c r="E303">
        <v>10</v>
      </c>
      <c r="F303">
        <v>3</v>
      </c>
      <c r="G303" t="s">
        <v>43</v>
      </c>
      <c r="H303">
        <v>4</v>
      </c>
      <c r="I303" t="s">
        <v>33</v>
      </c>
      <c r="J303">
        <v>2</v>
      </c>
      <c r="K303">
        <v>1</v>
      </c>
      <c r="L303" t="s">
        <v>48</v>
      </c>
      <c r="M303">
        <v>3</v>
      </c>
      <c r="N303" t="s">
        <v>35</v>
      </c>
      <c r="O303">
        <v>1200</v>
      </c>
      <c r="P303">
        <v>1</v>
      </c>
      <c r="Q303" t="s">
        <v>36</v>
      </c>
      <c r="R303">
        <v>1</v>
      </c>
      <c r="S303">
        <v>0</v>
      </c>
      <c r="T303">
        <v>3</v>
      </c>
      <c r="U303">
        <v>0</v>
      </c>
      <c r="V303">
        <v>0</v>
      </c>
      <c r="W303">
        <v>0</v>
      </c>
      <c r="X303">
        <v>0</v>
      </c>
      <c r="Y303">
        <v>12</v>
      </c>
      <c r="Z303">
        <f>IF(H_A[[#This Row],[Attrition]]="Yes",1,0)</f>
        <v>0</v>
      </c>
      <c r="AA303" t="str">
        <f>IF(H_A[[#This Row],[Age]]&lt;30,"Young",IF(H_A[[#This Row],[Age]]&lt;45,"Mid","Senior"))</f>
        <v>Young</v>
      </c>
      <c r="AB303" t="str">
        <f>IF(H_A[[#This Row],[MonthlyIncome]]&lt;5000,"Low",IF(H_A[[#This Row],[MonthlyIncome]]&lt;10000,"Medium","High"))</f>
        <v>Low</v>
      </c>
      <c r="AC303" t="str">
        <f>IF(H_A[[#This Row],[YearsAtCompany]]&lt;3,"Early",IF(H_A[[#This Row],[YearsAtCompany]]&lt;7,"Mid","Long"))</f>
        <v>Early</v>
      </c>
      <c r="AD303" t="str">
        <f>IF(H_A[[#This Row],[PercentSalaryHike]]&lt;13,"Low",IF(H_A[[#This Row],[PercentSalaryHike]]&lt;18,"Medium","High"))</f>
        <v>Low</v>
      </c>
    </row>
    <row r="304" spans="1:30" x14ac:dyDescent="0.3">
      <c r="A304">
        <v>28</v>
      </c>
      <c r="B304">
        <v>412</v>
      </c>
      <c r="C304" t="s">
        <v>36</v>
      </c>
      <c r="D304" t="s">
        <v>37</v>
      </c>
      <c r="E304">
        <v>16</v>
      </c>
      <c r="F304">
        <v>2</v>
      </c>
      <c r="G304" t="s">
        <v>43</v>
      </c>
      <c r="H304">
        <v>2</v>
      </c>
      <c r="I304" t="s">
        <v>38</v>
      </c>
      <c r="J304">
        <v>4</v>
      </c>
      <c r="K304">
        <v>2</v>
      </c>
      <c r="L304" t="s">
        <v>46</v>
      </c>
      <c r="M304">
        <v>1</v>
      </c>
      <c r="N304" t="s">
        <v>35</v>
      </c>
      <c r="O304">
        <v>5661</v>
      </c>
      <c r="P304">
        <v>0</v>
      </c>
      <c r="Q304" t="s">
        <v>36</v>
      </c>
      <c r="R304">
        <v>3</v>
      </c>
      <c r="S304">
        <v>9</v>
      </c>
      <c r="T304">
        <v>3</v>
      </c>
      <c r="U304">
        <v>8</v>
      </c>
      <c r="V304">
        <v>3</v>
      </c>
      <c r="W304">
        <v>0</v>
      </c>
      <c r="X304">
        <v>7</v>
      </c>
      <c r="Y304">
        <v>19</v>
      </c>
      <c r="Z304">
        <f>IF(H_A[[#This Row],[Attrition]]="Yes",1,0)</f>
        <v>0</v>
      </c>
      <c r="AA304" t="str">
        <f>IF(H_A[[#This Row],[Age]]&lt;30,"Young",IF(H_A[[#This Row],[Age]]&lt;45,"Mid","Senior"))</f>
        <v>Young</v>
      </c>
      <c r="AB304" t="str">
        <f>IF(H_A[[#This Row],[MonthlyIncome]]&lt;5000,"Low",IF(H_A[[#This Row],[MonthlyIncome]]&lt;10000,"Medium","High"))</f>
        <v>Medium</v>
      </c>
      <c r="AC304" t="str">
        <f>IF(H_A[[#This Row],[YearsAtCompany]]&lt;3,"Early",IF(H_A[[#This Row],[YearsAtCompany]]&lt;7,"Mid","Long"))</f>
        <v>Long</v>
      </c>
      <c r="AD304" t="str">
        <f>IF(H_A[[#This Row],[PercentSalaryHike]]&lt;13,"Low",IF(H_A[[#This Row],[PercentSalaryHike]]&lt;18,"Medium","High"))</f>
        <v>High</v>
      </c>
    </row>
    <row r="305" spans="1:30" x14ac:dyDescent="0.3">
      <c r="A305">
        <v>31</v>
      </c>
      <c r="B305">
        <v>416</v>
      </c>
      <c r="C305" t="s">
        <v>36</v>
      </c>
      <c r="D305" t="s">
        <v>31</v>
      </c>
      <c r="E305">
        <v>7</v>
      </c>
      <c r="F305">
        <v>3</v>
      </c>
      <c r="G305" t="s">
        <v>51</v>
      </c>
      <c r="H305">
        <v>2</v>
      </c>
      <c r="I305" t="s">
        <v>38</v>
      </c>
      <c r="J305">
        <v>4</v>
      </c>
      <c r="K305">
        <v>2</v>
      </c>
      <c r="L305" t="s">
        <v>34</v>
      </c>
      <c r="M305">
        <v>4</v>
      </c>
      <c r="N305" t="s">
        <v>40</v>
      </c>
      <c r="O305">
        <v>6929</v>
      </c>
      <c r="P305">
        <v>4</v>
      </c>
      <c r="Q305" t="s">
        <v>36</v>
      </c>
      <c r="R305">
        <v>2</v>
      </c>
      <c r="S305">
        <v>10</v>
      </c>
      <c r="T305">
        <v>2</v>
      </c>
      <c r="U305">
        <v>8</v>
      </c>
      <c r="V305">
        <v>7</v>
      </c>
      <c r="W305">
        <v>7</v>
      </c>
      <c r="X305">
        <v>7</v>
      </c>
      <c r="Y305">
        <v>11</v>
      </c>
      <c r="Z305">
        <f>IF(H_A[[#This Row],[Attrition]]="Yes",1,0)</f>
        <v>0</v>
      </c>
      <c r="AA305" t="str">
        <f>IF(H_A[[#This Row],[Age]]&lt;30,"Young",IF(H_A[[#This Row],[Age]]&lt;45,"Mid","Senior"))</f>
        <v>Mid</v>
      </c>
      <c r="AB305" t="str">
        <f>IF(H_A[[#This Row],[MonthlyIncome]]&lt;5000,"Low",IF(H_A[[#This Row],[MonthlyIncome]]&lt;10000,"Medium","High"))</f>
        <v>Medium</v>
      </c>
      <c r="AC305" t="str">
        <f>IF(H_A[[#This Row],[YearsAtCompany]]&lt;3,"Early",IF(H_A[[#This Row],[YearsAtCompany]]&lt;7,"Mid","Long"))</f>
        <v>Long</v>
      </c>
      <c r="AD305" t="str">
        <f>IF(H_A[[#This Row],[PercentSalaryHike]]&lt;13,"Low",IF(H_A[[#This Row],[PercentSalaryHike]]&lt;18,"Medium","High"))</f>
        <v>Low</v>
      </c>
    </row>
    <row r="306" spans="1:30" x14ac:dyDescent="0.3">
      <c r="A306">
        <v>39</v>
      </c>
      <c r="B306">
        <v>417</v>
      </c>
      <c r="C306" t="s">
        <v>36</v>
      </c>
      <c r="D306" t="s">
        <v>37</v>
      </c>
      <c r="E306">
        <v>1</v>
      </c>
      <c r="F306">
        <v>3</v>
      </c>
      <c r="G306" t="s">
        <v>43</v>
      </c>
      <c r="H306">
        <v>3</v>
      </c>
      <c r="I306" t="s">
        <v>38</v>
      </c>
      <c r="J306">
        <v>4</v>
      </c>
      <c r="K306">
        <v>3</v>
      </c>
      <c r="L306" t="s">
        <v>46</v>
      </c>
      <c r="M306">
        <v>4</v>
      </c>
      <c r="N306" t="s">
        <v>44</v>
      </c>
      <c r="O306">
        <v>9613</v>
      </c>
      <c r="P306">
        <v>0</v>
      </c>
      <c r="Q306" t="s">
        <v>36</v>
      </c>
      <c r="R306">
        <v>1</v>
      </c>
      <c r="S306">
        <v>19</v>
      </c>
      <c r="T306">
        <v>2</v>
      </c>
      <c r="U306">
        <v>18</v>
      </c>
      <c r="V306">
        <v>10</v>
      </c>
      <c r="W306">
        <v>3</v>
      </c>
      <c r="X306">
        <v>7</v>
      </c>
      <c r="Y306">
        <v>17</v>
      </c>
      <c r="Z306">
        <f>IF(H_A[[#This Row],[Attrition]]="Yes",1,0)</f>
        <v>0</v>
      </c>
      <c r="AA306" t="str">
        <f>IF(H_A[[#This Row],[Age]]&lt;30,"Young",IF(H_A[[#This Row],[Age]]&lt;45,"Mid","Senior"))</f>
        <v>Mid</v>
      </c>
      <c r="AB306" t="str">
        <f>IF(H_A[[#This Row],[MonthlyIncome]]&lt;5000,"Low",IF(H_A[[#This Row],[MonthlyIncome]]&lt;10000,"Medium","High"))</f>
        <v>Medium</v>
      </c>
      <c r="AC306" t="str">
        <f>IF(H_A[[#This Row],[YearsAtCompany]]&lt;3,"Early",IF(H_A[[#This Row],[YearsAtCompany]]&lt;7,"Mid","Long"))</f>
        <v>Long</v>
      </c>
      <c r="AD306" t="str">
        <f>IF(H_A[[#This Row],[PercentSalaryHike]]&lt;13,"Low",IF(H_A[[#This Row],[PercentSalaryHike]]&lt;18,"Medium","High"))</f>
        <v>Medium</v>
      </c>
    </row>
    <row r="307" spans="1:30" x14ac:dyDescent="0.3">
      <c r="A307">
        <v>36</v>
      </c>
      <c r="B307">
        <v>419</v>
      </c>
      <c r="C307" t="s">
        <v>36</v>
      </c>
      <c r="D307" t="s">
        <v>37</v>
      </c>
      <c r="E307">
        <v>24</v>
      </c>
      <c r="F307">
        <v>4</v>
      </c>
      <c r="G307" t="s">
        <v>32</v>
      </c>
      <c r="H307">
        <v>2</v>
      </c>
      <c r="I307" t="s">
        <v>33</v>
      </c>
      <c r="J307">
        <v>3</v>
      </c>
      <c r="K307">
        <v>2</v>
      </c>
      <c r="L307" t="s">
        <v>42</v>
      </c>
      <c r="M307">
        <v>2</v>
      </c>
      <c r="N307" t="s">
        <v>40</v>
      </c>
      <c r="O307">
        <v>5674</v>
      </c>
      <c r="P307">
        <v>7</v>
      </c>
      <c r="Q307" t="s">
        <v>36</v>
      </c>
      <c r="R307">
        <v>3</v>
      </c>
      <c r="S307">
        <v>11</v>
      </c>
      <c r="T307">
        <v>3</v>
      </c>
      <c r="U307">
        <v>9</v>
      </c>
      <c r="V307">
        <v>8</v>
      </c>
      <c r="W307">
        <v>0</v>
      </c>
      <c r="X307">
        <v>8</v>
      </c>
      <c r="Y307">
        <v>15</v>
      </c>
      <c r="Z307">
        <f>IF(H_A[[#This Row],[Attrition]]="Yes",1,0)</f>
        <v>0</v>
      </c>
      <c r="AA307" t="str">
        <f>IF(H_A[[#This Row],[Age]]&lt;30,"Young",IF(H_A[[#This Row],[Age]]&lt;45,"Mid","Senior"))</f>
        <v>Mid</v>
      </c>
      <c r="AB307" t="str">
        <f>IF(H_A[[#This Row],[MonthlyIncome]]&lt;5000,"Low",IF(H_A[[#This Row],[MonthlyIncome]]&lt;10000,"Medium","High"))</f>
        <v>Medium</v>
      </c>
      <c r="AC307" t="str">
        <f>IF(H_A[[#This Row],[YearsAtCompany]]&lt;3,"Early",IF(H_A[[#This Row],[YearsAtCompany]]&lt;7,"Mid","Long"))</f>
        <v>Long</v>
      </c>
      <c r="AD307" t="str">
        <f>IF(H_A[[#This Row],[PercentSalaryHike]]&lt;13,"Low",IF(H_A[[#This Row],[PercentSalaryHike]]&lt;18,"Medium","High"))</f>
        <v>Medium</v>
      </c>
    </row>
    <row r="308" spans="1:30" x14ac:dyDescent="0.3">
      <c r="A308">
        <v>32</v>
      </c>
      <c r="B308">
        <v>420</v>
      </c>
      <c r="C308" t="s">
        <v>36</v>
      </c>
      <c r="D308" t="s">
        <v>31</v>
      </c>
      <c r="E308">
        <v>7</v>
      </c>
      <c r="F308">
        <v>3</v>
      </c>
      <c r="G308" t="s">
        <v>32</v>
      </c>
      <c r="H308">
        <v>4</v>
      </c>
      <c r="I308" t="s">
        <v>38</v>
      </c>
      <c r="J308">
        <v>2</v>
      </c>
      <c r="K308">
        <v>2</v>
      </c>
      <c r="L308" t="s">
        <v>34</v>
      </c>
      <c r="M308">
        <v>3</v>
      </c>
      <c r="N308" t="s">
        <v>40</v>
      </c>
      <c r="O308">
        <v>5484</v>
      </c>
      <c r="P308">
        <v>1</v>
      </c>
      <c r="Q308" t="s">
        <v>36</v>
      </c>
      <c r="R308">
        <v>3</v>
      </c>
      <c r="S308">
        <v>13</v>
      </c>
      <c r="T308">
        <v>2</v>
      </c>
      <c r="U308">
        <v>13</v>
      </c>
      <c r="V308">
        <v>8</v>
      </c>
      <c r="W308">
        <v>4</v>
      </c>
      <c r="X308">
        <v>8</v>
      </c>
      <c r="Y308">
        <v>14</v>
      </c>
      <c r="Z308">
        <f>IF(H_A[[#This Row],[Attrition]]="Yes",1,0)</f>
        <v>0</v>
      </c>
      <c r="AA308" t="str">
        <f>IF(H_A[[#This Row],[Age]]&lt;30,"Young",IF(H_A[[#This Row],[Age]]&lt;45,"Mid","Senior"))</f>
        <v>Mid</v>
      </c>
      <c r="AB308" t="str">
        <f>IF(H_A[[#This Row],[MonthlyIncome]]&lt;5000,"Low",IF(H_A[[#This Row],[MonthlyIncome]]&lt;10000,"Medium","High"))</f>
        <v>Medium</v>
      </c>
      <c r="AC308" t="str">
        <f>IF(H_A[[#This Row],[YearsAtCompany]]&lt;3,"Early",IF(H_A[[#This Row],[YearsAtCompany]]&lt;7,"Mid","Long"))</f>
        <v>Long</v>
      </c>
      <c r="AD308" t="str">
        <f>IF(H_A[[#This Row],[PercentSalaryHike]]&lt;13,"Low",IF(H_A[[#This Row],[PercentSalaryHike]]&lt;18,"Medium","High"))</f>
        <v>Medium</v>
      </c>
    </row>
    <row r="309" spans="1:30" x14ac:dyDescent="0.3">
      <c r="A309">
        <v>38</v>
      </c>
      <c r="B309">
        <v>421</v>
      </c>
      <c r="C309" t="s">
        <v>36</v>
      </c>
      <c r="D309" t="s">
        <v>37</v>
      </c>
      <c r="E309">
        <v>25</v>
      </c>
      <c r="F309">
        <v>2</v>
      </c>
      <c r="G309" t="s">
        <v>32</v>
      </c>
      <c r="H309">
        <v>1</v>
      </c>
      <c r="I309" t="s">
        <v>33</v>
      </c>
      <c r="J309">
        <v>2</v>
      </c>
      <c r="K309">
        <v>3</v>
      </c>
      <c r="L309" t="s">
        <v>49</v>
      </c>
      <c r="M309">
        <v>2</v>
      </c>
      <c r="N309" t="s">
        <v>40</v>
      </c>
      <c r="O309">
        <v>12061</v>
      </c>
      <c r="P309">
        <v>3</v>
      </c>
      <c r="Q309" t="s">
        <v>36</v>
      </c>
      <c r="R309">
        <v>3</v>
      </c>
      <c r="S309">
        <v>19</v>
      </c>
      <c r="T309">
        <v>3</v>
      </c>
      <c r="U309">
        <v>10</v>
      </c>
      <c r="V309">
        <v>8</v>
      </c>
      <c r="W309">
        <v>0</v>
      </c>
      <c r="X309">
        <v>1</v>
      </c>
      <c r="Y309">
        <v>17</v>
      </c>
      <c r="Z309">
        <f>IF(H_A[[#This Row],[Attrition]]="Yes",1,0)</f>
        <v>0</v>
      </c>
      <c r="AA309" t="str">
        <f>IF(H_A[[#This Row],[Age]]&lt;30,"Young",IF(H_A[[#This Row],[Age]]&lt;45,"Mid","Senior"))</f>
        <v>Mid</v>
      </c>
      <c r="AB309" t="str">
        <f>IF(H_A[[#This Row],[MonthlyIncome]]&lt;5000,"Low",IF(H_A[[#This Row],[MonthlyIncome]]&lt;10000,"Medium","High"))</f>
        <v>High</v>
      </c>
      <c r="AC309" t="str">
        <f>IF(H_A[[#This Row],[YearsAtCompany]]&lt;3,"Early",IF(H_A[[#This Row],[YearsAtCompany]]&lt;7,"Mid","Long"))</f>
        <v>Long</v>
      </c>
      <c r="AD309" t="str">
        <f>IF(H_A[[#This Row],[PercentSalaryHike]]&lt;13,"Low",IF(H_A[[#This Row],[PercentSalaryHike]]&lt;18,"Medium","High"))</f>
        <v>Medium</v>
      </c>
    </row>
    <row r="310" spans="1:30" x14ac:dyDescent="0.3">
      <c r="A310">
        <v>58</v>
      </c>
      <c r="B310">
        <v>422</v>
      </c>
      <c r="C310" t="s">
        <v>36</v>
      </c>
      <c r="D310" t="s">
        <v>37</v>
      </c>
      <c r="E310">
        <v>1</v>
      </c>
      <c r="F310">
        <v>4</v>
      </c>
      <c r="G310" t="s">
        <v>32</v>
      </c>
      <c r="H310">
        <v>4</v>
      </c>
      <c r="I310" t="s">
        <v>38</v>
      </c>
      <c r="J310">
        <v>1</v>
      </c>
      <c r="K310">
        <v>2</v>
      </c>
      <c r="L310" t="s">
        <v>46</v>
      </c>
      <c r="M310">
        <v>3</v>
      </c>
      <c r="N310" t="s">
        <v>44</v>
      </c>
      <c r="O310">
        <v>5660</v>
      </c>
      <c r="P310">
        <v>2</v>
      </c>
      <c r="Q310" t="s">
        <v>30</v>
      </c>
      <c r="R310">
        <v>4</v>
      </c>
      <c r="S310">
        <v>12</v>
      </c>
      <c r="T310">
        <v>3</v>
      </c>
      <c r="U310">
        <v>5</v>
      </c>
      <c r="V310">
        <v>3</v>
      </c>
      <c r="W310">
        <v>1</v>
      </c>
      <c r="X310">
        <v>2</v>
      </c>
      <c r="Y310">
        <v>13</v>
      </c>
      <c r="Z310">
        <f>IF(H_A[[#This Row],[Attrition]]="Yes",1,0)</f>
        <v>0</v>
      </c>
      <c r="AA310" t="str">
        <f>IF(H_A[[#This Row],[Age]]&lt;30,"Young",IF(H_A[[#This Row],[Age]]&lt;45,"Mid","Senior"))</f>
        <v>Senior</v>
      </c>
      <c r="AB310" t="str">
        <f>IF(H_A[[#This Row],[MonthlyIncome]]&lt;5000,"Low",IF(H_A[[#This Row],[MonthlyIncome]]&lt;10000,"Medium","High"))</f>
        <v>Medium</v>
      </c>
      <c r="AC310" t="str">
        <f>IF(H_A[[#This Row],[YearsAtCompany]]&lt;3,"Early",IF(H_A[[#This Row],[YearsAtCompany]]&lt;7,"Mid","Long"))</f>
        <v>Mid</v>
      </c>
      <c r="AD310" t="str">
        <f>IF(H_A[[#This Row],[PercentSalaryHike]]&lt;13,"Low",IF(H_A[[#This Row],[PercentSalaryHike]]&lt;18,"Medium","High"))</f>
        <v>Medium</v>
      </c>
    </row>
    <row r="311" spans="1:30" x14ac:dyDescent="0.3">
      <c r="A311">
        <v>31</v>
      </c>
      <c r="B311">
        <v>423</v>
      </c>
      <c r="C311" t="s">
        <v>36</v>
      </c>
      <c r="D311" t="s">
        <v>37</v>
      </c>
      <c r="E311">
        <v>5</v>
      </c>
      <c r="F311">
        <v>4</v>
      </c>
      <c r="G311" t="s">
        <v>51</v>
      </c>
      <c r="H311">
        <v>3</v>
      </c>
      <c r="I311" t="s">
        <v>38</v>
      </c>
      <c r="J311">
        <v>3</v>
      </c>
      <c r="K311">
        <v>1</v>
      </c>
      <c r="L311" t="s">
        <v>39</v>
      </c>
      <c r="M311">
        <v>4</v>
      </c>
      <c r="N311" t="s">
        <v>40</v>
      </c>
      <c r="O311">
        <v>4821</v>
      </c>
      <c r="P311">
        <v>0</v>
      </c>
      <c r="Q311" t="s">
        <v>30</v>
      </c>
      <c r="R311">
        <v>3</v>
      </c>
      <c r="S311">
        <v>6</v>
      </c>
      <c r="T311">
        <v>3</v>
      </c>
      <c r="U311">
        <v>5</v>
      </c>
      <c r="V311">
        <v>2</v>
      </c>
      <c r="W311">
        <v>0</v>
      </c>
      <c r="X311">
        <v>3</v>
      </c>
      <c r="Y311">
        <v>12</v>
      </c>
      <c r="Z311">
        <f>IF(H_A[[#This Row],[Attrition]]="Yes",1,0)</f>
        <v>0</v>
      </c>
      <c r="AA311" t="str">
        <f>IF(H_A[[#This Row],[Age]]&lt;30,"Young",IF(H_A[[#This Row],[Age]]&lt;45,"Mid","Senior"))</f>
        <v>Mid</v>
      </c>
      <c r="AB311" t="str">
        <f>IF(H_A[[#This Row],[MonthlyIncome]]&lt;5000,"Low",IF(H_A[[#This Row],[MonthlyIncome]]&lt;10000,"Medium","High"))</f>
        <v>Low</v>
      </c>
      <c r="AC311" t="str">
        <f>IF(H_A[[#This Row],[YearsAtCompany]]&lt;3,"Early",IF(H_A[[#This Row],[YearsAtCompany]]&lt;7,"Mid","Long"))</f>
        <v>Mid</v>
      </c>
      <c r="AD311" t="str">
        <f>IF(H_A[[#This Row],[PercentSalaryHike]]&lt;13,"Low",IF(H_A[[#This Row],[PercentSalaryHike]]&lt;18,"Medium","High"))</f>
        <v>Low</v>
      </c>
    </row>
    <row r="312" spans="1:30" x14ac:dyDescent="0.3">
      <c r="A312">
        <v>31</v>
      </c>
      <c r="B312">
        <v>424</v>
      </c>
      <c r="C312" t="s">
        <v>36</v>
      </c>
      <c r="D312" t="s">
        <v>52</v>
      </c>
      <c r="E312">
        <v>2</v>
      </c>
      <c r="F312">
        <v>3</v>
      </c>
      <c r="G312" t="s">
        <v>52</v>
      </c>
      <c r="H312">
        <v>1</v>
      </c>
      <c r="I312" t="s">
        <v>38</v>
      </c>
      <c r="J312">
        <v>2</v>
      </c>
      <c r="K312">
        <v>2</v>
      </c>
      <c r="L312" t="s">
        <v>52</v>
      </c>
      <c r="M312">
        <v>1</v>
      </c>
      <c r="N312" t="s">
        <v>40</v>
      </c>
      <c r="O312">
        <v>6410</v>
      </c>
      <c r="P312">
        <v>3</v>
      </c>
      <c r="Q312" t="s">
        <v>36</v>
      </c>
      <c r="R312">
        <v>4</v>
      </c>
      <c r="S312">
        <v>9</v>
      </c>
      <c r="T312">
        <v>3</v>
      </c>
      <c r="U312">
        <v>2</v>
      </c>
      <c r="V312">
        <v>2</v>
      </c>
      <c r="W312">
        <v>1</v>
      </c>
      <c r="X312">
        <v>0</v>
      </c>
      <c r="Y312">
        <v>12</v>
      </c>
      <c r="Z312">
        <f>IF(H_A[[#This Row],[Attrition]]="Yes",1,0)</f>
        <v>0</v>
      </c>
      <c r="AA312" t="str">
        <f>IF(H_A[[#This Row],[Age]]&lt;30,"Young",IF(H_A[[#This Row],[Age]]&lt;45,"Mid","Senior"))</f>
        <v>Mid</v>
      </c>
      <c r="AB312" t="str">
        <f>IF(H_A[[#This Row],[MonthlyIncome]]&lt;5000,"Low",IF(H_A[[#This Row],[MonthlyIncome]]&lt;10000,"Medium","High"))</f>
        <v>Medium</v>
      </c>
      <c r="AC312" t="str">
        <f>IF(H_A[[#This Row],[YearsAtCompany]]&lt;3,"Early",IF(H_A[[#This Row],[YearsAtCompany]]&lt;7,"Mid","Long"))</f>
        <v>Early</v>
      </c>
      <c r="AD312" t="str">
        <f>IF(H_A[[#This Row],[PercentSalaryHike]]&lt;13,"Low",IF(H_A[[#This Row],[PercentSalaryHike]]&lt;18,"Medium","High"))</f>
        <v>Low</v>
      </c>
    </row>
    <row r="313" spans="1:30" x14ac:dyDescent="0.3">
      <c r="A313">
        <v>45</v>
      </c>
      <c r="B313">
        <v>425</v>
      </c>
      <c r="C313" t="s">
        <v>36</v>
      </c>
      <c r="D313" t="s">
        <v>37</v>
      </c>
      <c r="E313">
        <v>7</v>
      </c>
      <c r="F313">
        <v>3</v>
      </c>
      <c r="G313" t="s">
        <v>32</v>
      </c>
      <c r="H313">
        <v>1</v>
      </c>
      <c r="I313" t="s">
        <v>38</v>
      </c>
      <c r="J313">
        <v>3</v>
      </c>
      <c r="K313">
        <v>3</v>
      </c>
      <c r="L313" t="s">
        <v>42</v>
      </c>
      <c r="M313">
        <v>1</v>
      </c>
      <c r="N313" t="s">
        <v>44</v>
      </c>
      <c r="O313">
        <v>5210</v>
      </c>
      <c r="P313">
        <v>1</v>
      </c>
      <c r="Q313" t="s">
        <v>36</v>
      </c>
      <c r="R313">
        <v>1</v>
      </c>
      <c r="S313">
        <v>24</v>
      </c>
      <c r="T313">
        <v>3</v>
      </c>
      <c r="U313">
        <v>24</v>
      </c>
      <c r="V313">
        <v>9</v>
      </c>
      <c r="W313">
        <v>9</v>
      </c>
      <c r="X313">
        <v>11</v>
      </c>
      <c r="Y313">
        <v>18</v>
      </c>
      <c r="Z313">
        <f>IF(H_A[[#This Row],[Attrition]]="Yes",1,0)</f>
        <v>0</v>
      </c>
      <c r="AA313" t="str">
        <f>IF(H_A[[#This Row],[Age]]&lt;30,"Young",IF(H_A[[#This Row],[Age]]&lt;45,"Mid","Senior"))</f>
        <v>Senior</v>
      </c>
      <c r="AB313" t="str">
        <f>IF(H_A[[#This Row],[MonthlyIncome]]&lt;5000,"Low",IF(H_A[[#This Row],[MonthlyIncome]]&lt;10000,"Medium","High"))</f>
        <v>Medium</v>
      </c>
      <c r="AC313" t="str">
        <f>IF(H_A[[#This Row],[YearsAtCompany]]&lt;3,"Early",IF(H_A[[#This Row],[YearsAtCompany]]&lt;7,"Mid","Long"))</f>
        <v>Long</v>
      </c>
      <c r="AD313" t="str">
        <f>IF(H_A[[#This Row],[PercentSalaryHike]]&lt;13,"Low",IF(H_A[[#This Row],[PercentSalaryHike]]&lt;18,"Medium","High"))</f>
        <v>High</v>
      </c>
    </row>
    <row r="314" spans="1:30" x14ac:dyDescent="0.3">
      <c r="A314">
        <v>31</v>
      </c>
      <c r="B314">
        <v>426</v>
      </c>
      <c r="C314" t="s">
        <v>36</v>
      </c>
      <c r="D314" t="s">
        <v>37</v>
      </c>
      <c r="E314">
        <v>2</v>
      </c>
      <c r="F314">
        <v>4</v>
      </c>
      <c r="G314" t="s">
        <v>32</v>
      </c>
      <c r="H314">
        <v>3</v>
      </c>
      <c r="I314" t="s">
        <v>38</v>
      </c>
      <c r="J314">
        <v>3</v>
      </c>
      <c r="K314">
        <v>1</v>
      </c>
      <c r="L314" t="s">
        <v>39</v>
      </c>
      <c r="M314">
        <v>4</v>
      </c>
      <c r="N314" t="s">
        <v>44</v>
      </c>
      <c r="O314">
        <v>2695</v>
      </c>
      <c r="P314">
        <v>0</v>
      </c>
      <c r="Q314" t="s">
        <v>30</v>
      </c>
      <c r="R314">
        <v>2</v>
      </c>
      <c r="S314">
        <v>3</v>
      </c>
      <c r="T314">
        <v>1</v>
      </c>
      <c r="U314">
        <v>2</v>
      </c>
      <c r="V314">
        <v>2</v>
      </c>
      <c r="W314">
        <v>2</v>
      </c>
      <c r="X314">
        <v>2</v>
      </c>
      <c r="Y314">
        <v>18</v>
      </c>
      <c r="Z314">
        <f>IF(H_A[[#This Row],[Attrition]]="Yes",1,0)</f>
        <v>0</v>
      </c>
      <c r="AA314" t="str">
        <f>IF(H_A[[#This Row],[Age]]&lt;30,"Young",IF(H_A[[#This Row],[Age]]&lt;45,"Mid","Senior"))</f>
        <v>Mid</v>
      </c>
      <c r="AB314" t="str">
        <f>IF(H_A[[#This Row],[MonthlyIncome]]&lt;5000,"Low",IF(H_A[[#This Row],[MonthlyIncome]]&lt;10000,"Medium","High"))</f>
        <v>Low</v>
      </c>
      <c r="AC314" t="str">
        <f>IF(H_A[[#This Row],[YearsAtCompany]]&lt;3,"Early",IF(H_A[[#This Row],[YearsAtCompany]]&lt;7,"Mid","Long"))</f>
        <v>Early</v>
      </c>
      <c r="AD314" t="str">
        <f>IF(H_A[[#This Row],[PercentSalaryHike]]&lt;13,"Low",IF(H_A[[#This Row],[PercentSalaryHike]]&lt;18,"Medium","High"))</f>
        <v>High</v>
      </c>
    </row>
    <row r="315" spans="1:30" x14ac:dyDescent="0.3">
      <c r="A315">
        <v>33</v>
      </c>
      <c r="B315">
        <v>428</v>
      </c>
      <c r="C315" t="s">
        <v>36</v>
      </c>
      <c r="D315" t="s">
        <v>37</v>
      </c>
      <c r="E315">
        <v>5</v>
      </c>
      <c r="F315">
        <v>4</v>
      </c>
      <c r="G315" t="s">
        <v>32</v>
      </c>
      <c r="H315">
        <v>4</v>
      </c>
      <c r="I315" t="s">
        <v>33</v>
      </c>
      <c r="J315">
        <v>3</v>
      </c>
      <c r="K315">
        <v>3</v>
      </c>
      <c r="L315" t="s">
        <v>47</v>
      </c>
      <c r="M315">
        <v>2</v>
      </c>
      <c r="N315" t="s">
        <v>40</v>
      </c>
      <c r="O315">
        <v>11878</v>
      </c>
      <c r="P315">
        <v>6</v>
      </c>
      <c r="Q315" t="s">
        <v>36</v>
      </c>
      <c r="R315">
        <v>2</v>
      </c>
      <c r="S315">
        <v>12</v>
      </c>
      <c r="T315">
        <v>3</v>
      </c>
      <c r="U315">
        <v>10</v>
      </c>
      <c r="V315">
        <v>6</v>
      </c>
      <c r="W315">
        <v>8</v>
      </c>
      <c r="X315">
        <v>8</v>
      </c>
      <c r="Y315">
        <v>11</v>
      </c>
      <c r="Z315">
        <f>IF(H_A[[#This Row],[Attrition]]="Yes",1,0)</f>
        <v>0</v>
      </c>
      <c r="AA315" t="str">
        <f>IF(H_A[[#This Row],[Age]]&lt;30,"Young",IF(H_A[[#This Row],[Age]]&lt;45,"Mid","Senior"))</f>
        <v>Mid</v>
      </c>
      <c r="AB315" t="str">
        <f>IF(H_A[[#This Row],[MonthlyIncome]]&lt;5000,"Low",IF(H_A[[#This Row],[MonthlyIncome]]&lt;10000,"Medium","High"))</f>
        <v>High</v>
      </c>
      <c r="AC315" t="str">
        <f>IF(H_A[[#This Row],[YearsAtCompany]]&lt;3,"Early",IF(H_A[[#This Row],[YearsAtCompany]]&lt;7,"Mid","Long"))</f>
        <v>Long</v>
      </c>
      <c r="AD315" t="str">
        <f>IF(H_A[[#This Row],[PercentSalaryHike]]&lt;13,"Low",IF(H_A[[#This Row],[PercentSalaryHike]]&lt;18,"Medium","High"))</f>
        <v>Low</v>
      </c>
    </row>
    <row r="316" spans="1:30" x14ac:dyDescent="0.3">
      <c r="A316">
        <v>39</v>
      </c>
      <c r="B316">
        <v>429</v>
      </c>
      <c r="C316" t="s">
        <v>36</v>
      </c>
      <c r="D316" t="s">
        <v>37</v>
      </c>
      <c r="E316">
        <v>10</v>
      </c>
      <c r="F316">
        <v>1</v>
      </c>
      <c r="G316" t="s">
        <v>43</v>
      </c>
      <c r="H316">
        <v>3</v>
      </c>
      <c r="I316" t="s">
        <v>38</v>
      </c>
      <c r="J316">
        <v>3</v>
      </c>
      <c r="K316">
        <v>4</v>
      </c>
      <c r="L316" t="s">
        <v>47</v>
      </c>
      <c r="M316">
        <v>1</v>
      </c>
      <c r="N316" t="s">
        <v>40</v>
      </c>
      <c r="O316">
        <v>17068</v>
      </c>
      <c r="P316">
        <v>1</v>
      </c>
      <c r="Q316" t="s">
        <v>30</v>
      </c>
      <c r="R316">
        <v>4</v>
      </c>
      <c r="S316">
        <v>21</v>
      </c>
      <c r="T316">
        <v>3</v>
      </c>
      <c r="U316">
        <v>21</v>
      </c>
      <c r="V316">
        <v>9</v>
      </c>
      <c r="W316">
        <v>11</v>
      </c>
      <c r="X316">
        <v>10</v>
      </c>
      <c r="Y316">
        <v>14</v>
      </c>
      <c r="Z316">
        <f>IF(H_A[[#This Row],[Attrition]]="Yes",1,0)</f>
        <v>0</v>
      </c>
      <c r="AA316" t="str">
        <f>IF(H_A[[#This Row],[Age]]&lt;30,"Young",IF(H_A[[#This Row],[Age]]&lt;45,"Mid","Senior"))</f>
        <v>Mid</v>
      </c>
      <c r="AB316" t="str">
        <f>IF(H_A[[#This Row],[MonthlyIncome]]&lt;5000,"Low",IF(H_A[[#This Row],[MonthlyIncome]]&lt;10000,"Medium","High"))</f>
        <v>High</v>
      </c>
      <c r="AC316" t="str">
        <f>IF(H_A[[#This Row],[YearsAtCompany]]&lt;3,"Early",IF(H_A[[#This Row],[YearsAtCompany]]&lt;7,"Mid","Long"))</f>
        <v>Long</v>
      </c>
      <c r="AD316" t="str">
        <f>IF(H_A[[#This Row],[PercentSalaryHike]]&lt;13,"Low",IF(H_A[[#This Row],[PercentSalaryHike]]&lt;18,"Medium","High"))</f>
        <v>Medium</v>
      </c>
    </row>
    <row r="317" spans="1:30" x14ac:dyDescent="0.3">
      <c r="A317">
        <v>43</v>
      </c>
      <c r="B317">
        <v>430</v>
      </c>
      <c r="C317" t="s">
        <v>36</v>
      </c>
      <c r="D317" t="s">
        <v>37</v>
      </c>
      <c r="E317">
        <v>10</v>
      </c>
      <c r="F317">
        <v>4</v>
      </c>
      <c r="G317" t="s">
        <v>32</v>
      </c>
      <c r="H317">
        <v>3</v>
      </c>
      <c r="I317" t="s">
        <v>33</v>
      </c>
      <c r="J317">
        <v>3</v>
      </c>
      <c r="K317">
        <v>1</v>
      </c>
      <c r="L317" t="s">
        <v>42</v>
      </c>
      <c r="M317">
        <v>4</v>
      </c>
      <c r="N317" t="s">
        <v>35</v>
      </c>
      <c r="O317">
        <v>2455</v>
      </c>
      <c r="P317">
        <v>0</v>
      </c>
      <c r="Q317" t="s">
        <v>36</v>
      </c>
      <c r="R317">
        <v>1</v>
      </c>
      <c r="S317">
        <v>9</v>
      </c>
      <c r="T317">
        <v>3</v>
      </c>
      <c r="U317">
        <v>8</v>
      </c>
      <c r="V317">
        <v>7</v>
      </c>
      <c r="W317">
        <v>1</v>
      </c>
      <c r="X317">
        <v>7</v>
      </c>
      <c r="Y317">
        <v>19</v>
      </c>
      <c r="Z317">
        <f>IF(H_A[[#This Row],[Attrition]]="Yes",1,0)</f>
        <v>0</v>
      </c>
      <c r="AA317" t="str">
        <f>IF(H_A[[#This Row],[Age]]&lt;30,"Young",IF(H_A[[#This Row],[Age]]&lt;45,"Mid","Senior"))</f>
        <v>Mid</v>
      </c>
      <c r="AB317" t="str">
        <f>IF(H_A[[#This Row],[MonthlyIncome]]&lt;5000,"Low",IF(H_A[[#This Row],[MonthlyIncome]]&lt;10000,"Medium","High"))</f>
        <v>Low</v>
      </c>
      <c r="AC317" t="str">
        <f>IF(H_A[[#This Row],[YearsAtCompany]]&lt;3,"Early",IF(H_A[[#This Row],[YearsAtCompany]]&lt;7,"Mid","Long"))</f>
        <v>Long</v>
      </c>
      <c r="AD317" t="str">
        <f>IF(H_A[[#This Row],[PercentSalaryHike]]&lt;13,"Low",IF(H_A[[#This Row],[PercentSalaryHike]]&lt;18,"Medium","High"))</f>
        <v>High</v>
      </c>
    </row>
    <row r="318" spans="1:30" x14ac:dyDescent="0.3">
      <c r="A318">
        <v>49</v>
      </c>
      <c r="B318">
        <v>431</v>
      </c>
      <c r="C318" t="s">
        <v>36</v>
      </c>
      <c r="D318" t="s">
        <v>37</v>
      </c>
      <c r="E318">
        <v>1</v>
      </c>
      <c r="F318">
        <v>2</v>
      </c>
      <c r="G318" t="s">
        <v>51</v>
      </c>
      <c r="H318">
        <v>3</v>
      </c>
      <c r="I318" t="s">
        <v>33</v>
      </c>
      <c r="J318">
        <v>2</v>
      </c>
      <c r="K318">
        <v>4</v>
      </c>
      <c r="L318" t="s">
        <v>46</v>
      </c>
      <c r="M318">
        <v>3</v>
      </c>
      <c r="N318" t="s">
        <v>35</v>
      </c>
      <c r="O318">
        <v>13964</v>
      </c>
      <c r="P318">
        <v>7</v>
      </c>
      <c r="Q318" t="s">
        <v>30</v>
      </c>
      <c r="R318">
        <v>4</v>
      </c>
      <c r="S318">
        <v>25</v>
      </c>
      <c r="T318">
        <v>3</v>
      </c>
      <c r="U318">
        <v>7</v>
      </c>
      <c r="V318">
        <v>1</v>
      </c>
      <c r="W318">
        <v>0</v>
      </c>
      <c r="X318">
        <v>7</v>
      </c>
      <c r="Y318">
        <v>12</v>
      </c>
      <c r="Z318">
        <f>IF(H_A[[#This Row],[Attrition]]="Yes",1,0)</f>
        <v>0</v>
      </c>
      <c r="AA318" t="str">
        <f>IF(H_A[[#This Row],[Age]]&lt;30,"Young",IF(H_A[[#This Row],[Age]]&lt;45,"Mid","Senior"))</f>
        <v>Senior</v>
      </c>
      <c r="AB318" t="str">
        <f>IF(H_A[[#This Row],[MonthlyIncome]]&lt;5000,"Low",IF(H_A[[#This Row],[MonthlyIncome]]&lt;10000,"Medium","High"))</f>
        <v>High</v>
      </c>
      <c r="AC318" t="str">
        <f>IF(H_A[[#This Row],[YearsAtCompany]]&lt;3,"Early",IF(H_A[[#This Row],[YearsAtCompany]]&lt;7,"Mid","Long"))</f>
        <v>Long</v>
      </c>
      <c r="AD318" t="str">
        <f>IF(H_A[[#This Row],[PercentSalaryHike]]&lt;13,"Low",IF(H_A[[#This Row],[PercentSalaryHike]]&lt;18,"Medium","High"))</f>
        <v>Low</v>
      </c>
    </row>
    <row r="319" spans="1:30" x14ac:dyDescent="0.3">
      <c r="A319">
        <v>52</v>
      </c>
      <c r="B319">
        <v>433</v>
      </c>
      <c r="C319" t="s">
        <v>30</v>
      </c>
      <c r="D319" t="s">
        <v>37</v>
      </c>
      <c r="E319">
        <v>8</v>
      </c>
      <c r="F319">
        <v>4</v>
      </c>
      <c r="G319" t="s">
        <v>43</v>
      </c>
      <c r="H319">
        <v>3</v>
      </c>
      <c r="I319" t="s">
        <v>38</v>
      </c>
      <c r="J319">
        <v>2</v>
      </c>
      <c r="K319">
        <v>2</v>
      </c>
      <c r="L319" t="s">
        <v>39</v>
      </c>
      <c r="M319">
        <v>2</v>
      </c>
      <c r="N319" t="s">
        <v>40</v>
      </c>
      <c r="O319">
        <v>4941</v>
      </c>
      <c r="P319">
        <v>2</v>
      </c>
      <c r="Q319" t="s">
        <v>36</v>
      </c>
      <c r="R319">
        <v>1</v>
      </c>
      <c r="S319">
        <v>11</v>
      </c>
      <c r="T319">
        <v>2</v>
      </c>
      <c r="U319">
        <v>8</v>
      </c>
      <c r="V319">
        <v>2</v>
      </c>
      <c r="W319">
        <v>7</v>
      </c>
      <c r="X319">
        <v>7</v>
      </c>
      <c r="Y319">
        <v>15</v>
      </c>
      <c r="Z319">
        <f>IF(H_A[[#This Row],[Attrition]]="Yes",1,0)</f>
        <v>1</v>
      </c>
      <c r="AA319" t="str">
        <f>IF(H_A[[#This Row],[Age]]&lt;30,"Young",IF(H_A[[#This Row],[Age]]&lt;45,"Mid","Senior"))</f>
        <v>Senior</v>
      </c>
      <c r="AB319" t="str">
        <f>IF(H_A[[#This Row],[MonthlyIncome]]&lt;5000,"Low",IF(H_A[[#This Row],[MonthlyIncome]]&lt;10000,"Medium","High"))</f>
        <v>Low</v>
      </c>
      <c r="AC319" t="str">
        <f>IF(H_A[[#This Row],[YearsAtCompany]]&lt;3,"Early",IF(H_A[[#This Row],[YearsAtCompany]]&lt;7,"Mid","Long"))</f>
        <v>Long</v>
      </c>
      <c r="AD319" t="str">
        <f>IF(H_A[[#This Row],[PercentSalaryHike]]&lt;13,"Low",IF(H_A[[#This Row],[PercentSalaryHike]]&lt;18,"Medium","High"))</f>
        <v>Medium</v>
      </c>
    </row>
    <row r="320" spans="1:30" x14ac:dyDescent="0.3">
      <c r="A320">
        <v>27</v>
      </c>
      <c r="B320">
        <v>434</v>
      </c>
      <c r="C320" t="s">
        <v>36</v>
      </c>
      <c r="D320" t="s">
        <v>37</v>
      </c>
      <c r="E320">
        <v>5</v>
      </c>
      <c r="F320">
        <v>3</v>
      </c>
      <c r="G320" t="s">
        <v>32</v>
      </c>
      <c r="H320">
        <v>3</v>
      </c>
      <c r="I320" t="s">
        <v>33</v>
      </c>
      <c r="J320">
        <v>3</v>
      </c>
      <c r="K320">
        <v>1</v>
      </c>
      <c r="L320" t="s">
        <v>39</v>
      </c>
      <c r="M320">
        <v>2</v>
      </c>
      <c r="N320" t="s">
        <v>35</v>
      </c>
      <c r="O320">
        <v>2478</v>
      </c>
      <c r="P320">
        <v>1</v>
      </c>
      <c r="Q320" t="s">
        <v>30</v>
      </c>
      <c r="R320">
        <v>2</v>
      </c>
      <c r="S320">
        <v>4</v>
      </c>
      <c r="T320">
        <v>2</v>
      </c>
      <c r="U320">
        <v>4</v>
      </c>
      <c r="V320">
        <v>3</v>
      </c>
      <c r="W320">
        <v>1</v>
      </c>
      <c r="X320">
        <v>2</v>
      </c>
      <c r="Y320">
        <v>12</v>
      </c>
      <c r="Z320">
        <f>IF(H_A[[#This Row],[Attrition]]="Yes",1,0)</f>
        <v>0</v>
      </c>
      <c r="AA320" t="str">
        <f>IF(H_A[[#This Row],[Age]]&lt;30,"Young",IF(H_A[[#This Row],[Age]]&lt;45,"Mid","Senior"))</f>
        <v>Young</v>
      </c>
      <c r="AB320" t="str">
        <f>IF(H_A[[#This Row],[MonthlyIncome]]&lt;5000,"Low",IF(H_A[[#This Row],[MonthlyIncome]]&lt;10000,"Medium","High"))</f>
        <v>Low</v>
      </c>
      <c r="AC320" t="str">
        <f>IF(H_A[[#This Row],[YearsAtCompany]]&lt;3,"Early",IF(H_A[[#This Row],[YearsAtCompany]]&lt;7,"Mid","Long"))</f>
        <v>Mid</v>
      </c>
      <c r="AD320" t="str">
        <f>IF(H_A[[#This Row],[PercentSalaryHike]]&lt;13,"Low",IF(H_A[[#This Row],[PercentSalaryHike]]&lt;18,"Medium","High"))</f>
        <v>Low</v>
      </c>
    </row>
    <row r="321" spans="1:30" x14ac:dyDescent="0.3">
      <c r="A321">
        <v>32</v>
      </c>
      <c r="B321">
        <v>436</v>
      </c>
      <c r="C321" t="s">
        <v>36</v>
      </c>
      <c r="D321" t="s">
        <v>31</v>
      </c>
      <c r="E321">
        <v>8</v>
      </c>
      <c r="F321">
        <v>2</v>
      </c>
      <c r="G321" t="s">
        <v>51</v>
      </c>
      <c r="H321">
        <v>3</v>
      </c>
      <c r="I321" t="s">
        <v>33</v>
      </c>
      <c r="J321">
        <v>2</v>
      </c>
      <c r="K321">
        <v>2</v>
      </c>
      <c r="L321" t="s">
        <v>34</v>
      </c>
      <c r="M321">
        <v>2</v>
      </c>
      <c r="N321" t="s">
        <v>40</v>
      </c>
      <c r="O321">
        <v>5228</v>
      </c>
      <c r="P321">
        <v>1</v>
      </c>
      <c r="Q321" t="s">
        <v>30</v>
      </c>
      <c r="R321">
        <v>4</v>
      </c>
      <c r="S321">
        <v>13</v>
      </c>
      <c r="T321">
        <v>3</v>
      </c>
      <c r="U321">
        <v>13</v>
      </c>
      <c r="V321">
        <v>12</v>
      </c>
      <c r="W321">
        <v>11</v>
      </c>
      <c r="X321">
        <v>9</v>
      </c>
      <c r="Y321">
        <v>11</v>
      </c>
      <c r="Z321">
        <f>IF(H_A[[#This Row],[Attrition]]="Yes",1,0)</f>
        <v>0</v>
      </c>
      <c r="AA321" t="str">
        <f>IF(H_A[[#This Row],[Age]]&lt;30,"Young",IF(H_A[[#This Row],[Age]]&lt;45,"Mid","Senior"))</f>
        <v>Mid</v>
      </c>
      <c r="AB321" t="str">
        <f>IF(H_A[[#This Row],[MonthlyIncome]]&lt;5000,"Low",IF(H_A[[#This Row],[MonthlyIncome]]&lt;10000,"Medium","High"))</f>
        <v>Medium</v>
      </c>
      <c r="AC321" t="str">
        <f>IF(H_A[[#This Row],[YearsAtCompany]]&lt;3,"Early",IF(H_A[[#This Row],[YearsAtCompany]]&lt;7,"Mid","Long"))</f>
        <v>Long</v>
      </c>
      <c r="AD321" t="str">
        <f>IF(H_A[[#This Row],[PercentSalaryHike]]&lt;13,"Low",IF(H_A[[#This Row],[PercentSalaryHike]]&lt;18,"Medium","High"))</f>
        <v>Low</v>
      </c>
    </row>
    <row r="322" spans="1:30" x14ac:dyDescent="0.3">
      <c r="A322">
        <v>27</v>
      </c>
      <c r="B322">
        <v>437</v>
      </c>
      <c r="C322" t="s">
        <v>36</v>
      </c>
      <c r="D322" t="s">
        <v>31</v>
      </c>
      <c r="E322">
        <v>2</v>
      </c>
      <c r="F322">
        <v>3</v>
      </c>
      <c r="G322" t="s">
        <v>32</v>
      </c>
      <c r="H322">
        <v>4</v>
      </c>
      <c r="I322" t="s">
        <v>38</v>
      </c>
      <c r="J322">
        <v>3</v>
      </c>
      <c r="K322">
        <v>2</v>
      </c>
      <c r="L322" t="s">
        <v>34</v>
      </c>
      <c r="M322">
        <v>3</v>
      </c>
      <c r="N322" t="s">
        <v>35</v>
      </c>
      <c r="O322">
        <v>4478</v>
      </c>
      <c r="P322">
        <v>1</v>
      </c>
      <c r="Q322" t="s">
        <v>30</v>
      </c>
      <c r="R322">
        <v>1</v>
      </c>
      <c r="S322">
        <v>5</v>
      </c>
      <c r="T322">
        <v>3</v>
      </c>
      <c r="U322">
        <v>5</v>
      </c>
      <c r="V322">
        <v>4</v>
      </c>
      <c r="W322">
        <v>0</v>
      </c>
      <c r="X322">
        <v>4</v>
      </c>
      <c r="Y322">
        <v>11</v>
      </c>
      <c r="Z322">
        <f>IF(H_A[[#This Row],[Attrition]]="Yes",1,0)</f>
        <v>0</v>
      </c>
      <c r="AA322" t="str">
        <f>IF(H_A[[#This Row],[Age]]&lt;30,"Young",IF(H_A[[#This Row],[Age]]&lt;45,"Mid","Senior"))</f>
        <v>Young</v>
      </c>
      <c r="AB322" t="str">
        <f>IF(H_A[[#This Row],[MonthlyIncome]]&lt;5000,"Low",IF(H_A[[#This Row],[MonthlyIncome]]&lt;10000,"Medium","High"))</f>
        <v>Low</v>
      </c>
      <c r="AC322" t="str">
        <f>IF(H_A[[#This Row],[YearsAtCompany]]&lt;3,"Early",IF(H_A[[#This Row],[YearsAtCompany]]&lt;7,"Mid","Long"))</f>
        <v>Mid</v>
      </c>
      <c r="AD322" t="str">
        <f>IF(H_A[[#This Row],[PercentSalaryHike]]&lt;13,"Low",IF(H_A[[#This Row],[PercentSalaryHike]]&lt;18,"Medium","High"))</f>
        <v>Low</v>
      </c>
    </row>
    <row r="323" spans="1:30" x14ac:dyDescent="0.3">
      <c r="A323">
        <v>31</v>
      </c>
      <c r="B323">
        <v>438</v>
      </c>
      <c r="C323" t="s">
        <v>36</v>
      </c>
      <c r="D323" t="s">
        <v>31</v>
      </c>
      <c r="E323">
        <v>7</v>
      </c>
      <c r="F323">
        <v>3</v>
      </c>
      <c r="G323" t="s">
        <v>50</v>
      </c>
      <c r="H323">
        <v>4</v>
      </c>
      <c r="I323" t="s">
        <v>38</v>
      </c>
      <c r="J323">
        <v>3</v>
      </c>
      <c r="K323">
        <v>2</v>
      </c>
      <c r="L323" t="s">
        <v>34</v>
      </c>
      <c r="M323">
        <v>4</v>
      </c>
      <c r="N323" t="s">
        <v>44</v>
      </c>
      <c r="O323">
        <v>7547</v>
      </c>
      <c r="P323">
        <v>4</v>
      </c>
      <c r="Q323" t="s">
        <v>36</v>
      </c>
      <c r="R323">
        <v>4</v>
      </c>
      <c r="S323">
        <v>13</v>
      </c>
      <c r="T323">
        <v>3</v>
      </c>
      <c r="U323">
        <v>7</v>
      </c>
      <c r="V323">
        <v>7</v>
      </c>
      <c r="W323">
        <v>1</v>
      </c>
      <c r="X323">
        <v>7</v>
      </c>
      <c r="Y323">
        <v>12</v>
      </c>
      <c r="Z323">
        <f>IF(H_A[[#This Row],[Attrition]]="Yes",1,0)</f>
        <v>0</v>
      </c>
      <c r="AA323" t="str">
        <f>IF(H_A[[#This Row],[Age]]&lt;30,"Young",IF(H_A[[#This Row],[Age]]&lt;45,"Mid","Senior"))</f>
        <v>Mid</v>
      </c>
      <c r="AB323" t="str">
        <f>IF(H_A[[#This Row],[MonthlyIncome]]&lt;5000,"Low",IF(H_A[[#This Row],[MonthlyIncome]]&lt;10000,"Medium","High"))</f>
        <v>Medium</v>
      </c>
      <c r="AC323" t="str">
        <f>IF(H_A[[#This Row],[YearsAtCompany]]&lt;3,"Early",IF(H_A[[#This Row],[YearsAtCompany]]&lt;7,"Mid","Long"))</f>
        <v>Long</v>
      </c>
      <c r="AD323" t="str">
        <f>IF(H_A[[#This Row],[PercentSalaryHike]]&lt;13,"Low",IF(H_A[[#This Row],[PercentSalaryHike]]&lt;18,"Medium","High"))</f>
        <v>Low</v>
      </c>
    </row>
    <row r="324" spans="1:30" x14ac:dyDescent="0.3">
      <c r="A324">
        <v>32</v>
      </c>
      <c r="B324">
        <v>439</v>
      </c>
      <c r="C324" t="s">
        <v>36</v>
      </c>
      <c r="D324" t="s">
        <v>37</v>
      </c>
      <c r="E324">
        <v>2</v>
      </c>
      <c r="F324">
        <v>4</v>
      </c>
      <c r="G324" t="s">
        <v>43</v>
      </c>
      <c r="H324">
        <v>1</v>
      </c>
      <c r="I324" t="s">
        <v>33</v>
      </c>
      <c r="J324">
        <v>4</v>
      </c>
      <c r="K324">
        <v>2</v>
      </c>
      <c r="L324" t="s">
        <v>39</v>
      </c>
      <c r="M324">
        <v>4</v>
      </c>
      <c r="N324" t="s">
        <v>35</v>
      </c>
      <c r="O324">
        <v>5055</v>
      </c>
      <c r="P324">
        <v>7</v>
      </c>
      <c r="Q324" t="s">
        <v>36</v>
      </c>
      <c r="R324">
        <v>3</v>
      </c>
      <c r="S324">
        <v>10</v>
      </c>
      <c r="T324">
        <v>2</v>
      </c>
      <c r="U324">
        <v>7</v>
      </c>
      <c r="V324">
        <v>7</v>
      </c>
      <c r="W324">
        <v>0</v>
      </c>
      <c r="X324">
        <v>7</v>
      </c>
      <c r="Y324">
        <v>16</v>
      </c>
      <c r="Z324">
        <f>IF(H_A[[#This Row],[Attrition]]="Yes",1,0)</f>
        <v>0</v>
      </c>
      <c r="AA324" t="str">
        <f>IF(H_A[[#This Row],[Age]]&lt;30,"Young",IF(H_A[[#This Row],[Age]]&lt;45,"Mid","Senior"))</f>
        <v>Mid</v>
      </c>
      <c r="AB324" t="str">
        <f>IF(H_A[[#This Row],[MonthlyIncome]]&lt;5000,"Low",IF(H_A[[#This Row],[MonthlyIncome]]&lt;10000,"Medium","High"))</f>
        <v>Medium</v>
      </c>
      <c r="AC324" t="str">
        <f>IF(H_A[[#This Row],[YearsAtCompany]]&lt;3,"Early",IF(H_A[[#This Row],[YearsAtCompany]]&lt;7,"Mid","Long"))</f>
        <v>Long</v>
      </c>
      <c r="AD324" t="str">
        <f>IF(H_A[[#This Row],[PercentSalaryHike]]&lt;13,"Low",IF(H_A[[#This Row],[PercentSalaryHike]]&lt;18,"Medium","High"))</f>
        <v>Medium</v>
      </c>
    </row>
    <row r="325" spans="1:30" x14ac:dyDescent="0.3">
      <c r="A325">
        <v>28</v>
      </c>
      <c r="B325">
        <v>440</v>
      </c>
      <c r="C325" t="s">
        <v>30</v>
      </c>
      <c r="D325" t="s">
        <v>37</v>
      </c>
      <c r="E325">
        <v>2</v>
      </c>
      <c r="F325">
        <v>4</v>
      </c>
      <c r="G325" t="s">
        <v>43</v>
      </c>
      <c r="H325">
        <v>1</v>
      </c>
      <c r="I325" t="s">
        <v>38</v>
      </c>
      <c r="J325">
        <v>1</v>
      </c>
      <c r="K325">
        <v>1</v>
      </c>
      <c r="L325" t="s">
        <v>39</v>
      </c>
      <c r="M325">
        <v>4</v>
      </c>
      <c r="N325" t="s">
        <v>40</v>
      </c>
      <c r="O325">
        <v>3464</v>
      </c>
      <c r="P325">
        <v>5</v>
      </c>
      <c r="Q325" t="s">
        <v>30</v>
      </c>
      <c r="R325">
        <v>4</v>
      </c>
      <c r="S325">
        <v>5</v>
      </c>
      <c r="T325">
        <v>2</v>
      </c>
      <c r="U325">
        <v>3</v>
      </c>
      <c r="V325">
        <v>2</v>
      </c>
      <c r="W325">
        <v>2</v>
      </c>
      <c r="X325">
        <v>2</v>
      </c>
      <c r="Y325">
        <v>13</v>
      </c>
      <c r="Z325">
        <f>IF(H_A[[#This Row],[Attrition]]="Yes",1,0)</f>
        <v>1</v>
      </c>
      <c r="AA325" t="str">
        <f>IF(H_A[[#This Row],[Age]]&lt;30,"Young",IF(H_A[[#This Row],[Age]]&lt;45,"Mid","Senior"))</f>
        <v>Young</v>
      </c>
      <c r="AB325" t="str">
        <f>IF(H_A[[#This Row],[MonthlyIncome]]&lt;5000,"Low",IF(H_A[[#This Row],[MonthlyIncome]]&lt;10000,"Medium","High"))</f>
        <v>Low</v>
      </c>
      <c r="AC325" t="str">
        <f>IF(H_A[[#This Row],[YearsAtCompany]]&lt;3,"Early",IF(H_A[[#This Row],[YearsAtCompany]]&lt;7,"Mid","Long"))</f>
        <v>Mid</v>
      </c>
      <c r="AD325" t="str">
        <f>IF(H_A[[#This Row],[PercentSalaryHike]]&lt;13,"Low",IF(H_A[[#This Row],[PercentSalaryHike]]&lt;18,"Medium","High"))</f>
        <v>Medium</v>
      </c>
    </row>
    <row r="326" spans="1:30" x14ac:dyDescent="0.3">
      <c r="A326">
        <v>30</v>
      </c>
      <c r="B326">
        <v>441</v>
      </c>
      <c r="C326" t="s">
        <v>36</v>
      </c>
      <c r="D326" t="s">
        <v>37</v>
      </c>
      <c r="E326">
        <v>28</v>
      </c>
      <c r="F326">
        <v>2</v>
      </c>
      <c r="G326" t="s">
        <v>43</v>
      </c>
      <c r="H326">
        <v>4</v>
      </c>
      <c r="I326" t="s">
        <v>33</v>
      </c>
      <c r="J326">
        <v>3</v>
      </c>
      <c r="K326">
        <v>2</v>
      </c>
      <c r="L326" t="s">
        <v>39</v>
      </c>
      <c r="M326">
        <v>4</v>
      </c>
      <c r="N326" t="s">
        <v>40</v>
      </c>
      <c r="O326">
        <v>5775</v>
      </c>
      <c r="P326">
        <v>1</v>
      </c>
      <c r="Q326" t="s">
        <v>36</v>
      </c>
      <c r="R326">
        <v>4</v>
      </c>
      <c r="S326">
        <v>11</v>
      </c>
      <c r="T326">
        <v>3</v>
      </c>
      <c r="U326">
        <v>10</v>
      </c>
      <c r="V326">
        <v>8</v>
      </c>
      <c r="W326">
        <v>1</v>
      </c>
      <c r="X326">
        <v>9</v>
      </c>
      <c r="Y326">
        <v>13</v>
      </c>
      <c r="Z326">
        <f>IF(H_A[[#This Row],[Attrition]]="Yes",1,0)</f>
        <v>0</v>
      </c>
      <c r="AA326" t="str">
        <f>IF(H_A[[#This Row],[Age]]&lt;30,"Young",IF(H_A[[#This Row],[Age]]&lt;45,"Mid","Senior"))</f>
        <v>Mid</v>
      </c>
      <c r="AB326" t="str">
        <f>IF(H_A[[#This Row],[MonthlyIncome]]&lt;5000,"Low",IF(H_A[[#This Row],[MonthlyIncome]]&lt;10000,"Medium","High"))</f>
        <v>Medium</v>
      </c>
      <c r="AC326" t="str">
        <f>IF(H_A[[#This Row],[YearsAtCompany]]&lt;3,"Early",IF(H_A[[#This Row],[YearsAtCompany]]&lt;7,"Mid","Long"))</f>
        <v>Long</v>
      </c>
      <c r="AD326" t="str">
        <f>IF(H_A[[#This Row],[PercentSalaryHike]]&lt;13,"Low",IF(H_A[[#This Row],[PercentSalaryHike]]&lt;18,"Medium","High"))</f>
        <v>Medium</v>
      </c>
    </row>
    <row r="327" spans="1:30" x14ac:dyDescent="0.3">
      <c r="A327">
        <v>31</v>
      </c>
      <c r="B327">
        <v>442</v>
      </c>
      <c r="C327" t="s">
        <v>36</v>
      </c>
      <c r="D327" t="s">
        <v>37</v>
      </c>
      <c r="E327">
        <v>7</v>
      </c>
      <c r="F327">
        <v>2</v>
      </c>
      <c r="G327" t="s">
        <v>32</v>
      </c>
      <c r="H327">
        <v>3</v>
      </c>
      <c r="I327" t="s">
        <v>33</v>
      </c>
      <c r="J327">
        <v>2</v>
      </c>
      <c r="K327">
        <v>3</v>
      </c>
      <c r="L327" t="s">
        <v>45</v>
      </c>
      <c r="M327">
        <v>3</v>
      </c>
      <c r="N327" t="s">
        <v>40</v>
      </c>
      <c r="O327">
        <v>8943</v>
      </c>
      <c r="P327">
        <v>1</v>
      </c>
      <c r="Q327" t="s">
        <v>36</v>
      </c>
      <c r="R327">
        <v>1</v>
      </c>
      <c r="S327">
        <v>10</v>
      </c>
      <c r="T327">
        <v>3</v>
      </c>
      <c r="U327">
        <v>10</v>
      </c>
      <c r="V327">
        <v>9</v>
      </c>
      <c r="W327">
        <v>8</v>
      </c>
      <c r="X327">
        <v>9</v>
      </c>
      <c r="Y327">
        <v>24</v>
      </c>
      <c r="Z327">
        <f>IF(H_A[[#This Row],[Attrition]]="Yes",1,0)</f>
        <v>0</v>
      </c>
      <c r="AA327" t="str">
        <f>IF(H_A[[#This Row],[Age]]&lt;30,"Young",IF(H_A[[#This Row],[Age]]&lt;45,"Mid","Senior"))</f>
        <v>Mid</v>
      </c>
      <c r="AB327" t="str">
        <f>IF(H_A[[#This Row],[MonthlyIncome]]&lt;5000,"Low",IF(H_A[[#This Row],[MonthlyIncome]]&lt;10000,"Medium","High"))</f>
        <v>Medium</v>
      </c>
      <c r="AC327" t="str">
        <f>IF(H_A[[#This Row],[YearsAtCompany]]&lt;3,"Early",IF(H_A[[#This Row],[YearsAtCompany]]&lt;7,"Mid","Long"))</f>
        <v>Long</v>
      </c>
      <c r="AD327" t="str">
        <f>IF(H_A[[#This Row],[PercentSalaryHike]]&lt;13,"Low",IF(H_A[[#This Row],[PercentSalaryHike]]&lt;18,"Medium","High"))</f>
        <v>High</v>
      </c>
    </row>
    <row r="328" spans="1:30" x14ac:dyDescent="0.3">
      <c r="A328">
        <v>39</v>
      </c>
      <c r="B328">
        <v>444</v>
      </c>
      <c r="C328" t="s">
        <v>36</v>
      </c>
      <c r="D328" t="s">
        <v>37</v>
      </c>
      <c r="E328">
        <v>7</v>
      </c>
      <c r="F328">
        <v>2</v>
      </c>
      <c r="G328" t="s">
        <v>43</v>
      </c>
      <c r="H328">
        <v>3</v>
      </c>
      <c r="I328" t="s">
        <v>38</v>
      </c>
      <c r="J328">
        <v>2</v>
      </c>
      <c r="K328">
        <v>5</v>
      </c>
      <c r="L328" t="s">
        <v>47</v>
      </c>
      <c r="M328">
        <v>4</v>
      </c>
      <c r="N328" t="s">
        <v>40</v>
      </c>
      <c r="O328">
        <v>19272</v>
      </c>
      <c r="P328">
        <v>1</v>
      </c>
      <c r="Q328" t="s">
        <v>36</v>
      </c>
      <c r="R328">
        <v>1</v>
      </c>
      <c r="S328">
        <v>21</v>
      </c>
      <c r="T328">
        <v>3</v>
      </c>
      <c r="U328">
        <v>21</v>
      </c>
      <c r="V328">
        <v>9</v>
      </c>
      <c r="W328">
        <v>13</v>
      </c>
      <c r="X328">
        <v>3</v>
      </c>
      <c r="Y328">
        <v>15</v>
      </c>
      <c r="Z328">
        <f>IF(H_A[[#This Row],[Attrition]]="Yes",1,0)</f>
        <v>0</v>
      </c>
      <c r="AA328" t="str">
        <f>IF(H_A[[#This Row],[Age]]&lt;30,"Young",IF(H_A[[#This Row],[Age]]&lt;45,"Mid","Senior"))</f>
        <v>Mid</v>
      </c>
      <c r="AB328" t="str">
        <f>IF(H_A[[#This Row],[MonthlyIncome]]&lt;5000,"Low",IF(H_A[[#This Row],[MonthlyIncome]]&lt;10000,"Medium","High"))</f>
        <v>High</v>
      </c>
      <c r="AC328" t="str">
        <f>IF(H_A[[#This Row],[YearsAtCompany]]&lt;3,"Early",IF(H_A[[#This Row],[YearsAtCompany]]&lt;7,"Mid","Long"))</f>
        <v>Long</v>
      </c>
      <c r="AD328" t="str">
        <f>IF(H_A[[#This Row],[PercentSalaryHike]]&lt;13,"Low",IF(H_A[[#This Row],[PercentSalaryHike]]&lt;18,"Medium","High"))</f>
        <v>Medium</v>
      </c>
    </row>
    <row r="329" spans="1:30" x14ac:dyDescent="0.3">
      <c r="A329">
        <v>39</v>
      </c>
      <c r="B329">
        <v>445</v>
      </c>
      <c r="C329" t="s">
        <v>30</v>
      </c>
      <c r="D329" t="s">
        <v>31</v>
      </c>
      <c r="E329">
        <v>3</v>
      </c>
      <c r="F329">
        <v>2</v>
      </c>
      <c r="G329" t="s">
        <v>43</v>
      </c>
      <c r="H329">
        <v>4</v>
      </c>
      <c r="I329" t="s">
        <v>33</v>
      </c>
      <c r="J329">
        <v>3</v>
      </c>
      <c r="K329">
        <v>2</v>
      </c>
      <c r="L329" t="s">
        <v>34</v>
      </c>
      <c r="M329">
        <v>3</v>
      </c>
      <c r="N329" t="s">
        <v>40</v>
      </c>
      <c r="O329">
        <v>5238</v>
      </c>
      <c r="P329">
        <v>4</v>
      </c>
      <c r="Q329" t="s">
        <v>30</v>
      </c>
      <c r="R329">
        <v>1</v>
      </c>
      <c r="S329">
        <v>12</v>
      </c>
      <c r="T329">
        <v>2</v>
      </c>
      <c r="U329">
        <v>1</v>
      </c>
      <c r="V329">
        <v>0</v>
      </c>
      <c r="W329">
        <v>0</v>
      </c>
      <c r="X329">
        <v>0</v>
      </c>
      <c r="Y329">
        <v>18</v>
      </c>
      <c r="Z329">
        <f>IF(H_A[[#This Row],[Attrition]]="Yes",1,0)</f>
        <v>1</v>
      </c>
      <c r="AA329" t="str">
        <f>IF(H_A[[#This Row],[Age]]&lt;30,"Young",IF(H_A[[#This Row],[Age]]&lt;45,"Mid","Senior"))</f>
        <v>Mid</v>
      </c>
      <c r="AB329" t="str">
        <f>IF(H_A[[#This Row],[MonthlyIncome]]&lt;5000,"Low",IF(H_A[[#This Row],[MonthlyIncome]]&lt;10000,"Medium","High"))</f>
        <v>Medium</v>
      </c>
      <c r="AC329" t="str">
        <f>IF(H_A[[#This Row],[YearsAtCompany]]&lt;3,"Early",IF(H_A[[#This Row],[YearsAtCompany]]&lt;7,"Mid","Long"))</f>
        <v>Early</v>
      </c>
      <c r="AD329" t="str">
        <f>IF(H_A[[#This Row],[PercentSalaryHike]]&lt;13,"Low",IF(H_A[[#This Row],[PercentSalaryHike]]&lt;18,"Medium","High"))</f>
        <v>High</v>
      </c>
    </row>
    <row r="330" spans="1:30" x14ac:dyDescent="0.3">
      <c r="A330">
        <v>33</v>
      </c>
      <c r="B330">
        <v>446</v>
      </c>
      <c r="C330" t="s">
        <v>36</v>
      </c>
      <c r="D330" t="s">
        <v>31</v>
      </c>
      <c r="E330">
        <v>10</v>
      </c>
      <c r="F330">
        <v>3</v>
      </c>
      <c r="G330" t="s">
        <v>50</v>
      </c>
      <c r="H330">
        <v>2</v>
      </c>
      <c r="I330" t="s">
        <v>38</v>
      </c>
      <c r="J330">
        <v>2</v>
      </c>
      <c r="K330">
        <v>2</v>
      </c>
      <c r="L330" t="s">
        <v>34</v>
      </c>
      <c r="M330">
        <v>4</v>
      </c>
      <c r="N330" t="s">
        <v>35</v>
      </c>
      <c r="O330">
        <v>4682</v>
      </c>
      <c r="P330">
        <v>3</v>
      </c>
      <c r="Q330" t="s">
        <v>36</v>
      </c>
      <c r="R330">
        <v>3</v>
      </c>
      <c r="S330">
        <v>9</v>
      </c>
      <c r="T330">
        <v>2</v>
      </c>
      <c r="U330">
        <v>7</v>
      </c>
      <c r="V330">
        <v>7</v>
      </c>
      <c r="W330">
        <v>0</v>
      </c>
      <c r="X330">
        <v>1</v>
      </c>
      <c r="Y330">
        <v>14</v>
      </c>
      <c r="Z330">
        <f>IF(H_A[[#This Row],[Attrition]]="Yes",1,0)</f>
        <v>0</v>
      </c>
      <c r="AA330" t="str">
        <f>IF(H_A[[#This Row],[Age]]&lt;30,"Young",IF(H_A[[#This Row],[Age]]&lt;45,"Mid","Senior"))</f>
        <v>Mid</v>
      </c>
      <c r="AB330" t="str">
        <f>IF(H_A[[#This Row],[MonthlyIncome]]&lt;5000,"Low",IF(H_A[[#This Row],[MonthlyIncome]]&lt;10000,"Medium","High"))</f>
        <v>Low</v>
      </c>
      <c r="AC330" t="str">
        <f>IF(H_A[[#This Row],[YearsAtCompany]]&lt;3,"Early",IF(H_A[[#This Row],[YearsAtCompany]]&lt;7,"Mid","Long"))</f>
        <v>Long</v>
      </c>
      <c r="AD330" t="str">
        <f>IF(H_A[[#This Row],[PercentSalaryHike]]&lt;13,"Low",IF(H_A[[#This Row],[PercentSalaryHike]]&lt;18,"Medium","High"))</f>
        <v>Medium</v>
      </c>
    </row>
    <row r="331" spans="1:30" x14ac:dyDescent="0.3">
      <c r="A331">
        <v>47</v>
      </c>
      <c r="B331">
        <v>447</v>
      </c>
      <c r="C331" t="s">
        <v>36</v>
      </c>
      <c r="D331" t="s">
        <v>37</v>
      </c>
      <c r="E331">
        <v>5</v>
      </c>
      <c r="F331">
        <v>5</v>
      </c>
      <c r="G331" t="s">
        <v>32</v>
      </c>
      <c r="H331">
        <v>4</v>
      </c>
      <c r="I331" t="s">
        <v>38</v>
      </c>
      <c r="J331">
        <v>3</v>
      </c>
      <c r="K331">
        <v>5</v>
      </c>
      <c r="L331" t="s">
        <v>49</v>
      </c>
      <c r="M331">
        <v>3</v>
      </c>
      <c r="N331" t="s">
        <v>40</v>
      </c>
      <c r="O331">
        <v>18300</v>
      </c>
      <c r="P331">
        <v>4</v>
      </c>
      <c r="Q331" t="s">
        <v>36</v>
      </c>
      <c r="R331">
        <v>2</v>
      </c>
      <c r="S331">
        <v>21</v>
      </c>
      <c r="T331">
        <v>3</v>
      </c>
      <c r="U331">
        <v>3</v>
      </c>
      <c r="V331">
        <v>2</v>
      </c>
      <c r="W331">
        <v>1</v>
      </c>
      <c r="X331">
        <v>1</v>
      </c>
      <c r="Y331">
        <v>11</v>
      </c>
      <c r="Z331">
        <f>IF(H_A[[#This Row],[Attrition]]="Yes",1,0)</f>
        <v>0</v>
      </c>
      <c r="AA331" t="str">
        <f>IF(H_A[[#This Row],[Age]]&lt;30,"Young",IF(H_A[[#This Row],[Age]]&lt;45,"Mid","Senior"))</f>
        <v>Senior</v>
      </c>
      <c r="AB331" t="str">
        <f>IF(H_A[[#This Row],[MonthlyIncome]]&lt;5000,"Low",IF(H_A[[#This Row],[MonthlyIncome]]&lt;10000,"Medium","High"))</f>
        <v>High</v>
      </c>
      <c r="AC331" t="str">
        <f>IF(H_A[[#This Row],[YearsAtCompany]]&lt;3,"Early",IF(H_A[[#This Row],[YearsAtCompany]]&lt;7,"Mid","Long"))</f>
        <v>Mid</v>
      </c>
      <c r="AD331" t="str">
        <f>IF(H_A[[#This Row],[PercentSalaryHike]]&lt;13,"Low",IF(H_A[[#This Row],[PercentSalaryHike]]&lt;18,"Medium","High"))</f>
        <v>Low</v>
      </c>
    </row>
    <row r="332" spans="1:30" x14ac:dyDescent="0.3">
      <c r="A332">
        <v>43</v>
      </c>
      <c r="B332">
        <v>448</v>
      </c>
      <c r="C332" t="s">
        <v>36</v>
      </c>
      <c r="D332" t="s">
        <v>37</v>
      </c>
      <c r="E332">
        <v>10</v>
      </c>
      <c r="F332">
        <v>4</v>
      </c>
      <c r="G332" t="s">
        <v>32</v>
      </c>
      <c r="H332">
        <v>3</v>
      </c>
      <c r="I332" t="s">
        <v>33</v>
      </c>
      <c r="J332">
        <v>2</v>
      </c>
      <c r="K332">
        <v>2</v>
      </c>
      <c r="L332" t="s">
        <v>42</v>
      </c>
      <c r="M332">
        <v>3</v>
      </c>
      <c r="N332" t="s">
        <v>44</v>
      </c>
      <c r="O332">
        <v>5257</v>
      </c>
      <c r="P332">
        <v>1</v>
      </c>
      <c r="Q332" t="s">
        <v>36</v>
      </c>
      <c r="R332">
        <v>2</v>
      </c>
      <c r="S332">
        <v>9</v>
      </c>
      <c r="T332">
        <v>4</v>
      </c>
      <c r="U332">
        <v>9</v>
      </c>
      <c r="V332">
        <v>7</v>
      </c>
      <c r="W332">
        <v>0</v>
      </c>
      <c r="X332">
        <v>0</v>
      </c>
      <c r="Y332">
        <v>11</v>
      </c>
      <c r="Z332">
        <f>IF(H_A[[#This Row],[Attrition]]="Yes",1,0)</f>
        <v>0</v>
      </c>
      <c r="AA332" t="str">
        <f>IF(H_A[[#This Row],[Age]]&lt;30,"Young",IF(H_A[[#This Row],[Age]]&lt;45,"Mid","Senior"))</f>
        <v>Mid</v>
      </c>
      <c r="AB332" t="str">
        <f>IF(H_A[[#This Row],[MonthlyIncome]]&lt;5000,"Low",IF(H_A[[#This Row],[MonthlyIncome]]&lt;10000,"Medium","High"))</f>
        <v>Medium</v>
      </c>
      <c r="AC332" t="str">
        <f>IF(H_A[[#This Row],[YearsAtCompany]]&lt;3,"Early",IF(H_A[[#This Row],[YearsAtCompany]]&lt;7,"Mid","Long"))</f>
        <v>Long</v>
      </c>
      <c r="AD332" t="str">
        <f>IF(H_A[[#This Row],[PercentSalaryHike]]&lt;13,"Low",IF(H_A[[#This Row],[PercentSalaryHike]]&lt;18,"Medium","High"))</f>
        <v>Low</v>
      </c>
    </row>
    <row r="333" spans="1:30" x14ac:dyDescent="0.3">
      <c r="A333">
        <v>27</v>
      </c>
      <c r="B333">
        <v>449</v>
      </c>
      <c r="C333" t="s">
        <v>36</v>
      </c>
      <c r="D333" t="s">
        <v>31</v>
      </c>
      <c r="E333">
        <v>1</v>
      </c>
      <c r="F333">
        <v>1</v>
      </c>
      <c r="G333" t="s">
        <v>50</v>
      </c>
      <c r="H333">
        <v>3</v>
      </c>
      <c r="I333" t="s">
        <v>38</v>
      </c>
      <c r="J333">
        <v>3</v>
      </c>
      <c r="K333">
        <v>2</v>
      </c>
      <c r="L333" t="s">
        <v>34</v>
      </c>
      <c r="M333">
        <v>2</v>
      </c>
      <c r="N333" t="s">
        <v>40</v>
      </c>
      <c r="O333">
        <v>6349</v>
      </c>
      <c r="P333">
        <v>0</v>
      </c>
      <c r="Q333" t="s">
        <v>30</v>
      </c>
      <c r="R333">
        <v>4</v>
      </c>
      <c r="S333">
        <v>6</v>
      </c>
      <c r="T333">
        <v>3</v>
      </c>
      <c r="U333">
        <v>5</v>
      </c>
      <c r="V333">
        <v>4</v>
      </c>
      <c r="W333">
        <v>1</v>
      </c>
      <c r="X333">
        <v>4</v>
      </c>
      <c r="Y333">
        <v>13</v>
      </c>
      <c r="Z333">
        <f>IF(H_A[[#This Row],[Attrition]]="Yes",1,0)</f>
        <v>0</v>
      </c>
      <c r="AA333" t="str">
        <f>IF(H_A[[#This Row],[Age]]&lt;30,"Young",IF(H_A[[#This Row],[Age]]&lt;45,"Mid","Senior"))</f>
        <v>Young</v>
      </c>
      <c r="AB333" t="str">
        <f>IF(H_A[[#This Row],[MonthlyIncome]]&lt;5000,"Low",IF(H_A[[#This Row],[MonthlyIncome]]&lt;10000,"Medium","High"))</f>
        <v>Medium</v>
      </c>
      <c r="AC333" t="str">
        <f>IF(H_A[[#This Row],[YearsAtCompany]]&lt;3,"Early",IF(H_A[[#This Row],[YearsAtCompany]]&lt;7,"Mid","Long"))</f>
        <v>Mid</v>
      </c>
      <c r="AD333" t="str">
        <f>IF(H_A[[#This Row],[PercentSalaryHike]]&lt;13,"Low",IF(H_A[[#This Row],[PercentSalaryHike]]&lt;18,"Medium","High"))</f>
        <v>Medium</v>
      </c>
    </row>
    <row r="334" spans="1:30" x14ac:dyDescent="0.3">
      <c r="A334">
        <v>54</v>
      </c>
      <c r="B334">
        <v>450</v>
      </c>
      <c r="C334" t="s">
        <v>36</v>
      </c>
      <c r="D334" t="s">
        <v>37</v>
      </c>
      <c r="E334">
        <v>20</v>
      </c>
      <c r="F334">
        <v>4</v>
      </c>
      <c r="G334" t="s">
        <v>32</v>
      </c>
      <c r="H334">
        <v>4</v>
      </c>
      <c r="I334" t="s">
        <v>33</v>
      </c>
      <c r="J334">
        <v>3</v>
      </c>
      <c r="K334">
        <v>2</v>
      </c>
      <c r="L334" t="s">
        <v>39</v>
      </c>
      <c r="M334">
        <v>3</v>
      </c>
      <c r="N334" t="s">
        <v>35</v>
      </c>
      <c r="O334">
        <v>4869</v>
      </c>
      <c r="P334">
        <v>3</v>
      </c>
      <c r="Q334" t="s">
        <v>36</v>
      </c>
      <c r="R334">
        <v>4</v>
      </c>
      <c r="S334">
        <v>20</v>
      </c>
      <c r="T334">
        <v>2</v>
      </c>
      <c r="U334">
        <v>4</v>
      </c>
      <c r="V334">
        <v>3</v>
      </c>
      <c r="W334">
        <v>0</v>
      </c>
      <c r="X334">
        <v>3</v>
      </c>
      <c r="Y334">
        <v>12</v>
      </c>
      <c r="Z334">
        <f>IF(H_A[[#This Row],[Attrition]]="Yes",1,0)</f>
        <v>0</v>
      </c>
      <c r="AA334" t="str">
        <f>IF(H_A[[#This Row],[Age]]&lt;30,"Young",IF(H_A[[#This Row],[Age]]&lt;45,"Mid","Senior"))</f>
        <v>Senior</v>
      </c>
      <c r="AB334" t="str">
        <f>IF(H_A[[#This Row],[MonthlyIncome]]&lt;5000,"Low",IF(H_A[[#This Row],[MonthlyIncome]]&lt;10000,"Medium","High"))</f>
        <v>Low</v>
      </c>
      <c r="AC334" t="str">
        <f>IF(H_A[[#This Row],[YearsAtCompany]]&lt;3,"Early",IF(H_A[[#This Row],[YearsAtCompany]]&lt;7,"Mid","Long"))</f>
        <v>Mid</v>
      </c>
      <c r="AD334" t="str">
        <f>IF(H_A[[#This Row],[PercentSalaryHike]]&lt;13,"Low",IF(H_A[[#This Row],[PercentSalaryHike]]&lt;18,"Medium","High"))</f>
        <v>Low</v>
      </c>
    </row>
    <row r="335" spans="1:30" x14ac:dyDescent="0.3">
      <c r="A335">
        <v>43</v>
      </c>
      <c r="B335">
        <v>451</v>
      </c>
      <c r="C335" t="s">
        <v>36</v>
      </c>
      <c r="D335" t="s">
        <v>37</v>
      </c>
      <c r="E335">
        <v>7</v>
      </c>
      <c r="F335">
        <v>3</v>
      </c>
      <c r="G335" t="s">
        <v>32</v>
      </c>
      <c r="H335">
        <v>3</v>
      </c>
      <c r="I335" t="s">
        <v>33</v>
      </c>
      <c r="J335">
        <v>3</v>
      </c>
      <c r="K335">
        <v>3</v>
      </c>
      <c r="L335" t="s">
        <v>46</v>
      </c>
      <c r="M335">
        <v>1</v>
      </c>
      <c r="N335" t="s">
        <v>40</v>
      </c>
      <c r="O335">
        <v>9985</v>
      </c>
      <c r="P335">
        <v>8</v>
      </c>
      <c r="Q335" t="s">
        <v>36</v>
      </c>
      <c r="R335">
        <v>1</v>
      </c>
      <c r="S335">
        <v>10</v>
      </c>
      <c r="T335">
        <v>2</v>
      </c>
      <c r="U335">
        <v>1</v>
      </c>
      <c r="V335">
        <v>0</v>
      </c>
      <c r="W335">
        <v>0</v>
      </c>
      <c r="X335">
        <v>0</v>
      </c>
      <c r="Y335">
        <v>16</v>
      </c>
      <c r="Z335">
        <f>IF(H_A[[#This Row],[Attrition]]="Yes",1,0)</f>
        <v>0</v>
      </c>
      <c r="AA335" t="str">
        <f>IF(H_A[[#This Row],[Age]]&lt;30,"Young",IF(H_A[[#This Row],[Age]]&lt;45,"Mid","Senior"))</f>
        <v>Mid</v>
      </c>
      <c r="AB335" t="str">
        <f>IF(H_A[[#This Row],[MonthlyIncome]]&lt;5000,"Low",IF(H_A[[#This Row],[MonthlyIncome]]&lt;10000,"Medium","High"))</f>
        <v>Medium</v>
      </c>
      <c r="AC335" t="str">
        <f>IF(H_A[[#This Row],[YearsAtCompany]]&lt;3,"Early",IF(H_A[[#This Row],[YearsAtCompany]]&lt;7,"Mid","Long"))</f>
        <v>Early</v>
      </c>
      <c r="AD335" t="str">
        <f>IF(H_A[[#This Row],[PercentSalaryHike]]&lt;13,"Low",IF(H_A[[#This Row],[PercentSalaryHike]]&lt;18,"Medium","High"))</f>
        <v>Medium</v>
      </c>
    </row>
    <row r="336" spans="1:30" x14ac:dyDescent="0.3">
      <c r="A336">
        <v>45</v>
      </c>
      <c r="B336">
        <v>452</v>
      </c>
      <c r="C336" t="s">
        <v>36</v>
      </c>
      <c r="D336" t="s">
        <v>37</v>
      </c>
      <c r="E336">
        <v>8</v>
      </c>
      <c r="F336">
        <v>4</v>
      </c>
      <c r="G336" t="s">
        <v>41</v>
      </c>
      <c r="H336">
        <v>4</v>
      </c>
      <c r="I336" t="s">
        <v>38</v>
      </c>
      <c r="J336">
        <v>3</v>
      </c>
      <c r="K336">
        <v>2</v>
      </c>
      <c r="L336" t="s">
        <v>39</v>
      </c>
      <c r="M336">
        <v>4</v>
      </c>
      <c r="N336" t="s">
        <v>40</v>
      </c>
      <c r="O336">
        <v>3697</v>
      </c>
      <c r="P336">
        <v>9</v>
      </c>
      <c r="Q336" t="s">
        <v>36</v>
      </c>
      <c r="R336">
        <v>1</v>
      </c>
      <c r="S336">
        <v>12</v>
      </c>
      <c r="T336">
        <v>3</v>
      </c>
      <c r="U336">
        <v>10</v>
      </c>
      <c r="V336">
        <v>9</v>
      </c>
      <c r="W336">
        <v>9</v>
      </c>
      <c r="X336">
        <v>8</v>
      </c>
      <c r="Y336">
        <v>14</v>
      </c>
      <c r="Z336">
        <f>IF(H_A[[#This Row],[Attrition]]="Yes",1,0)</f>
        <v>0</v>
      </c>
      <c r="AA336" t="str">
        <f>IF(H_A[[#This Row],[Age]]&lt;30,"Young",IF(H_A[[#This Row],[Age]]&lt;45,"Mid","Senior"))</f>
        <v>Senior</v>
      </c>
      <c r="AB336" t="str">
        <f>IF(H_A[[#This Row],[MonthlyIncome]]&lt;5000,"Low",IF(H_A[[#This Row],[MonthlyIncome]]&lt;10000,"Medium","High"))</f>
        <v>Low</v>
      </c>
      <c r="AC336" t="str">
        <f>IF(H_A[[#This Row],[YearsAtCompany]]&lt;3,"Early",IF(H_A[[#This Row],[YearsAtCompany]]&lt;7,"Mid","Long"))</f>
        <v>Long</v>
      </c>
      <c r="AD336" t="str">
        <f>IF(H_A[[#This Row],[PercentSalaryHike]]&lt;13,"Low",IF(H_A[[#This Row],[PercentSalaryHike]]&lt;18,"Medium","High"))</f>
        <v>Medium</v>
      </c>
    </row>
    <row r="337" spans="1:30" x14ac:dyDescent="0.3">
      <c r="A337">
        <v>40</v>
      </c>
      <c r="B337">
        <v>453</v>
      </c>
      <c r="C337" t="s">
        <v>36</v>
      </c>
      <c r="D337" t="s">
        <v>31</v>
      </c>
      <c r="E337">
        <v>1</v>
      </c>
      <c r="F337">
        <v>2</v>
      </c>
      <c r="G337" t="s">
        <v>43</v>
      </c>
      <c r="H337">
        <v>2</v>
      </c>
      <c r="I337" t="s">
        <v>38</v>
      </c>
      <c r="J337">
        <v>1</v>
      </c>
      <c r="K337">
        <v>2</v>
      </c>
      <c r="L337" t="s">
        <v>34</v>
      </c>
      <c r="M337">
        <v>4</v>
      </c>
      <c r="N337" t="s">
        <v>40</v>
      </c>
      <c r="O337">
        <v>7457</v>
      </c>
      <c r="P337">
        <v>2</v>
      </c>
      <c r="Q337" t="s">
        <v>30</v>
      </c>
      <c r="R337">
        <v>3</v>
      </c>
      <c r="S337">
        <v>6</v>
      </c>
      <c r="T337">
        <v>2</v>
      </c>
      <c r="U337">
        <v>4</v>
      </c>
      <c r="V337">
        <v>3</v>
      </c>
      <c r="W337">
        <v>0</v>
      </c>
      <c r="X337">
        <v>2</v>
      </c>
      <c r="Y337">
        <v>22</v>
      </c>
      <c r="Z337">
        <f>IF(H_A[[#This Row],[Attrition]]="Yes",1,0)</f>
        <v>0</v>
      </c>
      <c r="AA337" t="str">
        <f>IF(H_A[[#This Row],[Age]]&lt;30,"Young",IF(H_A[[#This Row],[Age]]&lt;45,"Mid","Senior"))</f>
        <v>Mid</v>
      </c>
      <c r="AB337" t="str">
        <f>IF(H_A[[#This Row],[MonthlyIncome]]&lt;5000,"Low",IF(H_A[[#This Row],[MonthlyIncome]]&lt;10000,"Medium","High"))</f>
        <v>Medium</v>
      </c>
      <c r="AC337" t="str">
        <f>IF(H_A[[#This Row],[YearsAtCompany]]&lt;3,"Early",IF(H_A[[#This Row],[YearsAtCompany]]&lt;7,"Mid","Long"))</f>
        <v>Mid</v>
      </c>
      <c r="AD337" t="str">
        <f>IF(H_A[[#This Row],[PercentSalaryHike]]&lt;13,"Low",IF(H_A[[#This Row],[PercentSalaryHike]]&lt;18,"Medium","High"))</f>
        <v>High</v>
      </c>
    </row>
    <row r="338" spans="1:30" x14ac:dyDescent="0.3">
      <c r="A338">
        <v>29</v>
      </c>
      <c r="B338">
        <v>454</v>
      </c>
      <c r="C338" t="s">
        <v>30</v>
      </c>
      <c r="D338" t="s">
        <v>37</v>
      </c>
      <c r="E338">
        <v>8</v>
      </c>
      <c r="F338">
        <v>4</v>
      </c>
      <c r="G338" t="s">
        <v>41</v>
      </c>
      <c r="H338">
        <v>2</v>
      </c>
      <c r="I338" t="s">
        <v>38</v>
      </c>
      <c r="J338">
        <v>1</v>
      </c>
      <c r="K338">
        <v>1</v>
      </c>
      <c r="L338" t="s">
        <v>42</v>
      </c>
      <c r="M338">
        <v>1</v>
      </c>
      <c r="N338" t="s">
        <v>40</v>
      </c>
      <c r="O338">
        <v>2119</v>
      </c>
      <c r="P338">
        <v>1</v>
      </c>
      <c r="Q338" t="s">
        <v>30</v>
      </c>
      <c r="R338">
        <v>4</v>
      </c>
      <c r="S338">
        <v>7</v>
      </c>
      <c r="T338">
        <v>2</v>
      </c>
      <c r="U338">
        <v>7</v>
      </c>
      <c r="V338">
        <v>7</v>
      </c>
      <c r="W338">
        <v>0</v>
      </c>
      <c r="X338">
        <v>7</v>
      </c>
      <c r="Y338">
        <v>11</v>
      </c>
      <c r="Z338">
        <f>IF(H_A[[#This Row],[Attrition]]="Yes",1,0)</f>
        <v>1</v>
      </c>
      <c r="AA338" t="str">
        <f>IF(H_A[[#This Row],[Age]]&lt;30,"Young",IF(H_A[[#This Row],[Age]]&lt;45,"Mid","Senior"))</f>
        <v>Young</v>
      </c>
      <c r="AB338" t="str">
        <f>IF(H_A[[#This Row],[MonthlyIncome]]&lt;5000,"Low",IF(H_A[[#This Row],[MonthlyIncome]]&lt;10000,"Medium","High"))</f>
        <v>Low</v>
      </c>
      <c r="AC338" t="str">
        <f>IF(H_A[[#This Row],[YearsAtCompany]]&lt;3,"Early",IF(H_A[[#This Row],[YearsAtCompany]]&lt;7,"Mid","Long"))</f>
        <v>Long</v>
      </c>
      <c r="AD338" t="str">
        <f>IF(H_A[[#This Row],[PercentSalaryHike]]&lt;13,"Low",IF(H_A[[#This Row],[PercentSalaryHike]]&lt;18,"Medium","High"))</f>
        <v>Low</v>
      </c>
    </row>
    <row r="339" spans="1:30" x14ac:dyDescent="0.3">
      <c r="A339">
        <v>29</v>
      </c>
      <c r="B339">
        <v>455</v>
      </c>
      <c r="C339" t="s">
        <v>36</v>
      </c>
      <c r="D339" t="s">
        <v>37</v>
      </c>
      <c r="E339">
        <v>9</v>
      </c>
      <c r="F339">
        <v>5</v>
      </c>
      <c r="G339" t="s">
        <v>41</v>
      </c>
      <c r="H339">
        <v>2</v>
      </c>
      <c r="I339" t="s">
        <v>38</v>
      </c>
      <c r="J339">
        <v>2</v>
      </c>
      <c r="K339">
        <v>1</v>
      </c>
      <c r="L339" t="s">
        <v>42</v>
      </c>
      <c r="M339">
        <v>4</v>
      </c>
      <c r="N339" t="s">
        <v>35</v>
      </c>
      <c r="O339">
        <v>3983</v>
      </c>
      <c r="P339">
        <v>0</v>
      </c>
      <c r="Q339" t="s">
        <v>36</v>
      </c>
      <c r="R339">
        <v>3</v>
      </c>
      <c r="S339">
        <v>4</v>
      </c>
      <c r="T339">
        <v>3</v>
      </c>
      <c r="U339">
        <v>3</v>
      </c>
      <c r="V339">
        <v>2</v>
      </c>
      <c r="W339">
        <v>2</v>
      </c>
      <c r="X339">
        <v>2</v>
      </c>
      <c r="Y339">
        <v>17</v>
      </c>
      <c r="Z339">
        <f>IF(H_A[[#This Row],[Attrition]]="Yes",1,0)</f>
        <v>0</v>
      </c>
      <c r="AA339" t="str">
        <f>IF(H_A[[#This Row],[Age]]&lt;30,"Young",IF(H_A[[#This Row],[Age]]&lt;45,"Mid","Senior"))</f>
        <v>Young</v>
      </c>
      <c r="AB339" t="str">
        <f>IF(H_A[[#This Row],[MonthlyIncome]]&lt;5000,"Low",IF(H_A[[#This Row],[MonthlyIncome]]&lt;10000,"Medium","High"))</f>
        <v>Low</v>
      </c>
      <c r="AC339" t="str">
        <f>IF(H_A[[#This Row],[YearsAtCompany]]&lt;3,"Early",IF(H_A[[#This Row],[YearsAtCompany]]&lt;7,"Mid","Long"))</f>
        <v>Mid</v>
      </c>
      <c r="AD339" t="str">
        <f>IF(H_A[[#This Row],[PercentSalaryHike]]&lt;13,"Low",IF(H_A[[#This Row],[PercentSalaryHike]]&lt;18,"Medium","High"))</f>
        <v>Medium</v>
      </c>
    </row>
    <row r="340" spans="1:30" x14ac:dyDescent="0.3">
      <c r="A340">
        <v>30</v>
      </c>
      <c r="B340">
        <v>456</v>
      </c>
      <c r="C340" t="s">
        <v>36</v>
      </c>
      <c r="D340" t="s">
        <v>31</v>
      </c>
      <c r="E340">
        <v>5</v>
      </c>
      <c r="F340">
        <v>3</v>
      </c>
      <c r="G340" t="s">
        <v>50</v>
      </c>
      <c r="H340">
        <v>4</v>
      </c>
      <c r="I340" t="s">
        <v>33</v>
      </c>
      <c r="J340">
        <v>2</v>
      </c>
      <c r="K340">
        <v>2</v>
      </c>
      <c r="L340" t="s">
        <v>34</v>
      </c>
      <c r="M340">
        <v>3</v>
      </c>
      <c r="N340" t="s">
        <v>44</v>
      </c>
      <c r="O340">
        <v>6118</v>
      </c>
      <c r="P340">
        <v>1</v>
      </c>
      <c r="Q340" t="s">
        <v>36</v>
      </c>
      <c r="R340">
        <v>3</v>
      </c>
      <c r="S340">
        <v>10</v>
      </c>
      <c r="T340">
        <v>3</v>
      </c>
      <c r="U340">
        <v>10</v>
      </c>
      <c r="V340">
        <v>9</v>
      </c>
      <c r="W340">
        <v>1</v>
      </c>
      <c r="X340">
        <v>2</v>
      </c>
      <c r="Y340">
        <v>13</v>
      </c>
      <c r="Z340">
        <f>IF(H_A[[#This Row],[Attrition]]="Yes",1,0)</f>
        <v>0</v>
      </c>
      <c r="AA340" t="str">
        <f>IF(H_A[[#This Row],[Age]]&lt;30,"Young",IF(H_A[[#This Row],[Age]]&lt;45,"Mid","Senior"))</f>
        <v>Mid</v>
      </c>
      <c r="AB340" t="str">
        <f>IF(H_A[[#This Row],[MonthlyIncome]]&lt;5000,"Low",IF(H_A[[#This Row],[MonthlyIncome]]&lt;10000,"Medium","High"))</f>
        <v>Medium</v>
      </c>
      <c r="AC340" t="str">
        <f>IF(H_A[[#This Row],[YearsAtCompany]]&lt;3,"Early",IF(H_A[[#This Row],[YearsAtCompany]]&lt;7,"Mid","Long"))</f>
        <v>Long</v>
      </c>
      <c r="AD340" t="str">
        <f>IF(H_A[[#This Row],[PercentSalaryHike]]&lt;13,"Low",IF(H_A[[#This Row],[PercentSalaryHike]]&lt;18,"Medium","High"))</f>
        <v>Medium</v>
      </c>
    </row>
    <row r="341" spans="1:30" x14ac:dyDescent="0.3">
      <c r="A341">
        <v>27</v>
      </c>
      <c r="B341">
        <v>458</v>
      </c>
      <c r="C341" t="s">
        <v>36</v>
      </c>
      <c r="D341" t="s">
        <v>31</v>
      </c>
      <c r="E341">
        <v>8</v>
      </c>
      <c r="F341">
        <v>4</v>
      </c>
      <c r="G341" t="s">
        <v>50</v>
      </c>
      <c r="H341">
        <v>2</v>
      </c>
      <c r="I341" t="s">
        <v>33</v>
      </c>
      <c r="J341">
        <v>3</v>
      </c>
      <c r="K341">
        <v>2</v>
      </c>
      <c r="L341" t="s">
        <v>34</v>
      </c>
      <c r="M341">
        <v>2</v>
      </c>
      <c r="N341" t="s">
        <v>40</v>
      </c>
      <c r="O341">
        <v>6214</v>
      </c>
      <c r="P341">
        <v>1</v>
      </c>
      <c r="Q341" t="s">
        <v>36</v>
      </c>
      <c r="R341">
        <v>1</v>
      </c>
      <c r="S341">
        <v>8</v>
      </c>
      <c r="T341">
        <v>3</v>
      </c>
      <c r="U341">
        <v>8</v>
      </c>
      <c r="V341">
        <v>7</v>
      </c>
      <c r="W341">
        <v>0</v>
      </c>
      <c r="X341">
        <v>7</v>
      </c>
      <c r="Y341">
        <v>18</v>
      </c>
      <c r="Z341">
        <f>IF(H_A[[#This Row],[Attrition]]="Yes",1,0)</f>
        <v>0</v>
      </c>
      <c r="AA341" t="str">
        <f>IF(H_A[[#This Row],[Age]]&lt;30,"Young",IF(H_A[[#This Row],[Age]]&lt;45,"Mid","Senior"))</f>
        <v>Young</v>
      </c>
      <c r="AB341" t="str">
        <f>IF(H_A[[#This Row],[MonthlyIncome]]&lt;5000,"Low",IF(H_A[[#This Row],[MonthlyIncome]]&lt;10000,"Medium","High"))</f>
        <v>Medium</v>
      </c>
      <c r="AC341" t="str">
        <f>IF(H_A[[#This Row],[YearsAtCompany]]&lt;3,"Early",IF(H_A[[#This Row],[YearsAtCompany]]&lt;7,"Mid","Long"))</f>
        <v>Long</v>
      </c>
      <c r="AD341" t="str">
        <f>IF(H_A[[#This Row],[PercentSalaryHike]]&lt;13,"Low",IF(H_A[[#This Row],[PercentSalaryHike]]&lt;18,"Medium","High"))</f>
        <v>High</v>
      </c>
    </row>
    <row r="342" spans="1:30" x14ac:dyDescent="0.3">
      <c r="A342">
        <v>37</v>
      </c>
      <c r="B342">
        <v>460</v>
      </c>
      <c r="C342" t="s">
        <v>36</v>
      </c>
      <c r="D342" t="s">
        <v>37</v>
      </c>
      <c r="E342">
        <v>5</v>
      </c>
      <c r="F342">
        <v>2</v>
      </c>
      <c r="G342" t="s">
        <v>43</v>
      </c>
      <c r="H342">
        <v>4</v>
      </c>
      <c r="I342" t="s">
        <v>38</v>
      </c>
      <c r="J342">
        <v>3</v>
      </c>
      <c r="K342">
        <v>2</v>
      </c>
      <c r="L342" t="s">
        <v>45</v>
      </c>
      <c r="M342">
        <v>4</v>
      </c>
      <c r="N342" t="s">
        <v>44</v>
      </c>
      <c r="O342">
        <v>6347</v>
      </c>
      <c r="P342">
        <v>7</v>
      </c>
      <c r="Q342" t="s">
        <v>36</v>
      </c>
      <c r="R342">
        <v>3</v>
      </c>
      <c r="S342">
        <v>8</v>
      </c>
      <c r="T342">
        <v>2</v>
      </c>
      <c r="U342">
        <v>6</v>
      </c>
      <c r="V342">
        <v>2</v>
      </c>
      <c r="W342">
        <v>0</v>
      </c>
      <c r="X342">
        <v>4</v>
      </c>
      <c r="Y342">
        <v>16</v>
      </c>
      <c r="Z342">
        <f>IF(H_A[[#This Row],[Attrition]]="Yes",1,0)</f>
        <v>0</v>
      </c>
      <c r="AA342" t="str">
        <f>IF(H_A[[#This Row],[Age]]&lt;30,"Young",IF(H_A[[#This Row],[Age]]&lt;45,"Mid","Senior"))</f>
        <v>Mid</v>
      </c>
      <c r="AB342" t="str">
        <f>IF(H_A[[#This Row],[MonthlyIncome]]&lt;5000,"Low",IF(H_A[[#This Row],[MonthlyIncome]]&lt;10000,"Medium","High"))</f>
        <v>Medium</v>
      </c>
      <c r="AC342" t="str">
        <f>IF(H_A[[#This Row],[YearsAtCompany]]&lt;3,"Early",IF(H_A[[#This Row],[YearsAtCompany]]&lt;7,"Mid","Long"))</f>
        <v>Mid</v>
      </c>
      <c r="AD342" t="str">
        <f>IF(H_A[[#This Row],[PercentSalaryHike]]&lt;13,"Low",IF(H_A[[#This Row],[PercentSalaryHike]]&lt;18,"Medium","High"))</f>
        <v>Medium</v>
      </c>
    </row>
    <row r="343" spans="1:30" x14ac:dyDescent="0.3">
      <c r="A343">
        <v>38</v>
      </c>
      <c r="B343">
        <v>461</v>
      </c>
      <c r="C343" t="s">
        <v>36</v>
      </c>
      <c r="D343" t="s">
        <v>37</v>
      </c>
      <c r="E343">
        <v>15</v>
      </c>
      <c r="F343">
        <v>2</v>
      </c>
      <c r="G343" t="s">
        <v>32</v>
      </c>
      <c r="H343">
        <v>3</v>
      </c>
      <c r="I343" t="s">
        <v>38</v>
      </c>
      <c r="J343">
        <v>2</v>
      </c>
      <c r="K343">
        <v>3</v>
      </c>
      <c r="L343" t="s">
        <v>49</v>
      </c>
      <c r="M343">
        <v>4</v>
      </c>
      <c r="N343" t="s">
        <v>44</v>
      </c>
      <c r="O343">
        <v>11510</v>
      </c>
      <c r="P343">
        <v>0</v>
      </c>
      <c r="Q343" t="s">
        <v>30</v>
      </c>
      <c r="R343">
        <v>2</v>
      </c>
      <c r="S343">
        <v>12</v>
      </c>
      <c r="T343">
        <v>3</v>
      </c>
      <c r="U343">
        <v>11</v>
      </c>
      <c r="V343">
        <v>10</v>
      </c>
      <c r="W343">
        <v>2</v>
      </c>
      <c r="X343">
        <v>9</v>
      </c>
      <c r="Y343">
        <v>14</v>
      </c>
      <c r="Z343">
        <f>IF(H_A[[#This Row],[Attrition]]="Yes",1,0)</f>
        <v>0</v>
      </c>
      <c r="AA343" t="str">
        <f>IF(H_A[[#This Row],[Age]]&lt;30,"Young",IF(H_A[[#This Row],[Age]]&lt;45,"Mid","Senior"))</f>
        <v>Mid</v>
      </c>
      <c r="AB343" t="str">
        <f>IF(H_A[[#This Row],[MonthlyIncome]]&lt;5000,"Low",IF(H_A[[#This Row],[MonthlyIncome]]&lt;10000,"Medium","High"))</f>
        <v>High</v>
      </c>
      <c r="AC343" t="str">
        <f>IF(H_A[[#This Row],[YearsAtCompany]]&lt;3,"Early",IF(H_A[[#This Row],[YearsAtCompany]]&lt;7,"Mid","Long"))</f>
        <v>Long</v>
      </c>
      <c r="AD343" t="str">
        <f>IF(H_A[[#This Row],[PercentSalaryHike]]&lt;13,"Low",IF(H_A[[#This Row],[PercentSalaryHike]]&lt;18,"Medium","High"))</f>
        <v>Medium</v>
      </c>
    </row>
    <row r="344" spans="1:30" x14ac:dyDescent="0.3">
      <c r="A344">
        <v>31</v>
      </c>
      <c r="B344">
        <v>462</v>
      </c>
      <c r="C344" t="s">
        <v>36</v>
      </c>
      <c r="D344" t="s">
        <v>37</v>
      </c>
      <c r="E344">
        <v>7</v>
      </c>
      <c r="F344">
        <v>4</v>
      </c>
      <c r="G344" t="s">
        <v>43</v>
      </c>
      <c r="H344">
        <v>3</v>
      </c>
      <c r="I344" t="s">
        <v>33</v>
      </c>
      <c r="J344">
        <v>3</v>
      </c>
      <c r="K344">
        <v>3</v>
      </c>
      <c r="L344" t="s">
        <v>45</v>
      </c>
      <c r="M344">
        <v>4</v>
      </c>
      <c r="N344" t="s">
        <v>35</v>
      </c>
      <c r="O344">
        <v>7143</v>
      </c>
      <c r="P344">
        <v>1</v>
      </c>
      <c r="Q344" t="s">
        <v>30</v>
      </c>
      <c r="R344">
        <v>3</v>
      </c>
      <c r="S344">
        <v>11</v>
      </c>
      <c r="T344">
        <v>2</v>
      </c>
      <c r="U344">
        <v>11</v>
      </c>
      <c r="V344">
        <v>9</v>
      </c>
      <c r="W344">
        <v>4</v>
      </c>
      <c r="X344">
        <v>10</v>
      </c>
      <c r="Y344">
        <v>14</v>
      </c>
      <c r="Z344">
        <f>IF(H_A[[#This Row],[Attrition]]="Yes",1,0)</f>
        <v>0</v>
      </c>
      <c r="AA344" t="str">
        <f>IF(H_A[[#This Row],[Age]]&lt;30,"Young",IF(H_A[[#This Row],[Age]]&lt;45,"Mid","Senior"))</f>
        <v>Mid</v>
      </c>
      <c r="AB344" t="str">
        <f>IF(H_A[[#This Row],[MonthlyIncome]]&lt;5000,"Low",IF(H_A[[#This Row],[MonthlyIncome]]&lt;10000,"Medium","High"))</f>
        <v>Medium</v>
      </c>
      <c r="AC344" t="str">
        <f>IF(H_A[[#This Row],[YearsAtCompany]]&lt;3,"Early",IF(H_A[[#This Row],[YearsAtCompany]]&lt;7,"Mid","Long"))</f>
        <v>Long</v>
      </c>
      <c r="AD344" t="str">
        <f>IF(H_A[[#This Row],[PercentSalaryHike]]&lt;13,"Low",IF(H_A[[#This Row],[PercentSalaryHike]]&lt;18,"Medium","High"))</f>
        <v>Medium</v>
      </c>
    </row>
    <row r="345" spans="1:30" x14ac:dyDescent="0.3">
      <c r="A345">
        <v>29</v>
      </c>
      <c r="B345">
        <v>463</v>
      </c>
      <c r="C345" t="s">
        <v>36</v>
      </c>
      <c r="D345" t="s">
        <v>31</v>
      </c>
      <c r="E345">
        <v>10</v>
      </c>
      <c r="F345">
        <v>1</v>
      </c>
      <c r="G345" t="s">
        <v>50</v>
      </c>
      <c r="H345">
        <v>4</v>
      </c>
      <c r="I345" t="s">
        <v>33</v>
      </c>
      <c r="J345">
        <v>2</v>
      </c>
      <c r="K345">
        <v>2</v>
      </c>
      <c r="L345" t="s">
        <v>34</v>
      </c>
      <c r="M345">
        <v>2</v>
      </c>
      <c r="N345" t="s">
        <v>44</v>
      </c>
      <c r="O345">
        <v>8268</v>
      </c>
      <c r="P345">
        <v>1</v>
      </c>
      <c r="Q345" t="s">
        <v>30</v>
      </c>
      <c r="R345">
        <v>1</v>
      </c>
      <c r="S345">
        <v>7</v>
      </c>
      <c r="T345">
        <v>3</v>
      </c>
      <c r="U345">
        <v>7</v>
      </c>
      <c r="V345">
        <v>7</v>
      </c>
      <c r="W345">
        <v>1</v>
      </c>
      <c r="X345">
        <v>7</v>
      </c>
      <c r="Y345">
        <v>14</v>
      </c>
      <c r="Z345">
        <f>IF(H_A[[#This Row],[Attrition]]="Yes",1,0)</f>
        <v>0</v>
      </c>
      <c r="AA345" t="str">
        <f>IF(H_A[[#This Row],[Age]]&lt;30,"Young",IF(H_A[[#This Row],[Age]]&lt;45,"Mid","Senior"))</f>
        <v>Young</v>
      </c>
      <c r="AB345" t="str">
        <f>IF(H_A[[#This Row],[MonthlyIncome]]&lt;5000,"Low",IF(H_A[[#This Row],[MonthlyIncome]]&lt;10000,"Medium","High"))</f>
        <v>Medium</v>
      </c>
      <c r="AC345" t="str">
        <f>IF(H_A[[#This Row],[YearsAtCompany]]&lt;3,"Early",IF(H_A[[#This Row],[YearsAtCompany]]&lt;7,"Mid","Long"))</f>
        <v>Long</v>
      </c>
      <c r="AD345" t="str">
        <f>IF(H_A[[#This Row],[PercentSalaryHike]]&lt;13,"Low",IF(H_A[[#This Row],[PercentSalaryHike]]&lt;18,"Medium","High"))</f>
        <v>Medium</v>
      </c>
    </row>
    <row r="346" spans="1:30" x14ac:dyDescent="0.3">
      <c r="A346">
        <v>35</v>
      </c>
      <c r="B346">
        <v>464</v>
      </c>
      <c r="C346" t="s">
        <v>36</v>
      </c>
      <c r="D346" t="s">
        <v>37</v>
      </c>
      <c r="E346">
        <v>5</v>
      </c>
      <c r="F346">
        <v>4</v>
      </c>
      <c r="G346" t="s">
        <v>51</v>
      </c>
      <c r="H346">
        <v>3</v>
      </c>
      <c r="I346" t="s">
        <v>38</v>
      </c>
      <c r="J346">
        <v>3</v>
      </c>
      <c r="K346">
        <v>3</v>
      </c>
      <c r="L346" t="s">
        <v>45</v>
      </c>
      <c r="M346">
        <v>2</v>
      </c>
      <c r="N346" t="s">
        <v>35</v>
      </c>
      <c r="O346">
        <v>8095</v>
      </c>
      <c r="P346">
        <v>0</v>
      </c>
      <c r="Q346" t="s">
        <v>36</v>
      </c>
      <c r="R346">
        <v>4</v>
      </c>
      <c r="S346">
        <v>17</v>
      </c>
      <c r="T346">
        <v>3</v>
      </c>
      <c r="U346">
        <v>16</v>
      </c>
      <c r="V346">
        <v>6</v>
      </c>
      <c r="W346">
        <v>0</v>
      </c>
      <c r="X346">
        <v>13</v>
      </c>
      <c r="Y346">
        <v>13</v>
      </c>
      <c r="Z346">
        <f>IF(H_A[[#This Row],[Attrition]]="Yes",1,0)</f>
        <v>0</v>
      </c>
      <c r="AA346" t="str">
        <f>IF(H_A[[#This Row],[Age]]&lt;30,"Young",IF(H_A[[#This Row],[Age]]&lt;45,"Mid","Senior"))</f>
        <v>Mid</v>
      </c>
      <c r="AB346" t="str">
        <f>IF(H_A[[#This Row],[MonthlyIncome]]&lt;5000,"Low",IF(H_A[[#This Row],[MonthlyIncome]]&lt;10000,"Medium","High"))</f>
        <v>Medium</v>
      </c>
      <c r="AC346" t="str">
        <f>IF(H_A[[#This Row],[YearsAtCompany]]&lt;3,"Early",IF(H_A[[#This Row],[YearsAtCompany]]&lt;7,"Mid","Long"))</f>
        <v>Long</v>
      </c>
      <c r="AD346" t="str">
        <f>IF(H_A[[#This Row],[PercentSalaryHike]]&lt;13,"Low",IF(H_A[[#This Row],[PercentSalaryHike]]&lt;18,"Medium","High"))</f>
        <v>Medium</v>
      </c>
    </row>
    <row r="347" spans="1:30" x14ac:dyDescent="0.3">
      <c r="A347">
        <v>23</v>
      </c>
      <c r="B347">
        <v>465</v>
      </c>
      <c r="C347" t="s">
        <v>36</v>
      </c>
      <c r="D347" t="s">
        <v>37</v>
      </c>
      <c r="E347">
        <v>26</v>
      </c>
      <c r="F347">
        <v>1</v>
      </c>
      <c r="G347" t="s">
        <v>32</v>
      </c>
      <c r="H347">
        <v>3</v>
      </c>
      <c r="I347" t="s">
        <v>38</v>
      </c>
      <c r="J347">
        <v>3</v>
      </c>
      <c r="K347">
        <v>1</v>
      </c>
      <c r="L347" t="s">
        <v>39</v>
      </c>
      <c r="M347">
        <v>4</v>
      </c>
      <c r="N347" t="s">
        <v>44</v>
      </c>
      <c r="O347">
        <v>2904</v>
      </c>
      <c r="P347">
        <v>1</v>
      </c>
      <c r="Q347" t="s">
        <v>36</v>
      </c>
      <c r="R347">
        <v>3</v>
      </c>
      <c r="S347">
        <v>4</v>
      </c>
      <c r="T347">
        <v>2</v>
      </c>
      <c r="U347">
        <v>4</v>
      </c>
      <c r="V347">
        <v>2</v>
      </c>
      <c r="W347">
        <v>0</v>
      </c>
      <c r="X347">
        <v>2</v>
      </c>
      <c r="Y347">
        <v>12</v>
      </c>
      <c r="Z347">
        <f>IF(H_A[[#This Row],[Attrition]]="Yes",1,0)</f>
        <v>0</v>
      </c>
      <c r="AA347" t="str">
        <f>IF(H_A[[#This Row],[Age]]&lt;30,"Young",IF(H_A[[#This Row],[Age]]&lt;45,"Mid","Senior"))</f>
        <v>Young</v>
      </c>
      <c r="AB347" t="str">
        <f>IF(H_A[[#This Row],[MonthlyIncome]]&lt;5000,"Low",IF(H_A[[#This Row],[MonthlyIncome]]&lt;10000,"Medium","High"))</f>
        <v>Low</v>
      </c>
      <c r="AC347" t="str">
        <f>IF(H_A[[#This Row],[YearsAtCompany]]&lt;3,"Early",IF(H_A[[#This Row],[YearsAtCompany]]&lt;7,"Mid","Long"))</f>
        <v>Mid</v>
      </c>
      <c r="AD347" t="str">
        <f>IF(H_A[[#This Row],[PercentSalaryHike]]&lt;13,"Low",IF(H_A[[#This Row],[PercentSalaryHike]]&lt;18,"Medium","High"))</f>
        <v>Low</v>
      </c>
    </row>
    <row r="348" spans="1:30" x14ac:dyDescent="0.3">
      <c r="A348">
        <v>41</v>
      </c>
      <c r="B348">
        <v>466</v>
      </c>
      <c r="C348" t="s">
        <v>36</v>
      </c>
      <c r="D348" t="s">
        <v>37</v>
      </c>
      <c r="E348">
        <v>6</v>
      </c>
      <c r="F348">
        <v>3</v>
      </c>
      <c r="G348" t="s">
        <v>43</v>
      </c>
      <c r="H348">
        <v>4</v>
      </c>
      <c r="I348" t="s">
        <v>38</v>
      </c>
      <c r="J348">
        <v>2</v>
      </c>
      <c r="K348">
        <v>2</v>
      </c>
      <c r="L348" t="s">
        <v>45</v>
      </c>
      <c r="M348">
        <v>2</v>
      </c>
      <c r="N348" t="s">
        <v>35</v>
      </c>
      <c r="O348">
        <v>6032</v>
      </c>
      <c r="P348">
        <v>6</v>
      </c>
      <c r="Q348" t="s">
        <v>30</v>
      </c>
      <c r="R348">
        <v>4</v>
      </c>
      <c r="S348">
        <v>8</v>
      </c>
      <c r="T348">
        <v>3</v>
      </c>
      <c r="U348">
        <v>5</v>
      </c>
      <c r="V348">
        <v>4</v>
      </c>
      <c r="W348">
        <v>1</v>
      </c>
      <c r="X348">
        <v>2</v>
      </c>
      <c r="Y348">
        <v>15</v>
      </c>
      <c r="Z348">
        <f>IF(H_A[[#This Row],[Attrition]]="Yes",1,0)</f>
        <v>0</v>
      </c>
      <c r="AA348" t="str">
        <f>IF(H_A[[#This Row],[Age]]&lt;30,"Young",IF(H_A[[#This Row],[Age]]&lt;45,"Mid","Senior"))</f>
        <v>Mid</v>
      </c>
      <c r="AB348" t="str">
        <f>IF(H_A[[#This Row],[MonthlyIncome]]&lt;5000,"Low",IF(H_A[[#This Row],[MonthlyIncome]]&lt;10000,"Medium","High"))</f>
        <v>Medium</v>
      </c>
      <c r="AC348" t="str">
        <f>IF(H_A[[#This Row],[YearsAtCompany]]&lt;3,"Early",IF(H_A[[#This Row],[YearsAtCompany]]&lt;7,"Mid","Long"))</f>
        <v>Mid</v>
      </c>
      <c r="AD348" t="str">
        <f>IF(H_A[[#This Row],[PercentSalaryHike]]&lt;13,"Low",IF(H_A[[#This Row],[PercentSalaryHike]]&lt;18,"Medium","High"))</f>
        <v>Medium</v>
      </c>
    </row>
    <row r="349" spans="1:30" x14ac:dyDescent="0.3">
      <c r="A349">
        <v>47</v>
      </c>
      <c r="B349">
        <v>467</v>
      </c>
      <c r="C349" t="s">
        <v>36</v>
      </c>
      <c r="D349" t="s">
        <v>31</v>
      </c>
      <c r="E349">
        <v>4</v>
      </c>
      <c r="F349">
        <v>1</v>
      </c>
      <c r="G349" t="s">
        <v>43</v>
      </c>
      <c r="H349">
        <v>2</v>
      </c>
      <c r="I349" t="s">
        <v>38</v>
      </c>
      <c r="J349">
        <v>3</v>
      </c>
      <c r="K349">
        <v>2</v>
      </c>
      <c r="L349" t="s">
        <v>48</v>
      </c>
      <c r="M349">
        <v>3</v>
      </c>
      <c r="N349" t="s">
        <v>35</v>
      </c>
      <c r="O349">
        <v>2976</v>
      </c>
      <c r="P349">
        <v>3</v>
      </c>
      <c r="Q349" t="s">
        <v>36</v>
      </c>
      <c r="R349">
        <v>1</v>
      </c>
      <c r="S349">
        <v>5</v>
      </c>
      <c r="T349">
        <v>3</v>
      </c>
      <c r="U349">
        <v>0</v>
      </c>
      <c r="V349">
        <v>0</v>
      </c>
      <c r="W349">
        <v>0</v>
      </c>
      <c r="X349">
        <v>0</v>
      </c>
      <c r="Y349">
        <v>19</v>
      </c>
      <c r="Z349">
        <f>IF(H_A[[#This Row],[Attrition]]="Yes",1,0)</f>
        <v>0</v>
      </c>
      <c r="AA349" t="str">
        <f>IF(H_A[[#This Row],[Age]]&lt;30,"Young",IF(H_A[[#This Row],[Age]]&lt;45,"Mid","Senior"))</f>
        <v>Senior</v>
      </c>
      <c r="AB349" t="str">
        <f>IF(H_A[[#This Row],[MonthlyIncome]]&lt;5000,"Low",IF(H_A[[#This Row],[MonthlyIncome]]&lt;10000,"Medium","High"))</f>
        <v>Low</v>
      </c>
      <c r="AC349" t="str">
        <f>IF(H_A[[#This Row],[YearsAtCompany]]&lt;3,"Early",IF(H_A[[#This Row],[YearsAtCompany]]&lt;7,"Mid","Long"))</f>
        <v>Early</v>
      </c>
      <c r="AD349" t="str">
        <f>IF(H_A[[#This Row],[PercentSalaryHike]]&lt;13,"Low",IF(H_A[[#This Row],[PercentSalaryHike]]&lt;18,"Medium","High"))</f>
        <v>High</v>
      </c>
    </row>
    <row r="350" spans="1:30" x14ac:dyDescent="0.3">
      <c r="A350">
        <v>42</v>
      </c>
      <c r="B350">
        <v>468</v>
      </c>
      <c r="C350" t="s">
        <v>36</v>
      </c>
      <c r="D350" t="s">
        <v>37</v>
      </c>
      <c r="E350">
        <v>23</v>
      </c>
      <c r="F350">
        <v>5</v>
      </c>
      <c r="G350" t="s">
        <v>32</v>
      </c>
      <c r="H350">
        <v>1</v>
      </c>
      <c r="I350" t="s">
        <v>33</v>
      </c>
      <c r="J350">
        <v>3</v>
      </c>
      <c r="K350">
        <v>4</v>
      </c>
      <c r="L350" t="s">
        <v>49</v>
      </c>
      <c r="M350">
        <v>4</v>
      </c>
      <c r="N350" t="s">
        <v>35</v>
      </c>
      <c r="O350">
        <v>15992</v>
      </c>
      <c r="P350">
        <v>2</v>
      </c>
      <c r="Q350" t="s">
        <v>36</v>
      </c>
      <c r="R350">
        <v>2</v>
      </c>
      <c r="S350">
        <v>16</v>
      </c>
      <c r="T350">
        <v>3</v>
      </c>
      <c r="U350">
        <v>1</v>
      </c>
      <c r="V350">
        <v>0</v>
      </c>
      <c r="W350">
        <v>0</v>
      </c>
      <c r="X350">
        <v>0</v>
      </c>
      <c r="Y350">
        <v>14</v>
      </c>
      <c r="Z350">
        <f>IF(H_A[[#This Row],[Attrition]]="Yes",1,0)</f>
        <v>0</v>
      </c>
      <c r="AA350" t="str">
        <f>IF(H_A[[#This Row],[Age]]&lt;30,"Young",IF(H_A[[#This Row],[Age]]&lt;45,"Mid","Senior"))</f>
        <v>Mid</v>
      </c>
      <c r="AB350" t="str">
        <f>IF(H_A[[#This Row],[MonthlyIncome]]&lt;5000,"Low",IF(H_A[[#This Row],[MonthlyIncome]]&lt;10000,"Medium","High"))</f>
        <v>High</v>
      </c>
      <c r="AC350" t="str">
        <f>IF(H_A[[#This Row],[YearsAtCompany]]&lt;3,"Early",IF(H_A[[#This Row],[YearsAtCompany]]&lt;7,"Mid","Long"))</f>
        <v>Early</v>
      </c>
      <c r="AD350" t="str">
        <f>IF(H_A[[#This Row],[PercentSalaryHike]]&lt;13,"Low",IF(H_A[[#This Row],[PercentSalaryHike]]&lt;18,"Medium","High"))</f>
        <v>Medium</v>
      </c>
    </row>
    <row r="351" spans="1:30" x14ac:dyDescent="0.3">
      <c r="A351">
        <v>29</v>
      </c>
      <c r="B351">
        <v>469</v>
      </c>
      <c r="C351" t="s">
        <v>36</v>
      </c>
      <c r="D351" t="s">
        <v>31</v>
      </c>
      <c r="E351">
        <v>2</v>
      </c>
      <c r="F351">
        <v>3</v>
      </c>
      <c r="G351" t="s">
        <v>32</v>
      </c>
      <c r="H351">
        <v>4</v>
      </c>
      <c r="I351" t="s">
        <v>38</v>
      </c>
      <c r="J351">
        <v>3</v>
      </c>
      <c r="K351">
        <v>2</v>
      </c>
      <c r="L351" t="s">
        <v>34</v>
      </c>
      <c r="M351">
        <v>3</v>
      </c>
      <c r="N351" t="s">
        <v>40</v>
      </c>
      <c r="O351">
        <v>4649</v>
      </c>
      <c r="P351">
        <v>1</v>
      </c>
      <c r="Q351" t="s">
        <v>36</v>
      </c>
      <c r="R351">
        <v>1</v>
      </c>
      <c r="S351">
        <v>4</v>
      </c>
      <c r="T351">
        <v>2</v>
      </c>
      <c r="U351">
        <v>4</v>
      </c>
      <c r="V351">
        <v>3</v>
      </c>
      <c r="W351">
        <v>0</v>
      </c>
      <c r="X351">
        <v>2</v>
      </c>
      <c r="Y351">
        <v>14</v>
      </c>
      <c r="Z351">
        <f>IF(H_A[[#This Row],[Attrition]]="Yes",1,0)</f>
        <v>0</v>
      </c>
      <c r="AA351" t="str">
        <f>IF(H_A[[#This Row],[Age]]&lt;30,"Young",IF(H_A[[#This Row],[Age]]&lt;45,"Mid","Senior"))</f>
        <v>Young</v>
      </c>
      <c r="AB351" t="str">
        <f>IF(H_A[[#This Row],[MonthlyIncome]]&lt;5000,"Low",IF(H_A[[#This Row],[MonthlyIncome]]&lt;10000,"Medium","High"))</f>
        <v>Low</v>
      </c>
      <c r="AC351" t="str">
        <f>IF(H_A[[#This Row],[YearsAtCompany]]&lt;3,"Early",IF(H_A[[#This Row],[YearsAtCompany]]&lt;7,"Mid","Long"))</f>
        <v>Mid</v>
      </c>
      <c r="AD351" t="str">
        <f>IF(H_A[[#This Row],[PercentSalaryHike]]&lt;13,"Low",IF(H_A[[#This Row],[PercentSalaryHike]]&lt;18,"Medium","High"))</f>
        <v>Medium</v>
      </c>
    </row>
    <row r="352" spans="1:30" x14ac:dyDescent="0.3">
      <c r="A352">
        <v>42</v>
      </c>
      <c r="B352">
        <v>470</v>
      </c>
      <c r="C352" t="s">
        <v>36</v>
      </c>
      <c r="D352" t="s">
        <v>52</v>
      </c>
      <c r="E352">
        <v>2</v>
      </c>
      <c r="F352">
        <v>1</v>
      </c>
      <c r="G352" t="s">
        <v>51</v>
      </c>
      <c r="H352">
        <v>3</v>
      </c>
      <c r="I352" t="s">
        <v>38</v>
      </c>
      <c r="J352">
        <v>3</v>
      </c>
      <c r="K352">
        <v>1</v>
      </c>
      <c r="L352" t="s">
        <v>52</v>
      </c>
      <c r="M352">
        <v>3</v>
      </c>
      <c r="N352" t="s">
        <v>44</v>
      </c>
      <c r="O352">
        <v>2696</v>
      </c>
      <c r="P352">
        <v>0</v>
      </c>
      <c r="Q352" t="s">
        <v>30</v>
      </c>
      <c r="R352">
        <v>3</v>
      </c>
      <c r="S352">
        <v>4</v>
      </c>
      <c r="T352">
        <v>3</v>
      </c>
      <c r="U352">
        <v>3</v>
      </c>
      <c r="V352">
        <v>2</v>
      </c>
      <c r="W352">
        <v>1</v>
      </c>
      <c r="X352">
        <v>0</v>
      </c>
      <c r="Y352">
        <v>11</v>
      </c>
      <c r="Z352">
        <f>IF(H_A[[#This Row],[Attrition]]="Yes",1,0)</f>
        <v>0</v>
      </c>
      <c r="AA352" t="str">
        <f>IF(H_A[[#This Row],[Age]]&lt;30,"Young",IF(H_A[[#This Row],[Age]]&lt;45,"Mid","Senior"))</f>
        <v>Mid</v>
      </c>
      <c r="AB352" t="str">
        <f>IF(H_A[[#This Row],[MonthlyIncome]]&lt;5000,"Low",IF(H_A[[#This Row],[MonthlyIncome]]&lt;10000,"Medium","High"))</f>
        <v>Low</v>
      </c>
      <c r="AC352" t="str">
        <f>IF(H_A[[#This Row],[YearsAtCompany]]&lt;3,"Early",IF(H_A[[#This Row],[YearsAtCompany]]&lt;7,"Mid","Long"))</f>
        <v>Mid</v>
      </c>
      <c r="AD352" t="str">
        <f>IF(H_A[[#This Row],[PercentSalaryHike]]&lt;13,"Low",IF(H_A[[#This Row],[PercentSalaryHike]]&lt;18,"Medium","High"))</f>
        <v>Low</v>
      </c>
    </row>
    <row r="353" spans="1:30" x14ac:dyDescent="0.3">
      <c r="A353">
        <v>32</v>
      </c>
      <c r="B353">
        <v>471</v>
      </c>
      <c r="C353" t="s">
        <v>36</v>
      </c>
      <c r="D353" t="s">
        <v>37</v>
      </c>
      <c r="E353">
        <v>2</v>
      </c>
      <c r="F353">
        <v>3</v>
      </c>
      <c r="G353" t="s">
        <v>43</v>
      </c>
      <c r="H353">
        <v>3</v>
      </c>
      <c r="I353" t="s">
        <v>33</v>
      </c>
      <c r="J353">
        <v>3</v>
      </c>
      <c r="K353">
        <v>1</v>
      </c>
      <c r="L353" t="s">
        <v>42</v>
      </c>
      <c r="M353">
        <v>2</v>
      </c>
      <c r="N353" t="s">
        <v>40</v>
      </c>
      <c r="O353">
        <v>2370</v>
      </c>
      <c r="P353">
        <v>1</v>
      </c>
      <c r="Q353" t="s">
        <v>36</v>
      </c>
      <c r="R353">
        <v>3</v>
      </c>
      <c r="S353">
        <v>8</v>
      </c>
      <c r="T353">
        <v>3</v>
      </c>
      <c r="U353">
        <v>8</v>
      </c>
      <c r="V353">
        <v>0</v>
      </c>
      <c r="W353">
        <v>0</v>
      </c>
      <c r="X353">
        <v>7</v>
      </c>
      <c r="Y353">
        <v>13</v>
      </c>
      <c r="Z353">
        <f>IF(H_A[[#This Row],[Attrition]]="Yes",1,0)</f>
        <v>0</v>
      </c>
      <c r="AA353" t="str">
        <f>IF(H_A[[#This Row],[Age]]&lt;30,"Young",IF(H_A[[#This Row],[Age]]&lt;45,"Mid","Senior"))</f>
        <v>Mid</v>
      </c>
      <c r="AB353" t="str">
        <f>IF(H_A[[#This Row],[MonthlyIncome]]&lt;5000,"Low",IF(H_A[[#This Row],[MonthlyIncome]]&lt;10000,"Medium","High"))</f>
        <v>Low</v>
      </c>
      <c r="AC353" t="str">
        <f>IF(H_A[[#This Row],[YearsAtCompany]]&lt;3,"Early",IF(H_A[[#This Row],[YearsAtCompany]]&lt;7,"Mid","Long"))</f>
        <v>Long</v>
      </c>
      <c r="AD353" t="str">
        <f>IF(H_A[[#This Row],[PercentSalaryHike]]&lt;13,"Low",IF(H_A[[#This Row],[PercentSalaryHike]]&lt;18,"Medium","High"))</f>
        <v>Medium</v>
      </c>
    </row>
    <row r="354" spans="1:30" x14ac:dyDescent="0.3">
      <c r="A354">
        <v>48</v>
      </c>
      <c r="B354">
        <v>473</v>
      </c>
      <c r="C354" t="s">
        <v>36</v>
      </c>
      <c r="D354" t="s">
        <v>31</v>
      </c>
      <c r="E354">
        <v>29</v>
      </c>
      <c r="F354">
        <v>1</v>
      </c>
      <c r="G354" t="s">
        <v>43</v>
      </c>
      <c r="H354">
        <v>1</v>
      </c>
      <c r="I354" t="s">
        <v>33</v>
      </c>
      <c r="J354">
        <v>3</v>
      </c>
      <c r="K354">
        <v>3</v>
      </c>
      <c r="L354" t="s">
        <v>47</v>
      </c>
      <c r="M354">
        <v>3</v>
      </c>
      <c r="N354" t="s">
        <v>40</v>
      </c>
      <c r="O354">
        <v>12504</v>
      </c>
      <c r="P354">
        <v>3</v>
      </c>
      <c r="Q354" t="s">
        <v>36</v>
      </c>
      <c r="R354">
        <v>2</v>
      </c>
      <c r="S354">
        <v>15</v>
      </c>
      <c r="T354">
        <v>1</v>
      </c>
      <c r="U354">
        <v>0</v>
      </c>
      <c r="V354">
        <v>0</v>
      </c>
      <c r="W354">
        <v>0</v>
      </c>
      <c r="X354">
        <v>0</v>
      </c>
      <c r="Y354">
        <v>21</v>
      </c>
      <c r="Z354">
        <f>IF(H_A[[#This Row],[Attrition]]="Yes",1,0)</f>
        <v>0</v>
      </c>
      <c r="AA354" t="str">
        <f>IF(H_A[[#This Row],[Age]]&lt;30,"Young",IF(H_A[[#This Row],[Age]]&lt;45,"Mid","Senior"))</f>
        <v>Senior</v>
      </c>
      <c r="AB354" t="str">
        <f>IF(H_A[[#This Row],[MonthlyIncome]]&lt;5000,"Low",IF(H_A[[#This Row],[MonthlyIncome]]&lt;10000,"Medium","High"))</f>
        <v>High</v>
      </c>
      <c r="AC354" t="str">
        <f>IF(H_A[[#This Row],[YearsAtCompany]]&lt;3,"Early",IF(H_A[[#This Row],[YearsAtCompany]]&lt;7,"Mid","Long"))</f>
        <v>Early</v>
      </c>
      <c r="AD354" t="str">
        <f>IF(H_A[[#This Row],[PercentSalaryHike]]&lt;13,"Low",IF(H_A[[#This Row],[PercentSalaryHike]]&lt;18,"Medium","High"))</f>
        <v>High</v>
      </c>
    </row>
    <row r="355" spans="1:30" x14ac:dyDescent="0.3">
      <c r="A355">
        <v>37</v>
      </c>
      <c r="B355">
        <v>474</v>
      </c>
      <c r="C355" t="s">
        <v>36</v>
      </c>
      <c r="D355" t="s">
        <v>37</v>
      </c>
      <c r="E355">
        <v>6</v>
      </c>
      <c r="F355">
        <v>3</v>
      </c>
      <c r="G355" t="s">
        <v>43</v>
      </c>
      <c r="H355">
        <v>3</v>
      </c>
      <c r="I355" t="s">
        <v>38</v>
      </c>
      <c r="J355">
        <v>4</v>
      </c>
      <c r="K355">
        <v>2</v>
      </c>
      <c r="L355" t="s">
        <v>39</v>
      </c>
      <c r="M355">
        <v>1</v>
      </c>
      <c r="N355" t="s">
        <v>44</v>
      </c>
      <c r="O355">
        <v>5974</v>
      </c>
      <c r="P355">
        <v>4</v>
      </c>
      <c r="Q355" t="s">
        <v>30</v>
      </c>
      <c r="R355">
        <v>1</v>
      </c>
      <c r="S355">
        <v>13</v>
      </c>
      <c r="T355">
        <v>3</v>
      </c>
      <c r="U355">
        <v>7</v>
      </c>
      <c r="V355">
        <v>7</v>
      </c>
      <c r="W355">
        <v>6</v>
      </c>
      <c r="X355">
        <v>7</v>
      </c>
      <c r="Y355">
        <v>13</v>
      </c>
      <c r="Z355">
        <f>IF(H_A[[#This Row],[Attrition]]="Yes",1,0)</f>
        <v>0</v>
      </c>
      <c r="AA355" t="str">
        <f>IF(H_A[[#This Row],[Age]]&lt;30,"Young",IF(H_A[[#This Row],[Age]]&lt;45,"Mid","Senior"))</f>
        <v>Mid</v>
      </c>
      <c r="AB355" t="str">
        <f>IF(H_A[[#This Row],[MonthlyIncome]]&lt;5000,"Low",IF(H_A[[#This Row],[MonthlyIncome]]&lt;10000,"Medium","High"))</f>
        <v>Medium</v>
      </c>
      <c r="AC355" t="str">
        <f>IF(H_A[[#This Row],[YearsAtCompany]]&lt;3,"Early",IF(H_A[[#This Row],[YearsAtCompany]]&lt;7,"Mid","Long"))</f>
        <v>Long</v>
      </c>
      <c r="AD355" t="str">
        <f>IF(H_A[[#This Row],[PercentSalaryHike]]&lt;13,"Low",IF(H_A[[#This Row],[PercentSalaryHike]]&lt;18,"Medium","High"))</f>
        <v>Medium</v>
      </c>
    </row>
    <row r="356" spans="1:30" x14ac:dyDescent="0.3">
      <c r="A356">
        <v>30</v>
      </c>
      <c r="B356">
        <v>475</v>
      </c>
      <c r="C356" t="s">
        <v>36</v>
      </c>
      <c r="D356" t="s">
        <v>31</v>
      </c>
      <c r="E356">
        <v>25</v>
      </c>
      <c r="F356">
        <v>2</v>
      </c>
      <c r="G356" t="s">
        <v>51</v>
      </c>
      <c r="H356">
        <v>4</v>
      </c>
      <c r="I356" t="s">
        <v>33</v>
      </c>
      <c r="J356">
        <v>3</v>
      </c>
      <c r="K356">
        <v>2</v>
      </c>
      <c r="L356" t="s">
        <v>34</v>
      </c>
      <c r="M356">
        <v>3</v>
      </c>
      <c r="N356" t="s">
        <v>40</v>
      </c>
      <c r="O356">
        <v>4736</v>
      </c>
      <c r="P356">
        <v>7</v>
      </c>
      <c r="Q356" t="s">
        <v>30</v>
      </c>
      <c r="R356">
        <v>2</v>
      </c>
      <c r="S356">
        <v>4</v>
      </c>
      <c r="T356">
        <v>4</v>
      </c>
      <c r="U356">
        <v>2</v>
      </c>
      <c r="V356">
        <v>2</v>
      </c>
      <c r="W356">
        <v>2</v>
      </c>
      <c r="X356">
        <v>2</v>
      </c>
      <c r="Y356">
        <v>12</v>
      </c>
      <c r="Z356">
        <f>IF(H_A[[#This Row],[Attrition]]="Yes",1,0)</f>
        <v>0</v>
      </c>
      <c r="AA356" t="str">
        <f>IF(H_A[[#This Row],[Age]]&lt;30,"Young",IF(H_A[[#This Row],[Age]]&lt;45,"Mid","Senior"))</f>
        <v>Mid</v>
      </c>
      <c r="AB356" t="str">
        <f>IF(H_A[[#This Row],[MonthlyIncome]]&lt;5000,"Low",IF(H_A[[#This Row],[MonthlyIncome]]&lt;10000,"Medium","High"))</f>
        <v>Low</v>
      </c>
      <c r="AC356" t="str">
        <f>IF(H_A[[#This Row],[YearsAtCompany]]&lt;3,"Early",IF(H_A[[#This Row],[YearsAtCompany]]&lt;7,"Mid","Long"))</f>
        <v>Early</v>
      </c>
      <c r="AD356" t="str">
        <f>IF(H_A[[#This Row],[PercentSalaryHike]]&lt;13,"Low",IF(H_A[[#This Row],[PercentSalaryHike]]&lt;18,"Medium","High"))</f>
        <v>Low</v>
      </c>
    </row>
    <row r="357" spans="1:30" x14ac:dyDescent="0.3">
      <c r="A357">
        <v>26</v>
      </c>
      <c r="B357">
        <v>476</v>
      </c>
      <c r="C357" t="s">
        <v>36</v>
      </c>
      <c r="D357" t="s">
        <v>31</v>
      </c>
      <c r="E357">
        <v>1</v>
      </c>
      <c r="F357">
        <v>3</v>
      </c>
      <c r="G357" t="s">
        <v>32</v>
      </c>
      <c r="H357">
        <v>3</v>
      </c>
      <c r="I357" t="s">
        <v>38</v>
      </c>
      <c r="J357">
        <v>3</v>
      </c>
      <c r="K357">
        <v>2</v>
      </c>
      <c r="L357" t="s">
        <v>34</v>
      </c>
      <c r="M357">
        <v>3</v>
      </c>
      <c r="N357" t="s">
        <v>40</v>
      </c>
      <c r="O357">
        <v>5296</v>
      </c>
      <c r="P357">
        <v>1</v>
      </c>
      <c r="Q357" t="s">
        <v>36</v>
      </c>
      <c r="R357">
        <v>2</v>
      </c>
      <c r="S357">
        <v>8</v>
      </c>
      <c r="T357">
        <v>3</v>
      </c>
      <c r="U357">
        <v>8</v>
      </c>
      <c r="V357">
        <v>7</v>
      </c>
      <c r="W357">
        <v>7</v>
      </c>
      <c r="X357">
        <v>7</v>
      </c>
      <c r="Y357">
        <v>17</v>
      </c>
      <c r="Z357">
        <f>IF(H_A[[#This Row],[Attrition]]="Yes",1,0)</f>
        <v>0</v>
      </c>
      <c r="AA357" t="str">
        <f>IF(H_A[[#This Row],[Age]]&lt;30,"Young",IF(H_A[[#This Row],[Age]]&lt;45,"Mid","Senior"))</f>
        <v>Young</v>
      </c>
      <c r="AB357" t="str">
        <f>IF(H_A[[#This Row],[MonthlyIncome]]&lt;5000,"Low",IF(H_A[[#This Row],[MonthlyIncome]]&lt;10000,"Medium","High"))</f>
        <v>Medium</v>
      </c>
      <c r="AC357" t="str">
        <f>IF(H_A[[#This Row],[YearsAtCompany]]&lt;3,"Early",IF(H_A[[#This Row],[YearsAtCompany]]&lt;7,"Mid","Long"))</f>
        <v>Long</v>
      </c>
      <c r="AD357" t="str">
        <f>IF(H_A[[#This Row],[PercentSalaryHike]]&lt;13,"Low",IF(H_A[[#This Row],[PercentSalaryHike]]&lt;18,"Medium","High"))</f>
        <v>Medium</v>
      </c>
    </row>
    <row r="358" spans="1:30" x14ac:dyDescent="0.3">
      <c r="A358">
        <v>42</v>
      </c>
      <c r="B358">
        <v>477</v>
      </c>
      <c r="C358" t="s">
        <v>36</v>
      </c>
      <c r="D358" t="s">
        <v>37</v>
      </c>
      <c r="E358">
        <v>2</v>
      </c>
      <c r="F358">
        <v>4</v>
      </c>
      <c r="G358" t="s">
        <v>41</v>
      </c>
      <c r="H358">
        <v>1</v>
      </c>
      <c r="I358" t="s">
        <v>38</v>
      </c>
      <c r="J358">
        <v>2</v>
      </c>
      <c r="K358">
        <v>2</v>
      </c>
      <c r="L358" t="s">
        <v>46</v>
      </c>
      <c r="M358">
        <v>4</v>
      </c>
      <c r="N358" t="s">
        <v>35</v>
      </c>
      <c r="O358">
        <v>6781</v>
      </c>
      <c r="P358">
        <v>3</v>
      </c>
      <c r="Q358" t="s">
        <v>36</v>
      </c>
      <c r="R358">
        <v>2</v>
      </c>
      <c r="S358">
        <v>14</v>
      </c>
      <c r="T358">
        <v>3</v>
      </c>
      <c r="U358">
        <v>1</v>
      </c>
      <c r="V358">
        <v>0</v>
      </c>
      <c r="W358">
        <v>0</v>
      </c>
      <c r="X358">
        <v>0</v>
      </c>
      <c r="Y358">
        <v>23</v>
      </c>
      <c r="Z358">
        <f>IF(H_A[[#This Row],[Attrition]]="Yes",1,0)</f>
        <v>0</v>
      </c>
      <c r="AA358" t="str">
        <f>IF(H_A[[#This Row],[Age]]&lt;30,"Young",IF(H_A[[#This Row],[Age]]&lt;45,"Mid","Senior"))</f>
        <v>Mid</v>
      </c>
      <c r="AB358" t="str">
        <f>IF(H_A[[#This Row],[MonthlyIncome]]&lt;5000,"Low",IF(H_A[[#This Row],[MonthlyIncome]]&lt;10000,"Medium","High"))</f>
        <v>Medium</v>
      </c>
      <c r="AC358" t="str">
        <f>IF(H_A[[#This Row],[YearsAtCompany]]&lt;3,"Early",IF(H_A[[#This Row],[YearsAtCompany]]&lt;7,"Mid","Long"))</f>
        <v>Early</v>
      </c>
      <c r="AD358" t="str">
        <f>IF(H_A[[#This Row],[PercentSalaryHike]]&lt;13,"Low",IF(H_A[[#This Row],[PercentSalaryHike]]&lt;18,"Medium","High"))</f>
        <v>High</v>
      </c>
    </row>
    <row r="359" spans="1:30" x14ac:dyDescent="0.3">
      <c r="A359">
        <v>21</v>
      </c>
      <c r="B359">
        <v>478</v>
      </c>
      <c r="C359" t="s">
        <v>30</v>
      </c>
      <c r="D359" t="s">
        <v>31</v>
      </c>
      <c r="E359">
        <v>1</v>
      </c>
      <c r="F359">
        <v>1</v>
      </c>
      <c r="G359" t="s">
        <v>51</v>
      </c>
      <c r="H359">
        <v>1</v>
      </c>
      <c r="I359" t="s">
        <v>33</v>
      </c>
      <c r="J359">
        <v>2</v>
      </c>
      <c r="K359">
        <v>1</v>
      </c>
      <c r="L359" t="s">
        <v>48</v>
      </c>
      <c r="M359">
        <v>2</v>
      </c>
      <c r="N359" t="s">
        <v>35</v>
      </c>
      <c r="O359">
        <v>2174</v>
      </c>
      <c r="P359">
        <v>1</v>
      </c>
      <c r="Q359" t="s">
        <v>30</v>
      </c>
      <c r="R359">
        <v>3</v>
      </c>
      <c r="S359">
        <v>3</v>
      </c>
      <c r="T359">
        <v>3</v>
      </c>
      <c r="U359">
        <v>3</v>
      </c>
      <c r="V359">
        <v>2</v>
      </c>
      <c r="W359">
        <v>1</v>
      </c>
      <c r="X359">
        <v>2</v>
      </c>
      <c r="Y359">
        <v>11</v>
      </c>
      <c r="Z359">
        <f>IF(H_A[[#This Row],[Attrition]]="Yes",1,0)</f>
        <v>1</v>
      </c>
      <c r="AA359" t="str">
        <f>IF(H_A[[#This Row],[Age]]&lt;30,"Young",IF(H_A[[#This Row],[Age]]&lt;45,"Mid","Senior"))</f>
        <v>Young</v>
      </c>
      <c r="AB359" t="str">
        <f>IF(H_A[[#This Row],[MonthlyIncome]]&lt;5000,"Low",IF(H_A[[#This Row],[MonthlyIncome]]&lt;10000,"Medium","High"))</f>
        <v>Low</v>
      </c>
      <c r="AC359" t="str">
        <f>IF(H_A[[#This Row],[YearsAtCompany]]&lt;3,"Early",IF(H_A[[#This Row],[YearsAtCompany]]&lt;7,"Mid","Long"))</f>
        <v>Mid</v>
      </c>
      <c r="AD359" t="str">
        <f>IF(H_A[[#This Row],[PercentSalaryHike]]&lt;13,"Low",IF(H_A[[#This Row],[PercentSalaryHike]]&lt;18,"Medium","High"))</f>
        <v>Low</v>
      </c>
    </row>
    <row r="360" spans="1:30" x14ac:dyDescent="0.3">
      <c r="A360">
        <v>36</v>
      </c>
      <c r="B360">
        <v>479</v>
      </c>
      <c r="C360" t="s">
        <v>36</v>
      </c>
      <c r="D360" t="s">
        <v>31</v>
      </c>
      <c r="E360">
        <v>1</v>
      </c>
      <c r="F360">
        <v>5</v>
      </c>
      <c r="G360" t="s">
        <v>43</v>
      </c>
      <c r="H360">
        <v>4</v>
      </c>
      <c r="I360" t="s">
        <v>33</v>
      </c>
      <c r="J360">
        <v>3</v>
      </c>
      <c r="K360">
        <v>2</v>
      </c>
      <c r="L360" t="s">
        <v>34</v>
      </c>
      <c r="M360">
        <v>4</v>
      </c>
      <c r="N360" t="s">
        <v>35</v>
      </c>
      <c r="O360">
        <v>6653</v>
      </c>
      <c r="P360">
        <v>4</v>
      </c>
      <c r="Q360" t="s">
        <v>36</v>
      </c>
      <c r="R360">
        <v>2</v>
      </c>
      <c r="S360">
        <v>7</v>
      </c>
      <c r="T360">
        <v>3</v>
      </c>
      <c r="U360">
        <v>1</v>
      </c>
      <c r="V360">
        <v>0</v>
      </c>
      <c r="W360">
        <v>0</v>
      </c>
      <c r="X360">
        <v>0</v>
      </c>
      <c r="Y360">
        <v>15</v>
      </c>
      <c r="Z360">
        <f>IF(H_A[[#This Row],[Attrition]]="Yes",1,0)</f>
        <v>0</v>
      </c>
      <c r="AA360" t="str">
        <f>IF(H_A[[#This Row],[Age]]&lt;30,"Young",IF(H_A[[#This Row],[Age]]&lt;45,"Mid","Senior"))</f>
        <v>Mid</v>
      </c>
      <c r="AB360" t="str">
        <f>IF(H_A[[#This Row],[MonthlyIncome]]&lt;5000,"Low",IF(H_A[[#This Row],[MonthlyIncome]]&lt;10000,"Medium","High"))</f>
        <v>Medium</v>
      </c>
      <c r="AC360" t="str">
        <f>IF(H_A[[#This Row],[YearsAtCompany]]&lt;3,"Early",IF(H_A[[#This Row],[YearsAtCompany]]&lt;7,"Mid","Long"))</f>
        <v>Early</v>
      </c>
      <c r="AD360" t="str">
        <f>IF(H_A[[#This Row],[PercentSalaryHike]]&lt;13,"Low",IF(H_A[[#This Row],[PercentSalaryHike]]&lt;18,"Medium","High"))</f>
        <v>Medium</v>
      </c>
    </row>
    <row r="361" spans="1:30" x14ac:dyDescent="0.3">
      <c r="A361">
        <v>36</v>
      </c>
      <c r="B361">
        <v>481</v>
      </c>
      <c r="C361" t="s">
        <v>36</v>
      </c>
      <c r="D361" t="s">
        <v>31</v>
      </c>
      <c r="E361">
        <v>3</v>
      </c>
      <c r="F361">
        <v>4</v>
      </c>
      <c r="G361" t="s">
        <v>43</v>
      </c>
      <c r="H361">
        <v>1</v>
      </c>
      <c r="I361" t="s">
        <v>38</v>
      </c>
      <c r="J361">
        <v>2</v>
      </c>
      <c r="K361">
        <v>3</v>
      </c>
      <c r="L361" t="s">
        <v>34</v>
      </c>
      <c r="M361">
        <v>4</v>
      </c>
      <c r="N361" t="s">
        <v>40</v>
      </c>
      <c r="O361">
        <v>9699</v>
      </c>
      <c r="P361">
        <v>4</v>
      </c>
      <c r="Q361" t="s">
        <v>36</v>
      </c>
      <c r="R361">
        <v>1</v>
      </c>
      <c r="S361">
        <v>16</v>
      </c>
      <c r="T361">
        <v>3</v>
      </c>
      <c r="U361">
        <v>13</v>
      </c>
      <c r="V361">
        <v>9</v>
      </c>
      <c r="W361">
        <v>1</v>
      </c>
      <c r="X361">
        <v>12</v>
      </c>
      <c r="Y361">
        <v>11</v>
      </c>
      <c r="Z361">
        <f>IF(H_A[[#This Row],[Attrition]]="Yes",1,0)</f>
        <v>0</v>
      </c>
      <c r="AA361" t="str">
        <f>IF(H_A[[#This Row],[Age]]&lt;30,"Young",IF(H_A[[#This Row],[Age]]&lt;45,"Mid","Senior"))</f>
        <v>Mid</v>
      </c>
      <c r="AB361" t="str">
        <f>IF(H_A[[#This Row],[MonthlyIncome]]&lt;5000,"Low",IF(H_A[[#This Row],[MonthlyIncome]]&lt;10000,"Medium","High"))</f>
        <v>Medium</v>
      </c>
      <c r="AC361" t="str">
        <f>IF(H_A[[#This Row],[YearsAtCompany]]&lt;3,"Early",IF(H_A[[#This Row],[YearsAtCompany]]&lt;7,"Mid","Long"))</f>
        <v>Long</v>
      </c>
      <c r="AD361" t="str">
        <f>IF(H_A[[#This Row],[PercentSalaryHike]]&lt;13,"Low",IF(H_A[[#This Row],[PercentSalaryHike]]&lt;18,"Medium","High"))</f>
        <v>Low</v>
      </c>
    </row>
    <row r="362" spans="1:30" x14ac:dyDescent="0.3">
      <c r="A362">
        <v>57</v>
      </c>
      <c r="B362">
        <v>482</v>
      </c>
      <c r="C362" t="s">
        <v>36</v>
      </c>
      <c r="D362" t="s">
        <v>37</v>
      </c>
      <c r="E362">
        <v>1</v>
      </c>
      <c r="F362">
        <v>4</v>
      </c>
      <c r="G362" t="s">
        <v>43</v>
      </c>
      <c r="H362">
        <v>4</v>
      </c>
      <c r="I362" t="s">
        <v>38</v>
      </c>
      <c r="J362">
        <v>3</v>
      </c>
      <c r="K362">
        <v>2</v>
      </c>
      <c r="L362" t="s">
        <v>46</v>
      </c>
      <c r="M362">
        <v>3</v>
      </c>
      <c r="N362" t="s">
        <v>40</v>
      </c>
      <c r="O362">
        <v>6755</v>
      </c>
      <c r="P362">
        <v>2</v>
      </c>
      <c r="Q362" t="s">
        <v>36</v>
      </c>
      <c r="R362">
        <v>3</v>
      </c>
      <c r="S362">
        <v>15</v>
      </c>
      <c r="T362">
        <v>3</v>
      </c>
      <c r="U362">
        <v>3</v>
      </c>
      <c r="V362">
        <v>2</v>
      </c>
      <c r="W362">
        <v>1</v>
      </c>
      <c r="X362">
        <v>2</v>
      </c>
      <c r="Y362">
        <v>11</v>
      </c>
      <c r="Z362">
        <f>IF(H_A[[#This Row],[Attrition]]="Yes",1,0)</f>
        <v>0</v>
      </c>
      <c r="AA362" t="str">
        <f>IF(H_A[[#This Row],[Age]]&lt;30,"Young",IF(H_A[[#This Row],[Age]]&lt;45,"Mid","Senior"))</f>
        <v>Senior</v>
      </c>
      <c r="AB362" t="str">
        <f>IF(H_A[[#This Row],[MonthlyIncome]]&lt;5000,"Low",IF(H_A[[#This Row],[MonthlyIncome]]&lt;10000,"Medium","High"))</f>
        <v>Medium</v>
      </c>
      <c r="AC362" t="str">
        <f>IF(H_A[[#This Row],[YearsAtCompany]]&lt;3,"Early",IF(H_A[[#This Row],[YearsAtCompany]]&lt;7,"Mid","Long"))</f>
        <v>Mid</v>
      </c>
      <c r="AD362" t="str">
        <f>IF(H_A[[#This Row],[PercentSalaryHike]]&lt;13,"Low",IF(H_A[[#This Row],[PercentSalaryHike]]&lt;18,"Medium","High"))</f>
        <v>Low</v>
      </c>
    </row>
    <row r="363" spans="1:30" x14ac:dyDescent="0.3">
      <c r="A363">
        <v>40</v>
      </c>
      <c r="B363">
        <v>483</v>
      </c>
      <c r="C363" t="s">
        <v>36</v>
      </c>
      <c r="D363" t="s">
        <v>37</v>
      </c>
      <c r="E363">
        <v>10</v>
      </c>
      <c r="F363">
        <v>4</v>
      </c>
      <c r="G363" t="s">
        <v>32</v>
      </c>
      <c r="H363">
        <v>4</v>
      </c>
      <c r="I363" t="s">
        <v>33</v>
      </c>
      <c r="J363">
        <v>4</v>
      </c>
      <c r="K363">
        <v>1</v>
      </c>
      <c r="L363" t="s">
        <v>42</v>
      </c>
      <c r="M363">
        <v>3</v>
      </c>
      <c r="N363" t="s">
        <v>40</v>
      </c>
      <c r="O363">
        <v>2213</v>
      </c>
      <c r="P363">
        <v>3</v>
      </c>
      <c r="Q363" t="s">
        <v>30</v>
      </c>
      <c r="R363">
        <v>3</v>
      </c>
      <c r="S363">
        <v>10</v>
      </c>
      <c r="T363">
        <v>3</v>
      </c>
      <c r="U363">
        <v>7</v>
      </c>
      <c r="V363">
        <v>7</v>
      </c>
      <c r="W363">
        <v>1</v>
      </c>
      <c r="X363">
        <v>7</v>
      </c>
      <c r="Y363">
        <v>13</v>
      </c>
      <c r="Z363">
        <f>IF(H_A[[#This Row],[Attrition]]="Yes",1,0)</f>
        <v>0</v>
      </c>
      <c r="AA363" t="str">
        <f>IF(H_A[[#This Row],[Age]]&lt;30,"Young",IF(H_A[[#This Row],[Age]]&lt;45,"Mid","Senior"))</f>
        <v>Mid</v>
      </c>
      <c r="AB363" t="str">
        <f>IF(H_A[[#This Row],[MonthlyIncome]]&lt;5000,"Low",IF(H_A[[#This Row],[MonthlyIncome]]&lt;10000,"Medium","High"))</f>
        <v>Low</v>
      </c>
      <c r="AC363" t="str">
        <f>IF(H_A[[#This Row],[YearsAtCompany]]&lt;3,"Early",IF(H_A[[#This Row],[YearsAtCompany]]&lt;7,"Mid","Long"))</f>
        <v>Long</v>
      </c>
      <c r="AD363" t="str">
        <f>IF(H_A[[#This Row],[PercentSalaryHike]]&lt;13,"Low",IF(H_A[[#This Row],[PercentSalaryHike]]&lt;18,"Medium","High"))</f>
        <v>Medium</v>
      </c>
    </row>
    <row r="364" spans="1:30" x14ac:dyDescent="0.3">
      <c r="A364">
        <v>21</v>
      </c>
      <c r="B364">
        <v>484</v>
      </c>
      <c r="C364" t="s">
        <v>36</v>
      </c>
      <c r="D364" t="s">
        <v>31</v>
      </c>
      <c r="E364">
        <v>9</v>
      </c>
      <c r="F364">
        <v>2</v>
      </c>
      <c r="G364" t="s">
        <v>43</v>
      </c>
      <c r="H364">
        <v>1</v>
      </c>
      <c r="I364" t="s">
        <v>38</v>
      </c>
      <c r="J364">
        <v>3</v>
      </c>
      <c r="K364">
        <v>1</v>
      </c>
      <c r="L364" t="s">
        <v>48</v>
      </c>
      <c r="M364">
        <v>4</v>
      </c>
      <c r="N364" t="s">
        <v>35</v>
      </c>
      <c r="O364">
        <v>2610</v>
      </c>
      <c r="P364">
        <v>1</v>
      </c>
      <c r="Q364" t="s">
        <v>36</v>
      </c>
      <c r="R364">
        <v>3</v>
      </c>
      <c r="S364">
        <v>3</v>
      </c>
      <c r="T364">
        <v>2</v>
      </c>
      <c r="U364">
        <v>3</v>
      </c>
      <c r="V364">
        <v>2</v>
      </c>
      <c r="W364">
        <v>2</v>
      </c>
      <c r="X364">
        <v>2</v>
      </c>
      <c r="Y364">
        <v>24</v>
      </c>
      <c r="Z364">
        <f>IF(H_A[[#This Row],[Attrition]]="Yes",1,0)</f>
        <v>0</v>
      </c>
      <c r="AA364" t="str">
        <f>IF(H_A[[#This Row],[Age]]&lt;30,"Young",IF(H_A[[#This Row],[Age]]&lt;45,"Mid","Senior"))</f>
        <v>Young</v>
      </c>
      <c r="AB364" t="str">
        <f>IF(H_A[[#This Row],[MonthlyIncome]]&lt;5000,"Low",IF(H_A[[#This Row],[MonthlyIncome]]&lt;10000,"Medium","High"))</f>
        <v>Low</v>
      </c>
      <c r="AC364" t="str">
        <f>IF(H_A[[#This Row],[YearsAtCompany]]&lt;3,"Early",IF(H_A[[#This Row],[YearsAtCompany]]&lt;7,"Mid","Long"))</f>
        <v>Mid</v>
      </c>
      <c r="AD364" t="str">
        <f>IF(H_A[[#This Row],[PercentSalaryHike]]&lt;13,"Low",IF(H_A[[#This Row],[PercentSalaryHike]]&lt;18,"Medium","High"))</f>
        <v>High</v>
      </c>
    </row>
    <row r="365" spans="1:30" x14ac:dyDescent="0.3">
      <c r="A365">
        <v>33</v>
      </c>
      <c r="B365">
        <v>485</v>
      </c>
      <c r="C365" t="s">
        <v>30</v>
      </c>
      <c r="D365" t="s">
        <v>31</v>
      </c>
      <c r="E365">
        <v>5</v>
      </c>
      <c r="F365">
        <v>3</v>
      </c>
      <c r="G365" t="s">
        <v>50</v>
      </c>
      <c r="H365">
        <v>4</v>
      </c>
      <c r="I365" t="s">
        <v>33</v>
      </c>
      <c r="J365">
        <v>3</v>
      </c>
      <c r="K365">
        <v>1</v>
      </c>
      <c r="L365" t="s">
        <v>48</v>
      </c>
      <c r="M365">
        <v>3</v>
      </c>
      <c r="N365" t="s">
        <v>35</v>
      </c>
      <c r="O365">
        <v>2851</v>
      </c>
      <c r="P365">
        <v>1</v>
      </c>
      <c r="Q365" t="s">
        <v>30</v>
      </c>
      <c r="R365">
        <v>2</v>
      </c>
      <c r="S365">
        <v>1</v>
      </c>
      <c r="T365">
        <v>3</v>
      </c>
      <c r="U365">
        <v>1</v>
      </c>
      <c r="V365">
        <v>0</v>
      </c>
      <c r="W365">
        <v>0</v>
      </c>
      <c r="X365">
        <v>0</v>
      </c>
      <c r="Y365">
        <v>13</v>
      </c>
      <c r="Z365">
        <f>IF(H_A[[#This Row],[Attrition]]="Yes",1,0)</f>
        <v>1</v>
      </c>
      <c r="AA365" t="str">
        <f>IF(H_A[[#This Row],[Age]]&lt;30,"Young",IF(H_A[[#This Row],[Age]]&lt;45,"Mid","Senior"))</f>
        <v>Mid</v>
      </c>
      <c r="AB365" t="str">
        <f>IF(H_A[[#This Row],[MonthlyIncome]]&lt;5000,"Low",IF(H_A[[#This Row],[MonthlyIncome]]&lt;10000,"Medium","High"))</f>
        <v>Low</v>
      </c>
      <c r="AC365" t="str">
        <f>IF(H_A[[#This Row],[YearsAtCompany]]&lt;3,"Early",IF(H_A[[#This Row],[YearsAtCompany]]&lt;7,"Mid","Long"))</f>
        <v>Early</v>
      </c>
      <c r="AD365" t="str">
        <f>IF(H_A[[#This Row],[PercentSalaryHike]]&lt;13,"Low",IF(H_A[[#This Row],[PercentSalaryHike]]&lt;18,"Medium","High"))</f>
        <v>Medium</v>
      </c>
    </row>
    <row r="366" spans="1:30" x14ac:dyDescent="0.3">
      <c r="A366">
        <v>37</v>
      </c>
      <c r="B366">
        <v>486</v>
      </c>
      <c r="C366" t="s">
        <v>36</v>
      </c>
      <c r="D366" t="s">
        <v>37</v>
      </c>
      <c r="E366">
        <v>10</v>
      </c>
      <c r="F366">
        <v>3</v>
      </c>
      <c r="G366" t="s">
        <v>43</v>
      </c>
      <c r="H366">
        <v>3</v>
      </c>
      <c r="I366" t="s">
        <v>33</v>
      </c>
      <c r="J366">
        <v>3</v>
      </c>
      <c r="K366">
        <v>1</v>
      </c>
      <c r="L366" t="s">
        <v>42</v>
      </c>
      <c r="M366">
        <v>1</v>
      </c>
      <c r="N366" t="s">
        <v>40</v>
      </c>
      <c r="O366">
        <v>3452</v>
      </c>
      <c r="P366">
        <v>6</v>
      </c>
      <c r="Q366" t="s">
        <v>36</v>
      </c>
      <c r="R366">
        <v>2</v>
      </c>
      <c r="S366">
        <v>17</v>
      </c>
      <c r="T366">
        <v>3</v>
      </c>
      <c r="U366">
        <v>5</v>
      </c>
      <c r="V366">
        <v>4</v>
      </c>
      <c r="W366">
        <v>0</v>
      </c>
      <c r="X366">
        <v>3</v>
      </c>
      <c r="Y366">
        <v>20</v>
      </c>
      <c r="Z366">
        <f>IF(H_A[[#This Row],[Attrition]]="Yes",1,0)</f>
        <v>0</v>
      </c>
      <c r="AA366" t="str">
        <f>IF(H_A[[#This Row],[Age]]&lt;30,"Young",IF(H_A[[#This Row],[Age]]&lt;45,"Mid","Senior"))</f>
        <v>Mid</v>
      </c>
      <c r="AB366" t="str">
        <f>IF(H_A[[#This Row],[MonthlyIncome]]&lt;5000,"Low",IF(H_A[[#This Row],[MonthlyIncome]]&lt;10000,"Medium","High"))</f>
        <v>Low</v>
      </c>
      <c r="AC366" t="str">
        <f>IF(H_A[[#This Row],[YearsAtCompany]]&lt;3,"Early",IF(H_A[[#This Row],[YearsAtCompany]]&lt;7,"Mid","Long"))</f>
        <v>Mid</v>
      </c>
      <c r="AD366" t="str">
        <f>IF(H_A[[#This Row],[PercentSalaryHike]]&lt;13,"Low",IF(H_A[[#This Row],[PercentSalaryHike]]&lt;18,"Medium","High"))</f>
        <v>High</v>
      </c>
    </row>
    <row r="367" spans="1:30" x14ac:dyDescent="0.3">
      <c r="A367">
        <v>46</v>
      </c>
      <c r="B367">
        <v>487</v>
      </c>
      <c r="C367" t="s">
        <v>36</v>
      </c>
      <c r="D367" t="s">
        <v>37</v>
      </c>
      <c r="E367">
        <v>7</v>
      </c>
      <c r="F367">
        <v>4</v>
      </c>
      <c r="G367" t="s">
        <v>43</v>
      </c>
      <c r="H367">
        <v>3</v>
      </c>
      <c r="I367" t="s">
        <v>33</v>
      </c>
      <c r="J367">
        <v>3</v>
      </c>
      <c r="K367">
        <v>2</v>
      </c>
      <c r="L367" t="s">
        <v>45</v>
      </c>
      <c r="M367">
        <v>3</v>
      </c>
      <c r="N367" t="s">
        <v>40</v>
      </c>
      <c r="O367">
        <v>5258</v>
      </c>
      <c r="P367">
        <v>2</v>
      </c>
      <c r="Q367" t="s">
        <v>36</v>
      </c>
      <c r="R367">
        <v>3</v>
      </c>
      <c r="S367">
        <v>7</v>
      </c>
      <c r="T367">
        <v>4</v>
      </c>
      <c r="U367">
        <v>1</v>
      </c>
      <c r="V367">
        <v>0</v>
      </c>
      <c r="W367">
        <v>0</v>
      </c>
      <c r="X367">
        <v>0</v>
      </c>
      <c r="Y367">
        <v>14</v>
      </c>
      <c r="Z367">
        <f>IF(H_A[[#This Row],[Attrition]]="Yes",1,0)</f>
        <v>0</v>
      </c>
      <c r="AA367" t="str">
        <f>IF(H_A[[#This Row],[Age]]&lt;30,"Young",IF(H_A[[#This Row],[Age]]&lt;45,"Mid","Senior"))</f>
        <v>Senior</v>
      </c>
      <c r="AB367" t="str">
        <f>IF(H_A[[#This Row],[MonthlyIncome]]&lt;5000,"Low",IF(H_A[[#This Row],[MonthlyIncome]]&lt;10000,"Medium","High"))</f>
        <v>Medium</v>
      </c>
      <c r="AC367" t="str">
        <f>IF(H_A[[#This Row],[YearsAtCompany]]&lt;3,"Early",IF(H_A[[#This Row],[YearsAtCompany]]&lt;7,"Mid","Long"))</f>
        <v>Early</v>
      </c>
      <c r="AD367" t="str">
        <f>IF(H_A[[#This Row],[PercentSalaryHike]]&lt;13,"Low",IF(H_A[[#This Row],[PercentSalaryHike]]&lt;18,"Medium","High"))</f>
        <v>Medium</v>
      </c>
    </row>
    <row r="368" spans="1:30" x14ac:dyDescent="0.3">
      <c r="A368">
        <v>41</v>
      </c>
      <c r="B368">
        <v>488</v>
      </c>
      <c r="C368" t="s">
        <v>30</v>
      </c>
      <c r="D368" t="s">
        <v>31</v>
      </c>
      <c r="E368">
        <v>4</v>
      </c>
      <c r="F368">
        <v>3</v>
      </c>
      <c r="G368" t="s">
        <v>50</v>
      </c>
      <c r="H368">
        <v>1</v>
      </c>
      <c r="I368" t="s">
        <v>38</v>
      </c>
      <c r="J368">
        <v>3</v>
      </c>
      <c r="K368">
        <v>2</v>
      </c>
      <c r="L368" t="s">
        <v>34</v>
      </c>
      <c r="M368">
        <v>2</v>
      </c>
      <c r="N368" t="s">
        <v>35</v>
      </c>
      <c r="O368">
        <v>9355</v>
      </c>
      <c r="P368">
        <v>1</v>
      </c>
      <c r="Q368" t="s">
        <v>36</v>
      </c>
      <c r="R368">
        <v>3</v>
      </c>
      <c r="S368">
        <v>8</v>
      </c>
      <c r="T368">
        <v>3</v>
      </c>
      <c r="U368">
        <v>8</v>
      </c>
      <c r="V368">
        <v>7</v>
      </c>
      <c r="W368">
        <v>7</v>
      </c>
      <c r="X368">
        <v>7</v>
      </c>
      <c r="Y368">
        <v>18</v>
      </c>
      <c r="Z368">
        <f>IF(H_A[[#This Row],[Attrition]]="Yes",1,0)</f>
        <v>1</v>
      </c>
      <c r="AA368" t="str">
        <f>IF(H_A[[#This Row],[Age]]&lt;30,"Young",IF(H_A[[#This Row],[Age]]&lt;45,"Mid","Senior"))</f>
        <v>Mid</v>
      </c>
      <c r="AB368" t="str">
        <f>IF(H_A[[#This Row],[MonthlyIncome]]&lt;5000,"Low",IF(H_A[[#This Row],[MonthlyIncome]]&lt;10000,"Medium","High"))</f>
        <v>Medium</v>
      </c>
      <c r="AC368" t="str">
        <f>IF(H_A[[#This Row],[YearsAtCompany]]&lt;3,"Early",IF(H_A[[#This Row],[YearsAtCompany]]&lt;7,"Mid","Long"))</f>
        <v>Long</v>
      </c>
      <c r="AD368" t="str">
        <f>IF(H_A[[#This Row],[PercentSalaryHike]]&lt;13,"Low",IF(H_A[[#This Row],[PercentSalaryHike]]&lt;18,"Medium","High"))</f>
        <v>High</v>
      </c>
    </row>
    <row r="369" spans="1:30" x14ac:dyDescent="0.3">
      <c r="A369">
        <v>50</v>
      </c>
      <c r="B369">
        <v>491</v>
      </c>
      <c r="C369" t="s">
        <v>36</v>
      </c>
      <c r="D369" t="s">
        <v>37</v>
      </c>
      <c r="E369">
        <v>10</v>
      </c>
      <c r="F369">
        <v>3</v>
      </c>
      <c r="G369" t="s">
        <v>51</v>
      </c>
      <c r="H369">
        <v>4</v>
      </c>
      <c r="I369" t="s">
        <v>38</v>
      </c>
      <c r="J369">
        <v>2</v>
      </c>
      <c r="K369">
        <v>3</v>
      </c>
      <c r="L369" t="s">
        <v>46</v>
      </c>
      <c r="M369">
        <v>4</v>
      </c>
      <c r="N369" t="s">
        <v>35</v>
      </c>
      <c r="O369">
        <v>10496</v>
      </c>
      <c r="P369">
        <v>6</v>
      </c>
      <c r="Q369" t="s">
        <v>36</v>
      </c>
      <c r="R369">
        <v>4</v>
      </c>
      <c r="S369">
        <v>20</v>
      </c>
      <c r="T369">
        <v>3</v>
      </c>
      <c r="U369">
        <v>4</v>
      </c>
      <c r="V369">
        <v>3</v>
      </c>
      <c r="W369">
        <v>1</v>
      </c>
      <c r="X369">
        <v>3</v>
      </c>
      <c r="Y369">
        <v>15</v>
      </c>
      <c r="Z369">
        <f>IF(H_A[[#This Row],[Attrition]]="Yes",1,0)</f>
        <v>0</v>
      </c>
      <c r="AA369" t="str">
        <f>IF(H_A[[#This Row],[Age]]&lt;30,"Young",IF(H_A[[#This Row],[Age]]&lt;45,"Mid","Senior"))</f>
        <v>Senior</v>
      </c>
      <c r="AB369" t="str">
        <f>IF(H_A[[#This Row],[MonthlyIncome]]&lt;5000,"Low",IF(H_A[[#This Row],[MonthlyIncome]]&lt;10000,"Medium","High"))</f>
        <v>High</v>
      </c>
      <c r="AC369" t="str">
        <f>IF(H_A[[#This Row],[YearsAtCompany]]&lt;3,"Early",IF(H_A[[#This Row],[YearsAtCompany]]&lt;7,"Mid","Long"))</f>
        <v>Mid</v>
      </c>
      <c r="AD369" t="str">
        <f>IF(H_A[[#This Row],[PercentSalaryHike]]&lt;13,"Low",IF(H_A[[#This Row],[PercentSalaryHike]]&lt;18,"Medium","High"))</f>
        <v>Medium</v>
      </c>
    </row>
    <row r="370" spans="1:30" x14ac:dyDescent="0.3">
      <c r="A370">
        <v>40</v>
      </c>
      <c r="B370">
        <v>492</v>
      </c>
      <c r="C370" t="s">
        <v>30</v>
      </c>
      <c r="D370" t="s">
        <v>31</v>
      </c>
      <c r="E370">
        <v>22</v>
      </c>
      <c r="F370">
        <v>2</v>
      </c>
      <c r="G370" t="s">
        <v>50</v>
      </c>
      <c r="H370">
        <v>3</v>
      </c>
      <c r="I370" t="s">
        <v>38</v>
      </c>
      <c r="J370">
        <v>2</v>
      </c>
      <c r="K370">
        <v>2</v>
      </c>
      <c r="L370" t="s">
        <v>34</v>
      </c>
      <c r="M370">
        <v>3</v>
      </c>
      <c r="N370" t="s">
        <v>40</v>
      </c>
      <c r="O370">
        <v>6380</v>
      </c>
      <c r="P370">
        <v>2</v>
      </c>
      <c r="Q370" t="s">
        <v>30</v>
      </c>
      <c r="R370">
        <v>1</v>
      </c>
      <c r="S370">
        <v>8</v>
      </c>
      <c r="T370">
        <v>3</v>
      </c>
      <c r="U370">
        <v>6</v>
      </c>
      <c r="V370">
        <v>4</v>
      </c>
      <c r="W370">
        <v>1</v>
      </c>
      <c r="X370">
        <v>0</v>
      </c>
      <c r="Y370">
        <v>12</v>
      </c>
      <c r="Z370">
        <f>IF(H_A[[#This Row],[Attrition]]="Yes",1,0)</f>
        <v>1</v>
      </c>
      <c r="AA370" t="str">
        <f>IF(H_A[[#This Row],[Age]]&lt;30,"Young",IF(H_A[[#This Row],[Age]]&lt;45,"Mid","Senior"))</f>
        <v>Mid</v>
      </c>
      <c r="AB370" t="str">
        <f>IF(H_A[[#This Row],[MonthlyIncome]]&lt;5000,"Low",IF(H_A[[#This Row],[MonthlyIncome]]&lt;10000,"Medium","High"))</f>
        <v>Medium</v>
      </c>
      <c r="AC370" t="str">
        <f>IF(H_A[[#This Row],[YearsAtCompany]]&lt;3,"Early",IF(H_A[[#This Row],[YearsAtCompany]]&lt;7,"Mid","Long"))</f>
        <v>Mid</v>
      </c>
      <c r="AD370" t="str">
        <f>IF(H_A[[#This Row],[PercentSalaryHike]]&lt;13,"Low",IF(H_A[[#This Row],[PercentSalaryHike]]&lt;18,"Medium","High"))</f>
        <v>Low</v>
      </c>
    </row>
    <row r="371" spans="1:30" x14ac:dyDescent="0.3">
      <c r="A371">
        <v>31</v>
      </c>
      <c r="B371">
        <v>493</v>
      </c>
      <c r="C371" t="s">
        <v>36</v>
      </c>
      <c r="D371" t="s">
        <v>37</v>
      </c>
      <c r="E371">
        <v>9</v>
      </c>
      <c r="F371">
        <v>4</v>
      </c>
      <c r="G371" t="s">
        <v>32</v>
      </c>
      <c r="H371">
        <v>3</v>
      </c>
      <c r="I371" t="s">
        <v>38</v>
      </c>
      <c r="J371">
        <v>2</v>
      </c>
      <c r="K371">
        <v>1</v>
      </c>
      <c r="L371" t="s">
        <v>39</v>
      </c>
      <c r="M371">
        <v>2</v>
      </c>
      <c r="N371" t="s">
        <v>35</v>
      </c>
      <c r="O371">
        <v>2657</v>
      </c>
      <c r="P371">
        <v>0</v>
      </c>
      <c r="Q371" t="s">
        <v>30</v>
      </c>
      <c r="R371">
        <v>4</v>
      </c>
      <c r="S371">
        <v>3</v>
      </c>
      <c r="T371">
        <v>3</v>
      </c>
      <c r="U371">
        <v>2</v>
      </c>
      <c r="V371">
        <v>2</v>
      </c>
      <c r="W371">
        <v>2</v>
      </c>
      <c r="X371">
        <v>2</v>
      </c>
      <c r="Y371">
        <v>16</v>
      </c>
      <c r="Z371">
        <f>IF(H_A[[#This Row],[Attrition]]="Yes",1,0)</f>
        <v>0</v>
      </c>
      <c r="AA371" t="str">
        <f>IF(H_A[[#This Row],[Age]]&lt;30,"Young",IF(H_A[[#This Row],[Age]]&lt;45,"Mid","Senior"))</f>
        <v>Mid</v>
      </c>
      <c r="AB371" t="str">
        <f>IF(H_A[[#This Row],[MonthlyIncome]]&lt;5000,"Low",IF(H_A[[#This Row],[MonthlyIncome]]&lt;10000,"Medium","High"))</f>
        <v>Low</v>
      </c>
      <c r="AC371" t="str">
        <f>IF(H_A[[#This Row],[YearsAtCompany]]&lt;3,"Early",IF(H_A[[#This Row],[YearsAtCompany]]&lt;7,"Mid","Long"))</f>
        <v>Early</v>
      </c>
      <c r="AD371" t="str">
        <f>IF(H_A[[#This Row],[PercentSalaryHike]]&lt;13,"Low",IF(H_A[[#This Row],[PercentSalaryHike]]&lt;18,"Medium","High"))</f>
        <v>Medium</v>
      </c>
    </row>
    <row r="372" spans="1:30" x14ac:dyDescent="0.3">
      <c r="A372">
        <v>21</v>
      </c>
      <c r="B372">
        <v>494</v>
      </c>
      <c r="C372" t="s">
        <v>30</v>
      </c>
      <c r="D372" t="s">
        <v>31</v>
      </c>
      <c r="E372">
        <v>12</v>
      </c>
      <c r="F372">
        <v>3</v>
      </c>
      <c r="G372" t="s">
        <v>32</v>
      </c>
      <c r="H372">
        <v>3</v>
      </c>
      <c r="I372" t="s">
        <v>33</v>
      </c>
      <c r="J372">
        <v>4</v>
      </c>
      <c r="K372">
        <v>1</v>
      </c>
      <c r="L372" t="s">
        <v>48</v>
      </c>
      <c r="M372">
        <v>2</v>
      </c>
      <c r="N372" t="s">
        <v>35</v>
      </c>
      <c r="O372">
        <v>2716</v>
      </c>
      <c r="P372">
        <v>1</v>
      </c>
      <c r="Q372" t="s">
        <v>36</v>
      </c>
      <c r="R372">
        <v>4</v>
      </c>
      <c r="S372">
        <v>1</v>
      </c>
      <c r="T372">
        <v>3</v>
      </c>
      <c r="U372">
        <v>1</v>
      </c>
      <c r="V372">
        <v>0</v>
      </c>
      <c r="W372">
        <v>0</v>
      </c>
      <c r="X372">
        <v>0</v>
      </c>
      <c r="Y372">
        <v>15</v>
      </c>
      <c r="Z372">
        <f>IF(H_A[[#This Row],[Attrition]]="Yes",1,0)</f>
        <v>1</v>
      </c>
      <c r="AA372" t="str">
        <f>IF(H_A[[#This Row],[Age]]&lt;30,"Young",IF(H_A[[#This Row],[Age]]&lt;45,"Mid","Senior"))</f>
        <v>Young</v>
      </c>
      <c r="AB372" t="str">
        <f>IF(H_A[[#This Row],[MonthlyIncome]]&lt;5000,"Low",IF(H_A[[#This Row],[MonthlyIncome]]&lt;10000,"Medium","High"))</f>
        <v>Low</v>
      </c>
      <c r="AC372" t="str">
        <f>IF(H_A[[#This Row],[YearsAtCompany]]&lt;3,"Early",IF(H_A[[#This Row],[YearsAtCompany]]&lt;7,"Mid","Long"))</f>
        <v>Early</v>
      </c>
      <c r="AD372" t="str">
        <f>IF(H_A[[#This Row],[PercentSalaryHike]]&lt;13,"Low",IF(H_A[[#This Row],[PercentSalaryHike]]&lt;18,"Medium","High"))</f>
        <v>Medium</v>
      </c>
    </row>
    <row r="373" spans="1:30" x14ac:dyDescent="0.3">
      <c r="A373">
        <v>29</v>
      </c>
      <c r="B373">
        <v>495</v>
      </c>
      <c r="C373" t="s">
        <v>36</v>
      </c>
      <c r="D373" t="s">
        <v>37</v>
      </c>
      <c r="E373">
        <v>23</v>
      </c>
      <c r="F373">
        <v>3</v>
      </c>
      <c r="G373" t="s">
        <v>32</v>
      </c>
      <c r="H373">
        <v>4</v>
      </c>
      <c r="I373" t="s">
        <v>38</v>
      </c>
      <c r="J373">
        <v>3</v>
      </c>
      <c r="K373">
        <v>1</v>
      </c>
      <c r="L373" t="s">
        <v>39</v>
      </c>
      <c r="M373">
        <v>4</v>
      </c>
      <c r="N373" t="s">
        <v>35</v>
      </c>
      <c r="O373">
        <v>2201</v>
      </c>
      <c r="P373">
        <v>9</v>
      </c>
      <c r="Q373" t="s">
        <v>36</v>
      </c>
      <c r="R373">
        <v>4</v>
      </c>
      <c r="S373">
        <v>6</v>
      </c>
      <c r="T373">
        <v>3</v>
      </c>
      <c r="U373">
        <v>3</v>
      </c>
      <c r="V373">
        <v>2</v>
      </c>
      <c r="W373">
        <v>1</v>
      </c>
      <c r="X373">
        <v>2</v>
      </c>
      <c r="Y373">
        <v>16</v>
      </c>
      <c r="Z373">
        <f>IF(H_A[[#This Row],[Attrition]]="Yes",1,0)</f>
        <v>0</v>
      </c>
      <c r="AA373" t="str">
        <f>IF(H_A[[#This Row],[Age]]&lt;30,"Young",IF(H_A[[#This Row],[Age]]&lt;45,"Mid","Senior"))</f>
        <v>Young</v>
      </c>
      <c r="AB373" t="str">
        <f>IF(H_A[[#This Row],[MonthlyIncome]]&lt;5000,"Low",IF(H_A[[#This Row],[MonthlyIncome]]&lt;10000,"Medium","High"))</f>
        <v>Low</v>
      </c>
      <c r="AC373" t="str">
        <f>IF(H_A[[#This Row],[YearsAtCompany]]&lt;3,"Early",IF(H_A[[#This Row],[YearsAtCompany]]&lt;7,"Mid","Long"))</f>
        <v>Mid</v>
      </c>
      <c r="AD373" t="str">
        <f>IF(H_A[[#This Row],[PercentSalaryHike]]&lt;13,"Low",IF(H_A[[#This Row],[PercentSalaryHike]]&lt;18,"Medium","High"))</f>
        <v>Medium</v>
      </c>
    </row>
    <row r="374" spans="1:30" x14ac:dyDescent="0.3">
      <c r="A374">
        <v>35</v>
      </c>
      <c r="B374">
        <v>496</v>
      </c>
      <c r="C374" t="s">
        <v>36</v>
      </c>
      <c r="D374" t="s">
        <v>37</v>
      </c>
      <c r="E374">
        <v>9</v>
      </c>
      <c r="F374">
        <v>4</v>
      </c>
      <c r="G374" t="s">
        <v>32</v>
      </c>
      <c r="H374">
        <v>3</v>
      </c>
      <c r="I374" t="s">
        <v>38</v>
      </c>
      <c r="J374">
        <v>2</v>
      </c>
      <c r="K374">
        <v>2</v>
      </c>
      <c r="L374" t="s">
        <v>46</v>
      </c>
      <c r="M374">
        <v>2</v>
      </c>
      <c r="N374" t="s">
        <v>35</v>
      </c>
      <c r="O374">
        <v>6540</v>
      </c>
      <c r="P374">
        <v>9</v>
      </c>
      <c r="Q374" t="s">
        <v>36</v>
      </c>
      <c r="R374">
        <v>3</v>
      </c>
      <c r="S374">
        <v>10</v>
      </c>
      <c r="T374">
        <v>3</v>
      </c>
      <c r="U374">
        <v>1</v>
      </c>
      <c r="V374">
        <v>1</v>
      </c>
      <c r="W374">
        <v>0</v>
      </c>
      <c r="X374">
        <v>0</v>
      </c>
      <c r="Y374">
        <v>19</v>
      </c>
      <c r="Z374">
        <f>IF(H_A[[#This Row],[Attrition]]="Yes",1,0)</f>
        <v>0</v>
      </c>
      <c r="AA374" t="str">
        <f>IF(H_A[[#This Row],[Age]]&lt;30,"Young",IF(H_A[[#This Row],[Age]]&lt;45,"Mid","Senior"))</f>
        <v>Mid</v>
      </c>
      <c r="AB374" t="str">
        <f>IF(H_A[[#This Row],[MonthlyIncome]]&lt;5000,"Low",IF(H_A[[#This Row],[MonthlyIncome]]&lt;10000,"Medium","High"))</f>
        <v>Medium</v>
      </c>
      <c r="AC374" t="str">
        <f>IF(H_A[[#This Row],[YearsAtCompany]]&lt;3,"Early",IF(H_A[[#This Row],[YearsAtCompany]]&lt;7,"Mid","Long"))</f>
        <v>Early</v>
      </c>
      <c r="AD374" t="str">
        <f>IF(H_A[[#This Row],[PercentSalaryHike]]&lt;13,"Low",IF(H_A[[#This Row],[PercentSalaryHike]]&lt;18,"Medium","High"))</f>
        <v>High</v>
      </c>
    </row>
    <row r="375" spans="1:30" x14ac:dyDescent="0.3">
      <c r="A375">
        <v>27</v>
      </c>
      <c r="B375">
        <v>497</v>
      </c>
      <c r="C375" t="s">
        <v>36</v>
      </c>
      <c r="D375" t="s">
        <v>37</v>
      </c>
      <c r="E375">
        <v>1</v>
      </c>
      <c r="F375">
        <v>2</v>
      </c>
      <c r="G375" t="s">
        <v>43</v>
      </c>
      <c r="H375">
        <v>4</v>
      </c>
      <c r="I375" t="s">
        <v>38</v>
      </c>
      <c r="J375">
        <v>3</v>
      </c>
      <c r="K375">
        <v>1</v>
      </c>
      <c r="L375" t="s">
        <v>42</v>
      </c>
      <c r="M375">
        <v>2</v>
      </c>
      <c r="N375" t="s">
        <v>44</v>
      </c>
      <c r="O375">
        <v>3816</v>
      </c>
      <c r="P375">
        <v>1</v>
      </c>
      <c r="Q375" t="s">
        <v>36</v>
      </c>
      <c r="R375">
        <v>2</v>
      </c>
      <c r="S375">
        <v>5</v>
      </c>
      <c r="T375">
        <v>3</v>
      </c>
      <c r="U375">
        <v>5</v>
      </c>
      <c r="V375">
        <v>2</v>
      </c>
      <c r="W375">
        <v>0</v>
      </c>
      <c r="X375">
        <v>4</v>
      </c>
      <c r="Y375">
        <v>11</v>
      </c>
      <c r="Z375">
        <f>IF(H_A[[#This Row],[Attrition]]="Yes",1,0)</f>
        <v>0</v>
      </c>
      <c r="AA375" t="str">
        <f>IF(H_A[[#This Row],[Age]]&lt;30,"Young",IF(H_A[[#This Row],[Age]]&lt;45,"Mid","Senior"))</f>
        <v>Young</v>
      </c>
      <c r="AB375" t="str">
        <f>IF(H_A[[#This Row],[MonthlyIncome]]&lt;5000,"Low",IF(H_A[[#This Row],[MonthlyIncome]]&lt;10000,"Medium","High"))</f>
        <v>Low</v>
      </c>
      <c r="AC375" t="str">
        <f>IF(H_A[[#This Row],[YearsAtCompany]]&lt;3,"Early",IF(H_A[[#This Row],[YearsAtCompany]]&lt;7,"Mid","Long"))</f>
        <v>Mid</v>
      </c>
      <c r="AD375" t="str">
        <f>IF(H_A[[#This Row],[PercentSalaryHike]]&lt;13,"Low",IF(H_A[[#This Row],[PercentSalaryHike]]&lt;18,"Medium","High"))</f>
        <v>Low</v>
      </c>
    </row>
    <row r="376" spans="1:30" x14ac:dyDescent="0.3">
      <c r="A376">
        <v>28</v>
      </c>
      <c r="B376">
        <v>498</v>
      </c>
      <c r="C376" t="s">
        <v>36</v>
      </c>
      <c r="D376" t="s">
        <v>31</v>
      </c>
      <c r="E376">
        <v>9</v>
      </c>
      <c r="F376">
        <v>4</v>
      </c>
      <c r="G376" t="s">
        <v>32</v>
      </c>
      <c r="H376">
        <v>2</v>
      </c>
      <c r="I376" t="s">
        <v>38</v>
      </c>
      <c r="J376">
        <v>3</v>
      </c>
      <c r="K376">
        <v>2</v>
      </c>
      <c r="L376" t="s">
        <v>34</v>
      </c>
      <c r="M376">
        <v>4</v>
      </c>
      <c r="N376" t="s">
        <v>35</v>
      </c>
      <c r="O376">
        <v>5253</v>
      </c>
      <c r="P376">
        <v>1</v>
      </c>
      <c r="Q376" t="s">
        <v>36</v>
      </c>
      <c r="R376">
        <v>4</v>
      </c>
      <c r="S376">
        <v>7</v>
      </c>
      <c r="T376">
        <v>3</v>
      </c>
      <c r="U376">
        <v>7</v>
      </c>
      <c r="V376">
        <v>5</v>
      </c>
      <c r="W376">
        <v>0</v>
      </c>
      <c r="X376">
        <v>7</v>
      </c>
      <c r="Y376">
        <v>16</v>
      </c>
      <c r="Z376">
        <f>IF(H_A[[#This Row],[Attrition]]="Yes",1,0)</f>
        <v>0</v>
      </c>
      <c r="AA376" t="str">
        <f>IF(H_A[[#This Row],[Age]]&lt;30,"Young",IF(H_A[[#This Row],[Age]]&lt;45,"Mid","Senior"))</f>
        <v>Young</v>
      </c>
      <c r="AB376" t="str">
        <f>IF(H_A[[#This Row],[MonthlyIncome]]&lt;5000,"Low",IF(H_A[[#This Row],[MonthlyIncome]]&lt;10000,"Medium","High"))</f>
        <v>Medium</v>
      </c>
      <c r="AC376" t="str">
        <f>IF(H_A[[#This Row],[YearsAtCompany]]&lt;3,"Early",IF(H_A[[#This Row],[YearsAtCompany]]&lt;7,"Mid","Long"))</f>
        <v>Long</v>
      </c>
      <c r="AD376" t="str">
        <f>IF(H_A[[#This Row],[PercentSalaryHike]]&lt;13,"Low",IF(H_A[[#This Row],[PercentSalaryHike]]&lt;18,"Medium","High"))</f>
        <v>Medium</v>
      </c>
    </row>
    <row r="377" spans="1:30" x14ac:dyDescent="0.3">
      <c r="A377">
        <v>49</v>
      </c>
      <c r="B377">
        <v>499</v>
      </c>
      <c r="C377" t="s">
        <v>36</v>
      </c>
      <c r="D377" t="s">
        <v>37</v>
      </c>
      <c r="E377">
        <v>7</v>
      </c>
      <c r="F377">
        <v>3</v>
      </c>
      <c r="G377" t="s">
        <v>41</v>
      </c>
      <c r="H377">
        <v>2</v>
      </c>
      <c r="I377" t="s">
        <v>38</v>
      </c>
      <c r="J377">
        <v>2</v>
      </c>
      <c r="K377">
        <v>3</v>
      </c>
      <c r="L377" t="s">
        <v>46</v>
      </c>
      <c r="M377">
        <v>3</v>
      </c>
      <c r="N377" t="s">
        <v>35</v>
      </c>
      <c r="O377">
        <v>10965</v>
      </c>
      <c r="P377">
        <v>8</v>
      </c>
      <c r="Q377" t="s">
        <v>36</v>
      </c>
      <c r="R377">
        <v>3</v>
      </c>
      <c r="S377">
        <v>26</v>
      </c>
      <c r="T377">
        <v>3</v>
      </c>
      <c r="U377">
        <v>5</v>
      </c>
      <c r="V377">
        <v>2</v>
      </c>
      <c r="W377">
        <v>0</v>
      </c>
      <c r="X377">
        <v>0</v>
      </c>
      <c r="Y377">
        <v>24</v>
      </c>
      <c r="Z377">
        <f>IF(H_A[[#This Row],[Attrition]]="Yes",1,0)</f>
        <v>0</v>
      </c>
      <c r="AA377" t="str">
        <f>IF(H_A[[#This Row],[Age]]&lt;30,"Young",IF(H_A[[#This Row],[Age]]&lt;45,"Mid","Senior"))</f>
        <v>Senior</v>
      </c>
      <c r="AB377" t="str">
        <f>IF(H_A[[#This Row],[MonthlyIncome]]&lt;5000,"Low",IF(H_A[[#This Row],[MonthlyIncome]]&lt;10000,"Medium","High"))</f>
        <v>High</v>
      </c>
      <c r="AC377" t="str">
        <f>IF(H_A[[#This Row],[YearsAtCompany]]&lt;3,"Early",IF(H_A[[#This Row],[YearsAtCompany]]&lt;7,"Mid","Long"))</f>
        <v>Mid</v>
      </c>
      <c r="AD377" t="str">
        <f>IF(H_A[[#This Row],[PercentSalaryHike]]&lt;13,"Low",IF(H_A[[#This Row],[PercentSalaryHike]]&lt;18,"Medium","High"))</f>
        <v>High</v>
      </c>
    </row>
    <row r="378" spans="1:30" x14ac:dyDescent="0.3">
      <c r="A378">
        <v>51</v>
      </c>
      <c r="B378">
        <v>500</v>
      </c>
      <c r="C378" t="s">
        <v>36</v>
      </c>
      <c r="D378" t="s">
        <v>31</v>
      </c>
      <c r="E378">
        <v>14</v>
      </c>
      <c r="F378">
        <v>2</v>
      </c>
      <c r="G378" t="s">
        <v>32</v>
      </c>
      <c r="H378">
        <v>3</v>
      </c>
      <c r="I378" t="s">
        <v>33</v>
      </c>
      <c r="J378">
        <v>3</v>
      </c>
      <c r="K378">
        <v>2</v>
      </c>
      <c r="L378" t="s">
        <v>34</v>
      </c>
      <c r="M378">
        <v>4</v>
      </c>
      <c r="N378" t="s">
        <v>40</v>
      </c>
      <c r="O378">
        <v>4936</v>
      </c>
      <c r="P378">
        <v>4</v>
      </c>
      <c r="Q378" t="s">
        <v>36</v>
      </c>
      <c r="R378">
        <v>3</v>
      </c>
      <c r="S378">
        <v>18</v>
      </c>
      <c r="T378">
        <v>2</v>
      </c>
      <c r="U378">
        <v>7</v>
      </c>
      <c r="V378">
        <v>7</v>
      </c>
      <c r="W378">
        <v>0</v>
      </c>
      <c r="X378">
        <v>7</v>
      </c>
      <c r="Y378">
        <v>11</v>
      </c>
      <c r="Z378">
        <f>IF(H_A[[#This Row],[Attrition]]="Yes",1,0)</f>
        <v>0</v>
      </c>
      <c r="AA378" t="str">
        <f>IF(H_A[[#This Row],[Age]]&lt;30,"Young",IF(H_A[[#This Row],[Age]]&lt;45,"Mid","Senior"))</f>
        <v>Senior</v>
      </c>
      <c r="AB378" t="str">
        <f>IF(H_A[[#This Row],[MonthlyIncome]]&lt;5000,"Low",IF(H_A[[#This Row],[MonthlyIncome]]&lt;10000,"Medium","High"))</f>
        <v>Low</v>
      </c>
      <c r="AC378" t="str">
        <f>IF(H_A[[#This Row],[YearsAtCompany]]&lt;3,"Early",IF(H_A[[#This Row],[YearsAtCompany]]&lt;7,"Mid","Long"))</f>
        <v>Long</v>
      </c>
      <c r="AD378" t="str">
        <f>IF(H_A[[#This Row],[PercentSalaryHike]]&lt;13,"Low",IF(H_A[[#This Row],[PercentSalaryHike]]&lt;18,"Medium","High"))</f>
        <v>Low</v>
      </c>
    </row>
    <row r="379" spans="1:30" x14ac:dyDescent="0.3">
      <c r="A379">
        <v>36</v>
      </c>
      <c r="B379">
        <v>501</v>
      </c>
      <c r="C379" t="s">
        <v>36</v>
      </c>
      <c r="D379" t="s">
        <v>37</v>
      </c>
      <c r="E379">
        <v>2</v>
      </c>
      <c r="F379">
        <v>3</v>
      </c>
      <c r="G379" t="s">
        <v>32</v>
      </c>
      <c r="H379">
        <v>4</v>
      </c>
      <c r="I379" t="s">
        <v>33</v>
      </c>
      <c r="J379">
        <v>3</v>
      </c>
      <c r="K379">
        <v>1</v>
      </c>
      <c r="L379" t="s">
        <v>39</v>
      </c>
      <c r="M379">
        <v>3</v>
      </c>
      <c r="N379" t="s">
        <v>40</v>
      </c>
      <c r="O379">
        <v>2543</v>
      </c>
      <c r="P379">
        <v>4</v>
      </c>
      <c r="Q379" t="s">
        <v>36</v>
      </c>
      <c r="R379">
        <v>2</v>
      </c>
      <c r="S379">
        <v>6</v>
      </c>
      <c r="T379">
        <v>3</v>
      </c>
      <c r="U379">
        <v>2</v>
      </c>
      <c r="V379">
        <v>2</v>
      </c>
      <c r="W379">
        <v>2</v>
      </c>
      <c r="X379">
        <v>2</v>
      </c>
      <c r="Y379">
        <v>13</v>
      </c>
      <c r="Z379">
        <f>IF(H_A[[#This Row],[Attrition]]="Yes",1,0)</f>
        <v>0</v>
      </c>
      <c r="AA379" t="str">
        <f>IF(H_A[[#This Row],[Age]]&lt;30,"Young",IF(H_A[[#This Row],[Age]]&lt;45,"Mid","Senior"))</f>
        <v>Mid</v>
      </c>
      <c r="AB379" t="str">
        <f>IF(H_A[[#This Row],[MonthlyIncome]]&lt;5000,"Low",IF(H_A[[#This Row],[MonthlyIncome]]&lt;10000,"Medium","High"))</f>
        <v>Low</v>
      </c>
      <c r="AC379" t="str">
        <f>IF(H_A[[#This Row],[YearsAtCompany]]&lt;3,"Early",IF(H_A[[#This Row],[YearsAtCompany]]&lt;7,"Mid","Long"))</f>
        <v>Early</v>
      </c>
      <c r="AD379" t="str">
        <f>IF(H_A[[#This Row],[PercentSalaryHike]]&lt;13,"Low",IF(H_A[[#This Row],[PercentSalaryHike]]&lt;18,"Medium","High"))</f>
        <v>Medium</v>
      </c>
    </row>
    <row r="380" spans="1:30" x14ac:dyDescent="0.3">
      <c r="A380">
        <v>34</v>
      </c>
      <c r="B380">
        <v>502</v>
      </c>
      <c r="C380" t="s">
        <v>30</v>
      </c>
      <c r="D380" t="s">
        <v>31</v>
      </c>
      <c r="E380">
        <v>19</v>
      </c>
      <c r="F380">
        <v>3</v>
      </c>
      <c r="G380" t="s">
        <v>50</v>
      </c>
      <c r="H380">
        <v>1</v>
      </c>
      <c r="I380" t="s">
        <v>38</v>
      </c>
      <c r="J380">
        <v>4</v>
      </c>
      <c r="K380">
        <v>2</v>
      </c>
      <c r="L380" t="s">
        <v>34</v>
      </c>
      <c r="M380">
        <v>4</v>
      </c>
      <c r="N380" t="s">
        <v>35</v>
      </c>
      <c r="O380">
        <v>5304</v>
      </c>
      <c r="P380">
        <v>8</v>
      </c>
      <c r="Q380" t="s">
        <v>30</v>
      </c>
      <c r="R380">
        <v>2</v>
      </c>
      <c r="S380">
        <v>9</v>
      </c>
      <c r="T380">
        <v>2</v>
      </c>
      <c r="U380">
        <v>5</v>
      </c>
      <c r="V380">
        <v>2</v>
      </c>
      <c r="W380">
        <v>0</v>
      </c>
      <c r="X380">
        <v>4</v>
      </c>
      <c r="Y380">
        <v>13</v>
      </c>
      <c r="Z380">
        <f>IF(H_A[[#This Row],[Attrition]]="Yes",1,0)</f>
        <v>1</v>
      </c>
      <c r="AA380" t="str">
        <f>IF(H_A[[#This Row],[Age]]&lt;30,"Young",IF(H_A[[#This Row],[Age]]&lt;45,"Mid","Senior"))</f>
        <v>Mid</v>
      </c>
      <c r="AB380" t="str">
        <f>IF(H_A[[#This Row],[MonthlyIncome]]&lt;5000,"Low",IF(H_A[[#This Row],[MonthlyIncome]]&lt;10000,"Medium","High"))</f>
        <v>Medium</v>
      </c>
      <c r="AC380" t="str">
        <f>IF(H_A[[#This Row],[YearsAtCompany]]&lt;3,"Early",IF(H_A[[#This Row],[YearsAtCompany]]&lt;7,"Mid","Long"))</f>
        <v>Mid</v>
      </c>
      <c r="AD380" t="str">
        <f>IF(H_A[[#This Row],[PercentSalaryHike]]&lt;13,"Low",IF(H_A[[#This Row],[PercentSalaryHike]]&lt;18,"Medium","High"))</f>
        <v>Medium</v>
      </c>
    </row>
    <row r="381" spans="1:30" x14ac:dyDescent="0.3">
      <c r="A381">
        <v>55</v>
      </c>
      <c r="B381">
        <v>505</v>
      </c>
      <c r="C381" t="s">
        <v>36</v>
      </c>
      <c r="D381" t="s">
        <v>37</v>
      </c>
      <c r="E381">
        <v>2</v>
      </c>
      <c r="F381">
        <v>3</v>
      </c>
      <c r="G381" t="s">
        <v>32</v>
      </c>
      <c r="H381">
        <v>3</v>
      </c>
      <c r="I381" t="s">
        <v>33</v>
      </c>
      <c r="J381">
        <v>3</v>
      </c>
      <c r="K381">
        <v>4</v>
      </c>
      <c r="L381" t="s">
        <v>47</v>
      </c>
      <c r="M381">
        <v>4</v>
      </c>
      <c r="N381" t="s">
        <v>35</v>
      </c>
      <c r="O381">
        <v>16659</v>
      </c>
      <c r="P381">
        <v>2</v>
      </c>
      <c r="Q381" t="s">
        <v>30</v>
      </c>
      <c r="R381">
        <v>3</v>
      </c>
      <c r="S381">
        <v>30</v>
      </c>
      <c r="T381">
        <v>3</v>
      </c>
      <c r="U381">
        <v>5</v>
      </c>
      <c r="V381">
        <v>4</v>
      </c>
      <c r="W381">
        <v>1</v>
      </c>
      <c r="X381">
        <v>2</v>
      </c>
      <c r="Y381">
        <v>13</v>
      </c>
      <c r="Z381">
        <f>IF(H_A[[#This Row],[Attrition]]="Yes",1,0)</f>
        <v>0</v>
      </c>
      <c r="AA381" t="str">
        <f>IF(H_A[[#This Row],[Age]]&lt;30,"Young",IF(H_A[[#This Row],[Age]]&lt;45,"Mid","Senior"))</f>
        <v>Senior</v>
      </c>
      <c r="AB381" t="str">
        <f>IF(H_A[[#This Row],[MonthlyIncome]]&lt;5000,"Low",IF(H_A[[#This Row],[MonthlyIncome]]&lt;10000,"Medium","High"))</f>
        <v>High</v>
      </c>
      <c r="AC381" t="str">
        <f>IF(H_A[[#This Row],[YearsAtCompany]]&lt;3,"Early",IF(H_A[[#This Row],[YearsAtCompany]]&lt;7,"Mid","Long"))</f>
        <v>Mid</v>
      </c>
      <c r="AD381" t="str">
        <f>IF(H_A[[#This Row],[PercentSalaryHike]]&lt;13,"Low",IF(H_A[[#This Row],[PercentSalaryHike]]&lt;18,"Medium","High"))</f>
        <v>Medium</v>
      </c>
    </row>
    <row r="382" spans="1:30" x14ac:dyDescent="0.3">
      <c r="A382">
        <v>24</v>
      </c>
      <c r="B382">
        <v>507</v>
      </c>
      <c r="C382" t="s">
        <v>36</v>
      </c>
      <c r="D382" t="s">
        <v>31</v>
      </c>
      <c r="E382">
        <v>10</v>
      </c>
      <c r="F382">
        <v>4</v>
      </c>
      <c r="G382" t="s">
        <v>50</v>
      </c>
      <c r="H382">
        <v>4</v>
      </c>
      <c r="I382" t="s">
        <v>33</v>
      </c>
      <c r="J382">
        <v>3</v>
      </c>
      <c r="K382">
        <v>2</v>
      </c>
      <c r="L382" t="s">
        <v>34</v>
      </c>
      <c r="M382">
        <v>3</v>
      </c>
      <c r="N382" t="s">
        <v>44</v>
      </c>
      <c r="O382">
        <v>4260</v>
      </c>
      <c r="P382">
        <v>1</v>
      </c>
      <c r="Q382" t="s">
        <v>30</v>
      </c>
      <c r="R382">
        <v>4</v>
      </c>
      <c r="S382">
        <v>5</v>
      </c>
      <c r="T382">
        <v>4</v>
      </c>
      <c r="U382">
        <v>5</v>
      </c>
      <c r="V382">
        <v>2</v>
      </c>
      <c r="W382">
        <v>0</v>
      </c>
      <c r="X382">
        <v>3</v>
      </c>
      <c r="Y382">
        <v>12</v>
      </c>
      <c r="Z382">
        <f>IF(H_A[[#This Row],[Attrition]]="Yes",1,0)</f>
        <v>0</v>
      </c>
      <c r="AA382" t="str">
        <f>IF(H_A[[#This Row],[Age]]&lt;30,"Young",IF(H_A[[#This Row],[Age]]&lt;45,"Mid","Senior"))</f>
        <v>Young</v>
      </c>
      <c r="AB382" t="str">
        <f>IF(H_A[[#This Row],[MonthlyIncome]]&lt;5000,"Low",IF(H_A[[#This Row],[MonthlyIncome]]&lt;10000,"Medium","High"))</f>
        <v>Low</v>
      </c>
      <c r="AC382" t="str">
        <f>IF(H_A[[#This Row],[YearsAtCompany]]&lt;3,"Early",IF(H_A[[#This Row],[YearsAtCompany]]&lt;7,"Mid","Long"))</f>
        <v>Mid</v>
      </c>
      <c r="AD382" t="str">
        <f>IF(H_A[[#This Row],[PercentSalaryHike]]&lt;13,"Low",IF(H_A[[#This Row],[PercentSalaryHike]]&lt;18,"Medium","High"))</f>
        <v>Low</v>
      </c>
    </row>
    <row r="383" spans="1:30" x14ac:dyDescent="0.3">
      <c r="A383">
        <v>30</v>
      </c>
      <c r="B383">
        <v>508</v>
      </c>
      <c r="C383" t="s">
        <v>36</v>
      </c>
      <c r="D383" t="s">
        <v>31</v>
      </c>
      <c r="E383">
        <v>2</v>
      </c>
      <c r="F383">
        <v>1</v>
      </c>
      <c r="G383" t="s">
        <v>51</v>
      </c>
      <c r="H383">
        <v>3</v>
      </c>
      <c r="I383" t="s">
        <v>38</v>
      </c>
      <c r="J383">
        <v>3</v>
      </c>
      <c r="K383">
        <v>1</v>
      </c>
      <c r="L383" t="s">
        <v>48</v>
      </c>
      <c r="M383">
        <v>2</v>
      </c>
      <c r="N383" t="s">
        <v>40</v>
      </c>
      <c r="O383">
        <v>2476</v>
      </c>
      <c r="P383">
        <v>1</v>
      </c>
      <c r="Q383" t="s">
        <v>36</v>
      </c>
      <c r="R383">
        <v>1</v>
      </c>
      <c r="S383">
        <v>1</v>
      </c>
      <c r="T383">
        <v>3</v>
      </c>
      <c r="U383">
        <v>1</v>
      </c>
      <c r="V383">
        <v>0</v>
      </c>
      <c r="W383">
        <v>0</v>
      </c>
      <c r="X383">
        <v>0</v>
      </c>
      <c r="Y383">
        <v>18</v>
      </c>
      <c r="Z383">
        <f>IF(H_A[[#This Row],[Attrition]]="Yes",1,0)</f>
        <v>0</v>
      </c>
      <c r="AA383" t="str">
        <f>IF(H_A[[#This Row],[Age]]&lt;30,"Young",IF(H_A[[#This Row],[Age]]&lt;45,"Mid","Senior"))</f>
        <v>Mid</v>
      </c>
      <c r="AB383" t="str">
        <f>IF(H_A[[#This Row],[MonthlyIncome]]&lt;5000,"Low",IF(H_A[[#This Row],[MonthlyIncome]]&lt;10000,"Medium","High"))</f>
        <v>Low</v>
      </c>
      <c r="AC383" t="str">
        <f>IF(H_A[[#This Row],[YearsAtCompany]]&lt;3,"Early",IF(H_A[[#This Row],[YearsAtCompany]]&lt;7,"Mid","Long"))</f>
        <v>Early</v>
      </c>
      <c r="AD383" t="str">
        <f>IF(H_A[[#This Row],[PercentSalaryHike]]&lt;13,"Low",IF(H_A[[#This Row],[PercentSalaryHike]]&lt;18,"Medium","High"))</f>
        <v>High</v>
      </c>
    </row>
    <row r="384" spans="1:30" x14ac:dyDescent="0.3">
      <c r="A384">
        <v>26</v>
      </c>
      <c r="B384">
        <v>510</v>
      </c>
      <c r="C384" t="s">
        <v>30</v>
      </c>
      <c r="D384" t="s">
        <v>37</v>
      </c>
      <c r="E384">
        <v>3</v>
      </c>
      <c r="F384">
        <v>1</v>
      </c>
      <c r="G384" t="s">
        <v>51</v>
      </c>
      <c r="H384">
        <v>3</v>
      </c>
      <c r="I384" t="s">
        <v>38</v>
      </c>
      <c r="J384">
        <v>3</v>
      </c>
      <c r="K384">
        <v>1</v>
      </c>
      <c r="L384" t="s">
        <v>39</v>
      </c>
      <c r="M384">
        <v>1</v>
      </c>
      <c r="N384" t="s">
        <v>35</v>
      </c>
      <c r="O384">
        <v>3102</v>
      </c>
      <c r="P384">
        <v>0</v>
      </c>
      <c r="Q384" t="s">
        <v>36</v>
      </c>
      <c r="R384">
        <v>3</v>
      </c>
      <c r="S384">
        <v>7</v>
      </c>
      <c r="T384">
        <v>3</v>
      </c>
      <c r="U384">
        <v>6</v>
      </c>
      <c r="V384">
        <v>4</v>
      </c>
      <c r="W384">
        <v>0</v>
      </c>
      <c r="X384">
        <v>4</v>
      </c>
      <c r="Y384">
        <v>22</v>
      </c>
      <c r="Z384">
        <f>IF(H_A[[#This Row],[Attrition]]="Yes",1,0)</f>
        <v>1</v>
      </c>
      <c r="AA384" t="str">
        <f>IF(H_A[[#This Row],[Age]]&lt;30,"Young",IF(H_A[[#This Row],[Age]]&lt;45,"Mid","Senior"))</f>
        <v>Young</v>
      </c>
      <c r="AB384" t="str">
        <f>IF(H_A[[#This Row],[MonthlyIncome]]&lt;5000,"Low",IF(H_A[[#This Row],[MonthlyIncome]]&lt;10000,"Medium","High"))</f>
        <v>Low</v>
      </c>
      <c r="AC384" t="str">
        <f>IF(H_A[[#This Row],[YearsAtCompany]]&lt;3,"Early",IF(H_A[[#This Row],[YearsAtCompany]]&lt;7,"Mid","Long"))</f>
        <v>Mid</v>
      </c>
      <c r="AD384" t="str">
        <f>IF(H_A[[#This Row],[PercentSalaryHike]]&lt;13,"Low",IF(H_A[[#This Row],[PercentSalaryHike]]&lt;18,"Medium","High"))</f>
        <v>High</v>
      </c>
    </row>
    <row r="385" spans="1:30" x14ac:dyDescent="0.3">
      <c r="A385">
        <v>22</v>
      </c>
      <c r="B385">
        <v>511</v>
      </c>
      <c r="C385" t="s">
        <v>36</v>
      </c>
      <c r="D385" t="s">
        <v>37</v>
      </c>
      <c r="E385">
        <v>11</v>
      </c>
      <c r="F385">
        <v>3</v>
      </c>
      <c r="G385" t="s">
        <v>43</v>
      </c>
      <c r="H385">
        <v>1</v>
      </c>
      <c r="I385" t="s">
        <v>33</v>
      </c>
      <c r="J385">
        <v>3</v>
      </c>
      <c r="K385">
        <v>1</v>
      </c>
      <c r="L385" t="s">
        <v>39</v>
      </c>
      <c r="M385">
        <v>2</v>
      </c>
      <c r="N385" t="s">
        <v>40</v>
      </c>
      <c r="O385">
        <v>2244</v>
      </c>
      <c r="P385">
        <v>1</v>
      </c>
      <c r="Q385" t="s">
        <v>36</v>
      </c>
      <c r="R385">
        <v>4</v>
      </c>
      <c r="S385">
        <v>2</v>
      </c>
      <c r="T385">
        <v>3</v>
      </c>
      <c r="U385">
        <v>2</v>
      </c>
      <c r="V385">
        <v>1</v>
      </c>
      <c r="W385">
        <v>1</v>
      </c>
      <c r="X385">
        <v>2</v>
      </c>
      <c r="Y385">
        <v>13</v>
      </c>
      <c r="Z385">
        <f>IF(H_A[[#This Row],[Attrition]]="Yes",1,0)</f>
        <v>0</v>
      </c>
      <c r="AA385" t="str">
        <f>IF(H_A[[#This Row],[Age]]&lt;30,"Young",IF(H_A[[#This Row],[Age]]&lt;45,"Mid","Senior"))</f>
        <v>Young</v>
      </c>
      <c r="AB385" t="str">
        <f>IF(H_A[[#This Row],[MonthlyIncome]]&lt;5000,"Low",IF(H_A[[#This Row],[MonthlyIncome]]&lt;10000,"Medium","High"))</f>
        <v>Low</v>
      </c>
      <c r="AC385" t="str">
        <f>IF(H_A[[#This Row],[YearsAtCompany]]&lt;3,"Early",IF(H_A[[#This Row],[YearsAtCompany]]&lt;7,"Mid","Long"))</f>
        <v>Early</v>
      </c>
      <c r="AD385" t="str">
        <f>IF(H_A[[#This Row],[PercentSalaryHike]]&lt;13,"Low",IF(H_A[[#This Row],[PercentSalaryHike]]&lt;18,"Medium","High"))</f>
        <v>Medium</v>
      </c>
    </row>
    <row r="386" spans="1:30" x14ac:dyDescent="0.3">
      <c r="A386">
        <v>36</v>
      </c>
      <c r="B386">
        <v>513</v>
      </c>
      <c r="C386" t="s">
        <v>36</v>
      </c>
      <c r="D386" t="s">
        <v>31</v>
      </c>
      <c r="E386">
        <v>2</v>
      </c>
      <c r="F386">
        <v>2</v>
      </c>
      <c r="G386" t="s">
        <v>43</v>
      </c>
      <c r="H386">
        <v>2</v>
      </c>
      <c r="I386" t="s">
        <v>38</v>
      </c>
      <c r="J386">
        <v>2</v>
      </c>
      <c r="K386">
        <v>3</v>
      </c>
      <c r="L386" t="s">
        <v>34</v>
      </c>
      <c r="M386">
        <v>3</v>
      </c>
      <c r="N386" t="s">
        <v>40</v>
      </c>
      <c r="O386">
        <v>7596</v>
      </c>
      <c r="P386">
        <v>1</v>
      </c>
      <c r="Q386" t="s">
        <v>36</v>
      </c>
      <c r="R386">
        <v>2</v>
      </c>
      <c r="S386">
        <v>10</v>
      </c>
      <c r="T386">
        <v>3</v>
      </c>
      <c r="U386">
        <v>10</v>
      </c>
      <c r="V386">
        <v>9</v>
      </c>
      <c r="W386">
        <v>9</v>
      </c>
      <c r="X386">
        <v>0</v>
      </c>
      <c r="Y386">
        <v>13</v>
      </c>
      <c r="Z386">
        <f>IF(H_A[[#This Row],[Attrition]]="Yes",1,0)</f>
        <v>0</v>
      </c>
      <c r="AA386" t="str">
        <f>IF(H_A[[#This Row],[Age]]&lt;30,"Young",IF(H_A[[#This Row],[Age]]&lt;45,"Mid","Senior"))</f>
        <v>Mid</v>
      </c>
      <c r="AB386" t="str">
        <f>IF(H_A[[#This Row],[MonthlyIncome]]&lt;5000,"Low",IF(H_A[[#This Row],[MonthlyIncome]]&lt;10000,"Medium","High"))</f>
        <v>Medium</v>
      </c>
      <c r="AC386" t="str">
        <f>IF(H_A[[#This Row],[YearsAtCompany]]&lt;3,"Early",IF(H_A[[#This Row],[YearsAtCompany]]&lt;7,"Mid","Long"))</f>
        <v>Long</v>
      </c>
      <c r="AD386" t="str">
        <f>IF(H_A[[#This Row],[PercentSalaryHike]]&lt;13,"Low",IF(H_A[[#This Row],[PercentSalaryHike]]&lt;18,"Medium","High"))</f>
        <v>Medium</v>
      </c>
    </row>
    <row r="387" spans="1:30" x14ac:dyDescent="0.3">
      <c r="A387">
        <v>30</v>
      </c>
      <c r="B387">
        <v>514</v>
      </c>
      <c r="C387" t="s">
        <v>30</v>
      </c>
      <c r="D387" t="s">
        <v>37</v>
      </c>
      <c r="E387">
        <v>4</v>
      </c>
      <c r="F387">
        <v>3</v>
      </c>
      <c r="G387" t="s">
        <v>51</v>
      </c>
      <c r="H387">
        <v>3</v>
      </c>
      <c r="I387" t="s">
        <v>38</v>
      </c>
      <c r="J387">
        <v>3</v>
      </c>
      <c r="K387">
        <v>1</v>
      </c>
      <c r="L387" t="s">
        <v>39</v>
      </c>
      <c r="M387">
        <v>4</v>
      </c>
      <c r="N387" t="s">
        <v>35</v>
      </c>
      <c r="O387">
        <v>2285</v>
      </c>
      <c r="P387">
        <v>9</v>
      </c>
      <c r="Q387" t="s">
        <v>30</v>
      </c>
      <c r="R387">
        <v>3</v>
      </c>
      <c r="S387">
        <v>3</v>
      </c>
      <c r="T387">
        <v>3</v>
      </c>
      <c r="U387">
        <v>1</v>
      </c>
      <c r="V387">
        <v>0</v>
      </c>
      <c r="W387">
        <v>0</v>
      </c>
      <c r="X387">
        <v>0</v>
      </c>
      <c r="Y387">
        <v>23</v>
      </c>
      <c r="Z387">
        <f>IF(H_A[[#This Row],[Attrition]]="Yes",1,0)</f>
        <v>1</v>
      </c>
      <c r="AA387" t="str">
        <f>IF(H_A[[#This Row],[Age]]&lt;30,"Young",IF(H_A[[#This Row],[Age]]&lt;45,"Mid","Senior"))</f>
        <v>Mid</v>
      </c>
      <c r="AB387" t="str">
        <f>IF(H_A[[#This Row],[MonthlyIncome]]&lt;5000,"Low",IF(H_A[[#This Row],[MonthlyIncome]]&lt;10000,"Medium","High"))</f>
        <v>Low</v>
      </c>
      <c r="AC387" t="str">
        <f>IF(H_A[[#This Row],[YearsAtCompany]]&lt;3,"Early",IF(H_A[[#This Row],[YearsAtCompany]]&lt;7,"Mid","Long"))</f>
        <v>Early</v>
      </c>
      <c r="AD387" t="str">
        <f>IF(H_A[[#This Row],[PercentSalaryHike]]&lt;13,"Low",IF(H_A[[#This Row],[PercentSalaryHike]]&lt;18,"Medium","High"))</f>
        <v>High</v>
      </c>
    </row>
    <row r="388" spans="1:30" x14ac:dyDescent="0.3">
      <c r="A388">
        <v>37</v>
      </c>
      <c r="B388">
        <v>515</v>
      </c>
      <c r="C388" t="s">
        <v>36</v>
      </c>
      <c r="D388" t="s">
        <v>37</v>
      </c>
      <c r="E388">
        <v>14</v>
      </c>
      <c r="F388">
        <v>3</v>
      </c>
      <c r="G388" t="s">
        <v>32</v>
      </c>
      <c r="H388">
        <v>4</v>
      </c>
      <c r="I388" t="s">
        <v>33</v>
      </c>
      <c r="J388">
        <v>3</v>
      </c>
      <c r="K388">
        <v>1</v>
      </c>
      <c r="L388" t="s">
        <v>42</v>
      </c>
      <c r="M388">
        <v>1</v>
      </c>
      <c r="N388" t="s">
        <v>44</v>
      </c>
      <c r="O388">
        <v>3034</v>
      </c>
      <c r="P388">
        <v>1</v>
      </c>
      <c r="Q388" t="s">
        <v>36</v>
      </c>
      <c r="R388">
        <v>3</v>
      </c>
      <c r="S388">
        <v>18</v>
      </c>
      <c r="T388">
        <v>2</v>
      </c>
      <c r="U388">
        <v>18</v>
      </c>
      <c r="V388">
        <v>7</v>
      </c>
      <c r="W388">
        <v>12</v>
      </c>
      <c r="X388">
        <v>17</v>
      </c>
      <c r="Y388">
        <v>12</v>
      </c>
      <c r="Z388">
        <f>IF(H_A[[#This Row],[Attrition]]="Yes",1,0)</f>
        <v>0</v>
      </c>
      <c r="AA388" t="str">
        <f>IF(H_A[[#This Row],[Age]]&lt;30,"Young",IF(H_A[[#This Row],[Age]]&lt;45,"Mid","Senior"))</f>
        <v>Mid</v>
      </c>
      <c r="AB388" t="str">
        <f>IF(H_A[[#This Row],[MonthlyIncome]]&lt;5000,"Low",IF(H_A[[#This Row],[MonthlyIncome]]&lt;10000,"Medium","High"))</f>
        <v>Low</v>
      </c>
      <c r="AC388" t="str">
        <f>IF(H_A[[#This Row],[YearsAtCompany]]&lt;3,"Early",IF(H_A[[#This Row],[YearsAtCompany]]&lt;7,"Mid","Long"))</f>
        <v>Long</v>
      </c>
      <c r="AD388" t="str">
        <f>IF(H_A[[#This Row],[PercentSalaryHike]]&lt;13,"Low",IF(H_A[[#This Row],[PercentSalaryHike]]&lt;18,"Medium","High"))</f>
        <v>Low</v>
      </c>
    </row>
    <row r="389" spans="1:30" x14ac:dyDescent="0.3">
      <c r="A389">
        <v>40</v>
      </c>
      <c r="B389">
        <v>516</v>
      </c>
      <c r="C389" t="s">
        <v>36</v>
      </c>
      <c r="D389" t="s">
        <v>31</v>
      </c>
      <c r="E389">
        <v>2</v>
      </c>
      <c r="F389">
        <v>2</v>
      </c>
      <c r="G389" t="s">
        <v>50</v>
      </c>
      <c r="H389">
        <v>4</v>
      </c>
      <c r="I389" t="s">
        <v>33</v>
      </c>
      <c r="J389">
        <v>3</v>
      </c>
      <c r="K389">
        <v>2</v>
      </c>
      <c r="L389" t="s">
        <v>34</v>
      </c>
      <c r="M389">
        <v>2</v>
      </c>
      <c r="N389" t="s">
        <v>44</v>
      </c>
      <c r="O389">
        <v>5715</v>
      </c>
      <c r="P389">
        <v>7</v>
      </c>
      <c r="Q389" t="s">
        <v>36</v>
      </c>
      <c r="R389">
        <v>3</v>
      </c>
      <c r="S389">
        <v>8</v>
      </c>
      <c r="T389">
        <v>3</v>
      </c>
      <c r="U389">
        <v>5</v>
      </c>
      <c r="V389">
        <v>4</v>
      </c>
      <c r="W389">
        <v>1</v>
      </c>
      <c r="X389">
        <v>3</v>
      </c>
      <c r="Y389">
        <v>12</v>
      </c>
      <c r="Z389">
        <f>IF(H_A[[#This Row],[Attrition]]="Yes",1,0)</f>
        <v>0</v>
      </c>
      <c r="AA389" t="str">
        <f>IF(H_A[[#This Row],[Age]]&lt;30,"Young",IF(H_A[[#This Row],[Age]]&lt;45,"Mid","Senior"))</f>
        <v>Mid</v>
      </c>
      <c r="AB389" t="str">
        <f>IF(H_A[[#This Row],[MonthlyIncome]]&lt;5000,"Low",IF(H_A[[#This Row],[MonthlyIncome]]&lt;10000,"Medium","High"))</f>
        <v>Medium</v>
      </c>
      <c r="AC389" t="str">
        <f>IF(H_A[[#This Row],[YearsAtCompany]]&lt;3,"Early",IF(H_A[[#This Row],[YearsAtCompany]]&lt;7,"Mid","Long"))</f>
        <v>Mid</v>
      </c>
      <c r="AD389" t="str">
        <f>IF(H_A[[#This Row],[PercentSalaryHike]]&lt;13,"Low",IF(H_A[[#This Row],[PercentSalaryHike]]&lt;18,"Medium","High"))</f>
        <v>Low</v>
      </c>
    </row>
    <row r="390" spans="1:30" x14ac:dyDescent="0.3">
      <c r="A390">
        <v>42</v>
      </c>
      <c r="B390">
        <v>517</v>
      </c>
      <c r="C390" t="s">
        <v>36</v>
      </c>
      <c r="D390" t="s">
        <v>37</v>
      </c>
      <c r="E390">
        <v>1</v>
      </c>
      <c r="F390">
        <v>4</v>
      </c>
      <c r="G390" t="s">
        <v>32</v>
      </c>
      <c r="H390">
        <v>2</v>
      </c>
      <c r="I390" t="s">
        <v>33</v>
      </c>
      <c r="J390">
        <v>3</v>
      </c>
      <c r="K390">
        <v>1</v>
      </c>
      <c r="L390" t="s">
        <v>42</v>
      </c>
      <c r="M390">
        <v>1</v>
      </c>
      <c r="N390" t="s">
        <v>44</v>
      </c>
      <c r="O390">
        <v>2576</v>
      </c>
      <c r="P390">
        <v>3</v>
      </c>
      <c r="Q390" t="s">
        <v>36</v>
      </c>
      <c r="R390">
        <v>2</v>
      </c>
      <c r="S390">
        <v>8</v>
      </c>
      <c r="T390">
        <v>3</v>
      </c>
      <c r="U390">
        <v>5</v>
      </c>
      <c r="V390">
        <v>2</v>
      </c>
      <c r="W390">
        <v>1</v>
      </c>
      <c r="X390">
        <v>2</v>
      </c>
      <c r="Y390">
        <v>16</v>
      </c>
      <c r="Z390">
        <f>IF(H_A[[#This Row],[Attrition]]="Yes",1,0)</f>
        <v>0</v>
      </c>
      <c r="AA390" t="str">
        <f>IF(H_A[[#This Row],[Age]]&lt;30,"Young",IF(H_A[[#This Row],[Age]]&lt;45,"Mid","Senior"))</f>
        <v>Mid</v>
      </c>
      <c r="AB390" t="str">
        <f>IF(H_A[[#This Row],[MonthlyIncome]]&lt;5000,"Low",IF(H_A[[#This Row],[MonthlyIncome]]&lt;10000,"Medium","High"))</f>
        <v>Low</v>
      </c>
      <c r="AC390" t="str">
        <f>IF(H_A[[#This Row],[YearsAtCompany]]&lt;3,"Early",IF(H_A[[#This Row],[YearsAtCompany]]&lt;7,"Mid","Long"))</f>
        <v>Mid</v>
      </c>
      <c r="AD390" t="str">
        <f>IF(H_A[[#This Row],[PercentSalaryHike]]&lt;13,"Low",IF(H_A[[#This Row],[PercentSalaryHike]]&lt;18,"Medium","High"))</f>
        <v>Medium</v>
      </c>
    </row>
    <row r="391" spans="1:30" x14ac:dyDescent="0.3">
      <c r="A391">
        <v>37</v>
      </c>
      <c r="B391">
        <v>518</v>
      </c>
      <c r="C391" t="s">
        <v>36</v>
      </c>
      <c r="D391" t="s">
        <v>37</v>
      </c>
      <c r="E391">
        <v>10</v>
      </c>
      <c r="F391">
        <v>4</v>
      </c>
      <c r="G391" t="s">
        <v>32</v>
      </c>
      <c r="H391">
        <v>3</v>
      </c>
      <c r="I391" t="s">
        <v>38</v>
      </c>
      <c r="J391">
        <v>3</v>
      </c>
      <c r="K391">
        <v>2</v>
      </c>
      <c r="L391" t="s">
        <v>45</v>
      </c>
      <c r="M391">
        <v>2</v>
      </c>
      <c r="N391" t="s">
        <v>35</v>
      </c>
      <c r="O391">
        <v>4197</v>
      </c>
      <c r="P391">
        <v>2</v>
      </c>
      <c r="Q391" t="s">
        <v>30</v>
      </c>
      <c r="R391">
        <v>4</v>
      </c>
      <c r="S391">
        <v>18</v>
      </c>
      <c r="T391">
        <v>2</v>
      </c>
      <c r="U391">
        <v>1</v>
      </c>
      <c r="V391">
        <v>0</v>
      </c>
      <c r="W391">
        <v>0</v>
      </c>
      <c r="X391">
        <v>1</v>
      </c>
      <c r="Y391">
        <v>12</v>
      </c>
      <c r="Z391">
        <f>IF(H_A[[#This Row],[Attrition]]="Yes",1,0)</f>
        <v>0</v>
      </c>
      <c r="AA391" t="str">
        <f>IF(H_A[[#This Row],[Age]]&lt;30,"Young",IF(H_A[[#This Row],[Age]]&lt;45,"Mid","Senior"))</f>
        <v>Mid</v>
      </c>
      <c r="AB391" t="str">
        <f>IF(H_A[[#This Row],[MonthlyIncome]]&lt;5000,"Low",IF(H_A[[#This Row],[MonthlyIncome]]&lt;10000,"Medium","High"))</f>
        <v>Low</v>
      </c>
      <c r="AC391" t="str">
        <f>IF(H_A[[#This Row],[YearsAtCompany]]&lt;3,"Early",IF(H_A[[#This Row],[YearsAtCompany]]&lt;7,"Mid","Long"))</f>
        <v>Early</v>
      </c>
      <c r="AD391" t="str">
        <f>IF(H_A[[#This Row],[PercentSalaryHike]]&lt;13,"Low",IF(H_A[[#This Row],[PercentSalaryHike]]&lt;18,"Medium","High"))</f>
        <v>Low</v>
      </c>
    </row>
    <row r="392" spans="1:30" x14ac:dyDescent="0.3">
      <c r="A392">
        <v>43</v>
      </c>
      <c r="B392">
        <v>520</v>
      </c>
      <c r="C392" t="s">
        <v>36</v>
      </c>
      <c r="D392" t="s">
        <v>37</v>
      </c>
      <c r="E392">
        <v>12</v>
      </c>
      <c r="F392">
        <v>3</v>
      </c>
      <c r="G392" t="s">
        <v>32</v>
      </c>
      <c r="H392">
        <v>1</v>
      </c>
      <c r="I392" t="s">
        <v>38</v>
      </c>
      <c r="J392">
        <v>2</v>
      </c>
      <c r="K392">
        <v>4</v>
      </c>
      <c r="L392" t="s">
        <v>49</v>
      </c>
      <c r="M392">
        <v>2</v>
      </c>
      <c r="N392" t="s">
        <v>44</v>
      </c>
      <c r="O392">
        <v>14336</v>
      </c>
      <c r="P392">
        <v>1</v>
      </c>
      <c r="Q392" t="s">
        <v>36</v>
      </c>
      <c r="R392">
        <v>3</v>
      </c>
      <c r="S392">
        <v>25</v>
      </c>
      <c r="T392">
        <v>3</v>
      </c>
      <c r="U392">
        <v>25</v>
      </c>
      <c r="V392">
        <v>10</v>
      </c>
      <c r="W392">
        <v>3</v>
      </c>
      <c r="X392">
        <v>9</v>
      </c>
      <c r="Y392">
        <v>11</v>
      </c>
      <c r="Z392">
        <f>IF(H_A[[#This Row],[Attrition]]="Yes",1,0)</f>
        <v>0</v>
      </c>
      <c r="AA392" t="str">
        <f>IF(H_A[[#This Row],[Age]]&lt;30,"Young",IF(H_A[[#This Row],[Age]]&lt;45,"Mid","Senior"))</f>
        <v>Mid</v>
      </c>
      <c r="AB392" t="str">
        <f>IF(H_A[[#This Row],[MonthlyIncome]]&lt;5000,"Low",IF(H_A[[#This Row],[MonthlyIncome]]&lt;10000,"Medium","High"))</f>
        <v>High</v>
      </c>
      <c r="AC392" t="str">
        <f>IF(H_A[[#This Row],[YearsAtCompany]]&lt;3,"Early",IF(H_A[[#This Row],[YearsAtCompany]]&lt;7,"Mid","Long"))</f>
        <v>Long</v>
      </c>
      <c r="AD392" t="str">
        <f>IF(H_A[[#This Row],[PercentSalaryHike]]&lt;13,"Low",IF(H_A[[#This Row],[PercentSalaryHike]]&lt;18,"Medium","High"))</f>
        <v>Low</v>
      </c>
    </row>
    <row r="393" spans="1:30" x14ac:dyDescent="0.3">
      <c r="A393">
        <v>40</v>
      </c>
      <c r="B393">
        <v>521</v>
      </c>
      <c r="C393" t="s">
        <v>36</v>
      </c>
      <c r="D393" t="s">
        <v>37</v>
      </c>
      <c r="E393">
        <v>2</v>
      </c>
      <c r="F393">
        <v>3</v>
      </c>
      <c r="G393" t="s">
        <v>43</v>
      </c>
      <c r="H393">
        <v>2</v>
      </c>
      <c r="I393" t="s">
        <v>33</v>
      </c>
      <c r="J393">
        <v>2</v>
      </c>
      <c r="K393">
        <v>2</v>
      </c>
      <c r="L393" t="s">
        <v>42</v>
      </c>
      <c r="M393">
        <v>3</v>
      </c>
      <c r="N393" t="s">
        <v>40</v>
      </c>
      <c r="O393">
        <v>3448</v>
      </c>
      <c r="P393">
        <v>6</v>
      </c>
      <c r="Q393" t="s">
        <v>36</v>
      </c>
      <c r="R393">
        <v>2</v>
      </c>
      <c r="S393">
        <v>20</v>
      </c>
      <c r="T393">
        <v>3</v>
      </c>
      <c r="U393">
        <v>1</v>
      </c>
      <c r="V393">
        <v>0</v>
      </c>
      <c r="W393">
        <v>0</v>
      </c>
      <c r="X393">
        <v>0</v>
      </c>
      <c r="Y393">
        <v>22</v>
      </c>
      <c r="Z393">
        <f>IF(H_A[[#This Row],[Attrition]]="Yes",1,0)</f>
        <v>0</v>
      </c>
      <c r="AA393" t="str">
        <f>IF(H_A[[#This Row],[Age]]&lt;30,"Young",IF(H_A[[#This Row],[Age]]&lt;45,"Mid","Senior"))</f>
        <v>Mid</v>
      </c>
      <c r="AB393" t="str">
        <f>IF(H_A[[#This Row],[MonthlyIncome]]&lt;5000,"Low",IF(H_A[[#This Row],[MonthlyIncome]]&lt;10000,"Medium","High"))</f>
        <v>Low</v>
      </c>
      <c r="AC393" t="str">
        <f>IF(H_A[[#This Row],[YearsAtCompany]]&lt;3,"Early",IF(H_A[[#This Row],[YearsAtCompany]]&lt;7,"Mid","Long"))</f>
        <v>Early</v>
      </c>
      <c r="AD393" t="str">
        <f>IF(H_A[[#This Row],[PercentSalaryHike]]&lt;13,"Low",IF(H_A[[#This Row],[PercentSalaryHike]]&lt;18,"Medium","High"))</f>
        <v>High</v>
      </c>
    </row>
    <row r="394" spans="1:30" x14ac:dyDescent="0.3">
      <c r="A394">
        <v>54</v>
      </c>
      <c r="B394">
        <v>522</v>
      </c>
      <c r="C394" t="s">
        <v>36</v>
      </c>
      <c r="D394" t="s">
        <v>37</v>
      </c>
      <c r="E394">
        <v>5</v>
      </c>
      <c r="F394">
        <v>2</v>
      </c>
      <c r="G394" t="s">
        <v>43</v>
      </c>
      <c r="H394">
        <v>1</v>
      </c>
      <c r="I394" t="s">
        <v>38</v>
      </c>
      <c r="J394">
        <v>3</v>
      </c>
      <c r="K394">
        <v>5</v>
      </c>
      <c r="L394" t="s">
        <v>49</v>
      </c>
      <c r="M394">
        <v>1</v>
      </c>
      <c r="N394" t="s">
        <v>40</v>
      </c>
      <c r="O394">
        <v>19406</v>
      </c>
      <c r="P394">
        <v>4</v>
      </c>
      <c r="Q394" t="s">
        <v>36</v>
      </c>
      <c r="R394">
        <v>3</v>
      </c>
      <c r="S394">
        <v>24</v>
      </c>
      <c r="T394">
        <v>2</v>
      </c>
      <c r="U394">
        <v>4</v>
      </c>
      <c r="V394">
        <v>2</v>
      </c>
      <c r="W394">
        <v>1</v>
      </c>
      <c r="X394">
        <v>2</v>
      </c>
      <c r="Y394">
        <v>11</v>
      </c>
      <c r="Z394">
        <f>IF(H_A[[#This Row],[Attrition]]="Yes",1,0)</f>
        <v>0</v>
      </c>
      <c r="AA394" t="str">
        <f>IF(H_A[[#This Row],[Age]]&lt;30,"Young",IF(H_A[[#This Row],[Age]]&lt;45,"Mid","Senior"))</f>
        <v>Senior</v>
      </c>
      <c r="AB394" t="str">
        <f>IF(H_A[[#This Row],[MonthlyIncome]]&lt;5000,"Low",IF(H_A[[#This Row],[MonthlyIncome]]&lt;10000,"Medium","High"))</f>
        <v>High</v>
      </c>
      <c r="AC394" t="str">
        <f>IF(H_A[[#This Row],[YearsAtCompany]]&lt;3,"Early",IF(H_A[[#This Row],[YearsAtCompany]]&lt;7,"Mid","Long"))</f>
        <v>Mid</v>
      </c>
      <c r="AD394" t="str">
        <f>IF(H_A[[#This Row],[PercentSalaryHike]]&lt;13,"Low",IF(H_A[[#This Row],[PercentSalaryHike]]&lt;18,"Medium","High"))</f>
        <v>Low</v>
      </c>
    </row>
    <row r="395" spans="1:30" x14ac:dyDescent="0.3">
      <c r="A395">
        <v>34</v>
      </c>
      <c r="B395">
        <v>523</v>
      </c>
      <c r="C395" t="s">
        <v>36</v>
      </c>
      <c r="D395" t="s">
        <v>31</v>
      </c>
      <c r="E395">
        <v>4</v>
      </c>
      <c r="F395">
        <v>4</v>
      </c>
      <c r="G395" t="s">
        <v>50</v>
      </c>
      <c r="H395">
        <v>3</v>
      </c>
      <c r="I395" t="s">
        <v>33</v>
      </c>
      <c r="J395">
        <v>3</v>
      </c>
      <c r="K395">
        <v>2</v>
      </c>
      <c r="L395" t="s">
        <v>34</v>
      </c>
      <c r="M395">
        <v>3</v>
      </c>
      <c r="N395" t="s">
        <v>40</v>
      </c>
      <c r="O395">
        <v>6538</v>
      </c>
      <c r="P395">
        <v>9</v>
      </c>
      <c r="Q395" t="s">
        <v>36</v>
      </c>
      <c r="R395">
        <v>1</v>
      </c>
      <c r="S395">
        <v>6</v>
      </c>
      <c r="T395">
        <v>3</v>
      </c>
      <c r="U395">
        <v>3</v>
      </c>
      <c r="V395">
        <v>2</v>
      </c>
      <c r="W395">
        <v>1</v>
      </c>
      <c r="X395">
        <v>2</v>
      </c>
      <c r="Y395">
        <v>15</v>
      </c>
      <c r="Z395">
        <f>IF(H_A[[#This Row],[Attrition]]="Yes",1,0)</f>
        <v>0</v>
      </c>
      <c r="AA395" t="str">
        <f>IF(H_A[[#This Row],[Age]]&lt;30,"Young",IF(H_A[[#This Row],[Age]]&lt;45,"Mid","Senior"))</f>
        <v>Mid</v>
      </c>
      <c r="AB395" t="str">
        <f>IF(H_A[[#This Row],[MonthlyIncome]]&lt;5000,"Low",IF(H_A[[#This Row],[MonthlyIncome]]&lt;10000,"Medium","High"))</f>
        <v>Medium</v>
      </c>
      <c r="AC395" t="str">
        <f>IF(H_A[[#This Row],[YearsAtCompany]]&lt;3,"Early",IF(H_A[[#This Row],[YearsAtCompany]]&lt;7,"Mid","Long"))</f>
        <v>Mid</v>
      </c>
      <c r="AD395" t="str">
        <f>IF(H_A[[#This Row],[PercentSalaryHike]]&lt;13,"Low",IF(H_A[[#This Row],[PercentSalaryHike]]&lt;18,"Medium","High"))</f>
        <v>Medium</v>
      </c>
    </row>
    <row r="396" spans="1:30" x14ac:dyDescent="0.3">
      <c r="A396">
        <v>31</v>
      </c>
      <c r="B396">
        <v>524</v>
      </c>
      <c r="C396" t="s">
        <v>36</v>
      </c>
      <c r="D396" t="s">
        <v>37</v>
      </c>
      <c r="E396">
        <v>7</v>
      </c>
      <c r="F396">
        <v>2</v>
      </c>
      <c r="G396" t="s">
        <v>43</v>
      </c>
      <c r="H396">
        <v>2</v>
      </c>
      <c r="I396" t="s">
        <v>33</v>
      </c>
      <c r="J396">
        <v>3</v>
      </c>
      <c r="K396">
        <v>2</v>
      </c>
      <c r="L396" t="s">
        <v>45</v>
      </c>
      <c r="M396">
        <v>1</v>
      </c>
      <c r="N396" t="s">
        <v>40</v>
      </c>
      <c r="O396">
        <v>4306</v>
      </c>
      <c r="P396">
        <v>1</v>
      </c>
      <c r="Q396" t="s">
        <v>36</v>
      </c>
      <c r="R396">
        <v>2</v>
      </c>
      <c r="S396">
        <v>13</v>
      </c>
      <c r="T396">
        <v>1</v>
      </c>
      <c r="U396">
        <v>13</v>
      </c>
      <c r="V396">
        <v>10</v>
      </c>
      <c r="W396">
        <v>3</v>
      </c>
      <c r="X396">
        <v>12</v>
      </c>
      <c r="Y396">
        <v>12</v>
      </c>
      <c r="Z396">
        <f>IF(H_A[[#This Row],[Attrition]]="Yes",1,0)</f>
        <v>0</v>
      </c>
      <c r="AA396" t="str">
        <f>IF(H_A[[#This Row],[Age]]&lt;30,"Young",IF(H_A[[#This Row],[Age]]&lt;45,"Mid","Senior"))</f>
        <v>Mid</v>
      </c>
      <c r="AB396" t="str">
        <f>IF(H_A[[#This Row],[MonthlyIncome]]&lt;5000,"Low",IF(H_A[[#This Row],[MonthlyIncome]]&lt;10000,"Medium","High"))</f>
        <v>Low</v>
      </c>
      <c r="AC396" t="str">
        <f>IF(H_A[[#This Row],[YearsAtCompany]]&lt;3,"Early",IF(H_A[[#This Row],[YearsAtCompany]]&lt;7,"Mid","Long"))</f>
        <v>Long</v>
      </c>
      <c r="AD396" t="str">
        <f>IF(H_A[[#This Row],[PercentSalaryHike]]&lt;13,"Low",IF(H_A[[#This Row],[PercentSalaryHike]]&lt;18,"Medium","High"))</f>
        <v>Low</v>
      </c>
    </row>
    <row r="397" spans="1:30" x14ac:dyDescent="0.3">
      <c r="A397">
        <v>43</v>
      </c>
      <c r="B397">
        <v>525</v>
      </c>
      <c r="C397" t="s">
        <v>36</v>
      </c>
      <c r="D397" t="s">
        <v>37</v>
      </c>
      <c r="E397">
        <v>21</v>
      </c>
      <c r="F397">
        <v>3</v>
      </c>
      <c r="G397" t="s">
        <v>43</v>
      </c>
      <c r="H397">
        <v>4</v>
      </c>
      <c r="I397" t="s">
        <v>38</v>
      </c>
      <c r="J397">
        <v>3</v>
      </c>
      <c r="K397">
        <v>1</v>
      </c>
      <c r="L397" t="s">
        <v>42</v>
      </c>
      <c r="M397">
        <v>4</v>
      </c>
      <c r="N397" t="s">
        <v>40</v>
      </c>
      <c r="O397">
        <v>2258</v>
      </c>
      <c r="P397">
        <v>7</v>
      </c>
      <c r="Q397" t="s">
        <v>36</v>
      </c>
      <c r="R397">
        <v>1</v>
      </c>
      <c r="S397">
        <v>8</v>
      </c>
      <c r="T397">
        <v>3</v>
      </c>
      <c r="U397">
        <v>3</v>
      </c>
      <c r="V397">
        <v>2</v>
      </c>
      <c r="W397">
        <v>1</v>
      </c>
      <c r="X397">
        <v>2</v>
      </c>
      <c r="Y397">
        <v>20</v>
      </c>
      <c r="Z397">
        <f>IF(H_A[[#This Row],[Attrition]]="Yes",1,0)</f>
        <v>0</v>
      </c>
      <c r="AA397" t="str">
        <f>IF(H_A[[#This Row],[Age]]&lt;30,"Young",IF(H_A[[#This Row],[Age]]&lt;45,"Mid","Senior"))</f>
        <v>Mid</v>
      </c>
      <c r="AB397" t="str">
        <f>IF(H_A[[#This Row],[MonthlyIncome]]&lt;5000,"Low",IF(H_A[[#This Row],[MonthlyIncome]]&lt;10000,"Medium","High"))</f>
        <v>Low</v>
      </c>
      <c r="AC397" t="str">
        <f>IF(H_A[[#This Row],[YearsAtCompany]]&lt;3,"Early",IF(H_A[[#This Row],[YearsAtCompany]]&lt;7,"Mid","Long"))</f>
        <v>Mid</v>
      </c>
      <c r="AD397" t="str">
        <f>IF(H_A[[#This Row],[PercentSalaryHike]]&lt;13,"Low",IF(H_A[[#This Row],[PercentSalaryHike]]&lt;18,"Medium","High"))</f>
        <v>High</v>
      </c>
    </row>
    <row r="398" spans="1:30" x14ac:dyDescent="0.3">
      <c r="A398">
        <v>43</v>
      </c>
      <c r="B398">
        <v>526</v>
      </c>
      <c r="C398" t="s">
        <v>36</v>
      </c>
      <c r="D398" t="s">
        <v>37</v>
      </c>
      <c r="E398">
        <v>8</v>
      </c>
      <c r="F398">
        <v>4</v>
      </c>
      <c r="G398" t="s">
        <v>41</v>
      </c>
      <c r="H398">
        <v>3</v>
      </c>
      <c r="I398" t="s">
        <v>33</v>
      </c>
      <c r="J398">
        <v>3</v>
      </c>
      <c r="K398">
        <v>2</v>
      </c>
      <c r="L398" t="s">
        <v>46</v>
      </c>
      <c r="M398">
        <v>3</v>
      </c>
      <c r="N398" t="s">
        <v>44</v>
      </c>
      <c r="O398">
        <v>4522</v>
      </c>
      <c r="P398">
        <v>4</v>
      </c>
      <c r="Q398" t="s">
        <v>30</v>
      </c>
      <c r="R398">
        <v>4</v>
      </c>
      <c r="S398">
        <v>8</v>
      </c>
      <c r="T398">
        <v>3</v>
      </c>
      <c r="U398">
        <v>5</v>
      </c>
      <c r="V398">
        <v>2</v>
      </c>
      <c r="W398">
        <v>0</v>
      </c>
      <c r="X398">
        <v>2</v>
      </c>
      <c r="Y398">
        <v>14</v>
      </c>
      <c r="Z398">
        <f>IF(H_A[[#This Row],[Attrition]]="Yes",1,0)</f>
        <v>0</v>
      </c>
      <c r="AA398" t="str">
        <f>IF(H_A[[#This Row],[Age]]&lt;30,"Young",IF(H_A[[#This Row],[Age]]&lt;45,"Mid","Senior"))</f>
        <v>Mid</v>
      </c>
      <c r="AB398" t="str">
        <f>IF(H_A[[#This Row],[MonthlyIncome]]&lt;5000,"Low",IF(H_A[[#This Row],[MonthlyIncome]]&lt;10000,"Medium","High"))</f>
        <v>Low</v>
      </c>
      <c r="AC398" t="str">
        <f>IF(H_A[[#This Row],[YearsAtCompany]]&lt;3,"Early",IF(H_A[[#This Row],[YearsAtCompany]]&lt;7,"Mid","Long"))</f>
        <v>Mid</v>
      </c>
      <c r="AD398" t="str">
        <f>IF(H_A[[#This Row],[PercentSalaryHike]]&lt;13,"Low",IF(H_A[[#This Row],[PercentSalaryHike]]&lt;18,"Medium","High"))</f>
        <v>Medium</v>
      </c>
    </row>
    <row r="399" spans="1:30" x14ac:dyDescent="0.3">
      <c r="A399">
        <v>25</v>
      </c>
      <c r="B399">
        <v>527</v>
      </c>
      <c r="C399" t="s">
        <v>36</v>
      </c>
      <c r="D399" t="s">
        <v>31</v>
      </c>
      <c r="E399">
        <v>4</v>
      </c>
      <c r="F399">
        <v>2</v>
      </c>
      <c r="G399" t="s">
        <v>32</v>
      </c>
      <c r="H399">
        <v>2</v>
      </c>
      <c r="I399" t="s">
        <v>33</v>
      </c>
      <c r="J399">
        <v>2</v>
      </c>
      <c r="K399">
        <v>2</v>
      </c>
      <c r="L399" t="s">
        <v>34</v>
      </c>
      <c r="M399">
        <v>4</v>
      </c>
      <c r="N399" t="s">
        <v>35</v>
      </c>
      <c r="O399">
        <v>4487</v>
      </c>
      <c r="P399">
        <v>1</v>
      </c>
      <c r="Q399" t="s">
        <v>30</v>
      </c>
      <c r="R399">
        <v>2</v>
      </c>
      <c r="S399">
        <v>5</v>
      </c>
      <c r="T399">
        <v>3</v>
      </c>
      <c r="U399">
        <v>5</v>
      </c>
      <c r="V399">
        <v>4</v>
      </c>
      <c r="W399">
        <v>1</v>
      </c>
      <c r="X399">
        <v>3</v>
      </c>
      <c r="Y399">
        <v>11</v>
      </c>
      <c r="Z399">
        <f>IF(H_A[[#This Row],[Attrition]]="Yes",1,0)</f>
        <v>0</v>
      </c>
      <c r="AA399" t="str">
        <f>IF(H_A[[#This Row],[Age]]&lt;30,"Young",IF(H_A[[#This Row],[Age]]&lt;45,"Mid","Senior"))</f>
        <v>Young</v>
      </c>
      <c r="AB399" t="str">
        <f>IF(H_A[[#This Row],[MonthlyIncome]]&lt;5000,"Low",IF(H_A[[#This Row],[MonthlyIncome]]&lt;10000,"Medium","High"))</f>
        <v>Low</v>
      </c>
      <c r="AC399" t="str">
        <f>IF(H_A[[#This Row],[YearsAtCompany]]&lt;3,"Early",IF(H_A[[#This Row],[YearsAtCompany]]&lt;7,"Mid","Long"))</f>
        <v>Mid</v>
      </c>
      <c r="AD399" t="str">
        <f>IF(H_A[[#This Row],[PercentSalaryHike]]&lt;13,"Low",IF(H_A[[#This Row],[PercentSalaryHike]]&lt;18,"Medium","High"))</f>
        <v>Low</v>
      </c>
    </row>
    <row r="400" spans="1:30" x14ac:dyDescent="0.3">
      <c r="A400">
        <v>37</v>
      </c>
      <c r="B400">
        <v>529</v>
      </c>
      <c r="C400" t="s">
        <v>36</v>
      </c>
      <c r="D400" t="s">
        <v>37</v>
      </c>
      <c r="E400">
        <v>25</v>
      </c>
      <c r="F400">
        <v>5</v>
      </c>
      <c r="G400" t="s">
        <v>43</v>
      </c>
      <c r="H400">
        <v>2</v>
      </c>
      <c r="I400" t="s">
        <v>33</v>
      </c>
      <c r="J400">
        <v>3</v>
      </c>
      <c r="K400">
        <v>2</v>
      </c>
      <c r="L400" t="s">
        <v>39</v>
      </c>
      <c r="M400">
        <v>3</v>
      </c>
      <c r="N400" t="s">
        <v>40</v>
      </c>
      <c r="O400">
        <v>4449</v>
      </c>
      <c r="P400">
        <v>3</v>
      </c>
      <c r="Q400" t="s">
        <v>30</v>
      </c>
      <c r="R400">
        <v>1</v>
      </c>
      <c r="S400">
        <v>15</v>
      </c>
      <c r="T400">
        <v>3</v>
      </c>
      <c r="U400">
        <v>13</v>
      </c>
      <c r="V400">
        <v>11</v>
      </c>
      <c r="W400">
        <v>10</v>
      </c>
      <c r="X400">
        <v>7</v>
      </c>
      <c r="Y400">
        <v>15</v>
      </c>
      <c r="Z400">
        <f>IF(H_A[[#This Row],[Attrition]]="Yes",1,0)</f>
        <v>0</v>
      </c>
      <c r="AA400" t="str">
        <f>IF(H_A[[#This Row],[Age]]&lt;30,"Young",IF(H_A[[#This Row],[Age]]&lt;45,"Mid","Senior"))</f>
        <v>Mid</v>
      </c>
      <c r="AB400" t="str">
        <f>IF(H_A[[#This Row],[MonthlyIncome]]&lt;5000,"Low",IF(H_A[[#This Row],[MonthlyIncome]]&lt;10000,"Medium","High"))</f>
        <v>Low</v>
      </c>
      <c r="AC400" t="str">
        <f>IF(H_A[[#This Row],[YearsAtCompany]]&lt;3,"Early",IF(H_A[[#This Row],[YearsAtCompany]]&lt;7,"Mid","Long"))</f>
        <v>Long</v>
      </c>
      <c r="AD400" t="str">
        <f>IF(H_A[[#This Row],[PercentSalaryHike]]&lt;13,"Low",IF(H_A[[#This Row],[PercentSalaryHike]]&lt;18,"Medium","High"))</f>
        <v>Medium</v>
      </c>
    </row>
    <row r="401" spans="1:30" x14ac:dyDescent="0.3">
      <c r="A401">
        <v>31</v>
      </c>
      <c r="B401">
        <v>530</v>
      </c>
      <c r="C401" t="s">
        <v>36</v>
      </c>
      <c r="D401" t="s">
        <v>37</v>
      </c>
      <c r="E401">
        <v>1</v>
      </c>
      <c r="F401">
        <v>2</v>
      </c>
      <c r="G401" t="s">
        <v>32</v>
      </c>
      <c r="H401">
        <v>4</v>
      </c>
      <c r="I401" t="s">
        <v>38</v>
      </c>
      <c r="J401">
        <v>2</v>
      </c>
      <c r="K401">
        <v>1</v>
      </c>
      <c r="L401" t="s">
        <v>42</v>
      </c>
      <c r="M401">
        <v>1</v>
      </c>
      <c r="N401" t="s">
        <v>40</v>
      </c>
      <c r="O401">
        <v>2218</v>
      </c>
      <c r="P401">
        <v>1</v>
      </c>
      <c r="Q401" t="s">
        <v>36</v>
      </c>
      <c r="R401">
        <v>3</v>
      </c>
      <c r="S401">
        <v>4</v>
      </c>
      <c r="T401">
        <v>3</v>
      </c>
      <c r="U401">
        <v>4</v>
      </c>
      <c r="V401">
        <v>2</v>
      </c>
      <c r="W401">
        <v>3</v>
      </c>
      <c r="X401">
        <v>2</v>
      </c>
      <c r="Y401">
        <v>12</v>
      </c>
      <c r="Z401">
        <f>IF(H_A[[#This Row],[Attrition]]="Yes",1,0)</f>
        <v>0</v>
      </c>
      <c r="AA401" t="str">
        <f>IF(H_A[[#This Row],[Age]]&lt;30,"Young",IF(H_A[[#This Row],[Age]]&lt;45,"Mid","Senior"))</f>
        <v>Mid</v>
      </c>
      <c r="AB401" t="str">
        <f>IF(H_A[[#This Row],[MonthlyIncome]]&lt;5000,"Low",IF(H_A[[#This Row],[MonthlyIncome]]&lt;10000,"Medium","High"))</f>
        <v>Low</v>
      </c>
      <c r="AC401" t="str">
        <f>IF(H_A[[#This Row],[YearsAtCompany]]&lt;3,"Early",IF(H_A[[#This Row],[YearsAtCompany]]&lt;7,"Mid","Long"))</f>
        <v>Mid</v>
      </c>
      <c r="AD401" t="str">
        <f>IF(H_A[[#This Row],[PercentSalaryHike]]&lt;13,"Low",IF(H_A[[#This Row],[PercentSalaryHike]]&lt;18,"Medium","High"))</f>
        <v>Low</v>
      </c>
    </row>
    <row r="402" spans="1:30" x14ac:dyDescent="0.3">
      <c r="A402">
        <v>39</v>
      </c>
      <c r="B402">
        <v>531</v>
      </c>
      <c r="C402" t="s">
        <v>36</v>
      </c>
      <c r="D402" t="s">
        <v>37</v>
      </c>
      <c r="E402">
        <v>1</v>
      </c>
      <c r="F402">
        <v>1</v>
      </c>
      <c r="G402" t="s">
        <v>32</v>
      </c>
      <c r="H402">
        <v>2</v>
      </c>
      <c r="I402" t="s">
        <v>38</v>
      </c>
      <c r="J402">
        <v>3</v>
      </c>
      <c r="K402">
        <v>5</v>
      </c>
      <c r="L402" t="s">
        <v>47</v>
      </c>
      <c r="M402">
        <v>3</v>
      </c>
      <c r="N402" t="s">
        <v>44</v>
      </c>
      <c r="O402">
        <v>19197</v>
      </c>
      <c r="P402">
        <v>1</v>
      </c>
      <c r="Q402" t="s">
        <v>30</v>
      </c>
      <c r="R402">
        <v>3</v>
      </c>
      <c r="S402">
        <v>21</v>
      </c>
      <c r="T402">
        <v>3</v>
      </c>
      <c r="U402">
        <v>21</v>
      </c>
      <c r="V402">
        <v>8</v>
      </c>
      <c r="W402">
        <v>1</v>
      </c>
      <c r="X402">
        <v>6</v>
      </c>
      <c r="Y402">
        <v>14</v>
      </c>
      <c r="Z402">
        <f>IF(H_A[[#This Row],[Attrition]]="Yes",1,0)</f>
        <v>0</v>
      </c>
      <c r="AA402" t="str">
        <f>IF(H_A[[#This Row],[Age]]&lt;30,"Young",IF(H_A[[#This Row],[Age]]&lt;45,"Mid","Senior"))</f>
        <v>Mid</v>
      </c>
      <c r="AB402" t="str">
        <f>IF(H_A[[#This Row],[MonthlyIncome]]&lt;5000,"Low",IF(H_A[[#This Row],[MonthlyIncome]]&lt;10000,"Medium","High"))</f>
        <v>High</v>
      </c>
      <c r="AC402" t="str">
        <f>IF(H_A[[#This Row],[YearsAtCompany]]&lt;3,"Early",IF(H_A[[#This Row],[YearsAtCompany]]&lt;7,"Mid","Long"))</f>
        <v>Long</v>
      </c>
      <c r="AD402" t="str">
        <f>IF(H_A[[#This Row],[PercentSalaryHike]]&lt;13,"Low",IF(H_A[[#This Row],[PercentSalaryHike]]&lt;18,"Medium","High"))</f>
        <v>Medium</v>
      </c>
    </row>
    <row r="403" spans="1:30" x14ac:dyDescent="0.3">
      <c r="A403">
        <v>56</v>
      </c>
      <c r="B403">
        <v>532</v>
      </c>
      <c r="C403" t="s">
        <v>36</v>
      </c>
      <c r="D403" t="s">
        <v>31</v>
      </c>
      <c r="E403">
        <v>6</v>
      </c>
      <c r="F403">
        <v>3</v>
      </c>
      <c r="G403" t="s">
        <v>32</v>
      </c>
      <c r="H403">
        <v>3</v>
      </c>
      <c r="I403" t="s">
        <v>33</v>
      </c>
      <c r="J403">
        <v>4</v>
      </c>
      <c r="K403">
        <v>4</v>
      </c>
      <c r="L403" t="s">
        <v>34</v>
      </c>
      <c r="M403">
        <v>1</v>
      </c>
      <c r="N403" t="s">
        <v>40</v>
      </c>
      <c r="O403">
        <v>13212</v>
      </c>
      <c r="P403">
        <v>9</v>
      </c>
      <c r="Q403" t="s">
        <v>36</v>
      </c>
      <c r="R403">
        <v>4</v>
      </c>
      <c r="S403">
        <v>36</v>
      </c>
      <c r="T403">
        <v>2</v>
      </c>
      <c r="U403">
        <v>7</v>
      </c>
      <c r="V403">
        <v>7</v>
      </c>
      <c r="W403">
        <v>7</v>
      </c>
      <c r="X403">
        <v>7</v>
      </c>
      <c r="Y403">
        <v>11</v>
      </c>
      <c r="Z403">
        <f>IF(H_A[[#This Row],[Attrition]]="Yes",1,0)</f>
        <v>0</v>
      </c>
      <c r="AA403" t="str">
        <f>IF(H_A[[#This Row],[Age]]&lt;30,"Young",IF(H_A[[#This Row],[Age]]&lt;45,"Mid","Senior"))</f>
        <v>Senior</v>
      </c>
      <c r="AB403" t="str">
        <f>IF(H_A[[#This Row],[MonthlyIncome]]&lt;5000,"Low",IF(H_A[[#This Row],[MonthlyIncome]]&lt;10000,"Medium","High"))</f>
        <v>High</v>
      </c>
      <c r="AC403" t="str">
        <f>IF(H_A[[#This Row],[YearsAtCompany]]&lt;3,"Early",IF(H_A[[#This Row],[YearsAtCompany]]&lt;7,"Mid","Long"))</f>
        <v>Long</v>
      </c>
      <c r="AD403" t="str">
        <f>IF(H_A[[#This Row],[PercentSalaryHike]]&lt;13,"Low",IF(H_A[[#This Row],[PercentSalaryHike]]&lt;18,"Medium","High"))</f>
        <v>Low</v>
      </c>
    </row>
    <row r="404" spans="1:30" x14ac:dyDescent="0.3">
      <c r="A404">
        <v>30</v>
      </c>
      <c r="B404">
        <v>533</v>
      </c>
      <c r="C404" t="s">
        <v>36</v>
      </c>
      <c r="D404" t="s">
        <v>31</v>
      </c>
      <c r="E404">
        <v>12</v>
      </c>
      <c r="F404">
        <v>3</v>
      </c>
      <c r="G404" t="s">
        <v>51</v>
      </c>
      <c r="H404">
        <v>2</v>
      </c>
      <c r="I404" t="s">
        <v>33</v>
      </c>
      <c r="J404">
        <v>3</v>
      </c>
      <c r="K404">
        <v>2</v>
      </c>
      <c r="L404" t="s">
        <v>34</v>
      </c>
      <c r="M404">
        <v>3</v>
      </c>
      <c r="N404" t="s">
        <v>35</v>
      </c>
      <c r="O404">
        <v>6577</v>
      </c>
      <c r="P404">
        <v>0</v>
      </c>
      <c r="Q404" t="s">
        <v>36</v>
      </c>
      <c r="R404">
        <v>2</v>
      </c>
      <c r="S404">
        <v>6</v>
      </c>
      <c r="T404">
        <v>3</v>
      </c>
      <c r="U404">
        <v>5</v>
      </c>
      <c r="V404">
        <v>4</v>
      </c>
      <c r="W404">
        <v>4</v>
      </c>
      <c r="X404">
        <v>4</v>
      </c>
      <c r="Y404">
        <v>11</v>
      </c>
      <c r="Z404">
        <f>IF(H_A[[#This Row],[Attrition]]="Yes",1,0)</f>
        <v>0</v>
      </c>
      <c r="AA404" t="str">
        <f>IF(H_A[[#This Row],[Age]]&lt;30,"Young",IF(H_A[[#This Row],[Age]]&lt;45,"Mid","Senior"))</f>
        <v>Mid</v>
      </c>
      <c r="AB404" t="str">
        <f>IF(H_A[[#This Row],[MonthlyIncome]]&lt;5000,"Low",IF(H_A[[#This Row],[MonthlyIncome]]&lt;10000,"Medium","High"))</f>
        <v>Medium</v>
      </c>
      <c r="AC404" t="str">
        <f>IF(H_A[[#This Row],[YearsAtCompany]]&lt;3,"Early",IF(H_A[[#This Row],[YearsAtCompany]]&lt;7,"Mid","Long"))</f>
        <v>Mid</v>
      </c>
      <c r="AD404" t="str">
        <f>IF(H_A[[#This Row],[PercentSalaryHike]]&lt;13,"Low",IF(H_A[[#This Row],[PercentSalaryHike]]&lt;18,"Medium","High"))</f>
        <v>Low</v>
      </c>
    </row>
    <row r="405" spans="1:30" x14ac:dyDescent="0.3">
      <c r="A405">
        <v>41</v>
      </c>
      <c r="B405">
        <v>534</v>
      </c>
      <c r="C405" t="s">
        <v>36</v>
      </c>
      <c r="D405" t="s">
        <v>31</v>
      </c>
      <c r="E405">
        <v>1</v>
      </c>
      <c r="F405">
        <v>3</v>
      </c>
      <c r="G405" t="s">
        <v>50</v>
      </c>
      <c r="H405">
        <v>2</v>
      </c>
      <c r="I405" t="s">
        <v>38</v>
      </c>
      <c r="J405">
        <v>4</v>
      </c>
      <c r="K405">
        <v>3</v>
      </c>
      <c r="L405" t="s">
        <v>34</v>
      </c>
      <c r="M405">
        <v>1</v>
      </c>
      <c r="N405" t="s">
        <v>40</v>
      </c>
      <c r="O405">
        <v>8392</v>
      </c>
      <c r="P405">
        <v>1</v>
      </c>
      <c r="Q405" t="s">
        <v>36</v>
      </c>
      <c r="R405">
        <v>3</v>
      </c>
      <c r="S405">
        <v>10</v>
      </c>
      <c r="T405">
        <v>3</v>
      </c>
      <c r="U405">
        <v>10</v>
      </c>
      <c r="V405">
        <v>7</v>
      </c>
      <c r="W405">
        <v>0</v>
      </c>
      <c r="X405">
        <v>7</v>
      </c>
      <c r="Y405">
        <v>16</v>
      </c>
      <c r="Z405">
        <f>IF(H_A[[#This Row],[Attrition]]="Yes",1,0)</f>
        <v>0</v>
      </c>
      <c r="AA405" t="str">
        <f>IF(H_A[[#This Row],[Age]]&lt;30,"Young",IF(H_A[[#This Row],[Age]]&lt;45,"Mid","Senior"))</f>
        <v>Mid</v>
      </c>
      <c r="AB405" t="str">
        <f>IF(H_A[[#This Row],[MonthlyIncome]]&lt;5000,"Low",IF(H_A[[#This Row],[MonthlyIncome]]&lt;10000,"Medium","High"))</f>
        <v>Medium</v>
      </c>
      <c r="AC405" t="str">
        <f>IF(H_A[[#This Row],[YearsAtCompany]]&lt;3,"Early",IF(H_A[[#This Row],[YearsAtCompany]]&lt;7,"Mid","Long"))</f>
        <v>Long</v>
      </c>
      <c r="AD405" t="str">
        <f>IF(H_A[[#This Row],[PercentSalaryHike]]&lt;13,"Low",IF(H_A[[#This Row],[PercentSalaryHike]]&lt;18,"Medium","High"))</f>
        <v>Medium</v>
      </c>
    </row>
    <row r="406" spans="1:30" x14ac:dyDescent="0.3">
      <c r="A406">
        <v>28</v>
      </c>
      <c r="B406">
        <v>536</v>
      </c>
      <c r="C406" t="s">
        <v>36</v>
      </c>
      <c r="D406" t="s">
        <v>37</v>
      </c>
      <c r="E406">
        <v>17</v>
      </c>
      <c r="F406">
        <v>2</v>
      </c>
      <c r="G406" t="s">
        <v>43</v>
      </c>
      <c r="H406">
        <v>3</v>
      </c>
      <c r="I406" t="s">
        <v>38</v>
      </c>
      <c r="J406">
        <v>3</v>
      </c>
      <c r="K406">
        <v>2</v>
      </c>
      <c r="L406" t="s">
        <v>42</v>
      </c>
      <c r="M406">
        <v>1</v>
      </c>
      <c r="N406" t="s">
        <v>44</v>
      </c>
      <c r="O406">
        <v>4558</v>
      </c>
      <c r="P406">
        <v>1</v>
      </c>
      <c r="Q406" t="s">
        <v>36</v>
      </c>
      <c r="R406">
        <v>4</v>
      </c>
      <c r="S406">
        <v>10</v>
      </c>
      <c r="T406">
        <v>3</v>
      </c>
      <c r="U406">
        <v>10</v>
      </c>
      <c r="V406">
        <v>0</v>
      </c>
      <c r="W406">
        <v>1</v>
      </c>
      <c r="X406">
        <v>8</v>
      </c>
      <c r="Y406">
        <v>12</v>
      </c>
      <c r="Z406">
        <f>IF(H_A[[#This Row],[Attrition]]="Yes",1,0)</f>
        <v>0</v>
      </c>
      <c r="AA406" t="str">
        <f>IF(H_A[[#This Row],[Age]]&lt;30,"Young",IF(H_A[[#This Row],[Age]]&lt;45,"Mid","Senior"))</f>
        <v>Young</v>
      </c>
      <c r="AB406" t="str">
        <f>IF(H_A[[#This Row],[MonthlyIncome]]&lt;5000,"Low",IF(H_A[[#This Row],[MonthlyIncome]]&lt;10000,"Medium","High"))</f>
        <v>Low</v>
      </c>
      <c r="AC406" t="str">
        <f>IF(H_A[[#This Row],[YearsAtCompany]]&lt;3,"Early",IF(H_A[[#This Row],[YearsAtCompany]]&lt;7,"Mid","Long"))</f>
        <v>Long</v>
      </c>
      <c r="AD406" t="str">
        <f>IF(H_A[[#This Row],[PercentSalaryHike]]&lt;13,"Low",IF(H_A[[#This Row],[PercentSalaryHike]]&lt;18,"Medium","High"))</f>
        <v>Low</v>
      </c>
    </row>
    <row r="407" spans="1:30" x14ac:dyDescent="0.3">
      <c r="A407">
        <v>25</v>
      </c>
      <c r="B407">
        <v>538</v>
      </c>
      <c r="C407" t="s">
        <v>30</v>
      </c>
      <c r="D407" t="s">
        <v>37</v>
      </c>
      <c r="E407">
        <v>3</v>
      </c>
      <c r="F407">
        <v>3</v>
      </c>
      <c r="G407" t="s">
        <v>43</v>
      </c>
      <c r="H407">
        <v>1</v>
      </c>
      <c r="I407" t="s">
        <v>38</v>
      </c>
      <c r="J407">
        <v>3</v>
      </c>
      <c r="K407">
        <v>1</v>
      </c>
      <c r="L407" t="s">
        <v>42</v>
      </c>
      <c r="M407">
        <v>1</v>
      </c>
      <c r="N407" t="s">
        <v>40</v>
      </c>
      <c r="O407">
        <v>4031</v>
      </c>
      <c r="P407">
        <v>5</v>
      </c>
      <c r="Q407" t="s">
        <v>36</v>
      </c>
      <c r="R407">
        <v>3</v>
      </c>
      <c r="S407">
        <v>6</v>
      </c>
      <c r="T407">
        <v>3</v>
      </c>
      <c r="U407">
        <v>2</v>
      </c>
      <c r="V407">
        <v>2</v>
      </c>
      <c r="W407">
        <v>0</v>
      </c>
      <c r="X407">
        <v>2</v>
      </c>
      <c r="Y407">
        <v>13</v>
      </c>
      <c r="Z407">
        <f>IF(H_A[[#This Row],[Attrition]]="Yes",1,0)</f>
        <v>1</v>
      </c>
      <c r="AA407" t="str">
        <f>IF(H_A[[#This Row],[Age]]&lt;30,"Young",IF(H_A[[#This Row],[Age]]&lt;45,"Mid","Senior"))</f>
        <v>Young</v>
      </c>
      <c r="AB407" t="str">
        <f>IF(H_A[[#This Row],[MonthlyIncome]]&lt;5000,"Low",IF(H_A[[#This Row],[MonthlyIncome]]&lt;10000,"Medium","High"))</f>
        <v>Low</v>
      </c>
      <c r="AC407" t="str">
        <f>IF(H_A[[#This Row],[YearsAtCompany]]&lt;3,"Early",IF(H_A[[#This Row],[YearsAtCompany]]&lt;7,"Mid","Long"))</f>
        <v>Early</v>
      </c>
      <c r="AD407" t="str">
        <f>IF(H_A[[#This Row],[PercentSalaryHike]]&lt;13,"Low",IF(H_A[[#This Row],[PercentSalaryHike]]&lt;18,"Medium","High"))</f>
        <v>Medium</v>
      </c>
    </row>
    <row r="408" spans="1:30" x14ac:dyDescent="0.3">
      <c r="A408">
        <v>52</v>
      </c>
      <c r="B408">
        <v>543</v>
      </c>
      <c r="C408" t="s">
        <v>36</v>
      </c>
      <c r="D408" t="s">
        <v>37</v>
      </c>
      <c r="E408">
        <v>3</v>
      </c>
      <c r="F408">
        <v>3</v>
      </c>
      <c r="G408" t="s">
        <v>43</v>
      </c>
      <c r="H408">
        <v>4</v>
      </c>
      <c r="I408" t="s">
        <v>38</v>
      </c>
      <c r="J408">
        <v>2</v>
      </c>
      <c r="K408">
        <v>3</v>
      </c>
      <c r="L408" t="s">
        <v>45</v>
      </c>
      <c r="M408">
        <v>3</v>
      </c>
      <c r="N408" t="s">
        <v>40</v>
      </c>
      <c r="O408">
        <v>7969</v>
      </c>
      <c r="P408">
        <v>2</v>
      </c>
      <c r="Q408" t="s">
        <v>30</v>
      </c>
      <c r="R408">
        <v>3</v>
      </c>
      <c r="S408">
        <v>28</v>
      </c>
      <c r="T408">
        <v>3</v>
      </c>
      <c r="U408">
        <v>5</v>
      </c>
      <c r="V408">
        <v>4</v>
      </c>
      <c r="W408">
        <v>0</v>
      </c>
      <c r="X408">
        <v>4</v>
      </c>
      <c r="Y408">
        <v>14</v>
      </c>
      <c r="Z408">
        <f>IF(H_A[[#This Row],[Attrition]]="Yes",1,0)</f>
        <v>0</v>
      </c>
      <c r="AA408" t="str">
        <f>IF(H_A[[#This Row],[Age]]&lt;30,"Young",IF(H_A[[#This Row],[Age]]&lt;45,"Mid","Senior"))</f>
        <v>Senior</v>
      </c>
      <c r="AB408" t="str">
        <f>IF(H_A[[#This Row],[MonthlyIncome]]&lt;5000,"Low",IF(H_A[[#This Row],[MonthlyIncome]]&lt;10000,"Medium","High"))</f>
        <v>Medium</v>
      </c>
      <c r="AC408" t="str">
        <f>IF(H_A[[#This Row],[YearsAtCompany]]&lt;3,"Early",IF(H_A[[#This Row],[YearsAtCompany]]&lt;7,"Mid","Long"))</f>
        <v>Mid</v>
      </c>
      <c r="AD408" t="str">
        <f>IF(H_A[[#This Row],[PercentSalaryHike]]&lt;13,"Low",IF(H_A[[#This Row],[PercentSalaryHike]]&lt;18,"Medium","High"))</f>
        <v>Medium</v>
      </c>
    </row>
    <row r="409" spans="1:30" x14ac:dyDescent="0.3">
      <c r="A409">
        <v>45</v>
      </c>
      <c r="B409">
        <v>544</v>
      </c>
      <c r="C409" t="s">
        <v>36</v>
      </c>
      <c r="D409" t="s">
        <v>37</v>
      </c>
      <c r="E409">
        <v>10</v>
      </c>
      <c r="F409">
        <v>2</v>
      </c>
      <c r="G409" t="s">
        <v>32</v>
      </c>
      <c r="H409">
        <v>1</v>
      </c>
      <c r="I409" t="s">
        <v>38</v>
      </c>
      <c r="J409">
        <v>3</v>
      </c>
      <c r="K409">
        <v>1</v>
      </c>
      <c r="L409" t="s">
        <v>39</v>
      </c>
      <c r="M409">
        <v>4</v>
      </c>
      <c r="N409" t="s">
        <v>40</v>
      </c>
      <c r="O409">
        <v>2654</v>
      </c>
      <c r="P409">
        <v>3</v>
      </c>
      <c r="Q409" t="s">
        <v>36</v>
      </c>
      <c r="R409">
        <v>4</v>
      </c>
      <c r="S409">
        <v>8</v>
      </c>
      <c r="T409">
        <v>2</v>
      </c>
      <c r="U409">
        <v>2</v>
      </c>
      <c r="V409">
        <v>2</v>
      </c>
      <c r="W409">
        <v>0</v>
      </c>
      <c r="X409">
        <v>2</v>
      </c>
      <c r="Y409">
        <v>21</v>
      </c>
      <c r="Z409">
        <f>IF(H_A[[#This Row],[Attrition]]="Yes",1,0)</f>
        <v>0</v>
      </c>
      <c r="AA409" t="str">
        <f>IF(H_A[[#This Row],[Age]]&lt;30,"Young",IF(H_A[[#This Row],[Age]]&lt;45,"Mid","Senior"))</f>
        <v>Senior</v>
      </c>
      <c r="AB409" t="str">
        <f>IF(H_A[[#This Row],[MonthlyIncome]]&lt;5000,"Low",IF(H_A[[#This Row],[MonthlyIncome]]&lt;10000,"Medium","High"))</f>
        <v>Low</v>
      </c>
      <c r="AC409" t="str">
        <f>IF(H_A[[#This Row],[YearsAtCompany]]&lt;3,"Early",IF(H_A[[#This Row],[YearsAtCompany]]&lt;7,"Mid","Long"))</f>
        <v>Early</v>
      </c>
      <c r="AD409" t="str">
        <f>IF(H_A[[#This Row],[PercentSalaryHike]]&lt;13,"Low",IF(H_A[[#This Row],[PercentSalaryHike]]&lt;18,"Medium","High"))</f>
        <v>High</v>
      </c>
    </row>
    <row r="410" spans="1:30" x14ac:dyDescent="0.3">
      <c r="A410">
        <v>52</v>
      </c>
      <c r="B410">
        <v>546</v>
      </c>
      <c r="C410" t="s">
        <v>36</v>
      </c>
      <c r="D410" t="s">
        <v>37</v>
      </c>
      <c r="E410">
        <v>4</v>
      </c>
      <c r="F410">
        <v>2</v>
      </c>
      <c r="G410" t="s">
        <v>32</v>
      </c>
      <c r="H410">
        <v>4</v>
      </c>
      <c r="I410" t="s">
        <v>33</v>
      </c>
      <c r="J410">
        <v>3</v>
      </c>
      <c r="K410">
        <v>4</v>
      </c>
      <c r="L410" t="s">
        <v>47</v>
      </c>
      <c r="M410">
        <v>4</v>
      </c>
      <c r="N410" t="s">
        <v>40</v>
      </c>
      <c r="O410">
        <v>16555</v>
      </c>
      <c r="P410">
        <v>2</v>
      </c>
      <c r="Q410" t="s">
        <v>36</v>
      </c>
      <c r="R410">
        <v>4</v>
      </c>
      <c r="S410">
        <v>31</v>
      </c>
      <c r="T410">
        <v>1</v>
      </c>
      <c r="U410">
        <v>5</v>
      </c>
      <c r="V410">
        <v>2</v>
      </c>
      <c r="W410">
        <v>1</v>
      </c>
      <c r="X410">
        <v>4</v>
      </c>
      <c r="Y410">
        <v>13</v>
      </c>
      <c r="Z410">
        <f>IF(H_A[[#This Row],[Attrition]]="Yes",1,0)</f>
        <v>0</v>
      </c>
      <c r="AA410" t="str">
        <f>IF(H_A[[#This Row],[Age]]&lt;30,"Young",IF(H_A[[#This Row],[Age]]&lt;45,"Mid","Senior"))</f>
        <v>Senior</v>
      </c>
      <c r="AB410" t="str">
        <f>IF(H_A[[#This Row],[MonthlyIncome]]&lt;5000,"Low",IF(H_A[[#This Row],[MonthlyIncome]]&lt;10000,"Medium","High"))</f>
        <v>High</v>
      </c>
      <c r="AC410" t="str">
        <f>IF(H_A[[#This Row],[YearsAtCompany]]&lt;3,"Early",IF(H_A[[#This Row],[YearsAtCompany]]&lt;7,"Mid","Long"))</f>
        <v>Mid</v>
      </c>
      <c r="AD410" t="str">
        <f>IF(H_A[[#This Row],[PercentSalaryHike]]&lt;13,"Low",IF(H_A[[#This Row],[PercentSalaryHike]]&lt;18,"Medium","High"))</f>
        <v>Medium</v>
      </c>
    </row>
    <row r="411" spans="1:30" x14ac:dyDescent="0.3">
      <c r="A411">
        <v>42</v>
      </c>
      <c r="B411">
        <v>547</v>
      </c>
      <c r="C411" t="s">
        <v>36</v>
      </c>
      <c r="D411" t="s">
        <v>37</v>
      </c>
      <c r="E411">
        <v>29</v>
      </c>
      <c r="F411">
        <v>2</v>
      </c>
      <c r="G411" t="s">
        <v>32</v>
      </c>
      <c r="H411">
        <v>1</v>
      </c>
      <c r="I411" t="s">
        <v>33</v>
      </c>
      <c r="J411">
        <v>3</v>
      </c>
      <c r="K411">
        <v>2</v>
      </c>
      <c r="L411" t="s">
        <v>39</v>
      </c>
      <c r="M411">
        <v>3</v>
      </c>
      <c r="N411" t="s">
        <v>44</v>
      </c>
      <c r="O411">
        <v>4556</v>
      </c>
      <c r="P411">
        <v>2</v>
      </c>
      <c r="Q411" t="s">
        <v>36</v>
      </c>
      <c r="R411">
        <v>2</v>
      </c>
      <c r="S411">
        <v>19</v>
      </c>
      <c r="T411">
        <v>3</v>
      </c>
      <c r="U411">
        <v>5</v>
      </c>
      <c r="V411">
        <v>4</v>
      </c>
      <c r="W411">
        <v>0</v>
      </c>
      <c r="X411">
        <v>2</v>
      </c>
      <c r="Y411">
        <v>11</v>
      </c>
      <c r="Z411">
        <f>IF(H_A[[#This Row],[Attrition]]="Yes",1,0)</f>
        <v>0</v>
      </c>
      <c r="AA411" t="str">
        <f>IF(H_A[[#This Row],[Age]]&lt;30,"Young",IF(H_A[[#This Row],[Age]]&lt;45,"Mid","Senior"))</f>
        <v>Mid</v>
      </c>
      <c r="AB411" t="str">
        <f>IF(H_A[[#This Row],[MonthlyIncome]]&lt;5000,"Low",IF(H_A[[#This Row],[MonthlyIncome]]&lt;10000,"Medium","High"))</f>
        <v>Low</v>
      </c>
      <c r="AC411" t="str">
        <f>IF(H_A[[#This Row],[YearsAtCompany]]&lt;3,"Early",IF(H_A[[#This Row],[YearsAtCompany]]&lt;7,"Mid","Long"))</f>
        <v>Mid</v>
      </c>
      <c r="AD411" t="str">
        <f>IF(H_A[[#This Row],[PercentSalaryHike]]&lt;13,"Low",IF(H_A[[#This Row],[PercentSalaryHike]]&lt;18,"Medium","High"))</f>
        <v>Low</v>
      </c>
    </row>
    <row r="412" spans="1:30" x14ac:dyDescent="0.3">
      <c r="A412">
        <v>30</v>
      </c>
      <c r="B412">
        <v>548</v>
      </c>
      <c r="C412" t="s">
        <v>36</v>
      </c>
      <c r="D412" t="s">
        <v>37</v>
      </c>
      <c r="E412">
        <v>2</v>
      </c>
      <c r="F412">
        <v>3</v>
      </c>
      <c r="G412" t="s">
        <v>32</v>
      </c>
      <c r="H412">
        <v>3</v>
      </c>
      <c r="I412" t="s">
        <v>33</v>
      </c>
      <c r="J412">
        <v>1</v>
      </c>
      <c r="K412">
        <v>2</v>
      </c>
      <c r="L412" t="s">
        <v>45</v>
      </c>
      <c r="M412">
        <v>4</v>
      </c>
      <c r="N412" t="s">
        <v>35</v>
      </c>
      <c r="O412">
        <v>6091</v>
      </c>
      <c r="P412">
        <v>2</v>
      </c>
      <c r="Q412" t="s">
        <v>36</v>
      </c>
      <c r="R412">
        <v>3</v>
      </c>
      <c r="S412">
        <v>11</v>
      </c>
      <c r="T412">
        <v>3</v>
      </c>
      <c r="U412">
        <v>5</v>
      </c>
      <c r="V412">
        <v>4</v>
      </c>
      <c r="W412">
        <v>0</v>
      </c>
      <c r="X412">
        <v>2</v>
      </c>
      <c r="Y412">
        <v>20</v>
      </c>
      <c r="Z412">
        <f>IF(H_A[[#This Row],[Attrition]]="Yes",1,0)</f>
        <v>0</v>
      </c>
      <c r="AA412" t="str">
        <f>IF(H_A[[#This Row],[Age]]&lt;30,"Young",IF(H_A[[#This Row],[Age]]&lt;45,"Mid","Senior"))</f>
        <v>Mid</v>
      </c>
      <c r="AB412" t="str">
        <f>IF(H_A[[#This Row],[MonthlyIncome]]&lt;5000,"Low",IF(H_A[[#This Row],[MonthlyIncome]]&lt;10000,"Medium","High"))</f>
        <v>Medium</v>
      </c>
      <c r="AC412" t="str">
        <f>IF(H_A[[#This Row],[YearsAtCompany]]&lt;3,"Early",IF(H_A[[#This Row],[YearsAtCompany]]&lt;7,"Mid","Long"))</f>
        <v>Mid</v>
      </c>
      <c r="AD412" t="str">
        <f>IF(H_A[[#This Row],[PercentSalaryHike]]&lt;13,"Low",IF(H_A[[#This Row],[PercentSalaryHike]]&lt;18,"Medium","High"))</f>
        <v>High</v>
      </c>
    </row>
    <row r="413" spans="1:30" x14ac:dyDescent="0.3">
      <c r="A413">
        <v>60</v>
      </c>
      <c r="B413">
        <v>549</v>
      </c>
      <c r="C413" t="s">
        <v>36</v>
      </c>
      <c r="D413" t="s">
        <v>37</v>
      </c>
      <c r="E413">
        <v>7</v>
      </c>
      <c r="F413">
        <v>3</v>
      </c>
      <c r="G413" t="s">
        <v>32</v>
      </c>
      <c r="H413">
        <v>1</v>
      </c>
      <c r="I413" t="s">
        <v>33</v>
      </c>
      <c r="J413">
        <v>3</v>
      </c>
      <c r="K413">
        <v>5</v>
      </c>
      <c r="L413" t="s">
        <v>47</v>
      </c>
      <c r="M413">
        <v>1</v>
      </c>
      <c r="N413" t="s">
        <v>40</v>
      </c>
      <c r="O413">
        <v>19566</v>
      </c>
      <c r="P413">
        <v>5</v>
      </c>
      <c r="Q413" t="s">
        <v>36</v>
      </c>
      <c r="R413">
        <v>4</v>
      </c>
      <c r="S413">
        <v>33</v>
      </c>
      <c r="T413">
        <v>1</v>
      </c>
      <c r="U413">
        <v>29</v>
      </c>
      <c r="V413">
        <v>8</v>
      </c>
      <c r="W413">
        <v>11</v>
      </c>
      <c r="X413">
        <v>10</v>
      </c>
      <c r="Y413">
        <v>11</v>
      </c>
      <c r="Z413">
        <f>IF(H_A[[#This Row],[Attrition]]="Yes",1,0)</f>
        <v>0</v>
      </c>
      <c r="AA413" t="str">
        <f>IF(H_A[[#This Row],[Age]]&lt;30,"Young",IF(H_A[[#This Row],[Age]]&lt;45,"Mid","Senior"))</f>
        <v>Senior</v>
      </c>
      <c r="AB413" t="str">
        <f>IF(H_A[[#This Row],[MonthlyIncome]]&lt;5000,"Low",IF(H_A[[#This Row],[MonthlyIncome]]&lt;10000,"Medium","High"))</f>
        <v>High</v>
      </c>
      <c r="AC413" t="str">
        <f>IF(H_A[[#This Row],[YearsAtCompany]]&lt;3,"Early",IF(H_A[[#This Row],[YearsAtCompany]]&lt;7,"Mid","Long"))</f>
        <v>Long</v>
      </c>
      <c r="AD413" t="str">
        <f>IF(H_A[[#This Row],[PercentSalaryHike]]&lt;13,"Low",IF(H_A[[#This Row],[PercentSalaryHike]]&lt;18,"Medium","High"))</f>
        <v>Low</v>
      </c>
    </row>
    <row r="414" spans="1:30" x14ac:dyDescent="0.3">
      <c r="A414">
        <v>46</v>
      </c>
      <c r="B414">
        <v>550</v>
      </c>
      <c r="C414" t="s">
        <v>36</v>
      </c>
      <c r="D414" t="s">
        <v>37</v>
      </c>
      <c r="E414">
        <v>18</v>
      </c>
      <c r="F414">
        <v>3</v>
      </c>
      <c r="G414" t="s">
        <v>43</v>
      </c>
      <c r="H414">
        <v>3</v>
      </c>
      <c r="I414" t="s">
        <v>33</v>
      </c>
      <c r="J414">
        <v>3</v>
      </c>
      <c r="K414">
        <v>2</v>
      </c>
      <c r="L414" t="s">
        <v>45</v>
      </c>
      <c r="M414">
        <v>3</v>
      </c>
      <c r="N414" t="s">
        <v>44</v>
      </c>
      <c r="O414">
        <v>4810</v>
      </c>
      <c r="P414">
        <v>2</v>
      </c>
      <c r="Q414" t="s">
        <v>36</v>
      </c>
      <c r="R414">
        <v>3</v>
      </c>
      <c r="S414">
        <v>19</v>
      </c>
      <c r="T414">
        <v>2</v>
      </c>
      <c r="U414">
        <v>10</v>
      </c>
      <c r="V414">
        <v>7</v>
      </c>
      <c r="W414">
        <v>0</v>
      </c>
      <c r="X414">
        <v>8</v>
      </c>
      <c r="Y414">
        <v>14</v>
      </c>
      <c r="Z414">
        <f>IF(H_A[[#This Row],[Attrition]]="Yes",1,0)</f>
        <v>0</v>
      </c>
      <c r="AA414" t="str">
        <f>IF(H_A[[#This Row],[Age]]&lt;30,"Young",IF(H_A[[#This Row],[Age]]&lt;45,"Mid","Senior"))</f>
        <v>Senior</v>
      </c>
      <c r="AB414" t="str">
        <f>IF(H_A[[#This Row],[MonthlyIncome]]&lt;5000,"Low",IF(H_A[[#This Row],[MonthlyIncome]]&lt;10000,"Medium","High"))</f>
        <v>Low</v>
      </c>
      <c r="AC414" t="str">
        <f>IF(H_A[[#This Row],[YearsAtCompany]]&lt;3,"Early",IF(H_A[[#This Row],[YearsAtCompany]]&lt;7,"Mid","Long"))</f>
        <v>Long</v>
      </c>
      <c r="AD414" t="str">
        <f>IF(H_A[[#This Row],[PercentSalaryHike]]&lt;13,"Low",IF(H_A[[#This Row],[PercentSalaryHike]]&lt;18,"Medium","High"))</f>
        <v>Medium</v>
      </c>
    </row>
    <row r="415" spans="1:30" x14ac:dyDescent="0.3">
      <c r="A415">
        <v>42</v>
      </c>
      <c r="B415">
        <v>551</v>
      </c>
      <c r="C415" t="s">
        <v>36</v>
      </c>
      <c r="D415" t="s">
        <v>37</v>
      </c>
      <c r="E415">
        <v>28</v>
      </c>
      <c r="F415">
        <v>4</v>
      </c>
      <c r="G415" t="s">
        <v>51</v>
      </c>
      <c r="H415">
        <v>4</v>
      </c>
      <c r="I415" t="s">
        <v>33</v>
      </c>
      <c r="J415">
        <v>2</v>
      </c>
      <c r="K415">
        <v>2</v>
      </c>
      <c r="L415" t="s">
        <v>46</v>
      </c>
      <c r="M415">
        <v>4</v>
      </c>
      <c r="N415" t="s">
        <v>40</v>
      </c>
      <c r="O415">
        <v>4523</v>
      </c>
      <c r="P415">
        <v>0</v>
      </c>
      <c r="Q415" t="s">
        <v>36</v>
      </c>
      <c r="R415">
        <v>4</v>
      </c>
      <c r="S415">
        <v>7</v>
      </c>
      <c r="T415">
        <v>4</v>
      </c>
      <c r="U415">
        <v>6</v>
      </c>
      <c r="V415">
        <v>5</v>
      </c>
      <c r="W415">
        <v>0</v>
      </c>
      <c r="X415">
        <v>4</v>
      </c>
      <c r="Y415">
        <v>11</v>
      </c>
      <c r="Z415">
        <f>IF(H_A[[#This Row],[Attrition]]="Yes",1,0)</f>
        <v>0</v>
      </c>
      <c r="AA415" t="str">
        <f>IF(H_A[[#This Row],[Age]]&lt;30,"Young",IF(H_A[[#This Row],[Age]]&lt;45,"Mid","Senior"))</f>
        <v>Mid</v>
      </c>
      <c r="AB415" t="str">
        <f>IF(H_A[[#This Row],[MonthlyIncome]]&lt;5000,"Low",IF(H_A[[#This Row],[MonthlyIncome]]&lt;10000,"Medium","High"))</f>
        <v>Low</v>
      </c>
      <c r="AC415" t="str">
        <f>IF(H_A[[#This Row],[YearsAtCompany]]&lt;3,"Early",IF(H_A[[#This Row],[YearsAtCompany]]&lt;7,"Mid","Long"))</f>
        <v>Mid</v>
      </c>
      <c r="AD415" t="str">
        <f>IF(H_A[[#This Row],[PercentSalaryHike]]&lt;13,"Low",IF(H_A[[#This Row],[PercentSalaryHike]]&lt;18,"Medium","High"))</f>
        <v>Low</v>
      </c>
    </row>
    <row r="416" spans="1:30" x14ac:dyDescent="0.3">
      <c r="A416">
        <v>24</v>
      </c>
      <c r="B416">
        <v>554</v>
      </c>
      <c r="C416" t="s">
        <v>30</v>
      </c>
      <c r="D416" t="s">
        <v>31</v>
      </c>
      <c r="E416">
        <v>1</v>
      </c>
      <c r="F416">
        <v>1</v>
      </c>
      <c r="G416" t="s">
        <v>51</v>
      </c>
      <c r="H416">
        <v>1</v>
      </c>
      <c r="I416" t="s">
        <v>33</v>
      </c>
      <c r="J416">
        <v>3</v>
      </c>
      <c r="K416">
        <v>1</v>
      </c>
      <c r="L416" t="s">
        <v>48</v>
      </c>
      <c r="M416">
        <v>2</v>
      </c>
      <c r="N416" t="s">
        <v>35</v>
      </c>
      <c r="O416">
        <v>3202</v>
      </c>
      <c r="P416">
        <v>1</v>
      </c>
      <c r="Q416" t="s">
        <v>30</v>
      </c>
      <c r="R416">
        <v>2</v>
      </c>
      <c r="S416">
        <v>6</v>
      </c>
      <c r="T416">
        <v>3</v>
      </c>
      <c r="U416">
        <v>5</v>
      </c>
      <c r="V416">
        <v>3</v>
      </c>
      <c r="W416">
        <v>1</v>
      </c>
      <c r="X416">
        <v>4</v>
      </c>
      <c r="Y416">
        <v>16</v>
      </c>
      <c r="Z416">
        <f>IF(H_A[[#This Row],[Attrition]]="Yes",1,0)</f>
        <v>1</v>
      </c>
      <c r="AA416" t="str">
        <f>IF(H_A[[#This Row],[Age]]&lt;30,"Young",IF(H_A[[#This Row],[Age]]&lt;45,"Mid","Senior"))</f>
        <v>Young</v>
      </c>
      <c r="AB416" t="str">
        <f>IF(H_A[[#This Row],[MonthlyIncome]]&lt;5000,"Low",IF(H_A[[#This Row],[MonthlyIncome]]&lt;10000,"Medium","High"))</f>
        <v>Low</v>
      </c>
      <c r="AC416" t="str">
        <f>IF(H_A[[#This Row],[YearsAtCompany]]&lt;3,"Early",IF(H_A[[#This Row],[YearsAtCompany]]&lt;7,"Mid","Long"))</f>
        <v>Mid</v>
      </c>
      <c r="AD416" t="str">
        <f>IF(H_A[[#This Row],[PercentSalaryHike]]&lt;13,"Low",IF(H_A[[#This Row],[PercentSalaryHike]]&lt;18,"Medium","High"))</f>
        <v>Medium</v>
      </c>
    </row>
    <row r="417" spans="1:30" x14ac:dyDescent="0.3">
      <c r="A417">
        <v>34</v>
      </c>
      <c r="B417">
        <v>555</v>
      </c>
      <c r="C417" t="s">
        <v>30</v>
      </c>
      <c r="D417" t="s">
        <v>31</v>
      </c>
      <c r="E417">
        <v>6</v>
      </c>
      <c r="F417">
        <v>2</v>
      </c>
      <c r="G417" t="s">
        <v>50</v>
      </c>
      <c r="H417">
        <v>4</v>
      </c>
      <c r="I417" t="s">
        <v>33</v>
      </c>
      <c r="J417">
        <v>1</v>
      </c>
      <c r="K417">
        <v>1</v>
      </c>
      <c r="L417" t="s">
        <v>48</v>
      </c>
      <c r="M417">
        <v>3</v>
      </c>
      <c r="N417" t="s">
        <v>44</v>
      </c>
      <c r="O417">
        <v>2351</v>
      </c>
      <c r="P417">
        <v>0</v>
      </c>
      <c r="Q417" t="s">
        <v>36</v>
      </c>
      <c r="R417">
        <v>4</v>
      </c>
      <c r="S417">
        <v>3</v>
      </c>
      <c r="T417">
        <v>2</v>
      </c>
      <c r="U417">
        <v>2</v>
      </c>
      <c r="V417">
        <v>2</v>
      </c>
      <c r="W417">
        <v>1</v>
      </c>
      <c r="X417">
        <v>0</v>
      </c>
      <c r="Y417">
        <v>16</v>
      </c>
      <c r="Z417">
        <f>IF(H_A[[#This Row],[Attrition]]="Yes",1,0)</f>
        <v>1</v>
      </c>
      <c r="AA417" t="str">
        <f>IF(H_A[[#This Row],[Age]]&lt;30,"Young",IF(H_A[[#This Row],[Age]]&lt;45,"Mid","Senior"))</f>
        <v>Mid</v>
      </c>
      <c r="AB417" t="str">
        <f>IF(H_A[[#This Row],[MonthlyIncome]]&lt;5000,"Low",IF(H_A[[#This Row],[MonthlyIncome]]&lt;10000,"Medium","High"))</f>
        <v>Low</v>
      </c>
      <c r="AC417" t="str">
        <f>IF(H_A[[#This Row],[YearsAtCompany]]&lt;3,"Early",IF(H_A[[#This Row],[YearsAtCompany]]&lt;7,"Mid","Long"))</f>
        <v>Early</v>
      </c>
      <c r="AD417" t="str">
        <f>IF(H_A[[#This Row],[PercentSalaryHike]]&lt;13,"Low",IF(H_A[[#This Row],[PercentSalaryHike]]&lt;18,"Medium","High"))</f>
        <v>Medium</v>
      </c>
    </row>
    <row r="418" spans="1:30" x14ac:dyDescent="0.3">
      <c r="A418">
        <v>38</v>
      </c>
      <c r="B418">
        <v>556</v>
      </c>
      <c r="C418" t="s">
        <v>36</v>
      </c>
      <c r="D418" t="s">
        <v>37</v>
      </c>
      <c r="E418">
        <v>2</v>
      </c>
      <c r="F418">
        <v>2</v>
      </c>
      <c r="G418" t="s">
        <v>32</v>
      </c>
      <c r="H418">
        <v>4</v>
      </c>
      <c r="I418" t="s">
        <v>38</v>
      </c>
      <c r="J418">
        <v>3</v>
      </c>
      <c r="K418">
        <v>1</v>
      </c>
      <c r="L418" t="s">
        <v>42</v>
      </c>
      <c r="M418">
        <v>4</v>
      </c>
      <c r="N418" t="s">
        <v>40</v>
      </c>
      <c r="O418">
        <v>1702</v>
      </c>
      <c r="P418">
        <v>1</v>
      </c>
      <c r="Q418" t="s">
        <v>30</v>
      </c>
      <c r="R418">
        <v>3</v>
      </c>
      <c r="S418">
        <v>1</v>
      </c>
      <c r="T418">
        <v>3</v>
      </c>
      <c r="U418">
        <v>1</v>
      </c>
      <c r="V418">
        <v>0</v>
      </c>
      <c r="W418">
        <v>0</v>
      </c>
      <c r="X418">
        <v>0</v>
      </c>
      <c r="Y418">
        <v>23</v>
      </c>
      <c r="Z418">
        <f>IF(H_A[[#This Row],[Attrition]]="Yes",1,0)</f>
        <v>0</v>
      </c>
      <c r="AA418" t="str">
        <f>IF(H_A[[#This Row],[Age]]&lt;30,"Young",IF(H_A[[#This Row],[Age]]&lt;45,"Mid","Senior"))</f>
        <v>Mid</v>
      </c>
      <c r="AB418" t="str">
        <f>IF(H_A[[#This Row],[MonthlyIncome]]&lt;5000,"Low",IF(H_A[[#This Row],[MonthlyIncome]]&lt;10000,"Medium","High"))</f>
        <v>Low</v>
      </c>
      <c r="AC418" t="str">
        <f>IF(H_A[[#This Row],[YearsAtCompany]]&lt;3,"Early",IF(H_A[[#This Row],[YearsAtCompany]]&lt;7,"Mid","Long"))</f>
        <v>Early</v>
      </c>
      <c r="AD418" t="str">
        <f>IF(H_A[[#This Row],[PercentSalaryHike]]&lt;13,"Low",IF(H_A[[#This Row],[PercentSalaryHike]]&lt;18,"Medium","High"))</f>
        <v>High</v>
      </c>
    </row>
    <row r="419" spans="1:30" x14ac:dyDescent="0.3">
      <c r="A419">
        <v>40</v>
      </c>
      <c r="B419">
        <v>558</v>
      </c>
      <c r="C419" t="s">
        <v>36</v>
      </c>
      <c r="D419" t="s">
        <v>31</v>
      </c>
      <c r="E419">
        <v>2</v>
      </c>
      <c r="F419">
        <v>4</v>
      </c>
      <c r="G419" t="s">
        <v>32</v>
      </c>
      <c r="H419">
        <v>3</v>
      </c>
      <c r="I419" t="s">
        <v>33</v>
      </c>
      <c r="J419">
        <v>3</v>
      </c>
      <c r="K419">
        <v>5</v>
      </c>
      <c r="L419" t="s">
        <v>47</v>
      </c>
      <c r="M419">
        <v>3</v>
      </c>
      <c r="N419" t="s">
        <v>40</v>
      </c>
      <c r="O419">
        <v>18041</v>
      </c>
      <c r="P419">
        <v>0</v>
      </c>
      <c r="Q419" t="s">
        <v>36</v>
      </c>
      <c r="R419">
        <v>4</v>
      </c>
      <c r="S419">
        <v>21</v>
      </c>
      <c r="T419">
        <v>3</v>
      </c>
      <c r="U419">
        <v>20</v>
      </c>
      <c r="V419">
        <v>15</v>
      </c>
      <c r="W419">
        <v>1</v>
      </c>
      <c r="X419">
        <v>12</v>
      </c>
      <c r="Y419">
        <v>14</v>
      </c>
      <c r="Z419">
        <f>IF(H_A[[#This Row],[Attrition]]="Yes",1,0)</f>
        <v>0</v>
      </c>
      <c r="AA419" t="str">
        <f>IF(H_A[[#This Row],[Age]]&lt;30,"Young",IF(H_A[[#This Row],[Age]]&lt;45,"Mid","Senior"))</f>
        <v>Mid</v>
      </c>
      <c r="AB419" t="str">
        <f>IF(H_A[[#This Row],[MonthlyIncome]]&lt;5000,"Low",IF(H_A[[#This Row],[MonthlyIncome]]&lt;10000,"Medium","High"))</f>
        <v>High</v>
      </c>
      <c r="AC419" t="str">
        <f>IF(H_A[[#This Row],[YearsAtCompany]]&lt;3,"Early",IF(H_A[[#This Row],[YearsAtCompany]]&lt;7,"Mid","Long"))</f>
        <v>Long</v>
      </c>
      <c r="AD419" t="str">
        <f>IF(H_A[[#This Row],[PercentSalaryHike]]&lt;13,"Low",IF(H_A[[#This Row],[PercentSalaryHike]]&lt;18,"Medium","High"))</f>
        <v>Medium</v>
      </c>
    </row>
    <row r="420" spans="1:30" x14ac:dyDescent="0.3">
      <c r="A420">
        <v>26</v>
      </c>
      <c r="B420">
        <v>560</v>
      </c>
      <c r="C420" t="s">
        <v>36</v>
      </c>
      <c r="D420" t="s">
        <v>37</v>
      </c>
      <c r="E420">
        <v>23</v>
      </c>
      <c r="F420">
        <v>3</v>
      </c>
      <c r="G420" t="s">
        <v>32</v>
      </c>
      <c r="H420">
        <v>1</v>
      </c>
      <c r="I420" t="s">
        <v>33</v>
      </c>
      <c r="J420">
        <v>3</v>
      </c>
      <c r="K420">
        <v>1</v>
      </c>
      <c r="L420" t="s">
        <v>39</v>
      </c>
      <c r="M420">
        <v>4</v>
      </c>
      <c r="N420" t="s">
        <v>44</v>
      </c>
      <c r="O420">
        <v>2886</v>
      </c>
      <c r="P420">
        <v>1</v>
      </c>
      <c r="Q420" t="s">
        <v>36</v>
      </c>
      <c r="R420">
        <v>2</v>
      </c>
      <c r="S420">
        <v>3</v>
      </c>
      <c r="T420">
        <v>1</v>
      </c>
      <c r="U420">
        <v>3</v>
      </c>
      <c r="V420">
        <v>2</v>
      </c>
      <c r="W420">
        <v>0</v>
      </c>
      <c r="X420">
        <v>2</v>
      </c>
      <c r="Y420">
        <v>22</v>
      </c>
      <c r="Z420">
        <f>IF(H_A[[#This Row],[Attrition]]="Yes",1,0)</f>
        <v>0</v>
      </c>
      <c r="AA420" t="str">
        <f>IF(H_A[[#This Row],[Age]]&lt;30,"Young",IF(H_A[[#This Row],[Age]]&lt;45,"Mid","Senior"))</f>
        <v>Young</v>
      </c>
      <c r="AB420" t="str">
        <f>IF(H_A[[#This Row],[MonthlyIncome]]&lt;5000,"Low",IF(H_A[[#This Row],[MonthlyIncome]]&lt;10000,"Medium","High"))</f>
        <v>Low</v>
      </c>
      <c r="AC420" t="str">
        <f>IF(H_A[[#This Row],[YearsAtCompany]]&lt;3,"Early",IF(H_A[[#This Row],[YearsAtCompany]]&lt;7,"Mid","Long"))</f>
        <v>Mid</v>
      </c>
      <c r="AD420" t="str">
        <f>IF(H_A[[#This Row],[PercentSalaryHike]]&lt;13,"Low",IF(H_A[[#This Row],[PercentSalaryHike]]&lt;18,"Medium","High"))</f>
        <v>High</v>
      </c>
    </row>
    <row r="421" spans="1:30" x14ac:dyDescent="0.3">
      <c r="A421">
        <v>30</v>
      </c>
      <c r="B421">
        <v>562</v>
      </c>
      <c r="C421" t="s">
        <v>36</v>
      </c>
      <c r="D421" t="s">
        <v>37</v>
      </c>
      <c r="E421">
        <v>3</v>
      </c>
      <c r="F421">
        <v>3</v>
      </c>
      <c r="G421" t="s">
        <v>32</v>
      </c>
      <c r="H421">
        <v>3</v>
      </c>
      <c r="I421" t="s">
        <v>38</v>
      </c>
      <c r="J421">
        <v>3</v>
      </c>
      <c r="K421">
        <v>1</v>
      </c>
      <c r="L421" t="s">
        <v>42</v>
      </c>
      <c r="M421">
        <v>4</v>
      </c>
      <c r="N421" t="s">
        <v>40</v>
      </c>
      <c r="O421">
        <v>2097</v>
      </c>
      <c r="P421">
        <v>4</v>
      </c>
      <c r="Q421" t="s">
        <v>36</v>
      </c>
      <c r="R421">
        <v>3</v>
      </c>
      <c r="S421">
        <v>9</v>
      </c>
      <c r="T421">
        <v>1</v>
      </c>
      <c r="U421">
        <v>5</v>
      </c>
      <c r="V421">
        <v>3</v>
      </c>
      <c r="W421">
        <v>1</v>
      </c>
      <c r="X421">
        <v>4</v>
      </c>
      <c r="Y421">
        <v>15</v>
      </c>
      <c r="Z421">
        <f>IF(H_A[[#This Row],[Attrition]]="Yes",1,0)</f>
        <v>0</v>
      </c>
      <c r="AA421" t="str">
        <f>IF(H_A[[#This Row],[Age]]&lt;30,"Young",IF(H_A[[#This Row],[Age]]&lt;45,"Mid","Senior"))</f>
        <v>Mid</v>
      </c>
      <c r="AB421" t="str">
        <f>IF(H_A[[#This Row],[MonthlyIncome]]&lt;5000,"Low",IF(H_A[[#This Row],[MonthlyIncome]]&lt;10000,"Medium","High"))</f>
        <v>Low</v>
      </c>
      <c r="AC421" t="str">
        <f>IF(H_A[[#This Row],[YearsAtCompany]]&lt;3,"Early",IF(H_A[[#This Row],[YearsAtCompany]]&lt;7,"Mid","Long"))</f>
        <v>Mid</v>
      </c>
      <c r="AD421" t="str">
        <f>IF(H_A[[#This Row],[PercentSalaryHike]]&lt;13,"Low",IF(H_A[[#This Row],[PercentSalaryHike]]&lt;18,"Medium","High"))</f>
        <v>Medium</v>
      </c>
    </row>
    <row r="422" spans="1:30" x14ac:dyDescent="0.3">
      <c r="A422">
        <v>29</v>
      </c>
      <c r="B422">
        <v>564</v>
      </c>
      <c r="C422" t="s">
        <v>36</v>
      </c>
      <c r="D422" t="s">
        <v>37</v>
      </c>
      <c r="E422">
        <v>3</v>
      </c>
      <c r="F422">
        <v>4</v>
      </c>
      <c r="G422" t="s">
        <v>43</v>
      </c>
      <c r="H422">
        <v>2</v>
      </c>
      <c r="I422" t="s">
        <v>38</v>
      </c>
      <c r="J422">
        <v>2</v>
      </c>
      <c r="K422">
        <v>3</v>
      </c>
      <c r="L422" t="s">
        <v>49</v>
      </c>
      <c r="M422">
        <v>3</v>
      </c>
      <c r="N422" t="s">
        <v>40</v>
      </c>
      <c r="O422">
        <v>11935</v>
      </c>
      <c r="P422">
        <v>1</v>
      </c>
      <c r="Q422" t="s">
        <v>36</v>
      </c>
      <c r="R422">
        <v>3</v>
      </c>
      <c r="S422">
        <v>10</v>
      </c>
      <c r="T422">
        <v>3</v>
      </c>
      <c r="U422">
        <v>10</v>
      </c>
      <c r="V422">
        <v>2</v>
      </c>
      <c r="W422">
        <v>0</v>
      </c>
      <c r="X422">
        <v>7</v>
      </c>
      <c r="Y422">
        <v>18</v>
      </c>
      <c r="Z422">
        <f>IF(H_A[[#This Row],[Attrition]]="Yes",1,0)</f>
        <v>0</v>
      </c>
      <c r="AA422" t="str">
        <f>IF(H_A[[#This Row],[Age]]&lt;30,"Young",IF(H_A[[#This Row],[Age]]&lt;45,"Mid","Senior"))</f>
        <v>Young</v>
      </c>
      <c r="AB422" t="str">
        <f>IF(H_A[[#This Row],[MonthlyIncome]]&lt;5000,"Low",IF(H_A[[#This Row],[MonthlyIncome]]&lt;10000,"Medium","High"))</f>
        <v>High</v>
      </c>
      <c r="AC422" t="str">
        <f>IF(H_A[[#This Row],[YearsAtCompany]]&lt;3,"Early",IF(H_A[[#This Row],[YearsAtCompany]]&lt;7,"Mid","Long"))</f>
        <v>Long</v>
      </c>
      <c r="AD422" t="str">
        <f>IF(H_A[[#This Row],[PercentSalaryHike]]&lt;13,"Low",IF(H_A[[#This Row],[PercentSalaryHike]]&lt;18,"Medium","High"))</f>
        <v>High</v>
      </c>
    </row>
    <row r="423" spans="1:30" x14ac:dyDescent="0.3">
      <c r="A423">
        <v>29</v>
      </c>
      <c r="B423">
        <v>565</v>
      </c>
      <c r="C423" t="s">
        <v>30</v>
      </c>
      <c r="D423" t="s">
        <v>37</v>
      </c>
      <c r="E423">
        <v>25</v>
      </c>
      <c r="F423">
        <v>5</v>
      </c>
      <c r="G423" t="s">
        <v>51</v>
      </c>
      <c r="H423">
        <v>3</v>
      </c>
      <c r="I423" t="s">
        <v>33</v>
      </c>
      <c r="J423">
        <v>2</v>
      </c>
      <c r="K423">
        <v>1</v>
      </c>
      <c r="L423" t="s">
        <v>39</v>
      </c>
      <c r="M423">
        <v>2</v>
      </c>
      <c r="N423" t="s">
        <v>40</v>
      </c>
      <c r="O423">
        <v>2546</v>
      </c>
      <c r="P423">
        <v>5</v>
      </c>
      <c r="Q423" t="s">
        <v>36</v>
      </c>
      <c r="R423">
        <v>2</v>
      </c>
      <c r="S423">
        <v>6</v>
      </c>
      <c r="T423">
        <v>4</v>
      </c>
      <c r="U423">
        <v>2</v>
      </c>
      <c r="V423">
        <v>2</v>
      </c>
      <c r="W423">
        <v>1</v>
      </c>
      <c r="X423">
        <v>1</v>
      </c>
      <c r="Y423">
        <v>16</v>
      </c>
      <c r="Z423">
        <f>IF(H_A[[#This Row],[Attrition]]="Yes",1,0)</f>
        <v>1</v>
      </c>
      <c r="AA423" t="str">
        <f>IF(H_A[[#This Row],[Age]]&lt;30,"Young",IF(H_A[[#This Row],[Age]]&lt;45,"Mid","Senior"))</f>
        <v>Young</v>
      </c>
      <c r="AB423" t="str">
        <f>IF(H_A[[#This Row],[MonthlyIncome]]&lt;5000,"Low",IF(H_A[[#This Row],[MonthlyIncome]]&lt;10000,"Medium","High"))</f>
        <v>Low</v>
      </c>
      <c r="AC423" t="str">
        <f>IF(H_A[[#This Row],[YearsAtCompany]]&lt;3,"Early",IF(H_A[[#This Row],[YearsAtCompany]]&lt;7,"Mid","Long"))</f>
        <v>Early</v>
      </c>
      <c r="AD423" t="str">
        <f>IF(H_A[[#This Row],[PercentSalaryHike]]&lt;13,"Low",IF(H_A[[#This Row],[PercentSalaryHike]]&lt;18,"Medium","High"))</f>
        <v>Medium</v>
      </c>
    </row>
    <row r="424" spans="1:30" x14ac:dyDescent="0.3">
      <c r="A424">
        <v>19</v>
      </c>
      <c r="B424">
        <v>566</v>
      </c>
      <c r="C424" t="s">
        <v>30</v>
      </c>
      <c r="D424" t="s">
        <v>52</v>
      </c>
      <c r="E424">
        <v>2</v>
      </c>
      <c r="F424">
        <v>2</v>
      </c>
      <c r="G424" t="s">
        <v>51</v>
      </c>
      <c r="H424">
        <v>1</v>
      </c>
      <c r="I424" t="s">
        <v>38</v>
      </c>
      <c r="J424">
        <v>2</v>
      </c>
      <c r="K424">
        <v>1</v>
      </c>
      <c r="L424" t="s">
        <v>52</v>
      </c>
      <c r="M424">
        <v>4</v>
      </c>
      <c r="N424" t="s">
        <v>35</v>
      </c>
      <c r="O424">
        <v>2564</v>
      </c>
      <c r="P424">
        <v>1</v>
      </c>
      <c r="Q424" t="s">
        <v>36</v>
      </c>
      <c r="R424">
        <v>3</v>
      </c>
      <c r="S424">
        <v>1</v>
      </c>
      <c r="T424">
        <v>4</v>
      </c>
      <c r="U424">
        <v>1</v>
      </c>
      <c r="V424">
        <v>0</v>
      </c>
      <c r="W424">
        <v>0</v>
      </c>
      <c r="X424">
        <v>0</v>
      </c>
      <c r="Y424">
        <v>12</v>
      </c>
      <c r="Z424">
        <f>IF(H_A[[#This Row],[Attrition]]="Yes",1,0)</f>
        <v>1</v>
      </c>
      <c r="AA424" t="str">
        <f>IF(H_A[[#This Row],[Age]]&lt;30,"Young",IF(H_A[[#This Row],[Age]]&lt;45,"Mid","Senior"))</f>
        <v>Young</v>
      </c>
      <c r="AB424" t="str">
        <f>IF(H_A[[#This Row],[MonthlyIncome]]&lt;5000,"Low",IF(H_A[[#This Row],[MonthlyIncome]]&lt;10000,"Medium","High"))</f>
        <v>Low</v>
      </c>
      <c r="AC424" t="str">
        <f>IF(H_A[[#This Row],[YearsAtCompany]]&lt;3,"Early",IF(H_A[[#This Row],[YearsAtCompany]]&lt;7,"Mid","Long"))</f>
        <v>Early</v>
      </c>
      <c r="AD424" t="str">
        <f>IF(H_A[[#This Row],[PercentSalaryHike]]&lt;13,"Low",IF(H_A[[#This Row],[PercentSalaryHike]]&lt;18,"Medium","High"))</f>
        <v>Low</v>
      </c>
    </row>
    <row r="425" spans="1:30" x14ac:dyDescent="0.3">
      <c r="A425">
        <v>30</v>
      </c>
      <c r="B425">
        <v>567</v>
      </c>
      <c r="C425" t="s">
        <v>36</v>
      </c>
      <c r="D425" t="s">
        <v>31</v>
      </c>
      <c r="E425">
        <v>22</v>
      </c>
      <c r="F425">
        <v>4</v>
      </c>
      <c r="G425" t="s">
        <v>41</v>
      </c>
      <c r="H425">
        <v>3</v>
      </c>
      <c r="I425" t="s">
        <v>33</v>
      </c>
      <c r="J425">
        <v>3</v>
      </c>
      <c r="K425">
        <v>3</v>
      </c>
      <c r="L425" t="s">
        <v>34</v>
      </c>
      <c r="M425">
        <v>1</v>
      </c>
      <c r="N425" t="s">
        <v>40</v>
      </c>
      <c r="O425">
        <v>8412</v>
      </c>
      <c r="P425">
        <v>0</v>
      </c>
      <c r="Q425" t="s">
        <v>36</v>
      </c>
      <c r="R425">
        <v>3</v>
      </c>
      <c r="S425">
        <v>10</v>
      </c>
      <c r="T425">
        <v>3</v>
      </c>
      <c r="U425">
        <v>9</v>
      </c>
      <c r="V425">
        <v>8</v>
      </c>
      <c r="W425">
        <v>7</v>
      </c>
      <c r="X425">
        <v>8</v>
      </c>
      <c r="Y425">
        <v>11</v>
      </c>
      <c r="Z425">
        <f>IF(H_A[[#This Row],[Attrition]]="Yes",1,0)</f>
        <v>0</v>
      </c>
      <c r="AA425" t="str">
        <f>IF(H_A[[#This Row],[Age]]&lt;30,"Young",IF(H_A[[#This Row],[Age]]&lt;45,"Mid","Senior"))</f>
        <v>Mid</v>
      </c>
      <c r="AB425" t="str">
        <f>IF(H_A[[#This Row],[MonthlyIncome]]&lt;5000,"Low",IF(H_A[[#This Row],[MonthlyIncome]]&lt;10000,"Medium","High"))</f>
        <v>Medium</v>
      </c>
      <c r="AC425" t="str">
        <f>IF(H_A[[#This Row],[YearsAtCompany]]&lt;3,"Early",IF(H_A[[#This Row],[YearsAtCompany]]&lt;7,"Mid","Long"))</f>
        <v>Long</v>
      </c>
      <c r="AD425" t="str">
        <f>IF(H_A[[#This Row],[PercentSalaryHike]]&lt;13,"Low",IF(H_A[[#This Row],[PercentSalaryHike]]&lt;18,"Medium","High"))</f>
        <v>Low</v>
      </c>
    </row>
    <row r="426" spans="1:30" x14ac:dyDescent="0.3">
      <c r="A426">
        <v>57</v>
      </c>
      <c r="B426">
        <v>568</v>
      </c>
      <c r="C426" t="s">
        <v>36</v>
      </c>
      <c r="D426" t="s">
        <v>31</v>
      </c>
      <c r="E426">
        <v>29</v>
      </c>
      <c r="F426">
        <v>3</v>
      </c>
      <c r="G426" t="s">
        <v>50</v>
      </c>
      <c r="H426">
        <v>1</v>
      </c>
      <c r="I426" t="s">
        <v>38</v>
      </c>
      <c r="J426">
        <v>2</v>
      </c>
      <c r="K426">
        <v>4</v>
      </c>
      <c r="L426" t="s">
        <v>47</v>
      </c>
      <c r="M426">
        <v>4</v>
      </c>
      <c r="N426" t="s">
        <v>44</v>
      </c>
      <c r="O426">
        <v>14118</v>
      </c>
      <c r="P426">
        <v>3</v>
      </c>
      <c r="Q426" t="s">
        <v>36</v>
      </c>
      <c r="R426">
        <v>3</v>
      </c>
      <c r="S426">
        <v>32</v>
      </c>
      <c r="T426">
        <v>2</v>
      </c>
      <c r="U426">
        <v>1</v>
      </c>
      <c r="V426">
        <v>0</v>
      </c>
      <c r="W426">
        <v>0</v>
      </c>
      <c r="X426">
        <v>0</v>
      </c>
      <c r="Y426">
        <v>12</v>
      </c>
      <c r="Z426">
        <f>IF(H_A[[#This Row],[Attrition]]="Yes",1,0)</f>
        <v>0</v>
      </c>
      <c r="AA426" t="str">
        <f>IF(H_A[[#This Row],[Age]]&lt;30,"Young",IF(H_A[[#This Row],[Age]]&lt;45,"Mid","Senior"))</f>
        <v>Senior</v>
      </c>
      <c r="AB426" t="str">
        <f>IF(H_A[[#This Row],[MonthlyIncome]]&lt;5000,"Low",IF(H_A[[#This Row],[MonthlyIncome]]&lt;10000,"Medium","High"))</f>
        <v>High</v>
      </c>
      <c r="AC426" t="str">
        <f>IF(H_A[[#This Row],[YearsAtCompany]]&lt;3,"Early",IF(H_A[[#This Row],[YearsAtCompany]]&lt;7,"Mid","Long"))</f>
        <v>Early</v>
      </c>
      <c r="AD426" t="str">
        <f>IF(H_A[[#This Row],[PercentSalaryHike]]&lt;13,"Low",IF(H_A[[#This Row],[PercentSalaryHike]]&lt;18,"Medium","High"))</f>
        <v>Low</v>
      </c>
    </row>
    <row r="427" spans="1:30" x14ac:dyDescent="0.3">
      <c r="A427">
        <v>50</v>
      </c>
      <c r="B427">
        <v>569</v>
      </c>
      <c r="C427" t="s">
        <v>36</v>
      </c>
      <c r="D427" t="s">
        <v>37</v>
      </c>
      <c r="E427">
        <v>29</v>
      </c>
      <c r="F427">
        <v>4</v>
      </c>
      <c r="G427" t="s">
        <v>32</v>
      </c>
      <c r="H427">
        <v>2</v>
      </c>
      <c r="I427" t="s">
        <v>38</v>
      </c>
      <c r="J427">
        <v>2</v>
      </c>
      <c r="K427">
        <v>4</v>
      </c>
      <c r="L427" t="s">
        <v>47</v>
      </c>
      <c r="M427">
        <v>3</v>
      </c>
      <c r="N427" t="s">
        <v>40</v>
      </c>
      <c r="O427">
        <v>17046</v>
      </c>
      <c r="P427">
        <v>0</v>
      </c>
      <c r="Q427" t="s">
        <v>36</v>
      </c>
      <c r="R427">
        <v>2</v>
      </c>
      <c r="S427">
        <v>28</v>
      </c>
      <c r="T427">
        <v>3</v>
      </c>
      <c r="U427">
        <v>27</v>
      </c>
      <c r="V427">
        <v>10</v>
      </c>
      <c r="W427">
        <v>15</v>
      </c>
      <c r="X427">
        <v>7</v>
      </c>
      <c r="Y427">
        <v>15</v>
      </c>
      <c r="Z427">
        <f>IF(H_A[[#This Row],[Attrition]]="Yes",1,0)</f>
        <v>0</v>
      </c>
      <c r="AA427" t="str">
        <f>IF(H_A[[#This Row],[Age]]&lt;30,"Young",IF(H_A[[#This Row],[Age]]&lt;45,"Mid","Senior"))</f>
        <v>Senior</v>
      </c>
      <c r="AB427" t="str">
        <f>IF(H_A[[#This Row],[MonthlyIncome]]&lt;5000,"Low",IF(H_A[[#This Row],[MonthlyIncome]]&lt;10000,"Medium","High"))</f>
        <v>High</v>
      </c>
      <c r="AC427" t="str">
        <f>IF(H_A[[#This Row],[YearsAtCompany]]&lt;3,"Early",IF(H_A[[#This Row],[YearsAtCompany]]&lt;7,"Mid","Long"))</f>
        <v>Long</v>
      </c>
      <c r="AD427" t="str">
        <f>IF(H_A[[#This Row],[PercentSalaryHike]]&lt;13,"Low",IF(H_A[[#This Row],[PercentSalaryHike]]&lt;18,"Medium","High"))</f>
        <v>Medium</v>
      </c>
    </row>
    <row r="428" spans="1:30" x14ac:dyDescent="0.3">
      <c r="A428">
        <v>30</v>
      </c>
      <c r="B428">
        <v>571</v>
      </c>
      <c r="C428" t="s">
        <v>36</v>
      </c>
      <c r="D428" t="s">
        <v>37</v>
      </c>
      <c r="E428">
        <v>2</v>
      </c>
      <c r="F428">
        <v>3</v>
      </c>
      <c r="G428" t="s">
        <v>43</v>
      </c>
      <c r="H428">
        <v>3</v>
      </c>
      <c r="I428" t="s">
        <v>33</v>
      </c>
      <c r="J428">
        <v>3</v>
      </c>
      <c r="K428">
        <v>1</v>
      </c>
      <c r="L428" t="s">
        <v>42</v>
      </c>
      <c r="M428">
        <v>4</v>
      </c>
      <c r="N428" t="s">
        <v>35</v>
      </c>
      <c r="O428">
        <v>2564</v>
      </c>
      <c r="P428">
        <v>0</v>
      </c>
      <c r="Q428" t="s">
        <v>36</v>
      </c>
      <c r="R428">
        <v>3</v>
      </c>
      <c r="S428">
        <v>12</v>
      </c>
      <c r="T428">
        <v>2</v>
      </c>
      <c r="U428">
        <v>11</v>
      </c>
      <c r="V428">
        <v>7</v>
      </c>
      <c r="W428">
        <v>6</v>
      </c>
      <c r="X428">
        <v>7</v>
      </c>
      <c r="Y428">
        <v>14</v>
      </c>
      <c r="Z428">
        <f>IF(H_A[[#This Row],[Attrition]]="Yes",1,0)</f>
        <v>0</v>
      </c>
      <c r="AA428" t="str">
        <f>IF(H_A[[#This Row],[Age]]&lt;30,"Young",IF(H_A[[#This Row],[Age]]&lt;45,"Mid","Senior"))</f>
        <v>Mid</v>
      </c>
      <c r="AB428" t="str">
        <f>IF(H_A[[#This Row],[MonthlyIncome]]&lt;5000,"Low",IF(H_A[[#This Row],[MonthlyIncome]]&lt;10000,"Medium","High"))</f>
        <v>Low</v>
      </c>
      <c r="AC428" t="str">
        <f>IF(H_A[[#This Row],[YearsAtCompany]]&lt;3,"Early",IF(H_A[[#This Row],[YearsAtCompany]]&lt;7,"Mid","Long"))</f>
        <v>Long</v>
      </c>
      <c r="AD428" t="str">
        <f>IF(H_A[[#This Row],[PercentSalaryHike]]&lt;13,"Low",IF(H_A[[#This Row],[PercentSalaryHike]]&lt;18,"Medium","High"))</f>
        <v>Medium</v>
      </c>
    </row>
    <row r="429" spans="1:30" x14ac:dyDescent="0.3">
      <c r="A429">
        <v>60</v>
      </c>
      <c r="B429">
        <v>573</v>
      </c>
      <c r="C429" t="s">
        <v>36</v>
      </c>
      <c r="D429" t="s">
        <v>31</v>
      </c>
      <c r="E429">
        <v>28</v>
      </c>
      <c r="F429">
        <v>3</v>
      </c>
      <c r="G429" t="s">
        <v>50</v>
      </c>
      <c r="H429">
        <v>3</v>
      </c>
      <c r="I429" t="s">
        <v>33</v>
      </c>
      <c r="J429">
        <v>2</v>
      </c>
      <c r="K429">
        <v>3</v>
      </c>
      <c r="L429" t="s">
        <v>34</v>
      </c>
      <c r="M429">
        <v>1</v>
      </c>
      <c r="N429" t="s">
        <v>40</v>
      </c>
      <c r="O429">
        <v>10266</v>
      </c>
      <c r="P429">
        <v>4</v>
      </c>
      <c r="Q429" t="s">
        <v>36</v>
      </c>
      <c r="R429">
        <v>4</v>
      </c>
      <c r="S429">
        <v>22</v>
      </c>
      <c r="T429">
        <v>4</v>
      </c>
      <c r="U429">
        <v>18</v>
      </c>
      <c r="V429">
        <v>13</v>
      </c>
      <c r="W429">
        <v>13</v>
      </c>
      <c r="X429">
        <v>11</v>
      </c>
      <c r="Y429">
        <v>19</v>
      </c>
      <c r="Z429">
        <f>IF(H_A[[#This Row],[Attrition]]="Yes",1,0)</f>
        <v>0</v>
      </c>
      <c r="AA429" t="str">
        <f>IF(H_A[[#This Row],[Age]]&lt;30,"Young",IF(H_A[[#This Row],[Age]]&lt;45,"Mid","Senior"))</f>
        <v>Senior</v>
      </c>
      <c r="AB429" t="str">
        <f>IF(H_A[[#This Row],[MonthlyIncome]]&lt;5000,"Low",IF(H_A[[#This Row],[MonthlyIncome]]&lt;10000,"Medium","High"))</f>
        <v>High</v>
      </c>
      <c r="AC429" t="str">
        <f>IF(H_A[[#This Row],[YearsAtCompany]]&lt;3,"Early",IF(H_A[[#This Row],[YearsAtCompany]]&lt;7,"Mid","Long"))</f>
        <v>Long</v>
      </c>
      <c r="AD429" t="str">
        <f>IF(H_A[[#This Row],[PercentSalaryHike]]&lt;13,"Low",IF(H_A[[#This Row],[PercentSalaryHike]]&lt;18,"Medium","High"))</f>
        <v>High</v>
      </c>
    </row>
    <row r="430" spans="1:30" x14ac:dyDescent="0.3">
      <c r="A430">
        <v>47</v>
      </c>
      <c r="B430">
        <v>574</v>
      </c>
      <c r="C430" t="s">
        <v>36</v>
      </c>
      <c r="D430" t="s">
        <v>37</v>
      </c>
      <c r="E430">
        <v>2</v>
      </c>
      <c r="F430">
        <v>2</v>
      </c>
      <c r="G430" t="s">
        <v>43</v>
      </c>
      <c r="H430">
        <v>1</v>
      </c>
      <c r="I430" t="s">
        <v>33</v>
      </c>
      <c r="J430">
        <v>3</v>
      </c>
      <c r="K430">
        <v>2</v>
      </c>
      <c r="L430" t="s">
        <v>45</v>
      </c>
      <c r="M430">
        <v>4</v>
      </c>
      <c r="N430" t="s">
        <v>44</v>
      </c>
      <c r="O430">
        <v>5070</v>
      </c>
      <c r="P430">
        <v>5</v>
      </c>
      <c r="Q430" t="s">
        <v>36</v>
      </c>
      <c r="R430">
        <v>3</v>
      </c>
      <c r="S430">
        <v>20</v>
      </c>
      <c r="T430">
        <v>3</v>
      </c>
      <c r="U430">
        <v>5</v>
      </c>
      <c r="V430">
        <v>0</v>
      </c>
      <c r="W430">
        <v>0</v>
      </c>
      <c r="X430">
        <v>4</v>
      </c>
      <c r="Y430">
        <v>13</v>
      </c>
      <c r="Z430">
        <f>IF(H_A[[#This Row],[Attrition]]="Yes",1,0)</f>
        <v>0</v>
      </c>
      <c r="AA430" t="str">
        <f>IF(H_A[[#This Row],[Age]]&lt;30,"Young",IF(H_A[[#This Row],[Age]]&lt;45,"Mid","Senior"))</f>
        <v>Senior</v>
      </c>
      <c r="AB430" t="str">
        <f>IF(H_A[[#This Row],[MonthlyIncome]]&lt;5000,"Low",IF(H_A[[#This Row],[MonthlyIncome]]&lt;10000,"Medium","High"))</f>
        <v>Medium</v>
      </c>
      <c r="AC430" t="str">
        <f>IF(H_A[[#This Row],[YearsAtCompany]]&lt;3,"Early",IF(H_A[[#This Row],[YearsAtCompany]]&lt;7,"Mid","Long"))</f>
        <v>Mid</v>
      </c>
      <c r="AD430" t="str">
        <f>IF(H_A[[#This Row],[PercentSalaryHike]]&lt;13,"Low",IF(H_A[[#This Row],[PercentSalaryHike]]&lt;18,"Medium","High"))</f>
        <v>Medium</v>
      </c>
    </row>
    <row r="431" spans="1:30" x14ac:dyDescent="0.3">
      <c r="A431">
        <v>46</v>
      </c>
      <c r="B431">
        <v>575</v>
      </c>
      <c r="C431" t="s">
        <v>36</v>
      </c>
      <c r="D431" t="s">
        <v>37</v>
      </c>
      <c r="E431">
        <v>2</v>
      </c>
      <c r="F431">
        <v>3</v>
      </c>
      <c r="G431" t="s">
        <v>32</v>
      </c>
      <c r="H431">
        <v>1</v>
      </c>
      <c r="I431" t="s">
        <v>38</v>
      </c>
      <c r="J431">
        <v>3</v>
      </c>
      <c r="K431">
        <v>4</v>
      </c>
      <c r="L431" t="s">
        <v>49</v>
      </c>
      <c r="M431">
        <v>3</v>
      </c>
      <c r="N431" t="s">
        <v>40</v>
      </c>
      <c r="O431">
        <v>17861</v>
      </c>
      <c r="P431">
        <v>6</v>
      </c>
      <c r="Q431" t="s">
        <v>36</v>
      </c>
      <c r="R431">
        <v>3</v>
      </c>
      <c r="S431">
        <v>26</v>
      </c>
      <c r="T431">
        <v>1</v>
      </c>
      <c r="U431">
        <v>3</v>
      </c>
      <c r="V431">
        <v>2</v>
      </c>
      <c r="W431">
        <v>0</v>
      </c>
      <c r="X431">
        <v>1</v>
      </c>
      <c r="Y431">
        <v>13</v>
      </c>
      <c r="Z431">
        <f>IF(H_A[[#This Row],[Attrition]]="Yes",1,0)</f>
        <v>0</v>
      </c>
      <c r="AA431" t="str">
        <f>IF(H_A[[#This Row],[Age]]&lt;30,"Young",IF(H_A[[#This Row],[Age]]&lt;45,"Mid","Senior"))</f>
        <v>Senior</v>
      </c>
      <c r="AB431" t="str">
        <f>IF(H_A[[#This Row],[MonthlyIncome]]&lt;5000,"Low",IF(H_A[[#This Row],[MonthlyIncome]]&lt;10000,"Medium","High"))</f>
        <v>High</v>
      </c>
      <c r="AC431" t="str">
        <f>IF(H_A[[#This Row],[YearsAtCompany]]&lt;3,"Early",IF(H_A[[#This Row],[YearsAtCompany]]&lt;7,"Mid","Long"))</f>
        <v>Mid</v>
      </c>
      <c r="AD431" t="str">
        <f>IF(H_A[[#This Row],[PercentSalaryHike]]&lt;13,"Low",IF(H_A[[#This Row],[PercentSalaryHike]]&lt;18,"Medium","High"))</f>
        <v>Medium</v>
      </c>
    </row>
    <row r="432" spans="1:30" x14ac:dyDescent="0.3">
      <c r="A432">
        <v>35</v>
      </c>
      <c r="B432">
        <v>577</v>
      </c>
      <c r="C432" t="s">
        <v>36</v>
      </c>
      <c r="D432" t="s">
        <v>37</v>
      </c>
      <c r="E432">
        <v>22</v>
      </c>
      <c r="F432">
        <v>3</v>
      </c>
      <c r="G432" t="s">
        <v>32</v>
      </c>
      <c r="H432">
        <v>4</v>
      </c>
      <c r="I432" t="s">
        <v>38</v>
      </c>
      <c r="J432">
        <v>1</v>
      </c>
      <c r="K432">
        <v>1</v>
      </c>
      <c r="L432" t="s">
        <v>42</v>
      </c>
      <c r="M432">
        <v>3</v>
      </c>
      <c r="N432" t="s">
        <v>35</v>
      </c>
      <c r="O432">
        <v>4230</v>
      </c>
      <c r="P432">
        <v>0</v>
      </c>
      <c r="Q432" t="s">
        <v>36</v>
      </c>
      <c r="R432">
        <v>3</v>
      </c>
      <c r="S432">
        <v>6</v>
      </c>
      <c r="T432">
        <v>3</v>
      </c>
      <c r="U432">
        <v>5</v>
      </c>
      <c r="V432">
        <v>4</v>
      </c>
      <c r="W432">
        <v>4</v>
      </c>
      <c r="X432">
        <v>3</v>
      </c>
      <c r="Y432">
        <v>15</v>
      </c>
      <c r="Z432">
        <f>IF(H_A[[#This Row],[Attrition]]="Yes",1,0)</f>
        <v>0</v>
      </c>
      <c r="AA432" t="str">
        <f>IF(H_A[[#This Row],[Age]]&lt;30,"Young",IF(H_A[[#This Row],[Age]]&lt;45,"Mid","Senior"))</f>
        <v>Mid</v>
      </c>
      <c r="AB432" t="str">
        <f>IF(H_A[[#This Row],[MonthlyIncome]]&lt;5000,"Low",IF(H_A[[#This Row],[MonthlyIncome]]&lt;10000,"Medium","High"))</f>
        <v>Low</v>
      </c>
      <c r="AC432" t="str">
        <f>IF(H_A[[#This Row],[YearsAtCompany]]&lt;3,"Early",IF(H_A[[#This Row],[YearsAtCompany]]&lt;7,"Mid","Long"))</f>
        <v>Mid</v>
      </c>
      <c r="AD432" t="str">
        <f>IF(H_A[[#This Row],[PercentSalaryHike]]&lt;13,"Low",IF(H_A[[#This Row],[PercentSalaryHike]]&lt;18,"Medium","High"))</f>
        <v>Medium</v>
      </c>
    </row>
    <row r="433" spans="1:30" x14ac:dyDescent="0.3">
      <c r="A433">
        <v>54</v>
      </c>
      <c r="B433">
        <v>578</v>
      </c>
      <c r="C433" t="s">
        <v>36</v>
      </c>
      <c r="D433" t="s">
        <v>37</v>
      </c>
      <c r="E433">
        <v>8</v>
      </c>
      <c r="F433">
        <v>4</v>
      </c>
      <c r="G433" t="s">
        <v>32</v>
      </c>
      <c r="H433">
        <v>3</v>
      </c>
      <c r="I433" t="s">
        <v>33</v>
      </c>
      <c r="J433">
        <v>3</v>
      </c>
      <c r="K433">
        <v>2</v>
      </c>
      <c r="L433" t="s">
        <v>42</v>
      </c>
      <c r="M433">
        <v>3</v>
      </c>
      <c r="N433" t="s">
        <v>35</v>
      </c>
      <c r="O433">
        <v>3780</v>
      </c>
      <c r="P433">
        <v>7</v>
      </c>
      <c r="Q433" t="s">
        <v>36</v>
      </c>
      <c r="R433">
        <v>3</v>
      </c>
      <c r="S433">
        <v>19</v>
      </c>
      <c r="T433">
        <v>3</v>
      </c>
      <c r="U433">
        <v>1</v>
      </c>
      <c r="V433">
        <v>0</v>
      </c>
      <c r="W433">
        <v>0</v>
      </c>
      <c r="X433">
        <v>0</v>
      </c>
      <c r="Y433">
        <v>11</v>
      </c>
      <c r="Z433">
        <f>IF(H_A[[#This Row],[Attrition]]="Yes",1,0)</f>
        <v>0</v>
      </c>
      <c r="AA433" t="str">
        <f>IF(H_A[[#This Row],[Age]]&lt;30,"Young",IF(H_A[[#This Row],[Age]]&lt;45,"Mid","Senior"))</f>
        <v>Senior</v>
      </c>
      <c r="AB433" t="str">
        <f>IF(H_A[[#This Row],[MonthlyIncome]]&lt;5000,"Low",IF(H_A[[#This Row],[MonthlyIncome]]&lt;10000,"Medium","High"))</f>
        <v>Low</v>
      </c>
      <c r="AC433" t="str">
        <f>IF(H_A[[#This Row],[YearsAtCompany]]&lt;3,"Early",IF(H_A[[#This Row],[YearsAtCompany]]&lt;7,"Mid","Long"))</f>
        <v>Early</v>
      </c>
      <c r="AD433" t="str">
        <f>IF(H_A[[#This Row],[PercentSalaryHike]]&lt;13,"Low",IF(H_A[[#This Row],[PercentSalaryHike]]&lt;18,"Medium","High"))</f>
        <v>Low</v>
      </c>
    </row>
    <row r="434" spans="1:30" x14ac:dyDescent="0.3">
      <c r="A434">
        <v>34</v>
      </c>
      <c r="B434">
        <v>579</v>
      </c>
      <c r="C434" t="s">
        <v>36</v>
      </c>
      <c r="D434" t="s">
        <v>37</v>
      </c>
      <c r="E434">
        <v>2</v>
      </c>
      <c r="F434">
        <v>4</v>
      </c>
      <c r="G434" t="s">
        <v>32</v>
      </c>
      <c r="H434">
        <v>4</v>
      </c>
      <c r="I434" t="s">
        <v>38</v>
      </c>
      <c r="J434">
        <v>2</v>
      </c>
      <c r="K434">
        <v>1</v>
      </c>
      <c r="L434" t="s">
        <v>39</v>
      </c>
      <c r="M434">
        <v>3</v>
      </c>
      <c r="N434" t="s">
        <v>44</v>
      </c>
      <c r="O434">
        <v>2768</v>
      </c>
      <c r="P434">
        <v>3</v>
      </c>
      <c r="Q434" t="s">
        <v>36</v>
      </c>
      <c r="R434">
        <v>3</v>
      </c>
      <c r="S434">
        <v>14</v>
      </c>
      <c r="T434">
        <v>3</v>
      </c>
      <c r="U434">
        <v>7</v>
      </c>
      <c r="V434">
        <v>3</v>
      </c>
      <c r="W434">
        <v>5</v>
      </c>
      <c r="X434">
        <v>7</v>
      </c>
      <c r="Y434">
        <v>12</v>
      </c>
      <c r="Z434">
        <f>IF(H_A[[#This Row],[Attrition]]="Yes",1,0)</f>
        <v>0</v>
      </c>
      <c r="AA434" t="str">
        <f>IF(H_A[[#This Row],[Age]]&lt;30,"Young",IF(H_A[[#This Row],[Age]]&lt;45,"Mid","Senior"))</f>
        <v>Mid</v>
      </c>
      <c r="AB434" t="str">
        <f>IF(H_A[[#This Row],[MonthlyIncome]]&lt;5000,"Low",IF(H_A[[#This Row],[MonthlyIncome]]&lt;10000,"Medium","High"))</f>
        <v>Low</v>
      </c>
      <c r="AC434" t="str">
        <f>IF(H_A[[#This Row],[YearsAtCompany]]&lt;3,"Early",IF(H_A[[#This Row],[YearsAtCompany]]&lt;7,"Mid","Long"))</f>
        <v>Long</v>
      </c>
      <c r="AD434" t="str">
        <f>IF(H_A[[#This Row],[PercentSalaryHike]]&lt;13,"Low",IF(H_A[[#This Row],[PercentSalaryHike]]&lt;18,"Medium","High"))</f>
        <v>Low</v>
      </c>
    </row>
    <row r="435" spans="1:30" x14ac:dyDescent="0.3">
      <c r="A435">
        <v>46</v>
      </c>
      <c r="B435">
        <v>580</v>
      </c>
      <c r="C435" t="s">
        <v>36</v>
      </c>
      <c r="D435" t="s">
        <v>31</v>
      </c>
      <c r="E435">
        <v>10</v>
      </c>
      <c r="F435">
        <v>3</v>
      </c>
      <c r="G435" t="s">
        <v>50</v>
      </c>
      <c r="H435">
        <v>3</v>
      </c>
      <c r="I435" t="s">
        <v>33</v>
      </c>
      <c r="J435">
        <v>2</v>
      </c>
      <c r="K435">
        <v>3</v>
      </c>
      <c r="L435" t="s">
        <v>34</v>
      </c>
      <c r="M435">
        <v>4</v>
      </c>
      <c r="N435" t="s">
        <v>40</v>
      </c>
      <c r="O435">
        <v>9071</v>
      </c>
      <c r="P435">
        <v>2</v>
      </c>
      <c r="Q435" t="s">
        <v>30</v>
      </c>
      <c r="R435">
        <v>3</v>
      </c>
      <c r="S435">
        <v>15</v>
      </c>
      <c r="T435">
        <v>3</v>
      </c>
      <c r="U435">
        <v>3</v>
      </c>
      <c r="V435">
        <v>2</v>
      </c>
      <c r="W435">
        <v>1</v>
      </c>
      <c r="X435">
        <v>2</v>
      </c>
      <c r="Y435">
        <v>19</v>
      </c>
      <c r="Z435">
        <f>IF(H_A[[#This Row],[Attrition]]="Yes",1,0)</f>
        <v>0</v>
      </c>
      <c r="AA435" t="str">
        <f>IF(H_A[[#This Row],[Age]]&lt;30,"Young",IF(H_A[[#This Row],[Age]]&lt;45,"Mid","Senior"))</f>
        <v>Senior</v>
      </c>
      <c r="AB435" t="str">
        <f>IF(H_A[[#This Row],[MonthlyIncome]]&lt;5000,"Low",IF(H_A[[#This Row],[MonthlyIncome]]&lt;10000,"Medium","High"))</f>
        <v>Medium</v>
      </c>
      <c r="AC435" t="str">
        <f>IF(H_A[[#This Row],[YearsAtCompany]]&lt;3,"Early",IF(H_A[[#This Row],[YearsAtCompany]]&lt;7,"Mid","Long"))</f>
        <v>Mid</v>
      </c>
      <c r="AD435" t="str">
        <f>IF(H_A[[#This Row],[PercentSalaryHike]]&lt;13,"Low",IF(H_A[[#This Row],[PercentSalaryHike]]&lt;18,"Medium","High"))</f>
        <v>High</v>
      </c>
    </row>
    <row r="436" spans="1:30" x14ac:dyDescent="0.3">
      <c r="A436">
        <v>31</v>
      </c>
      <c r="B436">
        <v>581</v>
      </c>
      <c r="C436" t="s">
        <v>36</v>
      </c>
      <c r="D436" t="s">
        <v>37</v>
      </c>
      <c r="E436">
        <v>9</v>
      </c>
      <c r="F436">
        <v>1</v>
      </c>
      <c r="G436" t="s">
        <v>32</v>
      </c>
      <c r="H436">
        <v>3</v>
      </c>
      <c r="I436" t="s">
        <v>38</v>
      </c>
      <c r="J436">
        <v>3</v>
      </c>
      <c r="K436">
        <v>3</v>
      </c>
      <c r="L436" t="s">
        <v>45</v>
      </c>
      <c r="M436">
        <v>2</v>
      </c>
      <c r="N436" t="s">
        <v>44</v>
      </c>
      <c r="O436">
        <v>10648</v>
      </c>
      <c r="P436">
        <v>1</v>
      </c>
      <c r="Q436" t="s">
        <v>36</v>
      </c>
      <c r="R436">
        <v>4</v>
      </c>
      <c r="S436">
        <v>13</v>
      </c>
      <c r="T436">
        <v>4</v>
      </c>
      <c r="U436">
        <v>13</v>
      </c>
      <c r="V436">
        <v>8</v>
      </c>
      <c r="W436">
        <v>0</v>
      </c>
      <c r="X436">
        <v>8</v>
      </c>
      <c r="Y436">
        <v>25</v>
      </c>
      <c r="Z436">
        <f>IF(H_A[[#This Row],[Attrition]]="Yes",1,0)</f>
        <v>0</v>
      </c>
      <c r="AA436" t="str">
        <f>IF(H_A[[#This Row],[Age]]&lt;30,"Young",IF(H_A[[#This Row],[Age]]&lt;45,"Mid","Senior"))</f>
        <v>Mid</v>
      </c>
      <c r="AB436" t="str">
        <f>IF(H_A[[#This Row],[MonthlyIncome]]&lt;5000,"Low",IF(H_A[[#This Row],[MonthlyIncome]]&lt;10000,"Medium","High"))</f>
        <v>High</v>
      </c>
      <c r="AC436" t="str">
        <f>IF(H_A[[#This Row],[YearsAtCompany]]&lt;3,"Early",IF(H_A[[#This Row],[YearsAtCompany]]&lt;7,"Mid","Long"))</f>
        <v>Long</v>
      </c>
      <c r="AD436" t="str">
        <f>IF(H_A[[#This Row],[PercentSalaryHike]]&lt;13,"Low",IF(H_A[[#This Row],[PercentSalaryHike]]&lt;18,"Medium","High"))</f>
        <v>High</v>
      </c>
    </row>
    <row r="437" spans="1:30" x14ac:dyDescent="0.3">
      <c r="A437">
        <v>33</v>
      </c>
      <c r="B437">
        <v>582</v>
      </c>
      <c r="C437" t="s">
        <v>30</v>
      </c>
      <c r="D437" t="s">
        <v>37</v>
      </c>
      <c r="E437">
        <v>15</v>
      </c>
      <c r="F437">
        <v>1</v>
      </c>
      <c r="G437" t="s">
        <v>43</v>
      </c>
      <c r="H437">
        <v>2</v>
      </c>
      <c r="I437" t="s">
        <v>38</v>
      </c>
      <c r="J437">
        <v>3</v>
      </c>
      <c r="K437">
        <v>3</v>
      </c>
      <c r="L437" t="s">
        <v>47</v>
      </c>
      <c r="M437">
        <v>3</v>
      </c>
      <c r="N437" t="s">
        <v>40</v>
      </c>
      <c r="O437">
        <v>13610</v>
      </c>
      <c r="P437">
        <v>7</v>
      </c>
      <c r="Q437" t="s">
        <v>30</v>
      </c>
      <c r="R437">
        <v>4</v>
      </c>
      <c r="S437">
        <v>15</v>
      </c>
      <c r="T437">
        <v>4</v>
      </c>
      <c r="U437">
        <v>7</v>
      </c>
      <c r="V437">
        <v>6</v>
      </c>
      <c r="W437">
        <v>7</v>
      </c>
      <c r="X437">
        <v>7</v>
      </c>
      <c r="Y437">
        <v>12</v>
      </c>
      <c r="Z437">
        <f>IF(H_A[[#This Row],[Attrition]]="Yes",1,0)</f>
        <v>1</v>
      </c>
      <c r="AA437" t="str">
        <f>IF(H_A[[#This Row],[Age]]&lt;30,"Young",IF(H_A[[#This Row],[Age]]&lt;45,"Mid","Senior"))</f>
        <v>Mid</v>
      </c>
      <c r="AB437" t="str">
        <f>IF(H_A[[#This Row],[MonthlyIncome]]&lt;5000,"Low",IF(H_A[[#This Row],[MonthlyIncome]]&lt;10000,"Medium","High"))</f>
        <v>High</v>
      </c>
      <c r="AC437" t="str">
        <f>IF(H_A[[#This Row],[YearsAtCompany]]&lt;3,"Early",IF(H_A[[#This Row],[YearsAtCompany]]&lt;7,"Mid","Long"))</f>
        <v>Long</v>
      </c>
      <c r="AD437" t="str">
        <f>IF(H_A[[#This Row],[PercentSalaryHike]]&lt;13,"Low",IF(H_A[[#This Row],[PercentSalaryHike]]&lt;18,"Medium","High"))</f>
        <v>Low</v>
      </c>
    </row>
    <row r="438" spans="1:30" x14ac:dyDescent="0.3">
      <c r="A438">
        <v>33</v>
      </c>
      <c r="B438">
        <v>584</v>
      </c>
      <c r="C438" t="s">
        <v>30</v>
      </c>
      <c r="D438" t="s">
        <v>37</v>
      </c>
      <c r="E438">
        <v>10</v>
      </c>
      <c r="F438">
        <v>1</v>
      </c>
      <c r="G438" t="s">
        <v>43</v>
      </c>
      <c r="H438">
        <v>1</v>
      </c>
      <c r="I438" t="s">
        <v>38</v>
      </c>
      <c r="J438">
        <v>1</v>
      </c>
      <c r="K438">
        <v>1</v>
      </c>
      <c r="L438" t="s">
        <v>42</v>
      </c>
      <c r="M438">
        <v>4</v>
      </c>
      <c r="N438" t="s">
        <v>44</v>
      </c>
      <c r="O438">
        <v>3408</v>
      </c>
      <c r="P438">
        <v>7</v>
      </c>
      <c r="Q438" t="s">
        <v>36</v>
      </c>
      <c r="R438">
        <v>1</v>
      </c>
      <c r="S438">
        <v>8</v>
      </c>
      <c r="T438">
        <v>3</v>
      </c>
      <c r="U438">
        <v>4</v>
      </c>
      <c r="V438">
        <v>3</v>
      </c>
      <c r="W438">
        <v>1</v>
      </c>
      <c r="X438">
        <v>3</v>
      </c>
      <c r="Y438">
        <v>13</v>
      </c>
      <c r="Z438">
        <f>IF(H_A[[#This Row],[Attrition]]="Yes",1,0)</f>
        <v>1</v>
      </c>
      <c r="AA438" t="str">
        <f>IF(H_A[[#This Row],[Age]]&lt;30,"Young",IF(H_A[[#This Row],[Age]]&lt;45,"Mid","Senior"))</f>
        <v>Mid</v>
      </c>
      <c r="AB438" t="str">
        <f>IF(H_A[[#This Row],[MonthlyIncome]]&lt;5000,"Low",IF(H_A[[#This Row],[MonthlyIncome]]&lt;10000,"Medium","High"))</f>
        <v>Low</v>
      </c>
      <c r="AC438" t="str">
        <f>IF(H_A[[#This Row],[YearsAtCompany]]&lt;3,"Early",IF(H_A[[#This Row],[YearsAtCompany]]&lt;7,"Mid","Long"))</f>
        <v>Mid</v>
      </c>
      <c r="AD438" t="str">
        <f>IF(H_A[[#This Row],[PercentSalaryHike]]&lt;13,"Low",IF(H_A[[#This Row],[PercentSalaryHike]]&lt;18,"Medium","High"))</f>
        <v>Medium</v>
      </c>
    </row>
    <row r="439" spans="1:30" x14ac:dyDescent="0.3">
      <c r="A439">
        <v>30</v>
      </c>
      <c r="B439">
        <v>585</v>
      </c>
      <c r="C439" t="s">
        <v>36</v>
      </c>
      <c r="D439" t="s">
        <v>31</v>
      </c>
      <c r="E439">
        <v>7</v>
      </c>
      <c r="F439">
        <v>1</v>
      </c>
      <c r="G439" t="s">
        <v>50</v>
      </c>
      <c r="H439">
        <v>4</v>
      </c>
      <c r="I439" t="s">
        <v>38</v>
      </c>
      <c r="J439">
        <v>3</v>
      </c>
      <c r="K439">
        <v>1</v>
      </c>
      <c r="L439" t="s">
        <v>48</v>
      </c>
      <c r="M439">
        <v>2</v>
      </c>
      <c r="N439" t="s">
        <v>35</v>
      </c>
      <c r="O439">
        <v>2983</v>
      </c>
      <c r="P439">
        <v>0</v>
      </c>
      <c r="Q439" t="s">
        <v>36</v>
      </c>
      <c r="R439">
        <v>1</v>
      </c>
      <c r="S439">
        <v>4</v>
      </c>
      <c r="T439">
        <v>3</v>
      </c>
      <c r="U439">
        <v>3</v>
      </c>
      <c r="V439">
        <v>2</v>
      </c>
      <c r="W439">
        <v>1</v>
      </c>
      <c r="X439">
        <v>2</v>
      </c>
      <c r="Y439">
        <v>14</v>
      </c>
      <c r="Z439">
        <f>IF(H_A[[#This Row],[Attrition]]="Yes",1,0)</f>
        <v>0</v>
      </c>
      <c r="AA439" t="str">
        <f>IF(H_A[[#This Row],[Age]]&lt;30,"Young",IF(H_A[[#This Row],[Age]]&lt;45,"Mid","Senior"))</f>
        <v>Mid</v>
      </c>
      <c r="AB439" t="str">
        <f>IF(H_A[[#This Row],[MonthlyIncome]]&lt;5000,"Low",IF(H_A[[#This Row],[MonthlyIncome]]&lt;10000,"Medium","High"))</f>
        <v>Low</v>
      </c>
      <c r="AC439" t="str">
        <f>IF(H_A[[#This Row],[YearsAtCompany]]&lt;3,"Early",IF(H_A[[#This Row],[YearsAtCompany]]&lt;7,"Mid","Long"))</f>
        <v>Mid</v>
      </c>
      <c r="AD439" t="str">
        <f>IF(H_A[[#This Row],[PercentSalaryHike]]&lt;13,"Low",IF(H_A[[#This Row],[PercentSalaryHike]]&lt;18,"Medium","High"))</f>
        <v>Medium</v>
      </c>
    </row>
    <row r="440" spans="1:30" x14ac:dyDescent="0.3">
      <c r="A440">
        <v>35</v>
      </c>
      <c r="B440">
        <v>586</v>
      </c>
      <c r="C440" t="s">
        <v>36</v>
      </c>
      <c r="D440" t="s">
        <v>37</v>
      </c>
      <c r="E440">
        <v>16</v>
      </c>
      <c r="F440">
        <v>3</v>
      </c>
      <c r="G440" t="s">
        <v>32</v>
      </c>
      <c r="H440">
        <v>4</v>
      </c>
      <c r="I440" t="s">
        <v>38</v>
      </c>
      <c r="J440">
        <v>3</v>
      </c>
      <c r="K440">
        <v>3</v>
      </c>
      <c r="L440" t="s">
        <v>46</v>
      </c>
      <c r="M440">
        <v>3</v>
      </c>
      <c r="N440" t="s">
        <v>40</v>
      </c>
      <c r="O440">
        <v>7632</v>
      </c>
      <c r="P440">
        <v>4</v>
      </c>
      <c r="Q440" t="s">
        <v>30</v>
      </c>
      <c r="R440">
        <v>3</v>
      </c>
      <c r="S440">
        <v>10</v>
      </c>
      <c r="T440">
        <v>3</v>
      </c>
      <c r="U440">
        <v>8</v>
      </c>
      <c r="V440">
        <v>7</v>
      </c>
      <c r="W440">
        <v>0</v>
      </c>
      <c r="X440">
        <v>0</v>
      </c>
      <c r="Y440">
        <v>12</v>
      </c>
      <c r="Z440">
        <f>IF(H_A[[#This Row],[Attrition]]="Yes",1,0)</f>
        <v>0</v>
      </c>
      <c r="AA440" t="str">
        <f>IF(H_A[[#This Row],[Age]]&lt;30,"Young",IF(H_A[[#This Row],[Age]]&lt;45,"Mid","Senior"))</f>
        <v>Mid</v>
      </c>
      <c r="AB440" t="str">
        <f>IF(H_A[[#This Row],[MonthlyIncome]]&lt;5000,"Low",IF(H_A[[#This Row],[MonthlyIncome]]&lt;10000,"Medium","High"))</f>
        <v>Medium</v>
      </c>
      <c r="AC440" t="str">
        <f>IF(H_A[[#This Row],[YearsAtCompany]]&lt;3,"Early",IF(H_A[[#This Row],[YearsAtCompany]]&lt;7,"Mid","Long"))</f>
        <v>Long</v>
      </c>
      <c r="AD440" t="str">
        <f>IF(H_A[[#This Row],[PercentSalaryHike]]&lt;13,"Low",IF(H_A[[#This Row],[PercentSalaryHike]]&lt;18,"Medium","High"))</f>
        <v>Low</v>
      </c>
    </row>
    <row r="441" spans="1:30" x14ac:dyDescent="0.3">
      <c r="A441">
        <v>31</v>
      </c>
      <c r="B441">
        <v>587</v>
      </c>
      <c r="C441" t="s">
        <v>30</v>
      </c>
      <c r="D441" t="s">
        <v>37</v>
      </c>
      <c r="E441">
        <v>20</v>
      </c>
      <c r="F441">
        <v>3</v>
      </c>
      <c r="G441" t="s">
        <v>32</v>
      </c>
      <c r="H441">
        <v>1</v>
      </c>
      <c r="I441" t="s">
        <v>38</v>
      </c>
      <c r="J441">
        <v>3</v>
      </c>
      <c r="K441">
        <v>3</v>
      </c>
      <c r="L441" t="s">
        <v>46</v>
      </c>
      <c r="M441">
        <v>3</v>
      </c>
      <c r="N441" t="s">
        <v>40</v>
      </c>
      <c r="O441">
        <v>9824</v>
      </c>
      <c r="P441">
        <v>3</v>
      </c>
      <c r="Q441" t="s">
        <v>36</v>
      </c>
      <c r="R441">
        <v>1</v>
      </c>
      <c r="S441">
        <v>12</v>
      </c>
      <c r="T441">
        <v>3</v>
      </c>
      <c r="U441">
        <v>1</v>
      </c>
      <c r="V441">
        <v>0</v>
      </c>
      <c r="W441">
        <v>0</v>
      </c>
      <c r="X441">
        <v>0</v>
      </c>
      <c r="Y441">
        <v>12</v>
      </c>
      <c r="Z441">
        <f>IF(H_A[[#This Row],[Attrition]]="Yes",1,0)</f>
        <v>1</v>
      </c>
      <c r="AA441" t="str">
        <f>IF(H_A[[#This Row],[Age]]&lt;30,"Young",IF(H_A[[#This Row],[Age]]&lt;45,"Mid","Senior"))</f>
        <v>Mid</v>
      </c>
      <c r="AB441" t="str">
        <f>IF(H_A[[#This Row],[MonthlyIncome]]&lt;5000,"Low",IF(H_A[[#This Row],[MonthlyIncome]]&lt;10000,"Medium","High"))</f>
        <v>Medium</v>
      </c>
      <c r="AC441" t="str">
        <f>IF(H_A[[#This Row],[YearsAtCompany]]&lt;3,"Early",IF(H_A[[#This Row],[YearsAtCompany]]&lt;7,"Mid","Long"))</f>
        <v>Early</v>
      </c>
      <c r="AD441" t="str">
        <f>IF(H_A[[#This Row],[PercentSalaryHike]]&lt;13,"Low",IF(H_A[[#This Row],[PercentSalaryHike]]&lt;18,"Medium","High"))</f>
        <v>Low</v>
      </c>
    </row>
    <row r="442" spans="1:30" x14ac:dyDescent="0.3">
      <c r="A442">
        <v>34</v>
      </c>
      <c r="B442">
        <v>590</v>
      </c>
      <c r="C442" t="s">
        <v>30</v>
      </c>
      <c r="D442" t="s">
        <v>52</v>
      </c>
      <c r="E442">
        <v>23</v>
      </c>
      <c r="F442">
        <v>3</v>
      </c>
      <c r="G442" t="s">
        <v>52</v>
      </c>
      <c r="H442">
        <v>2</v>
      </c>
      <c r="I442" t="s">
        <v>33</v>
      </c>
      <c r="J442">
        <v>3</v>
      </c>
      <c r="K442">
        <v>3</v>
      </c>
      <c r="L442" t="s">
        <v>52</v>
      </c>
      <c r="M442">
        <v>1</v>
      </c>
      <c r="N442" t="s">
        <v>44</v>
      </c>
      <c r="O442">
        <v>9950</v>
      </c>
      <c r="P442">
        <v>9</v>
      </c>
      <c r="Q442" t="s">
        <v>30</v>
      </c>
      <c r="R442">
        <v>3</v>
      </c>
      <c r="S442">
        <v>11</v>
      </c>
      <c r="T442">
        <v>3</v>
      </c>
      <c r="U442">
        <v>3</v>
      </c>
      <c r="V442">
        <v>2</v>
      </c>
      <c r="W442">
        <v>0</v>
      </c>
      <c r="X442">
        <v>2</v>
      </c>
      <c r="Y442">
        <v>15</v>
      </c>
      <c r="Z442">
        <f>IF(H_A[[#This Row],[Attrition]]="Yes",1,0)</f>
        <v>1</v>
      </c>
      <c r="AA442" t="str">
        <f>IF(H_A[[#This Row],[Age]]&lt;30,"Young",IF(H_A[[#This Row],[Age]]&lt;45,"Mid","Senior"))</f>
        <v>Mid</v>
      </c>
      <c r="AB442" t="str">
        <f>IF(H_A[[#This Row],[MonthlyIncome]]&lt;5000,"Low",IF(H_A[[#This Row],[MonthlyIncome]]&lt;10000,"Medium","High"))</f>
        <v>Medium</v>
      </c>
      <c r="AC442" t="str">
        <f>IF(H_A[[#This Row],[YearsAtCompany]]&lt;3,"Early",IF(H_A[[#This Row],[YearsAtCompany]]&lt;7,"Mid","Long"))</f>
        <v>Mid</v>
      </c>
      <c r="AD442" t="str">
        <f>IF(H_A[[#This Row],[PercentSalaryHike]]&lt;13,"Low",IF(H_A[[#This Row],[PercentSalaryHike]]&lt;18,"Medium","High"))</f>
        <v>Medium</v>
      </c>
    </row>
    <row r="443" spans="1:30" x14ac:dyDescent="0.3">
      <c r="A443">
        <v>42</v>
      </c>
      <c r="B443">
        <v>591</v>
      </c>
      <c r="C443" t="s">
        <v>36</v>
      </c>
      <c r="D443" t="s">
        <v>37</v>
      </c>
      <c r="E443">
        <v>5</v>
      </c>
      <c r="F443">
        <v>2</v>
      </c>
      <c r="G443" t="s">
        <v>41</v>
      </c>
      <c r="H443">
        <v>2</v>
      </c>
      <c r="I443" t="s">
        <v>38</v>
      </c>
      <c r="J443">
        <v>3</v>
      </c>
      <c r="K443">
        <v>1</v>
      </c>
      <c r="L443" t="s">
        <v>42</v>
      </c>
      <c r="M443">
        <v>3</v>
      </c>
      <c r="N443" t="s">
        <v>40</v>
      </c>
      <c r="O443">
        <v>2093</v>
      </c>
      <c r="P443">
        <v>4</v>
      </c>
      <c r="Q443" t="s">
        <v>36</v>
      </c>
      <c r="R443">
        <v>4</v>
      </c>
      <c r="S443">
        <v>8</v>
      </c>
      <c r="T443">
        <v>3</v>
      </c>
      <c r="U443">
        <v>2</v>
      </c>
      <c r="V443">
        <v>2</v>
      </c>
      <c r="W443">
        <v>2</v>
      </c>
      <c r="X443">
        <v>0</v>
      </c>
      <c r="Y443">
        <v>17</v>
      </c>
      <c r="Z443">
        <f>IF(H_A[[#This Row],[Attrition]]="Yes",1,0)</f>
        <v>0</v>
      </c>
      <c r="AA443" t="str">
        <f>IF(H_A[[#This Row],[Age]]&lt;30,"Young",IF(H_A[[#This Row],[Age]]&lt;45,"Mid","Senior"))</f>
        <v>Mid</v>
      </c>
      <c r="AB443" t="str">
        <f>IF(H_A[[#This Row],[MonthlyIncome]]&lt;5000,"Low",IF(H_A[[#This Row],[MonthlyIncome]]&lt;10000,"Medium","High"))</f>
        <v>Low</v>
      </c>
      <c r="AC443" t="str">
        <f>IF(H_A[[#This Row],[YearsAtCompany]]&lt;3,"Early",IF(H_A[[#This Row],[YearsAtCompany]]&lt;7,"Mid","Long"))</f>
        <v>Early</v>
      </c>
      <c r="AD443" t="str">
        <f>IF(H_A[[#This Row],[PercentSalaryHike]]&lt;13,"Low",IF(H_A[[#This Row],[PercentSalaryHike]]&lt;18,"Medium","High"))</f>
        <v>Medium</v>
      </c>
    </row>
    <row r="444" spans="1:30" x14ac:dyDescent="0.3">
      <c r="A444">
        <v>36</v>
      </c>
      <c r="B444">
        <v>592</v>
      </c>
      <c r="C444" t="s">
        <v>36</v>
      </c>
      <c r="D444" t="s">
        <v>31</v>
      </c>
      <c r="E444">
        <v>10</v>
      </c>
      <c r="F444">
        <v>4</v>
      </c>
      <c r="G444" t="s">
        <v>43</v>
      </c>
      <c r="H444">
        <v>2</v>
      </c>
      <c r="I444" t="s">
        <v>38</v>
      </c>
      <c r="J444">
        <v>3</v>
      </c>
      <c r="K444">
        <v>3</v>
      </c>
      <c r="L444" t="s">
        <v>34</v>
      </c>
      <c r="M444">
        <v>4</v>
      </c>
      <c r="N444" t="s">
        <v>35</v>
      </c>
      <c r="O444">
        <v>9980</v>
      </c>
      <c r="P444">
        <v>1</v>
      </c>
      <c r="Q444" t="s">
        <v>36</v>
      </c>
      <c r="R444">
        <v>4</v>
      </c>
      <c r="S444">
        <v>10</v>
      </c>
      <c r="T444">
        <v>2</v>
      </c>
      <c r="U444">
        <v>10</v>
      </c>
      <c r="V444">
        <v>3</v>
      </c>
      <c r="W444">
        <v>9</v>
      </c>
      <c r="X444">
        <v>7</v>
      </c>
      <c r="Y444">
        <v>14</v>
      </c>
      <c r="Z444">
        <f>IF(H_A[[#This Row],[Attrition]]="Yes",1,0)</f>
        <v>0</v>
      </c>
      <c r="AA444" t="str">
        <f>IF(H_A[[#This Row],[Age]]&lt;30,"Young",IF(H_A[[#This Row],[Age]]&lt;45,"Mid","Senior"))</f>
        <v>Mid</v>
      </c>
      <c r="AB444" t="str">
        <f>IF(H_A[[#This Row],[MonthlyIncome]]&lt;5000,"Low",IF(H_A[[#This Row],[MonthlyIncome]]&lt;10000,"Medium","High"))</f>
        <v>Medium</v>
      </c>
      <c r="AC444" t="str">
        <f>IF(H_A[[#This Row],[YearsAtCompany]]&lt;3,"Early",IF(H_A[[#This Row],[YearsAtCompany]]&lt;7,"Mid","Long"))</f>
        <v>Long</v>
      </c>
      <c r="AD444" t="str">
        <f>IF(H_A[[#This Row],[PercentSalaryHike]]&lt;13,"Low",IF(H_A[[#This Row],[PercentSalaryHike]]&lt;18,"Medium","High"))</f>
        <v>Medium</v>
      </c>
    </row>
    <row r="445" spans="1:30" x14ac:dyDescent="0.3">
      <c r="A445">
        <v>22</v>
      </c>
      <c r="B445">
        <v>593</v>
      </c>
      <c r="C445" t="s">
        <v>30</v>
      </c>
      <c r="D445" t="s">
        <v>37</v>
      </c>
      <c r="E445">
        <v>4</v>
      </c>
      <c r="F445">
        <v>1</v>
      </c>
      <c r="G445" t="s">
        <v>51</v>
      </c>
      <c r="H445">
        <v>3</v>
      </c>
      <c r="I445" t="s">
        <v>38</v>
      </c>
      <c r="J445">
        <v>2</v>
      </c>
      <c r="K445">
        <v>1</v>
      </c>
      <c r="L445" t="s">
        <v>42</v>
      </c>
      <c r="M445">
        <v>3</v>
      </c>
      <c r="N445" t="s">
        <v>35</v>
      </c>
      <c r="O445">
        <v>3894</v>
      </c>
      <c r="P445">
        <v>5</v>
      </c>
      <c r="Q445" t="s">
        <v>36</v>
      </c>
      <c r="R445">
        <v>3</v>
      </c>
      <c r="S445">
        <v>4</v>
      </c>
      <c r="T445">
        <v>3</v>
      </c>
      <c r="U445">
        <v>2</v>
      </c>
      <c r="V445">
        <v>2</v>
      </c>
      <c r="W445">
        <v>1</v>
      </c>
      <c r="X445">
        <v>2</v>
      </c>
      <c r="Y445">
        <v>16</v>
      </c>
      <c r="Z445">
        <f>IF(H_A[[#This Row],[Attrition]]="Yes",1,0)</f>
        <v>1</v>
      </c>
      <c r="AA445" t="str">
        <f>IF(H_A[[#This Row],[Age]]&lt;30,"Young",IF(H_A[[#This Row],[Age]]&lt;45,"Mid","Senior"))</f>
        <v>Young</v>
      </c>
      <c r="AB445" t="str">
        <f>IF(H_A[[#This Row],[MonthlyIncome]]&lt;5000,"Low",IF(H_A[[#This Row],[MonthlyIncome]]&lt;10000,"Medium","High"))</f>
        <v>Low</v>
      </c>
      <c r="AC445" t="str">
        <f>IF(H_A[[#This Row],[YearsAtCompany]]&lt;3,"Early",IF(H_A[[#This Row],[YearsAtCompany]]&lt;7,"Mid","Long"))</f>
        <v>Early</v>
      </c>
      <c r="AD445" t="str">
        <f>IF(H_A[[#This Row],[PercentSalaryHike]]&lt;13,"Low",IF(H_A[[#This Row],[PercentSalaryHike]]&lt;18,"Medium","High"))</f>
        <v>Medium</v>
      </c>
    </row>
    <row r="446" spans="1:30" x14ac:dyDescent="0.3">
      <c r="A446">
        <v>48</v>
      </c>
      <c r="B446">
        <v>595</v>
      </c>
      <c r="C446" t="s">
        <v>36</v>
      </c>
      <c r="D446" t="s">
        <v>31</v>
      </c>
      <c r="E446">
        <v>2</v>
      </c>
      <c r="F446">
        <v>5</v>
      </c>
      <c r="G446" t="s">
        <v>50</v>
      </c>
      <c r="H446">
        <v>2</v>
      </c>
      <c r="I446" t="s">
        <v>33</v>
      </c>
      <c r="J446">
        <v>3</v>
      </c>
      <c r="K446">
        <v>2</v>
      </c>
      <c r="L446" t="s">
        <v>34</v>
      </c>
      <c r="M446">
        <v>4</v>
      </c>
      <c r="N446" t="s">
        <v>40</v>
      </c>
      <c r="O446">
        <v>4051</v>
      </c>
      <c r="P446">
        <v>2</v>
      </c>
      <c r="Q446" t="s">
        <v>36</v>
      </c>
      <c r="R446">
        <v>1</v>
      </c>
      <c r="S446">
        <v>14</v>
      </c>
      <c r="T446">
        <v>3</v>
      </c>
      <c r="U446">
        <v>9</v>
      </c>
      <c r="V446">
        <v>7</v>
      </c>
      <c r="W446">
        <v>6</v>
      </c>
      <c r="X446">
        <v>7</v>
      </c>
      <c r="Y446">
        <v>14</v>
      </c>
      <c r="Z446">
        <f>IF(H_A[[#This Row],[Attrition]]="Yes",1,0)</f>
        <v>0</v>
      </c>
      <c r="AA446" t="str">
        <f>IF(H_A[[#This Row],[Age]]&lt;30,"Young",IF(H_A[[#This Row],[Age]]&lt;45,"Mid","Senior"))</f>
        <v>Senior</v>
      </c>
      <c r="AB446" t="str">
        <f>IF(H_A[[#This Row],[MonthlyIncome]]&lt;5000,"Low",IF(H_A[[#This Row],[MonthlyIncome]]&lt;10000,"Medium","High"))</f>
        <v>Low</v>
      </c>
      <c r="AC446" t="str">
        <f>IF(H_A[[#This Row],[YearsAtCompany]]&lt;3,"Early",IF(H_A[[#This Row],[YearsAtCompany]]&lt;7,"Mid","Long"))</f>
        <v>Long</v>
      </c>
      <c r="AD446" t="str">
        <f>IF(H_A[[#This Row],[PercentSalaryHike]]&lt;13,"Low",IF(H_A[[#This Row],[PercentSalaryHike]]&lt;18,"Medium","High"))</f>
        <v>Medium</v>
      </c>
    </row>
    <row r="447" spans="1:30" x14ac:dyDescent="0.3">
      <c r="A447">
        <v>55</v>
      </c>
      <c r="B447">
        <v>597</v>
      </c>
      <c r="C447" t="s">
        <v>36</v>
      </c>
      <c r="D447" t="s">
        <v>31</v>
      </c>
      <c r="E447">
        <v>18</v>
      </c>
      <c r="F447">
        <v>5</v>
      </c>
      <c r="G447" t="s">
        <v>32</v>
      </c>
      <c r="H447">
        <v>1</v>
      </c>
      <c r="I447" t="s">
        <v>33</v>
      </c>
      <c r="J447">
        <v>3</v>
      </c>
      <c r="K447">
        <v>4</v>
      </c>
      <c r="L447" t="s">
        <v>47</v>
      </c>
      <c r="M447">
        <v>2</v>
      </c>
      <c r="N447" t="s">
        <v>35</v>
      </c>
      <c r="O447">
        <v>16835</v>
      </c>
      <c r="P447">
        <v>3</v>
      </c>
      <c r="Q447" t="s">
        <v>36</v>
      </c>
      <c r="R447">
        <v>4</v>
      </c>
      <c r="S447">
        <v>37</v>
      </c>
      <c r="T447">
        <v>3</v>
      </c>
      <c r="U447">
        <v>10</v>
      </c>
      <c r="V447">
        <v>9</v>
      </c>
      <c r="W447">
        <v>7</v>
      </c>
      <c r="X447">
        <v>7</v>
      </c>
      <c r="Y447">
        <v>23</v>
      </c>
      <c r="Z447">
        <f>IF(H_A[[#This Row],[Attrition]]="Yes",1,0)</f>
        <v>0</v>
      </c>
      <c r="AA447" t="str">
        <f>IF(H_A[[#This Row],[Age]]&lt;30,"Young",IF(H_A[[#This Row],[Age]]&lt;45,"Mid","Senior"))</f>
        <v>Senior</v>
      </c>
      <c r="AB447" t="str">
        <f>IF(H_A[[#This Row],[MonthlyIncome]]&lt;5000,"Low",IF(H_A[[#This Row],[MonthlyIncome]]&lt;10000,"Medium","High"))</f>
        <v>High</v>
      </c>
      <c r="AC447" t="str">
        <f>IF(H_A[[#This Row],[YearsAtCompany]]&lt;3,"Early",IF(H_A[[#This Row],[YearsAtCompany]]&lt;7,"Mid","Long"))</f>
        <v>Long</v>
      </c>
      <c r="AD447" t="str">
        <f>IF(H_A[[#This Row],[PercentSalaryHike]]&lt;13,"Low",IF(H_A[[#This Row],[PercentSalaryHike]]&lt;18,"Medium","High"))</f>
        <v>High</v>
      </c>
    </row>
    <row r="448" spans="1:30" x14ac:dyDescent="0.3">
      <c r="A448">
        <v>41</v>
      </c>
      <c r="B448">
        <v>599</v>
      </c>
      <c r="C448" t="s">
        <v>36</v>
      </c>
      <c r="D448" t="s">
        <v>31</v>
      </c>
      <c r="E448">
        <v>10</v>
      </c>
      <c r="F448">
        <v>2</v>
      </c>
      <c r="G448" t="s">
        <v>32</v>
      </c>
      <c r="H448">
        <v>4</v>
      </c>
      <c r="I448" t="s">
        <v>38</v>
      </c>
      <c r="J448">
        <v>3</v>
      </c>
      <c r="K448">
        <v>2</v>
      </c>
      <c r="L448" t="s">
        <v>34</v>
      </c>
      <c r="M448">
        <v>4</v>
      </c>
      <c r="N448" t="s">
        <v>35</v>
      </c>
      <c r="O448">
        <v>6230</v>
      </c>
      <c r="P448">
        <v>7</v>
      </c>
      <c r="Q448" t="s">
        <v>36</v>
      </c>
      <c r="R448">
        <v>4</v>
      </c>
      <c r="S448">
        <v>16</v>
      </c>
      <c r="T448">
        <v>3</v>
      </c>
      <c r="U448">
        <v>14</v>
      </c>
      <c r="V448">
        <v>3</v>
      </c>
      <c r="W448">
        <v>1</v>
      </c>
      <c r="X448">
        <v>10</v>
      </c>
      <c r="Y448">
        <v>14</v>
      </c>
      <c r="Z448">
        <f>IF(H_A[[#This Row],[Attrition]]="Yes",1,0)</f>
        <v>0</v>
      </c>
      <c r="AA448" t="str">
        <f>IF(H_A[[#This Row],[Age]]&lt;30,"Young",IF(H_A[[#This Row],[Age]]&lt;45,"Mid","Senior"))</f>
        <v>Mid</v>
      </c>
      <c r="AB448" t="str">
        <f>IF(H_A[[#This Row],[MonthlyIncome]]&lt;5000,"Low",IF(H_A[[#This Row],[MonthlyIncome]]&lt;10000,"Medium","High"))</f>
        <v>Medium</v>
      </c>
      <c r="AC448" t="str">
        <f>IF(H_A[[#This Row],[YearsAtCompany]]&lt;3,"Early",IF(H_A[[#This Row],[YearsAtCompany]]&lt;7,"Mid","Long"))</f>
        <v>Long</v>
      </c>
      <c r="AD448" t="str">
        <f>IF(H_A[[#This Row],[PercentSalaryHike]]&lt;13,"Low",IF(H_A[[#This Row],[PercentSalaryHike]]&lt;18,"Medium","High"))</f>
        <v>Medium</v>
      </c>
    </row>
    <row r="449" spans="1:30" x14ac:dyDescent="0.3">
      <c r="A449">
        <v>35</v>
      </c>
      <c r="B449">
        <v>600</v>
      </c>
      <c r="C449" t="s">
        <v>36</v>
      </c>
      <c r="D449" t="s">
        <v>31</v>
      </c>
      <c r="E449">
        <v>1</v>
      </c>
      <c r="F449">
        <v>3</v>
      </c>
      <c r="G449" t="s">
        <v>50</v>
      </c>
      <c r="H449">
        <v>2</v>
      </c>
      <c r="I449" t="s">
        <v>38</v>
      </c>
      <c r="J449">
        <v>3</v>
      </c>
      <c r="K449">
        <v>2</v>
      </c>
      <c r="L449" t="s">
        <v>34</v>
      </c>
      <c r="M449">
        <v>3</v>
      </c>
      <c r="N449" t="s">
        <v>40</v>
      </c>
      <c r="O449">
        <v>4717</v>
      </c>
      <c r="P449">
        <v>9</v>
      </c>
      <c r="Q449" t="s">
        <v>36</v>
      </c>
      <c r="R449">
        <v>3</v>
      </c>
      <c r="S449">
        <v>15</v>
      </c>
      <c r="T449">
        <v>3</v>
      </c>
      <c r="U449">
        <v>11</v>
      </c>
      <c r="V449">
        <v>9</v>
      </c>
      <c r="W449">
        <v>6</v>
      </c>
      <c r="X449">
        <v>9</v>
      </c>
      <c r="Y449">
        <v>11</v>
      </c>
      <c r="Z449">
        <f>IF(H_A[[#This Row],[Attrition]]="Yes",1,0)</f>
        <v>0</v>
      </c>
      <c r="AA449" t="str">
        <f>IF(H_A[[#This Row],[Age]]&lt;30,"Young",IF(H_A[[#This Row],[Age]]&lt;45,"Mid","Senior"))</f>
        <v>Mid</v>
      </c>
      <c r="AB449" t="str">
        <f>IF(H_A[[#This Row],[MonthlyIncome]]&lt;5000,"Low",IF(H_A[[#This Row],[MonthlyIncome]]&lt;10000,"Medium","High"))</f>
        <v>Low</v>
      </c>
      <c r="AC449" t="str">
        <f>IF(H_A[[#This Row],[YearsAtCompany]]&lt;3,"Early",IF(H_A[[#This Row],[YearsAtCompany]]&lt;7,"Mid","Long"))</f>
        <v>Long</v>
      </c>
      <c r="AD449" t="str">
        <f>IF(H_A[[#This Row],[PercentSalaryHike]]&lt;13,"Low",IF(H_A[[#This Row],[PercentSalaryHike]]&lt;18,"Medium","High"))</f>
        <v>Low</v>
      </c>
    </row>
    <row r="450" spans="1:30" x14ac:dyDescent="0.3">
      <c r="A450">
        <v>40</v>
      </c>
      <c r="B450">
        <v>601</v>
      </c>
      <c r="C450" t="s">
        <v>36</v>
      </c>
      <c r="D450" t="s">
        <v>37</v>
      </c>
      <c r="E450">
        <v>6</v>
      </c>
      <c r="F450">
        <v>3</v>
      </c>
      <c r="G450" t="s">
        <v>32</v>
      </c>
      <c r="H450">
        <v>2</v>
      </c>
      <c r="I450" t="s">
        <v>33</v>
      </c>
      <c r="J450">
        <v>3</v>
      </c>
      <c r="K450">
        <v>4</v>
      </c>
      <c r="L450" t="s">
        <v>45</v>
      </c>
      <c r="M450">
        <v>3</v>
      </c>
      <c r="N450" t="s">
        <v>35</v>
      </c>
      <c r="O450">
        <v>13237</v>
      </c>
      <c r="P450">
        <v>7</v>
      </c>
      <c r="Q450" t="s">
        <v>36</v>
      </c>
      <c r="R450">
        <v>3</v>
      </c>
      <c r="S450">
        <v>22</v>
      </c>
      <c r="T450">
        <v>3</v>
      </c>
      <c r="U450">
        <v>20</v>
      </c>
      <c r="V450">
        <v>6</v>
      </c>
      <c r="W450">
        <v>5</v>
      </c>
      <c r="X450">
        <v>13</v>
      </c>
      <c r="Y450">
        <v>15</v>
      </c>
      <c r="Z450">
        <f>IF(H_A[[#This Row],[Attrition]]="Yes",1,0)</f>
        <v>0</v>
      </c>
      <c r="AA450" t="str">
        <f>IF(H_A[[#This Row],[Age]]&lt;30,"Young",IF(H_A[[#This Row],[Age]]&lt;45,"Mid","Senior"))</f>
        <v>Mid</v>
      </c>
      <c r="AB450" t="str">
        <f>IF(H_A[[#This Row],[MonthlyIncome]]&lt;5000,"Low",IF(H_A[[#This Row],[MonthlyIncome]]&lt;10000,"Medium","High"))</f>
        <v>High</v>
      </c>
      <c r="AC450" t="str">
        <f>IF(H_A[[#This Row],[YearsAtCompany]]&lt;3,"Early",IF(H_A[[#This Row],[YearsAtCompany]]&lt;7,"Mid","Long"))</f>
        <v>Long</v>
      </c>
      <c r="AD450" t="str">
        <f>IF(H_A[[#This Row],[PercentSalaryHike]]&lt;13,"Low",IF(H_A[[#This Row],[PercentSalaryHike]]&lt;18,"Medium","High"))</f>
        <v>Medium</v>
      </c>
    </row>
    <row r="451" spans="1:30" x14ac:dyDescent="0.3">
      <c r="A451">
        <v>39</v>
      </c>
      <c r="B451">
        <v>602</v>
      </c>
      <c r="C451" t="s">
        <v>36</v>
      </c>
      <c r="D451" t="s">
        <v>37</v>
      </c>
      <c r="E451">
        <v>8</v>
      </c>
      <c r="F451">
        <v>1</v>
      </c>
      <c r="G451" t="s">
        <v>32</v>
      </c>
      <c r="H451">
        <v>3</v>
      </c>
      <c r="I451" t="s">
        <v>33</v>
      </c>
      <c r="J451">
        <v>3</v>
      </c>
      <c r="K451">
        <v>1</v>
      </c>
      <c r="L451" t="s">
        <v>42</v>
      </c>
      <c r="M451">
        <v>3</v>
      </c>
      <c r="N451" t="s">
        <v>40</v>
      </c>
      <c r="O451">
        <v>3755</v>
      </c>
      <c r="P451">
        <v>1</v>
      </c>
      <c r="Q451" t="s">
        <v>36</v>
      </c>
      <c r="R451">
        <v>1</v>
      </c>
      <c r="S451">
        <v>8</v>
      </c>
      <c r="T451">
        <v>3</v>
      </c>
      <c r="U451">
        <v>8</v>
      </c>
      <c r="V451">
        <v>3</v>
      </c>
      <c r="W451">
        <v>0</v>
      </c>
      <c r="X451">
        <v>7</v>
      </c>
      <c r="Y451">
        <v>11</v>
      </c>
      <c r="Z451">
        <f>IF(H_A[[#This Row],[Attrition]]="Yes",1,0)</f>
        <v>0</v>
      </c>
      <c r="AA451" t="str">
        <f>IF(H_A[[#This Row],[Age]]&lt;30,"Young",IF(H_A[[#This Row],[Age]]&lt;45,"Mid","Senior"))</f>
        <v>Mid</v>
      </c>
      <c r="AB451" t="str">
        <f>IF(H_A[[#This Row],[MonthlyIncome]]&lt;5000,"Low",IF(H_A[[#This Row],[MonthlyIncome]]&lt;10000,"Medium","High"))</f>
        <v>Low</v>
      </c>
      <c r="AC451" t="str">
        <f>IF(H_A[[#This Row],[YearsAtCompany]]&lt;3,"Early",IF(H_A[[#This Row],[YearsAtCompany]]&lt;7,"Mid","Long"))</f>
        <v>Long</v>
      </c>
      <c r="AD451" t="str">
        <f>IF(H_A[[#This Row],[PercentSalaryHike]]&lt;13,"Low",IF(H_A[[#This Row],[PercentSalaryHike]]&lt;18,"Medium","High"))</f>
        <v>Low</v>
      </c>
    </row>
    <row r="452" spans="1:30" x14ac:dyDescent="0.3">
      <c r="A452">
        <v>31</v>
      </c>
      <c r="B452">
        <v>604</v>
      </c>
      <c r="C452" t="s">
        <v>36</v>
      </c>
      <c r="D452" t="s">
        <v>31</v>
      </c>
      <c r="E452">
        <v>2</v>
      </c>
      <c r="F452">
        <v>1</v>
      </c>
      <c r="G452" t="s">
        <v>32</v>
      </c>
      <c r="H452">
        <v>2</v>
      </c>
      <c r="I452" t="s">
        <v>38</v>
      </c>
      <c r="J452">
        <v>3</v>
      </c>
      <c r="K452">
        <v>2</v>
      </c>
      <c r="L452" t="s">
        <v>34</v>
      </c>
      <c r="M452">
        <v>4</v>
      </c>
      <c r="N452" t="s">
        <v>35</v>
      </c>
      <c r="O452">
        <v>6582</v>
      </c>
      <c r="P452">
        <v>4</v>
      </c>
      <c r="Q452" t="s">
        <v>30</v>
      </c>
      <c r="R452">
        <v>3</v>
      </c>
      <c r="S452">
        <v>10</v>
      </c>
      <c r="T452">
        <v>4</v>
      </c>
      <c r="U452">
        <v>6</v>
      </c>
      <c r="V452">
        <v>5</v>
      </c>
      <c r="W452">
        <v>0</v>
      </c>
      <c r="X452">
        <v>5</v>
      </c>
      <c r="Y452">
        <v>13</v>
      </c>
      <c r="Z452">
        <f>IF(H_A[[#This Row],[Attrition]]="Yes",1,0)</f>
        <v>0</v>
      </c>
      <c r="AA452" t="str">
        <f>IF(H_A[[#This Row],[Age]]&lt;30,"Young",IF(H_A[[#This Row],[Age]]&lt;45,"Mid","Senior"))</f>
        <v>Mid</v>
      </c>
      <c r="AB452" t="str">
        <f>IF(H_A[[#This Row],[MonthlyIncome]]&lt;5000,"Low",IF(H_A[[#This Row],[MonthlyIncome]]&lt;10000,"Medium","High"))</f>
        <v>Medium</v>
      </c>
      <c r="AC452" t="str">
        <f>IF(H_A[[#This Row],[YearsAtCompany]]&lt;3,"Early",IF(H_A[[#This Row],[YearsAtCompany]]&lt;7,"Mid","Long"))</f>
        <v>Mid</v>
      </c>
      <c r="AD452" t="str">
        <f>IF(H_A[[#This Row],[PercentSalaryHike]]&lt;13,"Low",IF(H_A[[#This Row],[PercentSalaryHike]]&lt;18,"Medium","High"))</f>
        <v>Medium</v>
      </c>
    </row>
    <row r="453" spans="1:30" x14ac:dyDescent="0.3">
      <c r="A453">
        <v>42</v>
      </c>
      <c r="B453">
        <v>605</v>
      </c>
      <c r="C453" t="s">
        <v>36</v>
      </c>
      <c r="D453" t="s">
        <v>37</v>
      </c>
      <c r="E453">
        <v>24</v>
      </c>
      <c r="F453">
        <v>3</v>
      </c>
      <c r="G453" t="s">
        <v>43</v>
      </c>
      <c r="H453">
        <v>4</v>
      </c>
      <c r="I453" t="s">
        <v>38</v>
      </c>
      <c r="J453">
        <v>3</v>
      </c>
      <c r="K453">
        <v>3</v>
      </c>
      <c r="L453" t="s">
        <v>45</v>
      </c>
      <c r="M453">
        <v>1</v>
      </c>
      <c r="N453" t="s">
        <v>40</v>
      </c>
      <c r="O453">
        <v>7406</v>
      </c>
      <c r="P453">
        <v>1</v>
      </c>
      <c r="Q453" t="s">
        <v>30</v>
      </c>
      <c r="R453">
        <v>4</v>
      </c>
      <c r="S453">
        <v>10</v>
      </c>
      <c r="T453">
        <v>2</v>
      </c>
      <c r="U453">
        <v>10</v>
      </c>
      <c r="V453">
        <v>9</v>
      </c>
      <c r="W453">
        <v>5</v>
      </c>
      <c r="X453">
        <v>8</v>
      </c>
      <c r="Y453">
        <v>21</v>
      </c>
      <c r="Z453">
        <f>IF(H_A[[#This Row],[Attrition]]="Yes",1,0)</f>
        <v>0</v>
      </c>
      <c r="AA453" t="str">
        <f>IF(H_A[[#This Row],[Age]]&lt;30,"Young",IF(H_A[[#This Row],[Age]]&lt;45,"Mid","Senior"))</f>
        <v>Mid</v>
      </c>
      <c r="AB453" t="str">
        <f>IF(H_A[[#This Row],[MonthlyIncome]]&lt;5000,"Low",IF(H_A[[#This Row],[MonthlyIncome]]&lt;10000,"Medium","High"))</f>
        <v>Medium</v>
      </c>
      <c r="AC453" t="str">
        <f>IF(H_A[[#This Row],[YearsAtCompany]]&lt;3,"Early",IF(H_A[[#This Row],[YearsAtCompany]]&lt;7,"Mid","Long"))</f>
        <v>Long</v>
      </c>
      <c r="AD453" t="str">
        <f>IF(H_A[[#This Row],[PercentSalaryHike]]&lt;13,"Low",IF(H_A[[#This Row],[PercentSalaryHike]]&lt;18,"Medium","High"))</f>
        <v>High</v>
      </c>
    </row>
    <row r="454" spans="1:30" x14ac:dyDescent="0.3">
      <c r="A454">
        <v>45</v>
      </c>
      <c r="B454">
        <v>606</v>
      </c>
      <c r="C454" t="s">
        <v>36</v>
      </c>
      <c r="D454" t="s">
        <v>31</v>
      </c>
      <c r="E454">
        <v>2</v>
      </c>
      <c r="F454">
        <v>3</v>
      </c>
      <c r="G454" t="s">
        <v>41</v>
      </c>
      <c r="H454">
        <v>4</v>
      </c>
      <c r="I454" t="s">
        <v>38</v>
      </c>
      <c r="J454">
        <v>3</v>
      </c>
      <c r="K454">
        <v>2</v>
      </c>
      <c r="L454" t="s">
        <v>34</v>
      </c>
      <c r="M454">
        <v>2</v>
      </c>
      <c r="N454" t="s">
        <v>40</v>
      </c>
      <c r="O454">
        <v>4805</v>
      </c>
      <c r="P454">
        <v>0</v>
      </c>
      <c r="Q454" t="s">
        <v>36</v>
      </c>
      <c r="R454">
        <v>2</v>
      </c>
      <c r="S454">
        <v>9</v>
      </c>
      <c r="T454">
        <v>4</v>
      </c>
      <c r="U454">
        <v>8</v>
      </c>
      <c r="V454">
        <v>7</v>
      </c>
      <c r="W454">
        <v>3</v>
      </c>
      <c r="X454">
        <v>7</v>
      </c>
      <c r="Y454">
        <v>19</v>
      </c>
      <c r="Z454">
        <f>IF(H_A[[#This Row],[Attrition]]="Yes",1,0)</f>
        <v>0</v>
      </c>
      <c r="AA454" t="str">
        <f>IF(H_A[[#This Row],[Age]]&lt;30,"Young",IF(H_A[[#This Row],[Age]]&lt;45,"Mid","Senior"))</f>
        <v>Senior</v>
      </c>
      <c r="AB454" t="str">
        <f>IF(H_A[[#This Row],[MonthlyIncome]]&lt;5000,"Low",IF(H_A[[#This Row],[MonthlyIncome]]&lt;10000,"Medium","High"))</f>
        <v>Low</v>
      </c>
      <c r="AC454" t="str">
        <f>IF(H_A[[#This Row],[YearsAtCompany]]&lt;3,"Early",IF(H_A[[#This Row],[YearsAtCompany]]&lt;7,"Mid","Long"))</f>
        <v>Long</v>
      </c>
      <c r="AD454" t="str">
        <f>IF(H_A[[#This Row],[PercentSalaryHike]]&lt;13,"Low",IF(H_A[[#This Row],[PercentSalaryHike]]&lt;18,"Medium","High"))</f>
        <v>High</v>
      </c>
    </row>
    <row r="455" spans="1:30" x14ac:dyDescent="0.3">
      <c r="A455">
        <v>26</v>
      </c>
      <c r="B455">
        <v>608</v>
      </c>
      <c r="C455" t="s">
        <v>30</v>
      </c>
      <c r="D455" t="s">
        <v>52</v>
      </c>
      <c r="E455">
        <v>17</v>
      </c>
      <c r="F455">
        <v>4</v>
      </c>
      <c r="G455" t="s">
        <v>32</v>
      </c>
      <c r="H455">
        <v>2</v>
      </c>
      <c r="I455" t="s">
        <v>33</v>
      </c>
      <c r="J455">
        <v>3</v>
      </c>
      <c r="K455">
        <v>1</v>
      </c>
      <c r="L455" t="s">
        <v>52</v>
      </c>
      <c r="M455">
        <v>3</v>
      </c>
      <c r="N455" t="s">
        <v>44</v>
      </c>
      <c r="O455">
        <v>2741</v>
      </c>
      <c r="P455">
        <v>0</v>
      </c>
      <c r="Q455" t="s">
        <v>30</v>
      </c>
      <c r="R455">
        <v>2</v>
      </c>
      <c r="S455">
        <v>8</v>
      </c>
      <c r="T455">
        <v>2</v>
      </c>
      <c r="U455">
        <v>7</v>
      </c>
      <c r="V455">
        <v>7</v>
      </c>
      <c r="W455">
        <v>1</v>
      </c>
      <c r="X455">
        <v>0</v>
      </c>
      <c r="Y455">
        <v>11</v>
      </c>
      <c r="Z455">
        <f>IF(H_A[[#This Row],[Attrition]]="Yes",1,0)</f>
        <v>1</v>
      </c>
      <c r="AA455" t="str">
        <f>IF(H_A[[#This Row],[Age]]&lt;30,"Young",IF(H_A[[#This Row],[Age]]&lt;45,"Mid","Senior"))</f>
        <v>Young</v>
      </c>
      <c r="AB455" t="str">
        <f>IF(H_A[[#This Row],[MonthlyIncome]]&lt;5000,"Low",IF(H_A[[#This Row],[MonthlyIncome]]&lt;10000,"Medium","High"))</f>
        <v>Low</v>
      </c>
      <c r="AC455" t="str">
        <f>IF(H_A[[#This Row],[YearsAtCompany]]&lt;3,"Early",IF(H_A[[#This Row],[YearsAtCompany]]&lt;7,"Mid","Long"))</f>
        <v>Long</v>
      </c>
      <c r="AD455" t="str">
        <f>IF(H_A[[#This Row],[PercentSalaryHike]]&lt;13,"Low",IF(H_A[[#This Row],[PercentSalaryHike]]&lt;18,"Medium","High"))</f>
        <v>Low</v>
      </c>
    </row>
    <row r="456" spans="1:30" x14ac:dyDescent="0.3">
      <c r="A456">
        <v>29</v>
      </c>
      <c r="B456">
        <v>611</v>
      </c>
      <c r="C456" t="s">
        <v>36</v>
      </c>
      <c r="D456" t="s">
        <v>37</v>
      </c>
      <c r="E456">
        <v>19</v>
      </c>
      <c r="F456">
        <v>3</v>
      </c>
      <c r="G456" t="s">
        <v>51</v>
      </c>
      <c r="H456">
        <v>4</v>
      </c>
      <c r="I456" t="s">
        <v>38</v>
      </c>
      <c r="J456">
        <v>3</v>
      </c>
      <c r="K456">
        <v>2</v>
      </c>
      <c r="L456" t="s">
        <v>45</v>
      </c>
      <c r="M456">
        <v>4</v>
      </c>
      <c r="N456" t="s">
        <v>44</v>
      </c>
      <c r="O456">
        <v>4262</v>
      </c>
      <c r="P456">
        <v>4</v>
      </c>
      <c r="Q456" t="s">
        <v>36</v>
      </c>
      <c r="R456">
        <v>2</v>
      </c>
      <c r="S456">
        <v>8</v>
      </c>
      <c r="T456">
        <v>4</v>
      </c>
      <c r="U456">
        <v>3</v>
      </c>
      <c r="V456">
        <v>2</v>
      </c>
      <c r="W456">
        <v>1</v>
      </c>
      <c r="X456">
        <v>2</v>
      </c>
      <c r="Y456">
        <v>12</v>
      </c>
      <c r="Z456">
        <f>IF(H_A[[#This Row],[Attrition]]="Yes",1,0)</f>
        <v>0</v>
      </c>
      <c r="AA456" t="str">
        <f>IF(H_A[[#This Row],[Age]]&lt;30,"Young",IF(H_A[[#This Row],[Age]]&lt;45,"Mid","Senior"))</f>
        <v>Young</v>
      </c>
      <c r="AB456" t="str">
        <f>IF(H_A[[#This Row],[MonthlyIncome]]&lt;5000,"Low",IF(H_A[[#This Row],[MonthlyIncome]]&lt;10000,"Medium","High"))</f>
        <v>Low</v>
      </c>
      <c r="AC456" t="str">
        <f>IF(H_A[[#This Row],[YearsAtCompany]]&lt;3,"Early",IF(H_A[[#This Row],[YearsAtCompany]]&lt;7,"Mid","Long"))</f>
        <v>Mid</v>
      </c>
      <c r="AD456" t="str">
        <f>IF(H_A[[#This Row],[PercentSalaryHike]]&lt;13,"Low",IF(H_A[[#This Row],[PercentSalaryHike]]&lt;18,"Medium","High"))</f>
        <v>Low</v>
      </c>
    </row>
    <row r="457" spans="1:30" x14ac:dyDescent="0.3">
      <c r="A457">
        <v>33</v>
      </c>
      <c r="B457">
        <v>612</v>
      </c>
      <c r="C457" t="s">
        <v>36</v>
      </c>
      <c r="D457" t="s">
        <v>37</v>
      </c>
      <c r="E457">
        <v>1</v>
      </c>
      <c r="F457">
        <v>5</v>
      </c>
      <c r="G457" t="s">
        <v>43</v>
      </c>
      <c r="H457">
        <v>1</v>
      </c>
      <c r="I457" t="s">
        <v>33</v>
      </c>
      <c r="J457">
        <v>4</v>
      </c>
      <c r="K457">
        <v>4</v>
      </c>
      <c r="L457" t="s">
        <v>49</v>
      </c>
      <c r="M457">
        <v>3</v>
      </c>
      <c r="N457" t="s">
        <v>44</v>
      </c>
      <c r="O457">
        <v>16184</v>
      </c>
      <c r="P457">
        <v>4</v>
      </c>
      <c r="Q457" t="s">
        <v>36</v>
      </c>
      <c r="R457">
        <v>3</v>
      </c>
      <c r="S457">
        <v>10</v>
      </c>
      <c r="T457">
        <v>3</v>
      </c>
      <c r="U457">
        <v>6</v>
      </c>
      <c r="V457">
        <v>1</v>
      </c>
      <c r="W457">
        <v>0</v>
      </c>
      <c r="X457">
        <v>5</v>
      </c>
      <c r="Y457">
        <v>19</v>
      </c>
      <c r="Z457">
        <f>IF(H_A[[#This Row],[Attrition]]="Yes",1,0)</f>
        <v>0</v>
      </c>
      <c r="AA457" t="str">
        <f>IF(H_A[[#This Row],[Age]]&lt;30,"Young",IF(H_A[[#This Row],[Age]]&lt;45,"Mid","Senior"))</f>
        <v>Mid</v>
      </c>
      <c r="AB457" t="str">
        <f>IF(H_A[[#This Row],[MonthlyIncome]]&lt;5000,"Low",IF(H_A[[#This Row],[MonthlyIncome]]&lt;10000,"Medium","High"))</f>
        <v>High</v>
      </c>
      <c r="AC457" t="str">
        <f>IF(H_A[[#This Row],[YearsAtCompany]]&lt;3,"Early",IF(H_A[[#This Row],[YearsAtCompany]]&lt;7,"Mid","Long"))</f>
        <v>Mid</v>
      </c>
      <c r="AD457" t="str">
        <f>IF(H_A[[#This Row],[PercentSalaryHike]]&lt;13,"Low",IF(H_A[[#This Row],[PercentSalaryHike]]&lt;18,"Medium","High"))</f>
        <v>High</v>
      </c>
    </row>
    <row r="458" spans="1:30" x14ac:dyDescent="0.3">
      <c r="A458">
        <v>31</v>
      </c>
      <c r="B458">
        <v>613</v>
      </c>
      <c r="C458" t="s">
        <v>36</v>
      </c>
      <c r="D458" t="s">
        <v>31</v>
      </c>
      <c r="E458">
        <v>7</v>
      </c>
      <c r="F458">
        <v>3</v>
      </c>
      <c r="G458" t="s">
        <v>32</v>
      </c>
      <c r="H458">
        <v>3</v>
      </c>
      <c r="I458" t="s">
        <v>38</v>
      </c>
      <c r="J458">
        <v>2</v>
      </c>
      <c r="K458">
        <v>3</v>
      </c>
      <c r="L458" t="s">
        <v>47</v>
      </c>
      <c r="M458">
        <v>4</v>
      </c>
      <c r="N458" t="s">
        <v>44</v>
      </c>
      <c r="O458">
        <v>11557</v>
      </c>
      <c r="P458">
        <v>9</v>
      </c>
      <c r="Q458" t="s">
        <v>36</v>
      </c>
      <c r="R458">
        <v>3</v>
      </c>
      <c r="S458">
        <v>10</v>
      </c>
      <c r="T458">
        <v>2</v>
      </c>
      <c r="U458">
        <v>5</v>
      </c>
      <c r="V458">
        <v>4</v>
      </c>
      <c r="W458">
        <v>0</v>
      </c>
      <c r="X458">
        <v>1</v>
      </c>
      <c r="Y458">
        <v>21</v>
      </c>
      <c r="Z458">
        <f>IF(H_A[[#This Row],[Attrition]]="Yes",1,0)</f>
        <v>0</v>
      </c>
      <c r="AA458" t="str">
        <f>IF(H_A[[#This Row],[Age]]&lt;30,"Young",IF(H_A[[#This Row],[Age]]&lt;45,"Mid","Senior"))</f>
        <v>Mid</v>
      </c>
      <c r="AB458" t="str">
        <f>IF(H_A[[#This Row],[MonthlyIncome]]&lt;5000,"Low",IF(H_A[[#This Row],[MonthlyIncome]]&lt;10000,"Medium","High"))</f>
        <v>High</v>
      </c>
      <c r="AC458" t="str">
        <f>IF(H_A[[#This Row],[YearsAtCompany]]&lt;3,"Early",IF(H_A[[#This Row],[YearsAtCompany]]&lt;7,"Mid","Long"))</f>
        <v>Mid</v>
      </c>
      <c r="AD458" t="str">
        <f>IF(H_A[[#This Row],[PercentSalaryHike]]&lt;13,"Low",IF(H_A[[#This Row],[PercentSalaryHike]]&lt;18,"Medium","High"))</f>
        <v>High</v>
      </c>
    </row>
    <row r="459" spans="1:30" x14ac:dyDescent="0.3">
      <c r="A459">
        <v>18</v>
      </c>
      <c r="B459">
        <v>614</v>
      </c>
      <c r="C459" t="s">
        <v>30</v>
      </c>
      <c r="D459" t="s">
        <v>31</v>
      </c>
      <c r="E459">
        <v>5</v>
      </c>
      <c r="F459">
        <v>3</v>
      </c>
      <c r="G459" t="s">
        <v>50</v>
      </c>
      <c r="H459">
        <v>2</v>
      </c>
      <c r="I459" t="s">
        <v>38</v>
      </c>
      <c r="J459">
        <v>3</v>
      </c>
      <c r="K459">
        <v>1</v>
      </c>
      <c r="L459" t="s">
        <v>48</v>
      </c>
      <c r="M459">
        <v>2</v>
      </c>
      <c r="N459" t="s">
        <v>35</v>
      </c>
      <c r="O459">
        <v>1878</v>
      </c>
      <c r="P459">
        <v>1</v>
      </c>
      <c r="Q459" t="s">
        <v>30</v>
      </c>
      <c r="R459">
        <v>4</v>
      </c>
      <c r="S459">
        <v>0</v>
      </c>
      <c r="T459">
        <v>3</v>
      </c>
      <c r="U459">
        <v>0</v>
      </c>
      <c r="V459">
        <v>0</v>
      </c>
      <c r="W459">
        <v>0</v>
      </c>
      <c r="X459">
        <v>0</v>
      </c>
      <c r="Y459">
        <v>14</v>
      </c>
      <c r="Z459">
        <f>IF(H_A[[#This Row],[Attrition]]="Yes",1,0)</f>
        <v>1</v>
      </c>
      <c r="AA459" t="str">
        <f>IF(H_A[[#This Row],[Age]]&lt;30,"Young",IF(H_A[[#This Row],[Age]]&lt;45,"Mid","Senior"))</f>
        <v>Young</v>
      </c>
      <c r="AB459" t="str">
        <f>IF(H_A[[#This Row],[MonthlyIncome]]&lt;5000,"Low",IF(H_A[[#This Row],[MonthlyIncome]]&lt;10000,"Medium","High"))</f>
        <v>Low</v>
      </c>
      <c r="AC459" t="str">
        <f>IF(H_A[[#This Row],[YearsAtCompany]]&lt;3,"Early",IF(H_A[[#This Row],[YearsAtCompany]]&lt;7,"Mid","Long"))</f>
        <v>Early</v>
      </c>
      <c r="AD459" t="str">
        <f>IF(H_A[[#This Row],[PercentSalaryHike]]&lt;13,"Low",IF(H_A[[#This Row],[PercentSalaryHike]]&lt;18,"Medium","High"))</f>
        <v>Medium</v>
      </c>
    </row>
    <row r="460" spans="1:30" x14ac:dyDescent="0.3">
      <c r="A460">
        <v>40</v>
      </c>
      <c r="B460">
        <v>615</v>
      </c>
      <c r="C460" t="s">
        <v>36</v>
      </c>
      <c r="D460" t="s">
        <v>31</v>
      </c>
      <c r="E460">
        <v>28</v>
      </c>
      <c r="F460">
        <v>3</v>
      </c>
      <c r="G460" t="s">
        <v>41</v>
      </c>
      <c r="H460">
        <v>3</v>
      </c>
      <c r="I460" t="s">
        <v>38</v>
      </c>
      <c r="J460">
        <v>1</v>
      </c>
      <c r="K460">
        <v>3</v>
      </c>
      <c r="L460" t="s">
        <v>34</v>
      </c>
      <c r="M460">
        <v>1</v>
      </c>
      <c r="N460" t="s">
        <v>44</v>
      </c>
      <c r="O460">
        <v>10932</v>
      </c>
      <c r="P460">
        <v>3</v>
      </c>
      <c r="Q460" t="s">
        <v>36</v>
      </c>
      <c r="R460">
        <v>3</v>
      </c>
      <c r="S460">
        <v>20</v>
      </c>
      <c r="T460">
        <v>3</v>
      </c>
      <c r="U460">
        <v>1</v>
      </c>
      <c r="V460">
        <v>0</v>
      </c>
      <c r="W460">
        <v>0</v>
      </c>
      <c r="X460">
        <v>1</v>
      </c>
      <c r="Y460">
        <v>15</v>
      </c>
      <c r="Z460">
        <f>IF(H_A[[#This Row],[Attrition]]="Yes",1,0)</f>
        <v>0</v>
      </c>
      <c r="AA460" t="str">
        <f>IF(H_A[[#This Row],[Age]]&lt;30,"Young",IF(H_A[[#This Row],[Age]]&lt;45,"Mid","Senior"))</f>
        <v>Mid</v>
      </c>
      <c r="AB460" t="str">
        <f>IF(H_A[[#This Row],[MonthlyIncome]]&lt;5000,"Low",IF(H_A[[#This Row],[MonthlyIncome]]&lt;10000,"Medium","High"))</f>
        <v>High</v>
      </c>
      <c r="AC460" t="str">
        <f>IF(H_A[[#This Row],[YearsAtCompany]]&lt;3,"Early",IF(H_A[[#This Row],[YearsAtCompany]]&lt;7,"Mid","Long"))</f>
        <v>Early</v>
      </c>
      <c r="AD460" t="str">
        <f>IF(H_A[[#This Row],[PercentSalaryHike]]&lt;13,"Low",IF(H_A[[#This Row],[PercentSalaryHike]]&lt;18,"Medium","High"))</f>
        <v>Medium</v>
      </c>
    </row>
    <row r="461" spans="1:30" x14ac:dyDescent="0.3">
      <c r="A461">
        <v>41</v>
      </c>
      <c r="B461">
        <v>616</v>
      </c>
      <c r="C461" t="s">
        <v>36</v>
      </c>
      <c r="D461" t="s">
        <v>37</v>
      </c>
      <c r="E461">
        <v>2</v>
      </c>
      <c r="F461">
        <v>4</v>
      </c>
      <c r="G461" t="s">
        <v>41</v>
      </c>
      <c r="H461">
        <v>1</v>
      </c>
      <c r="I461" t="s">
        <v>33</v>
      </c>
      <c r="J461">
        <v>2</v>
      </c>
      <c r="K461">
        <v>2</v>
      </c>
      <c r="L461" t="s">
        <v>46</v>
      </c>
      <c r="M461">
        <v>3</v>
      </c>
      <c r="N461" t="s">
        <v>35</v>
      </c>
      <c r="O461">
        <v>6811</v>
      </c>
      <c r="P461">
        <v>2</v>
      </c>
      <c r="Q461" t="s">
        <v>30</v>
      </c>
      <c r="R461">
        <v>1</v>
      </c>
      <c r="S461">
        <v>10</v>
      </c>
      <c r="T461">
        <v>3</v>
      </c>
      <c r="U461">
        <v>8</v>
      </c>
      <c r="V461">
        <v>7</v>
      </c>
      <c r="W461">
        <v>0</v>
      </c>
      <c r="X461">
        <v>7</v>
      </c>
      <c r="Y461">
        <v>17</v>
      </c>
      <c r="Z461">
        <f>IF(H_A[[#This Row],[Attrition]]="Yes",1,0)</f>
        <v>0</v>
      </c>
      <c r="AA461" t="str">
        <f>IF(H_A[[#This Row],[Age]]&lt;30,"Young",IF(H_A[[#This Row],[Age]]&lt;45,"Mid","Senior"))</f>
        <v>Mid</v>
      </c>
      <c r="AB461" t="str">
        <f>IF(H_A[[#This Row],[MonthlyIncome]]&lt;5000,"Low",IF(H_A[[#This Row],[MonthlyIncome]]&lt;10000,"Medium","High"))</f>
        <v>Medium</v>
      </c>
      <c r="AC461" t="str">
        <f>IF(H_A[[#This Row],[YearsAtCompany]]&lt;3,"Early",IF(H_A[[#This Row],[YearsAtCompany]]&lt;7,"Mid","Long"))</f>
        <v>Long</v>
      </c>
      <c r="AD461" t="str">
        <f>IF(H_A[[#This Row],[PercentSalaryHike]]&lt;13,"Low",IF(H_A[[#This Row],[PercentSalaryHike]]&lt;18,"Medium","High"))</f>
        <v>Medium</v>
      </c>
    </row>
    <row r="462" spans="1:30" x14ac:dyDescent="0.3">
      <c r="A462">
        <v>26</v>
      </c>
      <c r="B462">
        <v>618</v>
      </c>
      <c r="C462" t="s">
        <v>36</v>
      </c>
      <c r="D462" t="s">
        <v>31</v>
      </c>
      <c r="E462">
        <v>29</v>
      </c>
      <c r="F462">
        <v>2</v>
      </c>
      <c r="G462" t="s">
        <v>43</v>
      </c>
      <c r="H462">
        <v>1</v>
      </c>
      <c r="I462" t="s">
        <v>38</v>
      </c>
      <c r="J462">
        <v>3</v>
      </c>
      <c r="K462">
        <v>2</v>
      </c>
      <c r="L462" t="s">
        <v>34</v>
      </c>
      <c r="M462">
        <v>3</v>
      </c>
      <c r="N462" t="s">
        <v>44</v>
      </c>
      <c r="O462">
        <v>4306</v>
      </c>
      <c r="P462">
        <v>5</v>
      </c>
      <c r="Q462" t="s">
        <v>36</v>
      </c>
      <c r="R462">
        <v>1</v>
      </c>
      <c r="S462">
        <v>8</v>
      </c>
      <c r="T462">
        <v>3</v>
      </c>
      <c r="U462">
        <v>0</v>
      </c>
      <c r="V462">
        <v>0</v>
      </c>
      <c r="W462">
        <v>0</v>
      </c>
      <c r="X462">
        <v>0</v>
      </c>
      <c r="Y462">
        <v>12</v>
      </c>
      <c r="Z462">
        <f>IF(H_A[[#This Row],[Attrition]]="Yes",1,0)</f>
        <v>0</v>
      </c>
      <c r="AA462" t="str">
        <f>IF(H_A[[#This Row],[Age]]&lt;30,"Young",IF(H_A[[#This Row],[Age]]&lt;45,"Mid","Senior"))</f>
        <v>Young</v>
      </c>
      <c r="AB462" t="str">
        <f>IF(H_A[[#This Row],[MonthlyIncome]]&lt;5000,"Low",IF(H_A[[#This Row],[MonthlyIncome]]&lt;10000,"Medium","High"))</f>
        <v>Low</v>
      </c>
      <c r="AC462" t="str">
        <f>IF(H_A[[#This Row],[YearsAtCompany]]&lt;3,"Early",IF(H_A[[#This Row],[YearsAtCompany]]&lt;7,"Mid","Long"))</f>
        <v>Early</v>
      </c>
      <c r="AD462" t="str">
        <f>IF(H_A[[#This Row],[PercentSalaryHike]]&lt;13,"Low",IF(H_A[[#This Row],[PercentSalaryHike]]&lt;18,"Medium","High"))</f>
        <v>Low</v>
      </c>
    </row>
    <row r="463" spans="1:30" x14ac:dyDescent="0.3">
      <c r="A463">
        <v>35</v>
      </c>
      <c r="B463">
        <v>620</v>
      </c>
      <c r="C463" t="s">
        <v>36</v>
      </c>
      <c r="D463" t="s">
        <v>31</v>
      </c>
      <c r="E463">
        <v>1</v>
      </c>
      <c r="F463">
        <v>3</v>
      </c>
      <c r="G463" t="s">
        <v>43</v>
      </c>
      <c r="H463">
        <v>1</v>
      </c>
      <c r="I463" t="s">
        <v>33</v>
      </c>
      <c r="J463">
        <v>3</v>
      </c>
      <c r="K463">
        <v>2</v>
      </c>
      <c r="L463" t="s">
        <v>34</v>
      </c>
      <c r="M463">
        <v>3</v>
      </c>
      <c r="N463" t="s">
        <v>35</v>
      </c>
      <c r="O463">
        <v>4859</v>
      </c>
      <c r="P463">
        <v>1</v>
      </c>
      <c r="Q463" t="s">
        <v>36</v>
      </c>
      <c r="R463">
        <v>4</v>
      </c>
      <c r="S463">
        <v>5</v>
      </c>
      <c r="T463">
        <v>3</v>
      </c>
      <c r="U463">
        <v>5</v>
      </c>
      <c r="V463">
        <v>4</v>
      </c>
      <c r="W463">
        <v>0</v>
      </c>
      <c r="X463">
        <v>3</v>
      </c>
      <c r="Y463">
        <v>16</v>
      </c>
      <c r="Z463">
        <f>IF(H_A[[#This Row],[Attrition]]="Yes",1,0)</f>
        <v>0</v>
      </c>
      <c r="AA463" t="str">
        <f>IF(H_A[[#This Row],[Age]]&lt;30,"Young",IF(H_A[[#This Row],[Age]]&lt;45,"Mid","Senior"))</f>
        <v>Mid</v>
      </c>
      <c r="AB463" t="str">
        <f>IF(H_A[[#This Row],[MonthlyIncome]]&lt;5000,"Low",IF(H_A[[#This Row],[MonthlyIncome]]&lt;10000,"Medium","High"))</f>
        <v>Low</v>
      </c>
      <c r="AC463" t="str">
        <f>IF(H_A[[#This Row],[YearsAtCompany]]&lt;3,"Early",IF(H_A[[#This Row],[YearsAtCompany]]&lt;7,"Mid","Long"))</f>
        <v>Mid</v>
      </c>
      <c r="AD463" t="str">
        <f>IF(H_A[[#This Row],[PercentSalaryHike]]&lt;13,"Low",IF(H_A[[#This Row],[PercentSalaryHike]]&lt;18,"Medium","High"))</f>
        <v>Medium</v>
      </c>
    </row>
    <row r="464" spans="1:30" x14ac:dyDescent="0.3">
      <c r="A464">
        <v>34</v>
      </c>
      <c r="B464">
        <v>621</v>
      </c>
      <c r="C464" t="s">
        <v>36</v>
      </c>
      <c r="D464" t="s">
        <v>31</v>
      </c>
      <c r="E464">
        <v>21</v>
      </c>
      <c r="F464">
        <v>4</v>
      </c>
      <c r="G464" t="s">
        <v>32</v>
      </c>
      <c r="H464">
        <v>4</v>
      </c>
      <c r="I464" t="s">
        <v>38</v>
      </c>
      <c r="J464">
        <v>4</v>
      </c>
      <c r="K464">
        <v>2</v>
      </c>
      <c r="L464" t="s">
        <v>34</v>
      </c>
      <c r="M464">
        <v>4</v>
      </c>
      <c r="N464" t="s">
        <v>35</v>
      </c>
      <c r="O464">
        <v>5337</v>
      </c>
      <c r="P464">
        <v>1</v>
      </c>
      <c r="Q464" t="s">
        <v>36</v>
      </c>
      <c r="R464">
        <v>4</v>
      </c>
      <c r="S464">
        <v>10</v>
      </c>
      <c r="T464">
        <v>3</v>
      </c>
      <c r="U464">
        <v>10</v>
      </c>
      <c r="V464">
        <v>7</v>
      </c>
      <c r="W464">
        <v>5</v>
      </c>
      <c r="X464">
        <v>7</v>
      </c>
      <c r="Y464">
        <v>12</v>
      </c>
      <c r="Z464">
        <f>IF(H_A[[#This Row],[Attrition]]="Yes",1,0)</f>
        <v>0</v>
      </c>
      <c r="AA464" t="str">
        <f>IF(H_A[[#This Row],[Age]]&lt;30,"Young",IF(H_A[[#This Row],[Age]]&lt;45,"Mid","Senior"))</f>
        <v>Mid</v>
      </c>
      <c r="AB464" t="str">
        <f>IF(H_A[[#This Row],[MonthlyIncome]]&lt;5000,"Low",IF(H_A[[#This Row],[MonthlyIncome]]&lt;10000,"Medium","High"))</f>
        <v>Medium</v>
      </c>
      <c r="AC464" t="str">
        <f>IF(H_A[[#This Row],[YearsAtCompany]]&lt;3,"Early",IF(H_A[[#This Row],[YearsAtCompany]]&lt;7,"Mid","Long"))</f>
        <v>Long</v>
      </c>
      <c r="AD464" t="str">
        <f>IF(H_A[[#This Row],[PercentSalaryHike]]&lt;13,"Low",IF(H_A[[#This Row],[PercentSalaryHike]]&lt;18,"Medium","High"))</f>
        <v>Low</v>
      </c>
    </row>
    <row r="465" spans="1:30" x14ac:dyDescent="0.3">
      <c r="A465">
        <v>26</v>
      </c>
      <c r="B465">
        <v>622</v>
      </c>
      <c r="C465" t="s">
        <v>30</v>
      </c>
      <c r="D465" t="s">
        <v>37</v>
      </c>
      <c r="E465">
        <v>24</v>
      </c>
      <c r="F465">
        <v>3</v>
      </c>
      <c r="G465" t="s">
        <v>51</v>
      </c>
      <c r="H465">
        <v>3</v>
      </c>
      <c r="I465" t="s">
        <v>38</v>
      </c>
      <c r="J465">
        <v>1</v>
      </c>
      <c r="K465">
        <v>1</v>
      </c>
      <c r="L465" t="s">
        <v>42</v>
      </c>
      <c r="M465">
        <v>4</v>
      </c>
      <c r="N465" t="s">
        <v>35</v>
      </c>
      <c r="O465">
        <v>2340</v>
      </c>
      <c r="P465">
        <v>1</v>
      </c>
      <c r="Q465" t="s">
        <v>30</v>
      </c>
      <c r="R465">
        <v>2</v>
      </c>
      <c r="S465">
        <v>1</v>
      </c>
      <c r="T465">
        <v>1</v>
      </c>
      <c r="U465">
        <v>1</v>
      </c>
      <c r="V465">
        <v>0</v>
      </c>
      <c r="W465">
        <v>0</v>
      </c>
      <c r="X465">
        <v>0</v>
      </c>
      <c r="Y465">
        <v>18</v>
      </c>
      <c r="Z465">
        <f>IF(H_A[[#This Row],[Attrition]]="Yes",1,0)</f>
        <v>1</v>
      </c>
      <c r="AA465" t="str">
        <f>IF(H_A[[#This Row],[Age]]&lt;30,"Young",IF(H_A[[#This Row],[Age]]&lt;45,"Mid","Senior"))</f>
        <v>Young</v>
      </c>
      <c r="AB465" t="str">
        <f>IF(H_A[[#This Row],[MonthlyIncome]]&lt;5000,"Low",IF(H_A[[#This Row],[MonthlyIncome]]&lt;10000,"Medium","High"))</f>
        <v>Low</v>
      </c>
      <c r="AC465" t="str">
        <f>IF(H_A[[#This Row],[YearsAtCompany]]&lt;3,"Early",IF(H_A[[#This Row],[YearsAtCompany]]&lt;7,"Mid","Long"))</f>
        <v>Early</v>
      </c>
      <c r="AD465" t="str">
        <f>IF(H_A[[#This Row],[PercentSalaryHike]]&lt;13,"Low",IF(H_A[[#This Row],[PercentSalaryHike]]&lt;18,"Medium","High"))</f>
        <v>High</v>
      </c>
    </row>
    <row r="466" spans="1:30" x14ac:dyDescent="0.3">
      <c r="A466">
        <v>37</v>
      </c>
      <c r="B466">
        <v>623</v>
      </c>
      <c r="C466" t="s">
        <v>36</v>
      </c>
      <c r="D466" t="s">
        <v>37</v>
      </c>
      <c r="E466">
        <v>1</v>
      </c>
      <c r="F466">
        <v>3</v>
      </c>
      <c r="G466" t="s">
        <v>51</v>
      </c>
      <c r="H466">
        <v>2</v>
      </c>
      <c r="I466" t="s">
        <v>33</v>
      </c>
      <c r="J466">
        <v>3</v>
      </c>
      <c r="K466">
        <v>3</v>
      </c>
      <c r="L466" t="s">
        <v>45</v>
      </c>
      <c r="M466">
        <v>4</v>
      </c>
      <c r="N466" t="s">
        <v>35</v>
      </c>
      <c r="O466">
        <v>7491</v>
      </c>
      <c r="P466">
        <v>4</v>
      </c>
      <c r="Q466" t="s">
        <v>36</v>
      </c>
      <c r="R466">
        <v>4</v>
      </c>
      <c r="S466">
        <v>12</v>
      </c>
      <c r="T466">
        <v>4</v>
      </c>
      <c r="U466">
        <v>6</v>
      </c>
      <c r="V466">
        <v>5</v>
      </c>
      <c r="W466">
        <v>1</v>
      </c>
      <c r="X466">
        <v>2</v>
      </c>
      <c r="Y466">
        <v>17</v>
      </c>
      <c r="Z466">
        <f>IF(H_A[[#This Row],[Attrition]]="Yes",1,0)</f>
        <v>0</v>
      </c>
      <c r="AA466" t="str">
        <f>IF(H_A[[#This Row],[Age]]&lt;30,"Young",IF(H_A[[#This Row],[Age]]&lt;45,"Mid","Senior"))</f>
        <v>Mid</v>
      </c>
      <c r="AB466" t="str">
        <f>IF(H_A[[#This Row],[MonthlyIncome]]&lt;5000,"Low",IF(H_A[[#This Row],[MonthlyIncome]]&lt;10000,"Medium","High"))</f>
        <v>Medium</v>
      </c>
      <c r="AC466" t="str">
        <f>IF(H_A[[#This Row],[YearsAtCompany]]&lt;3,"Early",IF(H_A[[#This Row],[YearsAtCompany]]&lt;7,"Mid","Long"))</f>
        <v>Mid</v>
      </c>
      <c r="AD466" t="str">
        <f>IF(H_A[[#This Row],[PercentSalaryHike]]&lt;13,"Low",IF(H_A[[#This Row],[PercentSalaryHike]]&lt;18,"Medium","High"))</f>
        <v>Medium</v>
      </c>
    </row>
    <row r="467" spans="1:30" x14ac:dyDescent="0.3">
      <c r="A467">
        <v>46</v>
      </c>
      <c r="B467">
        <v>624</v>
      </c>
      <c r="C467" t="s">
        <v>36</v>
      </c>
      <c r="D467" t="s">
        <v>37</v>
      </c>
      <c r="E467">
        <v>18</v>
      </c>
      <c r="F467">
        <v>1</v>
      </c>
      <c r="G467" t="s">
        <v>43</v>
      </c>
      <c r="H467">
        <v>1</v>
      </c>
      <c r="I467" t="s">
        <v>33</v>
      </c>
      <c r="J467">
        <v>3</v>
      </c>
      <c r="K467">
        <v>3</v>
      </c>
      <c r="L467" t="s">
        <v>46</v>
      </c>
      <c r="M467">
        <v>3</v>
      </c>
      <c r="N467" t="s">
        <v>40</v>
      </c>
      <c r="O467">
        <v>10527</v>
      </c>
      <c r="P467">
        <v>5</v>
      </c>
      <c r="Q467" t="s">
        <v>36</v>
      </c>
      <c r="R467">
        <v>4</v>
      </c>
      <c r="S467">
        <v>28</v>
      </c>
      <c r="T467">
        <v>2</v>
      </c>
      <c r="U467">
        <v>2</v>
      </c>
      <c r="V467">
        <v>2</v>
      </c>
      <c r="W467">
        <v>1</v>
      </c>
      <c r="X467">
        <v>2</v>
      </c>
      <c r="Y467">
        <v>11</v>
      </c>
      <c r="Z467">
        <f>IF(H_A[[#This Row],[Attrition]]="Yes",1,0)</f>
        <v>0</v>
      </c>
      <c r="AA467" t="str">
        <f>IF(H_A[[#This Row],[Age]]&lt;30,"Young",IF(H_A[[#This Row],[Age]]&lt;45,"Mid","Senior"))</f>
        <v>Senior</v>
      </c>
      <c r="AB467" t="str">
        <f>IF(H_A[[#This Row],[MonthlyIncome]]&lt;5000,"Low",IF(H_A[[#This Row],[MonthlyIncome]]&lt;10000,"Medium","High"))</f>
        <v>High</v>
      </c>
      <c r="AC467" t="str">
        <f>IF(H_A[[#This Row],[YearsAtCompany]]&lt;3,"Early",IF(H_A[[#This Row],[YearsAtCompany]]&lt;7,"Mid","Long"))</f>
        <v>Early</v>
      </c>
      <c r="AD467" t="str">
        <f>IF(H_A[[#This Row],[PercentSalaryHike]]&lt;13,"Low",IF(H_A[[#This Row],[PercentSalaryHike]]&lt;18,"Medium","High"))</f>
        <v>Low</v>
      </c>
    </row>
    <row r="468" spans="1:30" x14ac:dyDescent="0.3">
      <c r="A468">
        <v>41</v>
      </c>
      <c r="B468">
        <v>625</v>
      </c>
      <c r="C468" t="s">
        <v>36</v>
      </c>
      <c r="D468" t="s">
        <v>31</v>
      </c>
      <c r="E468">
        <v>2</v>
      </c>
      <c r="F468">
        <v>5</v>
      </c>
      <c r="G468" t="s">
        <v>32</v>
      </c>
      <c r="H468">
        <v>2</v>
      </c>
      <c r="I468" t="s">
        <v>33</v>
      </c>
      <c r="J468">
        <v>3</v>
      </c>
      <c r="K468">
        <v>4</v>
      </c>
      <c r="L468" t="s">
        <v>47</v>
      </c>
      <c r="M468">
        <v>1</v>
      </c>
      <c r="N468" t="s">
        <v>40</v>
      </c>
      <c r="O468">
        <v>16595</v>
      </c>
      <c r="P468">
        <v>7</v>
      </c>
      <c r="Q468" t="s">
        <v>36</v>
      </c>
      <c r="R468">
        <v>2</v>
      </c>
      <c r="S468">
        <v>22</v>
      </c>
      <c r="T468">
        <v>3</v>
      </c>
      <c r="U468">
        <v>18</v>
      </c>
      <c r="V468">
        <v>16</v>
      </c>
      <c r="W468">
        <v>11</v>
      </c>
      <c r="X468">
        <v>8</v>
      </c>
      <c r="Y468">
        <v>16</v>
      </c>
      <c r="Z468">
        <f>IF(H_A[[#This Row],[Attrition]]="Yes",1,0)</f>
        <v>0</v>
      </c>
      <c r="AA468" t="str">
        <f>IF(H_A[[#This Row],[Age]]&lt;30,"Young",IF(H_A[[#This Row],[Age]]&lt;45,"Mid","Senior"))</f>
        <v>Mid</v>
      </c>
      <c r="AB468" t="str">
        <f>IF(H_A[[#This Row],[MonthlyIncome]]&lt;5000,"Low",IF(H_A[[#This Row],[MonthlyIncome]]&lt;10000,"Medium","High"))</f>
        <v>High</v>
      </c>
      <c r="AC468" t="str">
        <f>IF(H_A[[#This Row],[YearsAtCompany]]&lt;3,"Early",IF(H_A[[#This Row],[YearsAtCompany]]&lt;7,"Mid","Long"))</f>
        <v>Long</v>
      </c>
      <c r="AD468" t="str">
        <f>IF(H_A[[#This Row],[PercentSalaryHike]]&lt;13,"Low",IF(H_A[[#This Row],[PercentSalaryHike]]&lt;18,"Medium","High"))</f>
        <v>Medium</v>
      </c>
    </row>
    <row r="469" spans="1:30" x14ac:dyDescent="0.3">
      <c r="A469">
        <v>37</v>
      </c>
      <c r="B469">
        <v>626</v>
      </c>
      <c r="C469" t="s">
        <v>36</v>
      </c>
      <c r="D469" t="s">
        <v>31</v>
      </c>
      <c r="E469">
        <v>9</v>
      </c>
      <c r="F469">
        <v>4</v>
      </c>
      <c r="G469" t="s">
        <v>43</v>
      </c>
      <c r="H469">
        <v>1</v>
      </c>
      <c r="I469" t="s">
        <v>38</v>
      </c>
      <c r="J469">
        <v>3</v>
      </c>
      <c r="K469">
        <v>3</v>
      </c>
      <c r="L469" t="s">
        <v>34</v>
      </c>
      <c r="M469">
        <v>2</v>
      </c>
      <c r="N469" t="s">
        <v>44</v>
      </c>
      <c r="O469">
        <v>8834</v>
      </c>
      <c r="P469">
        <v>1</v>
      </c>
      <c r="Q469" t="s">
        <v>36</v>
      </c>
      <c r="R469">
        <v>4</v>
      </c>
      <c r="S469">
        <v>9</v>
      </c>
      <c r="T469">
        <v>3</v>
      </c>
      <c r="U469">
        <v>9</v>
      </c>
      <c r="V469">
        <v>5</v>
      </c>
      <c r="W469">
        <v>7</v>
      </c>
      <c r="X469">
        <v>7</v>
      </c>
      <c r="Y469">
        <v>13</v>
      </c>
      <c r="Z469">
        <f>IF(H_A[[#This Row],[Attrition]]="Yes",1,0)</f>
        <v>0</v>
      </c>
      <c r="AA469" t="str">
        <f>IF(H_A[[#This Row],[Age]]&lt;30,"Young",IF(H_A[[#This Row],[Age]]&lt;45,"Mid","Senior"))</f>
        <v>Mid</v>
      </c>
      <c r="AB469" t="str">
        <f>IF(H_A[[#This Row],[MonthlyIncome]]&lt;5000,"Low",IF(H_A[[#This Row],[MonthlyIncome]]&lt;10000,"Medium","High"))</f>
        <v>Medium</v>
      </c>
      <c r="AC469" t="str">
        <f>IF(H_A[[#This Row],[YearsAtCompany]]&lt;3,"Early",IF(H_A[[#This Row],[YearsAtCompany]]&lt;7,"Mid","Long"))</f>
        <v>Long</v>
      </c>
      <c r="AD469" t="str">
        <f>IF(H_A[[#This Row],[PercentSalaryHike]]&lt;13,"Low",IF(H_A[[#This Row],[PercentSalaryHike]]&lt;18,"Medium","High"))</f>
        <v>Medium</v>
      </c>
    </row>
    <row r="470" spans="1:30" x14ac:dyDescent="0.3">
      <c r="A470">
        <v>52</v>
      </c>
      <c r="B470">
        <v>630</v>
      </c>
      <c r="C470" t="s">
        <v>36</v>
      </c>
      <c r="D470" t="s">
        <v>37</v>
      </c>
      <c r="E470">
        <v>6</v>
      </c>
      <c r="F470">
        <v>2</v>
      </c>
      <c r="G470" t="s">
        <v>51</v>
      </c>
      <c r="H470">
        <v>4</v>
      </c>
      <c r="I470" t="s">
        <v>38</v>
      </c>
      <c r="J470">
        <v>3</v>
      </c>
      <c r="K470">
        <v>2</v>
      </c>
      <c r="L470" t="s">
        <v>39</v>
      </c>
      <c r="M470">
        <v>1</v>
      </c>
      <c r="N470" t="s">
        <v>44</v>
      </c>
      <c r="O470">
        <v>5577</v>
      </c>
      <c r="P470">
        <v>3</v>
      </c>
      <c r="Q470" t="s">
        <v>30</v>
      </c>
      <c r="R470">
        <v>2</v>
      </c>
      <c r="S470">
        <v>18</v>
      </c>
      <c r="T470">
        <v>3</v>
      </c>
      <c r="U470">
        <v>10</v>
      </c>
      <c r="V470">
        <v>9</v>
      </c>
      <c r="W470">
        <v>6</v>
      </c>
      <c r="X470">
        <v>9</v>
      </c>
      <c r="Y470">
        <v>12</v>
      </c>
      <c r="Z470">
        <f>IF(H_A[[#This Row],[Attrition]]="Yes",1,0)</f>
        <v>0</v>
      </c>
      <c r="AA470" t="str">
        <f>IF(H_A[[#This Row],[Age]]&lt;30,"Young",IF(H_A[[#This Row],[Age]]&lt;45,"Mid","Senior"))</f>
        <v>Senior</v>
      </c>
      <c r="AB470" t="str">
        <f>IF(H_A[[#This Row],[MonthlyIncome]]&lt;5000,"Low",IF(H_A[[#This Row],[MonthlyIncome]]&lt;10000,"Medium","High"))</f>
        <v>Medium</v>
      </c>
      <c r="AC470" t="str">
        <f>IF(H_A[[#This Row],[YearsAtCompany]]&lt;3,"Early",IF(H_A[[#This Row],[YearsAtCompany]]&lt;7,"Mid","Long"))</f>
        <v>Long</v>
      </c>
      <c r="AD470" t="str">
        <f>IF(H_A[[#This Row],[PercentSalaryHike]]&lt;13,"Low",IF(H_A[[#This Row],[PercentSalaryHike]]&lt;18,"Medium","High"))</f>
        <v>Low</v>
      </c>
    </row>
    <row r="471" spans="1:30" x14ac:dyDescent="0.3">
      <c r="A471">
        <v>32</v>
      </c>
      <c r="B471">
        <v>631</v>
      </c>
      <c r="C471" t="s">
        <v>30</v>
      </c>
      <c r="D471" t="s">
        <v>31</v>
      </c>
      <c r="E471">
        <v>11</v>
      </c>
      <c r="F471">
        <v>4</v>
      </c>
      <c r="G471" t="s">
        <v>41</v>
      </c>
      <c r="H471">
        <v>4</v>
      </c>
      <c r="I471" t="s">
        <v>38</v>
      </c>
      <c r="J471">
        <v>4</v>
      </c>
      <c r="K471">
        <v>2</v>
      </c>
      <c r="L471" t="s">
        <v>34</v>
      </c>
      <c r="M471">
        <v>3</v>
      </c>
      <c r="N471" t="s">
        <v>40</v>
      </c>
      <c r="O471">
        <v>4707</v>
      </c>
      <c r="P471">
        <v>8</v>
      </c>
      <c r="Q471" t="s">
        <v>36</v>
      </c>
      <c r="R471">
        <v>4</v>
      </c>
      <c r="S471">
        <v>6</v>
      </c>
      <c r="T471">
        <v>3</v>
      </c>
      <c r="U471">
        <v>4</v>
      </c>
      <c r="V471">
        <v>2</v>
      </c>
      <c r="W471">
        <v>1</v>
      </c>
      <c r="X471">
        <v>2</v>
      </c>
      <c r="Y471">
        <v>12</v>
      </c>
      <c r="Z471">
        <f>IF(H_A[[#This Row],[Attrition]]="Yes",1,0)</f>
        <v>1</v>
      </c>
      <c r="AA471" t="str">
        <f>IF(H_A[[#This Row],[Age]]&lt;30,"Young",IF(H_A[[#This Row],[Age]]&lt;45,"Mid","Senior"))</f>
        <v>Mid</v>
      </c>
      <c r="AB471" t="str">
        <f>IF(H_A[[#This Row],[MonthlyIncome]]&lt;5000,"Low",IF(H_A[[#This Row],[MonthlyIncome]]&lt;10000,"Medium","High"))</f>
        <v>Low</v>
      </c>
      <c r="AC471" t="str">
        <f>IF(H_A[[#This Row],[YearsAtCompany]]&lt;3,"Early",IF(H_A[[#This Row],[YearsAtCompany]]&lt;7,"Mid","Long"))</f>
        <v>Mid</v>
      </c>
      <c r="AD471" t="str">
        <f>IF(H_A[[#This Row],[PercentSalaryHike]]&lt;13,"Low",IF(H_A[[#This Row],[PercentSalaryHike]]&lt;18,"Medium","High"))</f>
        <v>Low</v>
      </c>
    </row>
    <row r="472" spans="1:30" x14ac:dyDescent="0.3">
      <c r="A472">
        <v>24</v>
      </c>
      <c r="B472">
        <v>632</v>
      </c>
      <c r="C472" t="s">
        <v>36</v>
      </c>
      <c r="D472" t="s">
        <v>31</v>
      </c>
      <c r="E472">
        <v>24</v>
      </c>
      <c r="F472">
        <v>3</v>
      </c>
      <c r="G472" t="s">
        <v>43</v>
      </c>
      <c r="H472">
        <v>4</v>
      </c>
      <c r="I472" t="s">
        <v>38</v>
      </c>
      <c r="J472">
        <v>3</v>
      </c>
      <c r="K472">
        <v>1</v>
      </c>
      <c r="L472" t="s">
        <v>48</v>
      </c>
      <c r="M472">
        <v>4</v>
      </c>
      <c r="N472" t="s">
        <v>40</v>
      </c>
      <c r="O472">
        <v>2400</v>
      </c>
      <c r="P472">
        <v>0</v>
      </c>
      <c r="Q472" t="s">
        <v>36</v>
      </c>
      <c r="R472">
        <v>3</v>
      </c>
      <c r="S472">
        <v>3</v>
      </c>
      <c r="T472">
        <v>3</v>
      </c>
      <c r="U472">
        <v>2</v>
      </c>
      <c r="V472">
        <v>2</v>
      </c>
      <c r="W472">
        <v>2</v>
      </c>
      <c r="X472">
        <v>1</v>
      </c>
      <c r="Y472">
        <v>13</v>
      </c>
      <c r="Z472">
        <f>IF(H_A[[#This Row],[Attrition]]="Yes",1,0)</f>
        <v>0</v>
      </c>
      <c r="AA472" t="str">
        <f>IF(H_A[[#This Row],[Age]]&lt;30,"Young",IF(H_A[[#This Row],[Age]]&lt;45,"Mid","Senior"))</f>
        <v>Young</v>
      </c>
      <c r="AB472" t="str">
        <f>IF(H_A[[#This Row],[MonthlyIncome]]&lt;5000,"Low",IF(H_A[[#This Row],[MonthlyIncome]]&lt;10000,"Medium","High"))</f>
        <v>Low</v>
      </c>
      <c r="AC472" t="str">
        <f>IF(H_A[[#This Row],[YearsAtCompany]]&lt;3,"Early",IF(H_A[[#This Row],[YearsAtCompany]]&lt;7,"Mid","Long"))</f>
        <v>Early</v>
      </c>
      <c r="AD472" t="str">
        <f>IF(H_A[[#This Row],[PercentSalaryHike]]&lt;13,"Low",IF(H_A[[#This Row],[PercentSalaryHike]]&lt;18,"Medium","High"))</f>
        <v>Medium</v>
      </c>
    </row>
    <row r="473" spans="1:30" x14ac:dyDescent="0.3">
      <c r="A473">
        <v>38</v>
      </c>
      <c r="B473">
        <v>634</v>
      </c>
      <c r="C473" t="s">
        <v>36</v>
      </c>
      <c r="D473" t="s">
        <v>37</v>
      </c>
      <c r="E473">
        <v>10</v>
      </c>
      <c r="F473">
        <v>3</v>
      </c>
      <c r="G473" t="s">
        <v>43</v>
      </c>
      <c r="H473">
        <v>3</v>
      </c>
      <c r="I473" t="s">
        <v>33</v>
      </c>
      <c r="J473">
        <v>3</v>
      </c>
      <c r="K473">
        <v>2</v>
      </c>
      <c r="L473" t="s">
        <v>46</v>
      </c>
      <c r="M473">
        <v>3</v>
      </c>
      <c r="N473" t="s">
        <v>40</v>
      </c>
      <c r="O473">
        <v>9824</v>
      </c>
      <c r="P473">
        <v>3</v>
      </c>
      <c r="Q473" t="s">
        <v>36</v>
      </c>
      <c r="R473">
        <v>3</v>
      </c>
      <c r="S473">
        <v>18</v>
      </c>
      <c r="T473">
        <v>3</v>
      </c>
      <c r="U473">
        <v>1</v>
      </c>
      <c r="V473">
        <v>0</v>
      </c>
      <c r="W473">
        <v>0</v>
      </c>
      <c r="X473">
        <v>0</v>
      </c>
      <c r="Y473">
        <v>19</v>
      </c>
      <c r="Z473">
        <f>IF(H_A[[#This Row],[Attrition]]="Yes",1,0)</f>
        <v>0</v>
      </c>
      <c r="AA473" t="str">
        <f>IF(H_A[[#This Row],[Age]]&lt;30,"Young",IF(H_A[[#This Row],[Age]]&lt;45,"Mid","Senior"))</f>
        <v>Mid</v>
      </c>
      <c r="AB473" t="str">
        <f>IF(H_A[[#This Row],[MonthlyIncome]]&lt;5000,"Low",IF(H_A[[#This Row],[MonthlyIncome]]&lt;10000,"Medium","High"))</f>
        <v>Medium</v>
      </c>
      <c r="AC473" t="str">
        <f>IF(H_A[[#This Row],[YearsAtCompany]]&lt;3,"Early",IF(H_A[[#This Row],[YearsAtCompany]]&lt;7,"Mid","Long"))</f>
        <v>Early</v>
      </c>
      <c r="AD473" t="str">
        <f>IF(H_A[[#This Row],[PercentSalaryHike]]&lt;13,"Low",IF(H_A[[#This Row],[PercentSalaryHike]]&lt;18,"Medium","High"))</f>
        <v>High</v>
      </c>
    </row>
    <row r="474" spans="1:30" x14ac:dyDescent="0.3">
      <c r="A474">
        <v>37</v>
      </c>
      <c r="B474">
        <v>635</v>
      </c>
      <c r="C474" t="s">
        <v>36</v>
      </c>
      <c r="D474" t="s">
        <v>37</v>
      </c>
      <c r="E474">
        <v>1</v>
      </c>
      <c r="F474">
        <v>4</v>
      </c>
      <c r="G474" t="s">
        <v>32</v>
      </c>
      <c r="H474">
        <v>2</v>
      </c>
      <c r="I474" t="s">
        <v>33</v>
      </c>
      <c r="J474">
        <v>3</v>
      </c>
      <c r="K474">
        <v>2</v>
      </c>
      <c r="L474" t="s">
        <v>45</v>
      </c>
      <c r="M474">
        <v>2</v>
      </c>
      <c r="N474" t="s">
        <v>40</v>
      </c>
      <c r="O474">
        <v>6447</v>
      </c>
      <c r="P474">
        <v>6</v>
      </c>
      <c r="Q474" t="s">
        <v>36</v>
      </c>
      <c r="R474">
        <v>2</v>
      </c>
      <c r="S474">
        <v>8</v>
      </c>
      <c r="T474">
        <v>2</v>
      </c>
      <c r="U474">
        <v>6</v>
      </c>
      <c r="V474">
        <v>5</v>
      </c>
      <c r="W474">
        <v>4</v>
      </c>
      <c r="X474">
        <v>3</v>
      </c>
      <c r="Y474">
        <v>12</v>
      </c>
      <c r="Z474">
        <f>IF(H_A[[#This Row],[Attrition]]="Yes",1,0)</f>
        <v>0</v>
      </c>
      <c r="AA474" t="str">
        <f>IF(H_A[[#This Row],[Age]]&lt;30,"Young",IF(H_A[[#This Row],[Age]]&lt;45,"Mid","Senior"))</f>
        <v>Mid</v>
      </c>
      <c r="AB474" t="str">
        <f>IF(H_A[[#This Row],[MonthlyIncome]]&lt;5000,"Low",IF(H_A[[#This Row],[MonthlyIncome]]&lt;10000,"Medium","High"))</f>
        <v>Medium</v>
      </c>
      <c r="AC474" t="str">
        <f>IF(H_A[[#This Row],[YearsAtCompany]]&lt;3,"Early",IF(H_A[[#This Row],[YearsAtCompany]]&lt;7,"Mid","Long"))</f>
        <v>Mid</v>
      </c>
      <c r="AD474" t="str">
        <f>IF(H_A[[#This Row],[PercentSalaryHike]]&lt;13,"Low",IF(H_A[[#This Row],[PercentSalaryHike]]&lt;18,"Medium","High"))</f>
        <v>Low</v>
      </c>
    </row>
    <row r="475" spans="1:30" x14ac:dyDescent="0.3">
      <c r="A475">
        <v>49</v>
      </c>
      <c r="B475">
        <v>638</v>
      </c>
      <c r="C475" t="s">
        <v>36</v>
      </c>
      <c r="D475" t="s">
        <v>37</v>
      </c>
      <c r="E475">
        <v>18</v>
      </c>
      <c r="F475">
        <v>4</v>
      </c>
      <c r="G475" t="s">
        <v>32</v>
      </c>
      <c r="H475">
        <v>4</v>
      </c>
      <c r="I475" t="s">
        <v>38</v>
      </c>
      <c r="J475">
        <v>2</v>
      </c>
      <c r="K475">
        <v>5</v>
      </c>
      <c r="L475" t="s">
        <v>49</v>
      </c>
      <c r="M475">
        <v>3</v>
      </c>
      <c r="N475" t="s">
        <v>44</v>
      </c>
      <c r="O475">
        <v>19502</v>
      </c>
      <c r="P475">
        <v>1</v>
      </c>
      <c r="Q475" t="s">
        <v>30</v>
      </c>
      <c r="R475">
        <v>3</v>
      </c>
      <c r="S475">
        <v>31</v>
      </c>
      <c r="T475">
        <v>3</v>
      </c>
      <c r="U475">
        <v>31</v>
      </c>
      <c r="V475">
        <v>9</v>
      </c>
      <c r="W475">
        <v>0</v>
      </c>
      <c r="X475">
        <v>9</v>
      </c>
      <c r="Y475">
        <v>17</v>
      </c>
      <c r="Z475">
        <f>IF(H_A[[#This Row],[Attrition]]="Yes",1,0)</f>
        <v>0</v>
      </c>
      <c r="AA475" t="str">
        <f>IF(H_A[[#This Row],[Age]]&lt;30,"Young",IF(H_A[[#This Row],[Age]]&lt;45,"Mid","Senior"))</f>
        <v>Senior</v>
      </c>
      <c r="AB475" t="str">
        <f>IF(H_A[[#This Row],[MonthlyIncome]]&lt;5000,"Low",IF(H_A[[#This Row],[MonthlyIncome]]&lt;10000,"Medium","High"))</f>
        <v>High</v>
      </c>
      <c r="AC475" t="str">
        <f>IF(H_A[[#This Row],[YearsAtCompany]]&lt;3,"Early",IF(H_A[[#This Row],[YearsAtCompany]]&lt;7,"Mid","Long"))</f>
        <v>Long</v>
      </c>
      <c r="AD475" t="str">
        <f>IF(H_A[[#This Row],[PercentSalaryHike]]&lt;13,"Low",IF(H_A[[#This Row],[PercentSalaryHike]]&lt;18,"Medium","High"))</f>
        <v>Medium</v>
      </c>
    </row>
    <row r="476" spans="1:30" x14ac:dyDescent="0.3">
      <c r="A476">
        <v>24</v>
      </c>
      <c r="B476">
        <v>639</v>
      </c>
      <c r="C476" t="s">
        <v>36</v>
      </c>
      <c r="D476" t="s">
        <v>37</v>
      </c>
      <c r="E476">
        <v>23</v>
      </c>
      <c r="F476">
        <v>3</v>
      </c>
      <c r="G476" t="s">
        <v>43</v>
      </c>
      <c r="H476">
        <v>2</v>
      </c>
      <c r="I476" t="s">
        <v>38</v>
      </c>
      <c r="J476">
        <v>4</v>
      </c>
      <c r="K476">
        <v>1</v>
      </c>
      <c r="L476" t="s">
        <v>39</v>
      </c>
      <c r="M476">
        <v>4</v>
      </c>
      <c r="N476" t="s">
        <v>40</v>
      </c>
      <c r="O476">
        <v>2725</v>
      </c>
      <c r="P476">
        <v>1</v>
      </c>
      <c r="Q476" t="s">
        <v>30</v>
      </c>
      <c r="R476">
        <v>2</v>
      </c>
      <c r="S476">
        <v>6</v>
      </c>
      <c r="T476">
        <v>3</v>
      </c>
      <c r="U476">
        <v>6</v>
      </c>
      <c r="V476">
        <v>5</v>
      </c>
      <c r="W476">
        <v>1</v>
      </c>
      <c r="X476">
        <v>4</v>
      </c>
      <c r="Y476">
        <v>11</v>
      </c>
      <c r="Z476">
        <f>IF(H_A[[#This Row],[Attrition]]="Yes",1,0)</f>
        <v>0</v>
      </c>
      <c r="AA476" t="str">
        <f>IF(H_A[[#This Row],[Age]]&lt;30,"Young",IF(H_A[[#This Row],[Age]]&lt;45,"Mid","Senior"))</f>
        <v>Young</v>
      </c>
      <c r="AB476" t="str">
        <f>IF(H_A[[#This Row],[MonthlyIncome]]&lt;5000,"Low",IF(H_A[[#This Row],[MonthlyIncome]]&lt;10000,"Medium","High"))</f>
        <v>Low</v>
      </c>
      <c r="AC476" t="str">
        <f>IF(H_A[[#This Row],[YearsAtCompany]]&lt;3,"Early",IF(H_A[[#This Row],[YearsAtCompany]]&lt;7,"Mid","Long"))</f>
        <v>Mid</v>
      </c>
      <c r="AD476" t="str">
        <f>IF(H_A[[#This Row],[PercentSalaryHike]]&lt;13,"Low",IF(H_A[[#This Row],[PercentSalaryHike]]&lt;18,"Medium","High"))</f>
        <v>Low</v>
      </c>
    </row>
    <row r="477" spans="1:30" x14ac:dyDescent="0.3">
      <c r="A477">
        <v>26</v>
      </c>
      <c r="B477">
        <v>641</v>
      </c>
      <c r="C477" t="s">
        <v>36</v>
      </c>
      <c r="D477" t="s">
        <v>31</v>
      </c>
      <c r="E477">
        <v>28</v>
      </c>
      <c r="F477">
        <v>2</v>
      </c>
      <c r="G477" t="s">
        <v>50</v>
      </c>
      <c r="H477">
        <v>1</v>
      </c>
      <c r="I477" t="s">
        <v>38</v>
      </c>
      <c r="J477">
        <v>3</v>
      </c>
      <c r="K477">
        <v>2</v>
      </c>
      <c r="L477" t="s">
        <v>34</v>
      </c>
      <c r="M477">
        <v>2</v>
      </c>
      <c r="N477" t="s">
        <v>40</v>
      </c>
      <c r="O477">
        <v>6272</v>
      </c>
      <c r="P477">
        <v>1</v>
      </c>
      <c r="Q477" t="s">
        <v>36</v>
      </c>
      <c r="R477">
        <v>4</v>
      </c>
      <c r="S477">
        <v>6</v>
      </c>
      <c r="T477">
        <v>4</v>
      </c>
      <c r="U477">
        <v>5</v>
      </c>
      <c r="V477">
        <v>3</v>
      </c>
      <c r="W477">
        <v>1</v>
      </c>
      <c r="X477">
        <v>4</v>
      </c>
      <c r="Y477">
        <v>20</v>
      </c>
      <c r="Z477">
        <f>IF(H_A[[#This Row],[Attrition]]="Yes",1,0)</f>
        <v>0</v>
      </c>
      <c r="AA477" t="str">
        <f>IF(H_A[[#This Row],[Age]]&lt;30,"Young",IF(H_A[[#This Row],[Age]]&lt;45,"Mid","Senior"))</f>
        <v>Young</v>
      </c>
      <c r="AB477" t="str">
        <f>IF(H_A[[#This Row],[MonthlyIncome]]&lt;5000,"Low",IF(H_A[[#This Row],[MonthlyIncome]]&lt;10000,"Medium","High"))</f>
        <v>Medium</v>
      </c>
      <c r="AC477" t="str">
        <f>IF(H_A[[#This Row],[YearsAtCompany]]&lt;3,"Early",IF(H_A[[#This Row],[YearsAtCompany]]&lt;7,"Mid","Long"))</f>
        <v>Mid</v>
      </c>
      <c r="AD477" t="str">
        <f>IF(H_A[[#This Row],[PercentSalaryHike]]&lt;13,"Low",IF(H_A[[#This Row],[PercentSalaryHike]]&lt;18,"Medium","High"))</f>
        <v>High</v>
      </c>
    </row>
    <row r="478" spans="1:30" x14ac:dyDescent="0.3">
      <c r="A478">
        <v>24</v>
      </c>
      <c r="B478">
        <v>643</v>
      </c>
      <c r="C478" t="s">
        <v>36</v>
      </c>
      <c r="D478" t="s">
        <v>37</v>
      </c>
      <c r="E478">
        <v>17</v>
      </c>
      <c r="F478">
        <v>2</v>
      </c>
      <c r="G478" t="s">
        <v>41</v>
      </c>
      <c r="H478">
        <v>4</v>
      </c>
      <c r="I478" t="s">
        <v>38</v>
      </c>
      <c r="J478">
        <v>2</v>
      </c>
      <c r="K478">
        <v>1</v>
      </c>
      <c r="L478" t="s">
        <v>42</v>
      </c>
      <c r="M478">
        <v>2</v>
      </c>
      <c r="N478" t="s">
        <v>40</v>
      </c>
      <c r="O478">
        <v>2127</v>
      </c>
      <c r="P478">
        <v>1</v>
      </c>
      <c r="Q478" t="s">
        <v>36</v>
      </c>
      <c r="R478">
        <v>4</v>
      </c>
      <c r="S478">
        <v>1</v>
      </c>
      <c r="T478">
        <v>3</v>
      </c>
      <c r="U478">
        <v>1</v>
      </c>
      <c r="V478">
        <v>0</v>
      </c>
      <c r="W478">
        <v>0</v>
      </c>
      <c r="X478">
        <v>0</v>
      </c>
      <c r="Y478">
        <v>21</v>
      </c>
      <c r="Z478">
        <f>IF(H_A[[#This Row],[Attrition]]="Yes",1,0)</f>
        <v>0</v>
      </c>
      <c r="AA478" t="str">
        <f>IF(H_A[[#This Row],[Age]]&lt;30,"Young",IF(H_A[[#This Row],[Age]]&lt;45,"Mid","Senior"))</f>
        <v>Young</v>
      </c>
      <c r="AB478" t="str">
        <f>IF(H_A[[#This Row],[MonthlyIncome]]&lt;5000,"Low",IF(H_A[[#This Row],[MonthlyIncome]]&lt;10000,"Medium","High"))</f>
        <v>Low</v>
      </c>
      <c r="AC478" t="str">
        <f>IF(H_A[[#This Row],[YearsAtCompany]]&lt;3,"Early",IF(H_A[[#This Row],[YearsAtCompany]]&lt;7,"Mid","Long"))</f>
        <v>Early</v>
      </c>
      <c r="AD478" t="str">
        <f>IF(H_A[[#This Row],[PercentSalaryHike]]&lt;13,"Low",IF(H_A[[#This Row],[PercentSalaryHike]]&lt;18,"Medium","High"))</f>
        <v>High</v>
      </c>
    </row>
    <row r="479" spans="1:30" x14ac:dyDescent="0.3">
      <c r="A479">
        <v>50</v>
      </c>
      <c r="B479">
        <v>644</v>
      </c>
      <c r="C479" t="s">
        <v>36</v>
      </c>
      <c r="D479" t="s">
        <v>52</v>
      </c>
      <c r="E479">
        <v>3</v>
      </c>
      <c r="F479">
        <v>3</v>
      </c>
      <c r="G479" t="s">
        <v>43</v>
      </c>
      <c r="H479">
        <v>1</v>
      </c>
      <c r="I479" t="s">
        <v>38</v>
      </c>
      <c r="J479">
        <v>3</v>
      </c>
      <c r="K479">
        <v>5</v>
      </c>
      <c r="L479" t="s">
        <v>47</v>
      </c>
      <c r="M479">
        <v>2</v>
      </c>
      <c r="N479" t="s">
        <v>40</v>
      </c>
      <c r="O479">
        <v>18200</v>
      </c>
      <c r="P479">
        <v>1</v>
      </c>
      <c r="Q479" t="s">
        <v>36</v>
      </c>
      <c r="R479">
        <v>3</v>
      </c>
      <c r="S479">
        <v>32</v>
      </c>
      <c r="T479">
        <v>3</v>
      </c>
      <c r="U479">
        <v>32</v>
      </c>
      <c r="V479">
        <v>5</v>
      </c>
      <c r="W479">
        <v>10</v>
      </c>
      <c r="X479">
        <v>7</v>
      </c>
      <c r="Y479">
        <v>11</v>
      </c>
      <c r="Z479">
        <f>IF(H_A[[#This Row],[Attrition]]="Yes",1,0)</f>
        <v>0</v>
      </c>
      <c r="AA479" t="str">
        <f>IF(H_A[[#This Row],[Age]]&lt;30,"Young",IF(H_A[[#This Row],[Age]]&lt;45,"Mid","Senior"))</f>
        <v>Senior</v>
      </c>
      <c r="AB479" t="str">
        <f>IF(H_A[[#This Row],[MonthlyIncome]]&lt;5000,"Low",IF(H_A[[#This Row],[MonthlyIncome]]&lt;10000,"Medium","High"))</f>
        <v>High</v>
      </c>
      <c r="AC479" t="str">
        <f>IF(H_A[[#This Row],[YearsAtCompany]]&lt;3,"Early",IF(H_A[[#This Row],[YearsAtCompany]]&lt;7,"Mid","Long"))</f>
        <v>Long</v>
      </c>
      <c r="AD479" t="str">
        <f>IF(H_A[[#This Row],[PercentSalaryHike]]&lt;13,"Low",IF(H_A[[#This Row],[PercentSalaryHike]]&lt;18,"Medium","High"))</f>
        <v>Low</v>
      </c>
    </row>
    <row r="480" spans="1:30" x14ac:dyDescent="0.3">
      <c r="A480">
        <v>25</v>
      </c>
      <c r="B480">
        <v>645</v>
      </c>
      <c r="C480" t="s">
        <v>36</v>
      </c>
      <c r="D480" t="s">
        <v>31</v>
      </c>
      <c r="E480">
        <v>13</v>
      </c>
      <c r="F480">
        <v>1</v>
      </c>
      <c r="G480" t="s">
        <v>43</v>
      </c>
      <c r="H480">
        <v>2</v>
      </c>
      <c r="I480" t="s">
        <v>38</v>
      </c>
      <c r="J480">
        <v>3</v>
      </c>
      <c r="K480">
        <v>1</v>
      </c>
      <c r="L480" t="s">
        <v>48</v>
      </c>
      <c r="M480">
        <v>3</v>
      </c>
      <c r="N480" t="s">
        <v>40</v>
      </c>
      <c r="O480">
        <v>2096</v>
      </c>
      <c r="P480">
        <v>1</v>
      </c>
      <c r="Q480" t="s">
        <v>36</v>
      </c>
      <c r="R480">
        <v>3</v>
      </c>
      <c r="S480">
        <v>7</v>
      </c>
      <c r="T480">
        <v>3</v>
      </c>
      <c r="U480">
        <v>7</v>
      </c>
      <c r="V480">
        <v>4</v>
      </c>
      <c r="W480">
        <v>0</v>
      </c>
      <c r="X480">
        <v>6</v>
      </c>
      <c r="Y480">
        <v>11</v>
      </c>
      <c r="Z480">
        <f>IF(H_A[[#This Row],[Attrition]]="Yes",1,0)</f>
        <v>0</v>
      </c>
      <c r="AA480" t="str">
        <f>IF(H_A[[#This Row],[Age]]&lt;30,"Young",IF(H_A[[#This Row],[Age]]&lt;45,"Mid","Senior"))</f>
        <v>Young</v>
      </c>
      <c r="AB480" t="str">
        <f>IF(H_A[[#This Row],[MonthlyIncome]]&lt;5000,"Low",IF(H_A[[#This Row],[MonthlyIncome]]&lt;10000,"Medium","High"))</f>
        <v>Low</v>
      </c>
      <c r="AC480" t="str">
        <f>IF(H_A[[#This Row],[YearsAtCompany]]&lt;3,"Early",IF(H_A[[#This Row],[YearsAtCompany]]&lt;7,"Mid","Long"))</f>
        <v>Long</v>
      </c>
      <c r="AD480" t="str">
        <f>IF(H_A[[#This Row],[PercentSalaryHike]]&lt;13,"Low",IF(H_A[[#This Row],[PercentSalaryHike]]&lt;18,"Medium","High"))</f>
        <v>Low</v>
      </c>
    </row>
    <row r="481" spans="1:30" x14ac:dyDescent="0.3">
      <c r="A481">
        <v>24</v>
      </c>
      <c r="B481">
        <v>647</v>
      </c>
      <c r="C481" t="s">
        <v>30</v>
      </c>
      <c r="D481" t="s">
        <v>37</v>
      </c>
      <c r="E481">
        <v>7</v>
      </c>
      <c r="F481">
        <v>3</v>
      </c>
      <c r="G481" t="s">
        <v>32</v>
      </c>
      <c r="H481">
        <v>1</v>
      </c>
      <c r="I481" t="s">
        <v>33</v>
      </c>
      <c r="J481">
        <v>3</v>
      </c>
      <c r="K481">
        <v>1</v>
      </c>
      <c r="L481" t="s">
        <v>42</v>
      </c>
      <c r="M481">
        <v>3</v>
      </c>
      <c r="N481" t="s">
        <v>40</v>
      </c>
      <c r="O481">
        <v>2886</v>
      </c>
      <c r="P481">
        <v>1</v>
      </c>
      <c r="Q481" t="s">
        <v>30</v>
      </c>
      <c r="R481">
        <v>4</v>
      </c>
      <c r="S481">
        <v>6</v>
      </c>
      <c r="T481">
        <v>3</v>
      </c>
      <c r="U481">
        <v>6</v>
      </c>
      <c r="V481">
        <v>3</v>
      </c>
      <c r="W481">
        <v>1</v>
      </c>
      <c r="X481">
        <v>2</v>
      </c>
      <c r="Y481">
        <v>16</v>
      </c>
      <c r="Z481">
        <f>IF(H_A[[#This Row],[Attrition]]="Yes",1,0)</f>
        <v>1</v>
      </c>
      <c r="AA481" t="str">
        <f>IF(H_A[[#This Row],[Age]]&lt;30,"Young",IF(H_A[[#This Row],[Age]]&lt;45,"Mid","Senior"))</f>
        <v>Young</v>
      </c>
      <c r="AB481" t="str">
        <f>IF(H_A[[#This Row],[MonthlyIncome]]&lt;5000,"Low",IF(H_A[[#This Row],[MonthlyIncome]]&lt;10000,"Medium","High"))</f>
        <v>Low</v>
      </c>
      <c r="AC481" t="str">
        <f>IF(H_A[[#This Row],[YearsAtCompany]]&lt;3,"Early",IF(H_A[[#This Row],[YearsAtCompany]]&lt;7,"Mid","Long"))</f>
        <v>Mid</v>
      </c>
      <c r="AD481" t="str">
        <f>IF(H_A[[#This Row],[PercentSalaryHike]]&lt;13,"Low",IF(H_A[[#This Row],[PercentSalaryHike]]&lt;18,"Medium","High"))</f>
        <v>Medium</v>
      </c>
    </row>
    <row r="482" spans="1:30" x14ac:dyDescent="0.3">
      <c r="A482">
        <v>30</v>
      </c>
      <c r="B482">
        <v>648</v>
      </c>
      <c r="C482" t="s">
        <v>30</v>
      </c>
      <c r="D482" t="s">
        <v>31</v>
      </c>
      <c r="E482">
        <v>12</v>
      </c>
      <c r="F482">
        <v>4</v>
      </c>
      <c r="G482" t="s">
        <v>32</v>
      </c>
      <c r="H482">
        <v>2</v>
      </c>
      <c r="I482" t="s">
        <v>38</v>
      </c>
      <c r="J482">
        <v>2</v>
      </c>
      <c r="K482">
        <v>1</v>
      </c>
      <c r="L482" t="s">
        <v>48</v>
      </c>
      <c r="M482">
        <v>1</v>
      </c>
      <c r="N482" t="s">
        <v>40</v>
      </c>
      <c r="O482">
        <v>2033</v>
      </c>
      <c r="P482">
        <v>1</v>
      </c>
      <c r="Q482" t="s">
        <v>36</v>
      </c>
      <c r="R482">
        <v>3</v>
      </c>
      <c r="S482">
        <v>1</v>
      </c>
      <c r="T482">
        <v>4</v>
      </c>
      <c r="U482">
        <v>1</v>
      </c>
      <c r="V482">
        <v>0</v>
      </c>
      <c r="W482">
        <v>0</v>
      </c>
      <c r="X482">
        <v>0</v>
      </c>
      <c r="Y482">
        <v>18</v>
      </c>
      <c r="Z482">
        <f>IF(H_A[[#This Row],[Attrition]]="Yes",1,0)</f>
        <v>1</v>
      </c>
      <c r="AA482" t="str">
        <f>IF(H_A[[#This Row],[Age]]&lt;30,"Young",IF(H_A[[#This Row],[Age]]&lt;45,"Mid","Senior"))</f>
        <v>Mid</v>
      </c>
      <c r="AB482" t="str">
        <f>IF(H_A[[#This Row],[MonthlyIncome]]&lt;5000,"Low",IF(H_A[[#This Row],[MonthlyIncome]]&lt;10000,"Medium","High"))</f>
        <v>Low</v>
      </c>
      <c r="AC482" t="str">
        <f>IF(H_A[[#This Row],[YearsAtCompany]]&lt;3,"Early",IF(H_A[[#This Row],[YearsAtCompany]]&lt;7,"Mid","Long"))</f>
        <v>Early</v>
      </c>
      <c r="AD482" t="str">
        <f>IF(H_A[[#This Row],[PercentSalaryHike]]&lt;13,"Low",IF(H_A[[#This Row],[PercentSalaryHike]]&lt;18,"Medium","High"))</f>
        <v>High</v>
      </c>
    </row>
    <row r="483" spans="1:30" x14ac:dyDescent="0.3">
      <c r="A483">
        <v>34</v>
      </c>
      <c r="B483">
        <v>649</v>
      </c>
      <c r="C483" t="s">
        <v>36</v>
      </c>
      <c r="D483" t="s">
        <v>37</v>
      </c>
      <c r="E483">
        <v>1</v>
      </c>
      <c r="F483">
        <v>2</v>
      </c>
      <c r="G483" t="s">
        <v>32</v>
      </c>
      <c r="H483">
        <v>2</v>
      </c>
      <c r="I483" t="s">
        <v>38</v>
      </c>
      <c r="J483">
        <v>2</v>
      </c>
      <c r="K483">
        <v>1</v>
      </c>
      <c r="L483" t="s">
        <v>39</v>
      </c>
      <c r="M483">
        <v>4</v>
      </c>
      <c r="N483" t="s">
        <v>40</v>
      </c>
      <c r="O483">
        <v>3622</v>
      </c>
      <c r="P483">
        <v>1</v>
      </c>
      <c r="Q483" t="s">
        <v>30</v>
      </c>
      <c r="R483">
        <v>4</v>
      </c>
      <c r="S483">
        <v>6</v>
      </c>
      <c r="T483">
        <v>3</v>
      </c>
      <c r="U483">
        <v>6</v>
      </c>
      <c r="V483">
        <v>5</v>
      </c>
      <c r="W483">
        <v>1</v>
      </c>
      <c r="X483">
        <v>3</v>
      </c>
      <c r="Y483">
        <v>13</v>
      </c>
      <c r="Z483">
        <f>IF(H_A[[#This Row],[Attrition]]="Yes",1,0)</f>
        <v>0</v>
      </c>
      <c r="AA483" t="str">
        <f>IF(H_A[[#This Row],[Age]]&lt;30,"Young",IF(H_A[[#This Row],[Age]]&lt;45,"Mid","Senior"))</f>
        <v>Mid</v>
      </c>
      <c r="AB483" t="str">
        <f>IF(H_A[[#This Row],[MonthlyIncome]]&lt;5000,"Low",IF(H_A[[#This Row],[MonthlyIncome]]&lt;10000,"Medium","High"))</f>
        <v>Low</v>
      </c>
      <c r="AC483" t="str">
        <f>IF(H_A[[#This Row],[YearsAtCompany]]&lt;3,"Early",IF(H_A[[#This Row],[YearsAtCompany]]&lt;7,"Mid","Long"))</f>
        <v>Mid</v>
      </c>
      <c r="AD483" t="str">
        <f>IF(H_A[[#This Row],[PercentSalaryHike]]&lt;13,"Low",IF(H_A[[#This Row],[PercentSalaryHike]]&lt;18,"Medium","High"))</f>
        <v>Medium</v>
      </c>
    </row>
    <row r="484" spans="1:30" x14ac:dyDescent="0.3">
      <c r="A484">
        <v>31</v>
      </c>
      <c r="B484">
        <v>650</v>
      </c>
      <c r="C484" t="s">
        <v>30</v>
      </c>
      <c r="D484" t="s">
        <v>31</v>
      </c>
      <c r="E484">
        <v>13</v>
      </c>
      <c r="F484">
        <v>4</v>
      </c>
      <c r="G484" t="s">
        <v>43</v>
      </c>
      <c r="H484">
        <v>2</v>
      </c>
      <c r="I484" t="s">
        <v>38</v>
      </c>
      <c r="J484">
        <v>3</v>
      </c>
      <c r="K484">
        <v>2</v>
      </c>
      <c r="L484" t="s">
        <v>34</v>
      </c>
      <c r="M484">
        <v>1</v>
      </c>
      <c r="N484" t="s">
        <v>44</v>
      </c>
      <c r="O484">
        <v>4233</v>
      </c>
      <c r="P484">
        <v>2</v>
      </c>
      <c r="Q484" t="s">
        <v>36</v>
      </c>
      <c r="R484">
        <v>3</v>
      </c>
      <c r="S484">
        <v>9</v>
      </c>
      <c r="T484">
        <v>1</v>
      </c>
      <c r="U484">
        <v>3</v>
      </c>
      <c r="V484">
        <v>1</v>
      </c>
      <c r="W484">
        <v>1</v>
      </c>
      <c r="X484">
        <v>2</v>
      </c>
      <c r="Y484">
        <v>17</v>
      </c>
      <c r="Z484">
        <f>IF(H_A[[#This Row],[Attrition]]="Yes",1,0)</f>
        <v>1</v>
      </c>
      <c r="AA484" t="str">
        <f>IF(H_A[[#This Row],[Age]]&lt;30,"Young",IF(H_A[[#This Row],[Age]]&lt;45,"Mid","Senior"))</f>
        <v>Mid</v>
      </c>
      <c r="AB484" t="str">
        <f>IF(H_A[[#This Row],[MonthlyIncome]]&lt;5000,"Low",IF(H_A[[#This Row],[MonthlyIncome]]&lt;10000,"Medium","High"))</f>
        <v>Low</v>
      </c>
      <c r="AC484" t="str">
        <f>IF(H_A[[#This Row],[YearsAtCompany]]&lt;3,"Early",IF(H_A[[#This Row],[YearsAtCompany]]&lt;7,"Mid","Long"))</f>
        <v>Mid</v>
      </c>
      <c r="AD484" t="str">
        <f>IF(H_A[[#This Row],[PercentSalaryHike]]&lt;13,"Low",IF(H_A[[#This Row],[PercentSalaryHike]]&lt;18,"Medium","High"))</f>
        <v>Medium</v>
      </c>
    </row>
    <row r="485" spans="1:30" x14ac:dyDescent="0.3">
      <c r="A485">
        <v>35</v>
      </c>
      <c r="B485">
        <v>652</v>
      </c>
      <c r="C485" t="s">
        <v>36</v>
      </c>
      <c r="D485" t="s">
        <v>37</v>
      </c>
      <c r="E485">
        <v>25</v>
      </c>
      <c r="F485">
        <v>2</v>
      </c>
      <c r="G485" t="s">
        <v>41</v>
      </c>
      <c r="H485">
        <v>1</v>
      </c>
      <c r="I485" t="s">
        <v>38</v>
      </c>
      <c r="J485">
        <v>2</v>
      </c>
      <c r="K485">
        <v>2</v>
      </c>
      <c r="L485" t="s">
        <v>42</v>
      </c>
      <c r="M485">
        <v>4</v>
      </c>
      <c r="N485" t="s">
        <v>35</v>
      </c>
      <c r="O485">
        <v>3681</v>
      </c>
      <c r="P485">
        <v>4</v>
      </c>
      <c r="Q485" t="s">
        <v>36</v>
      </c>
      <c r="R485">
        <v>4</v>
      </c>
      <c r="S485">
        <v>9</v>
      </c>
      <c r="T485">
        <v>3</v>
      </c>
      <c r="U485">
        <v>3</v>
      </c>
      <c r="V485">
        <v>2</v>
      </c>
      <c r="W485">
        <v>0</v>
      </c>
      <c r="X485">
        <v>2</v>
      </c>
      <c r="Y485">
        <v>14</v>
      </c>
      <c r="Z485">
        <f>IF(H_A[[#This Row],[Attrition]]="Yes",1,0)</f>
        <v>0</v>
      </c>
      <c r="AA485" t="str">
        <f>IF(H_A[[#This Row],[Age]]&lt;30,"Young",IF(H_A[[#This Row],[Age]]&lt;45,"Mid","Senior"))</f>
        <v>Mid</v>
      </c>
      <c r="AB485" t="str">
        <f>IF(H_A[[#This Row],[MonthlyIncome]]&lt;5000,"Low",IF(H_A[[#This Row],[MonthlyIncome]]&lt;10000,"Medium","High"))</f>
        <v>Low</v>
      </c>
      <c r="AC485" t="str">
        <f>IF(H_A[[#This Row],[YearsAtCompany]]&lt;3,"Early",IF(H_A[[#This Row],[YearsAtCompany]]&lt;7,"Mid","Long"))</f>
        <v>Mid</v>
      </c>
      <c r="AD485" t="str">
        <f>IF(H_A[[#This Row],[PercentSalaryHike]]&lt;13,"Low",IF(H_A[[#This Row],[PercentSalaryHike]]&lt;18,"Medium","High"))</f>
        <v>Medium</v>
      </c>
    </row>
    <row r="486" spans="1:30" x14ac:dyDescent="0.3">
      <c r="A486">
        <v>31</v>
      </c>
      <c r="B486">
        <v>653</v>
      </c>
      <c r="C486" t="s">
        <v>36</v>
      </c>
      <c r="D486" t="s">
        <v>31</v>
      </c>
      <c r="E486">
        <v>6</v>
      </c>
      <c r="F486">
        <v>4</v>
      </c>
      <c r="G486" t="s">
        <v>43</v>
      </c>
      <c r="H486">
        <v>1</v>
      </c>
      <c r="I486" t="s">
        <v>38</v>
      </c>
      <c r="J486">
        <v>4</v>
      </c>
      <c r="K486">
        <v>2</v>
      </c>
      <c r="L486" t="s">
        <v>34</v>
      </c>
      <c r="M486">
        <v>4</v>
      </c>
      <c r="N486" t="s">
        <v>44</v>
      </c>
      <c r="O486">
        <v>5460</v>
      </c>
      <c r="P486">
        <v>4</v>
      </c>
      <c r="Q486" t="s">
        <v>36</v>
      </c>
      <c r="R486">
        <v>4</v>
      </c>
      <c r="S486">
        <v>13</v>
      </c>
      <c r="T486">
        <v>4</v>
      </c>
      <c r="U486">
        <v>7</v>
      </c>
      <c r="V486">
        <v>7</v>
      </c>
      <c r="W486">
        <v>5</v>
      </c>
      <c r="X486">
        <v>7</v>
      </c>
      <c r="Y486">
        <v>22</v>
      </c>
      <c r="Z486">
        <f>IF(H_A[[#This Row],[Attrition]]="Yes",1,0)</f>
        <v>0</v>
      </c>
      <c r="AA486" t="str">
        <f>IF(H_A[[#This Row],[Age]]&lt;30,"Young",IF(H_A[[#This Row],[Age]]&lt;45,"Mid","Senior"))</f>
        <v>Mid</v>
      </c>
      <c r="AB486" t="str">
        <f>IF(H_A[[#This Row],[MonthlyIncome]]&lt;5000,"Low",IF(H_A[[#This Row],[MonthlyIncome]]&lt;10000,"Medium","High"))</f>
        <v>Medium</v>
      </c>
      <c r="AC486" t="str">
        <f>IF(H_A[[#This Row],[YearsAtCompany]]&lt;3,"Early",IF(H_A[[#This Row],[YearsAtCompany]]&lt;7,"Mid","Long"))</f>
        <v>Long</v>
      </c>
      <c r="AD486" t="str">
        <f>IF(H_A[[#This Row],[PercentSalaryHike]]&lt;13,"Low",IF(H_A[[#This Row],[PercentSalaryHike]]&lt;18,"Medium","High"))</f>
        <v>High</v>
      </c>
    </row>
    <row r="487" spans="1:30" x14ac:dyDescent="0.3">
      <c r="A487">
        <v>27</v>
      </c>
      <c r="B487">
        <v>655</v>
      </c>
      <c r="C487" t="s">
        <v>36</v>
      </c>
      <c r="D487" t="s">
        <v>37</v>
      </c>
      <c r="E487">
        <v>6</v>
      </c>
      <c r="F487">
        <v>4</v>
      </c>
      <c r="G487" t="s">
        <v>43</v>
      </c>
      <c r="H487">
        <v>1</v>
      </c>
      <c r="I487" t="s">
        <v>33</v>
      </c>
      <c r="J487">
        <v>2</v>
      </c>
      <c r="K487">
        <v>1</v>
      </c>
      <c r="L487" t="s">
        <v>39</v>
      </c>
      <c r="M487">
        <v>3</v>
      </c>
      <c r="N487" t="s">
        <v>44</v>
      </c>
      <c r="O487">
        <v>2187</v>
      </c>
      <c r="P487">
        <v>0</v>
      </c>
      <c r="Q487" t="s">
        <v>36</v>
      </c>
      <c r="R487">
        <v>3</v>
      </c>
      <c r="S487">
        <v>6</v>
      </c>
      <c r="T487">
        <v>2</v>
      </c>
      <c r="U487">
        <v>5</v>
      </c>
      <c r="V487">
        <v>3</v>
      </c>
      <c r="W487">
        <v>0</v>
      </c>
      <c r="X487">
        <v>3</v>
      </c>
      <c r="Y487">
        <v>12</v>
      </c>
      <c r="Z487">
        <f>IF(H_A[[#This Row],[Attrition]]="Yes",1,0)</f>
        <v>0</v>
      </c>
      <c r="AA487" t="str">
        <f>IF(H_A[[#This Row],[Age]]&lt;30,"Young",IF(H_A[[#This Row],[Age]]&lt;45,"Mid","Senior"))</f>
        <v>Young</v>
      </c>
      <c r="AB487" t="str">
        <f>IF(H_A[[#This Row],[MonthlyIncome]]&lt;5000,"Low",IF(H_A[[#This Row],[MonthlyIncome]]&lt;10000,"Medium","High"))</f>
        <v>Low</v>
      </c>
      <c r="AC487" t="str">
        <f>IF(H_A[[#This Row],[YearsAtCompany]]&lt;3,"Early",IF(H_A[[#This Row],[YearsAtCompany]]&lt;7,"Mid","Long"))</f>
        <v>Mid</v>
      </c>
      <c r="AD487" t="str">
        <f>IF(H_A[[#This Row],[PercentSalaryHike]]&lt;13,"Low",IF(H_A[[#This Row],[PercentSalaryHike]]&lt;18,"Medium","High"))</f>
        <v>Low</v>
      </c>
    </row>
    <row r="488" spans="1:30" x14ac:dyDescent="0.3">
      <c r="A488">
        <v>37</v>
      </c>
      <c r="B488">
        <v>656</v>
      </c>
      <c r="C488" t="s">
        <v>36</v>
      </c>
      <c r="D488" t="s">
        <v>31</v>
      </c>
      <c r="E488">
        <v>2</v>
      </c>
      <c r="F488">
        <v>3</v>
      </c>
      <c r="G488" t="s">
        <v>50</v>
      </c>
      <c r="H488">
        <v>4</v>
      </c>
      <c r="I488" t="s">
        <v>38</v>
      </c>
      <c r="J488">
        <v>3</v>
      </c>
      <c r="K488">
        <v>2</v>
      </c>
      <c r="L488" t="s">
        <v>34</v>
      </c>
      <c r="M488">
        <v>3</v>
      </c>
      <c r="N488" t="s">
        <v>40</v>
      </c>
      <c r="O488">
        <v>9602</v>
      </c>
      <c r="P488">
        <v>4</v>
      </c>
      <c r="Q488" t="s">
        <v>30</v>
      </c>
      <c r="R488">
        <v>3</v>
      </c>
      <c r="S488">
        <v>17</v>
      </c>
      <c r="T488">
        <v>2</v>
      </c>
      <c r="U488">
        <v>3</v>
      </c>
      <c r="V488">
        <v>0</v>
      </c>
      <c r="W488">
        <v>1</v>
      </c>
      <c r="X488">
        <v>0</v>
      </c>
      <c r="Y488">
        <v>11</v>
      </c>
      <c r="Z488">
        <f>IF(H_A[[#This Row],[Attrition]]="Yes",1,0)</f>
        <v>0</v>
      </c>
      <c r="AA488" t="str">
        <f>IF(H_A[[#This Row],[Age]]&lt;30,"Young",IF(H_A[[#This Row],[Age]]&lt;45,"Mid","Senior"))</f>
        <v>Mid</v>
      </c>
      <c r="AB488" t="str">
        <f>IF(H_A[[#This Row],[MonthlyIncome]]&lt;5000,"Low",IF(H_A[[#This Row],[MonthlyIncome]]&lt;10000,"Medium","High"))</f>
        <v>Medium</v>
      </c>
      <c r="AC488" t="str">
        <f>IF(H_A[[#This Row],[YearsAtCompany]]&lt;3,"Early",IF(H_A[[#This Row],[YearsAtCompany]]&lt;7,"Mid","Long"))</f>
        <v>Mid</v>
      </c>
      <c r="AD488" t="str">
        <f>IF(H_A[[#This Row],[PercentSalaryHike]]&lt;13,"Low",IF(H_A[[#This Row],[PercentSalaryHike]]&lt;18,"Medium","High"))</f>
        <v>Low</v>
      </c>
    </row>
    <row r="489" spans="1:30" x14ac:dyDescent="0.3">
      <c r="A489">
        <v>20</v>
      </c>
      <c r="B489">
        <v>657</v>
      </c>
      <c r="C489" t="s">
        <v>36</v>
      </c>
      <c r="D489" t="s">
        <v>37</v>
      </c>
      <c r="E489">
        <v>1</v>
      </c>
      <c r="F489">
        <v>3</v>
      </c>
      <c r="G489" t="s">
        <v>32</v>
      </c>
      <c r="H489">
        <v>4</v>
      </c>
      <c r="I489" t="s">
        <v>33</v>
      </c>
      <c r="J489">
        <v>2</v>
      </c>
      <c r="K489">
        <v>1</v>
      </c>
      <c r="L489" t="s">
        <v>39</v>
      </c>
      <c r="M489">
        <v>2</v>
      </c>
      <c r="N489" t="s">
        <v>35</v>
      </c>
      <c r="O489">
        <v>2836</v>
      </c>
      <c r="P489">
        <v>1</v>
      </c>
      <c r="Q489" t="s">
        <v>36</v>
      </c>
      <c r="R489">
        <v>4</v>
      </c>
      <c r="S489">
        <v>1</v>
      </c>
      <c r="T489">
        <v>4</v>
      </c>
      <c r="U489">
        <v>1</v>
      </c>
      <c r="V489">
        <v>0</v>
      </c>
      <c r="W489">
        <v>0</v>
      </c>
      <c r="X489">
        <v>0</v>
      </c>
      <c r="Y489">
        <v>13</v>
      </c>
      <c r="Z489">
        <f>IF(H_A[[#This Row],[Attrition]]="Yes",1,0)</f>
        <v>0</v>
      </c>
      <c r="AA489" t="str">
        <f>IF(H_A[[#This Row],[Age]]&lt;30,"Young",IF(H_A[[#This Row],[Age]]&lt;45,"Mid","Senior"))</f>
        <v>Young</v>
      </c>
      <c r="AB489" t="str">
        <f>IF(H_A[[#This Row],[MonthlyIncome]]&lt;5000,"Low",IF(H_A[[#This Row],[MonthlyIncome]]&lt;10000,"Medium","High"))</f>
        <v>Low</v>
      </c>
      <c r="AC489" t="str">
        <f>IF(H_A[[#This Row],[YearsAtCompany]]&lt;3,"Early",IF(H_A[[#This Row],[YearsAtCompany]]&lt;7,"Mid","Long"))</f>
        <v>Early</v>
      </c>
      <c r="AD489" t="str">
        <f>IF(H_A[[#This Row],[PercentSalaryHike]]&lt;13,"Low",IF(H_A[[#This Row],[PercentSalaryHike]]&lt;18,"Medium","High"))</f>
        <v>Medium</v>
      </c>
    </row>
    <row r="490" spans="1:30" x14ac:dyDescent="0.3">
      <c r="A490">
        <v>42</v>
      </c>
      <c r="B490">
        <v>659</v>
      </c>
      <c r="C490" t="s">
        <v>36</v>
      </c>
      <c r="D490" t="s">
        <v>37</v>
      </c>
      <c r="E490">
        <v>2</v>
      </c>
      <c r="F490">
        <v>4</v>
      </c>
      <c r="G490" t="s">
        <v>32</v>
      </c>
      <c r="H490">
        <v>3</v>
      </c>
      <c r="I490" t="s">
        <v>33</v>
      </c>
      <c r="J490">
        <v>3</v>
      </c>
      <c r="K490">
        <v>2</v>
      </c>
      <c r="L490" t="s">
        <v>46</v>
      </c>
      <c r="M490">
        <v>4</v>
      </c>
      <c r="N490" t="s">
        <v>40</v>
      </c>
      <c r="O490">
        <v>4089</v>
      </c>
      <c r="P490">
        <v>1</v>
      </c>
      <c r="Q490" t="s">
        <v>36</v>
      </c>
      <c r="R490">
        <v>2</v>
      </c>
      <c r="S490">
        <v>10</v>
      </c>
      <c r="T490">
        <v>3</v>
      </c>
      <c r="U490">
        <v>10</v>
      </c>
      <c r="V490">
        <v>2</v>
      </c>
      <c r="W490">
        <v>2</v>
      </c>
      <c r="X490">
        <v>2</v>
      </c>
      <c r="Y490">
        <v>13</v>
      </c>
      <c r="Z490">
        <f>IF(H_A[[#This Row],[Attrition]]="Yes",1,0)</f>
        <v>0</v>
      </c>
      <c r="AA490" t="str">
        <f>IF(H_A[[#This Row],[Age]]&lt;30,"Young",IF(H_A[[#This Row],[Age]]&lt;45,"Mid","Senior"))</f>
        <v>Mid</v>
      </c>
      <c r="AB490" t="str">
        <f>IF(H_A[[#This Row],[MonthlyIncome]]&lt;5000,"Low",IF(H_A[[#This Row],[MonthlyIncome]]&lt;10000,"Medium","High"))</f>
        <v>Low</v>
      </c>
      <c r="AC490" t="str">
        <f>IF(H_A[[#This Row],[YearsAtCompany]]&lt;3,"Early",IF(H_A[[#This Row],[YearsAtCompany]]&lt;7,"Mid","Long"))</f>
        <v>Long</v>
      </c>
      <c r="AD490" t="str">
        <f>IF(H_A[[#This Row],[PercentSalaryHike]]&lt;13,"Low",IF(H_A[[#This Row],[PercentSalaryHike]]&lt;18,"Medium","High"))</f>
        <v>Medium</v>
      </c>
    </row>
    <row r="491" spans="1:30" x14ac:dyDescent="0.3">
      <c r="A491">
        <v>43</v>
      </c>
      <c r="B491">
        <v>661</v>
      </c>
      <c r="C491" t="s">
        <v>36</v>
      </c>
      <c r="D491" t="s">
        <v>37</v>
      </c>
      <c r="E491">
        <v>6</v>
      </c>
      <c r="F491">
        <v>4</v>
      </c>
      <c r="G491" t="s">
        <v>41</v>
      </c>
      <c r="H491">
        <v>2</v>
      </c>
      <c r="I491" t="s">
        <v>38</v>
      </c>
      <c r="J491">
        <v>2</v>
      </c>
      <c r="K491">
        <v>4</v>
      </c>
      <c r="L491" t="s">
        <v>49</v>
      </c>
      <c r="M491">
        <v>4</v>
      </c>
      <c r="N491" t="s">
        <v>44</v>
      </c>
      <c r="O491">
        <v>16627</v>
      </c>
      <c r="P491">
        <v>4</v>
      </c>
      <c r="Q491" t="s">
        <v>30</v>
      </c>
      <c r="R491">
        <v>3</v>
      </c>
      <c r="S491">
        <v>21</v>
      </c>
      <c r="T491">
        <v>2</v>
      </c>
      <c r="U491">
        <v>1</v>
      </c>
      <c r="V491">
        <v>0</v>
      </c>
      <c r="W491">
        <v>0</v>
      </c>
      <c r="X491">
        <v>0</v>
      </c>
      <c r="Y491">
        <v>14</v>
      </c>
      <c r="Z491">
        <f>IF(H_A[[#This Row],[Attrition]]="Yes",1,0)</f>
        <v>0</v>
      </c>
      <c r="AA491" t="str">
        <f>IF(H_A[[#This Row],[Age]]&lt;30,"Young",IF(H_A[[#This Row],[Age]]&lt;45,"Mid","Senior"))</f>
        <v>Mid</v>
      </c>
      <c r="AB491" t="str">
        <f>IF(H_A[[#This Row],[MonthlyIncome]]&lt;5000,"Low",IF(H_A[[#This Row],[MonthlyIncome]]&lt;10000,"Medium","High"))</f>
        <v>High</v>
      </c>
      <c r="AC491" t="str">
        <f>IF(H_A[[#This Row],[YearsAtCompany]]&lt;3,"Early",IF(H_A[[#This Row],[YearsAtCompany]]&lt;7,"Mid","Long"))</f>
        <v>Early</v>
      </c>
      <c r="AD491" t="str">
        <f>IF(H_A[[#This Row],[PercentSalaryHike]]&lt;13,"Low",IF(H_A[[#This Row],[PercentSalaryHike]]&lt;18,"Medium","High"))</f>
        <v>Medium</v>
      </c>
    </row>
    <row r="492" spans="1:30" x14ac:dyDescent="0.3">
      <c r="A492">
        <v>38</v>
      </c>
      <c r="B492">
        <v>662</v>
      </c>
      <c r="C492" t="s">
        <v>36</v>
      </c>
      <c r="D492" t="s">
        <v>37</v>
      </c>
      <c r="E492">
        <v>1</v>
      </c>
      <c r="F492">
        <v>1</v>
      </c>
      <c r="G492" t="s">
        <v>32</v>
      </c>
      <c r="H492">
        <v>3</v>
      </c>
      <c r="I492" t="s">
        <v>33</v>
      </c>
      <c r="J492">
        <v>3</v>
      </c>
      <c r="K492">
        <v>1</v>
      </c>
      <c r="L492" t="s">
        <v>39</v>
      </c>
      <c r="M492">
        <v>1</v>
      </c>
      <c r="N492" t="s">
        <v>35</v>
      </c>
      <c r="O492">
        <v>2619</v>
      </c>
      <c r="P492">
        <v>3</v>
      </c>
      <c r="Q492" t="s">
        <v>36</v>
      </c>
      <c r="R492">
        <v>4</v>
      </c>
      <c r="S492">
        <v>8</v>
      </c>
      <c r="T492">
        <v>2</v>
      </c>
      <c r="U492">
        <v>0</v>
      </c>
      <c r="V492">
        <v>0</v>
      </c>
      <c r="W492">
        <v>0</v>
      </c>
      <c r="X492">
        <v>0</v>
      </c>
      <c r="Y492">
        <v>17</v>
      </c>
      <c r="Z492">
        <f>IF(H_A[[#This Row],[Attrition]]="Yes",1,0)</f>
        <v>0</v>
      </c>
      <c r="AA492" t="str">
        <f>IF(H_A[[#This Row],[Age]]&lt;30,"Young",IF(H_A[[#This Row],[Age]]&lt;45,"Mid","Senior"))</f>
        <v>Mid</v>
      </c>
      <c r="AB492" t="str">
        <f>IF(H_A[[#This Row],[MonthlyIncome]]&lt;5000,"Low",IF(H_A[[#This Row],[MonthlyIncome]]&lt;10000,"Medium","High"))</f>
        <v>Low</v>
      </c>
      <c r="AC492" t="str">
        <f>IF(H_A[[#This Row],[YearsAtCompany]]&lt;3,"Early",IF(H_A[[#This Row],[YearsAtCompany]]&lt;7,"Mid","Long"))</f>
        <v>Early</v>
      </c>
      <c r="AD492" t="str">
        <f>IF(H_A[[#This Row],[PercentSalaryHike]]&lt;13,"Low",IF(H_A[[#This Row],[PercentSalaryHike]]&lt;18,"Medium","High"))</f>
        <v>Medium</v>
      </c>
    </row>
    <row r="493" spans="1:30" x14ac:dyDescent="0.3">
      <c r="A493">
        <v>43</v>
      </c>
      <c r="B493">
        <v>663</v>
      </c>
      <c r="C493" t="s">
        <v>36</v>
      </c>
      <c r="D493" t="s">
        <v>37</v>
      </c>
      <c r="E493">
        <v>9</v>
      </c>
      <c r="F493">
        <v>5</v>
      </c>
      <c r="G493" t="s">
        <v>43</v>
      </c>
      <c r="H493">
        <v>4</v>
      </c>
      <c r="I493" t="s">
        <v>38</v>
      </c>
      <c r="J493">
        <v>3</v>
      </c>
      <c r="K493">
        <v>2</v>
      </c>
      <c r="L493" t="s">
        <v>42</v>
      </c>
      <c r="M493">
        <v>3</v>
      </c>
      <c r="N493" t="s">
        <v>44</v>
      </c>
      <c r="O493">
        <v>5679</v>
      </c>
      <c r="P493">
        <v>3</v>
      </c>
      <c r="Q493" t="s">
        <v>30</v>
      </c>
      <c r="R493">
        <v>2</v>
      </c>
      <c r="S493">
        <v>10</v>
      </c>
      <c r="T493">
        <v>3</v>
      </c>
      <c r="U493">
        <v>8</v>
      </c>
      <c r="V493">
        <v>7</v>
      </c>
      <c r="W493">
        <v>4</v>
      </c>
      <c r="X493">
        <v>7</v>
      </c>
      <c r="Y493">
        <v>13</v>
      </c>
      <c r="Z493">
        <f>IF(H_A[[#This Row],[Attrition]]="Yes",1,0)</f>
        <v>0</v>
      </c>
      <c r="AA493" t="str">
        <f>IF(H_A[[#This Row],[Age]]&lt;30,"Young",IF(H_A[[#This Row],[Age]]&lt;45,"Mid","Senior"))</f>
        <v>Mid</v>
      </c>
      <c r="AB493" t="str">
        <f>IF(H_A[[#This Row],[MonthlyIncome]]&lt;5000,"Low",IF(H_A[[#This Row],[MonthlyIncome]]&lt;10000,"Medium","High"))</f>
        <v>Medium</v>
      </c>
      <c r="AC493" t="str">
        <f>IF(H_A[[#This Row],[YearsAtCompany]]&lt;3,"Early",IF(H_A[[#This Row],[YearsAtCompany]]&lt;7,"Mid","Long"))</f>
        <v>Long</v>
      </c>
      <c r="AD493" t="str">
        <f>IF(H_A[[#This Row],[PercentSalaryHike]]&lt;13,"Low",IF(H_A[[#This Row],[PercentSalaryHike]]&lt;18,"Medium","High"))</f>
        <v>Medium</v>
      </c>
    </row>
    <row r="494" spans="1:30" x14ac:dyDescent="0.3">
      <c r="A494">
        <v>48</v>
      </c>
      <c r="B494">
        <v>664</v>
      </c>
      <c r="C494" t="s">
        <v>36</v>
      </c>
      <c r="D494" t="s">
        <v>37</v>
      </c>
      <c r="E494">
        <v>1</v>
      </c>
      <c r="F494">
        <v>4</v>
      </c>
      <c r="G494" t="s">
        <v>32</v>
      </c>
      <c r="H494">
        <v>4</v>
      </c>
      <c r="I494" t="s">
        <v>33</v>
      </c>
      <c r="J494">
        <v>2</v>
      </c>
      <c r="K494">
        <v>4</v>
      </c>
      <c r="L494" t="s">
        <v>47</v>
      </c>
      <c r="M494">
        <v>1</v>
      </c>
      <c r="N494" t="s">
        <v>40</v>
      </c>
      <c r="O494">
        <v>15402</v>
      </c>
      <c r="P494">
        <v>7</v>
      </c>
      <c r="Q494" t="s">
        <v>36</v>
      </c>
      <c r="R494">
        <v>1</v>
      </c>
      <c r="S494">
        <v>21</v>
      </c>
      <c r="T494">
        <v>1</v>
      </c>
      <c r="U494">
        <v>3</v>
      </c>
      <c r="V494">
        <v>2</v>
      </c>
      <c r="W494">
        <v>0</v>
      </c>
      <c r="X494">
        <v>2</v>
      </c>
      <c r="Y494">
        <v>11</v>
      </c>
      <c r="Z494">
        <f>IF(H_A[[#This Row],[Attrition]]="Yes",1,0)</f>
        <v>0</v>
      </c>
      <c r="AA494" t="str">
        <f>IF(H_A[[#This Row],[Age]]&lt;30,"Young",IF(H_A[[#This Row],[Age]]&lt;45,"Mid","Senior"))</f>
        <v>Senior</v>
      </c>
      <c r="AB494" t="str">
        <f>IF(H_A[[#This Row],[MonthlyIncome]]&lt;5000,"Low",IF(H_A[[#This Row],[MonthlyIncome]]&lt;10000,"Medium","High"))</f>
        <v>High</v>
      </c>
      <c r="AC494" t="str">
        <f>IF(H_A[[#This Row],[YearsAtCompany]]&lt;3,"Early",IF(H_A[[#This Row],[YearsAtCompany]]&lt;7,"Mid","Long"))</f>
        <v>Mid</v>
      </c>
      <c r="AD494" t="str">
        <f>IF(H_A[[#This Row],[PercentSalaryHike]]&lt;13,"Low",IF(H_A[[#This Row],[PercentSalaryHike]]&lt;18,"Medium","High"))</f>
        <v>Low</v>
      </c>
    </row>
    <row r="495" spans="1:30" x14ac:dyDescent="0.3">
      <c r="A495">
        <v>44</v>
      </c>
      <c r="B495">
        <v>665</v>
      </c>
      <c r="C495" t="s">
        <v>36</v>
      </c>
      <c r="D495" t="s">
        <v>52</v>
      </c>
      <c r="E495">
        <v>1</v>
      </c>
      <c r="F495">
        <v>4</v>
      </c>
      <c r="G495" t="s">
        <v>32</v>
      </c>
      <c r="H495">
        <v>1</v>
      </c>
      <c r="I495" t="s">
        <v>33</v>
      </c>
      <c r="J495">
        <v>2</v>
      </c>
      <c r="K495">
        <v>2</v>
      </c>
      <c r="L495" t="s">
        <v>52</v>
      </c>
      <c r="M495">
        <v>3</v>
      </c>
      <c r="N495" t="s">
        <v>35</v>
      </c>
      <c r="O495">
        <v>5985</v>
      </c>
      <c r="P495">
        <v>4</v>
      </c>
      <c r="Q495" t="s">
        <v>36</v>
      </c>
      <c r="R495">
        <v>2</v>
      </c>
      <c r="S495">
        <v>10</v>
      </c>
      <c r="T495">
        <v>4</v>
      </c>
      <c r="U495">
        <v>2</v>
      </c>
      <c r="V495">
        <v>2</v>
      </c>
      <c r="W495">
        <v>0</v>
      </c>
      <c r="X495">
        <v>2</v>
      </c>
      <c r="Y495">
        <v>11</v>
      </c>
      <c r="Z495">
        <f>IF(H_A[[#This Row],[Attrition]]="Yes",1,0)</f>
        <v>0</v>
      </c>
      <c r="AA495" t="str">
        <f>IF(H_A[[#This Row],[Age]]&lt;30,"Young",IF(H_A[[#This Row],[Age]]&lt;45,"Mid","Senior"))</f>
        <v>Mid</v>
      </c>
      <c r="AB495" t="str">
        <f>IF(H_A[[#This Row],[MonthlyIncome]]&lt;5000,"Low",IF(H_A[[#This Row],[MonthlyIncome]]&lt;10000,"Medium","High"))</f>
        <v>Medium</v>
      </c>
      <c r="AC495" t="str">
        <f>IF(H_A[[#This Row],[YearsAtCompany]]&lt;3,"Early",IF(H_A[[#This Row],[YearsAtCompany]]&lt;7,"Mid","Long"))</f>
        <v>Early</v>
      </c>
      <c r="AD495" t="str">
        <f>IF(H_A[[#This Row],[PercentSalaryHike]]&lt;13,"Low",IF(H_A[[#This Row],[PercentSalaryHike]]&lt;18,"Medium","High"))</f>
        <v>Low</v>
      </c>
    </row>
    <row r="496" spans="1:30" x14ac:dyDescent="0.3">
      <c r="A496">
        <v>34</v>
      </c>
      <c r="B496">
        <v>666</v>
      </c>
      <c r="C496" t="s">
        <v>36</v>
      </c>
      <c r="D496" t="s">
        <v>31</v>
      </c>
      <c r="E496">
        <v>14</v>
      </c>
      <c r="F496">
        <v>3</v>
      </c>
      <c r="G496" t="s">
        <v>51</v>
      </c>
      <c r="H496">
        <v>3</v>
      </c>
      <c r="I496" t="s">
        <v>33</v>
      </c>
      <c r="J496">
        <v>3</v>
      </c>
      <c r="K496">
        <v>1</v>
      </c>
      <c r="L496" t="s">
        <v>48</v>
      </c>
      <c r="M496">
        <v>3</v>
      </c>
      <c r="N496" t="s">
        <v>44</v>
      </c>
      <c r="O496">
        <v>2579</v>
      </c>
      <c r="P496">
        <v>1</v>
      </c>
      <c r="Q496" t="s">
        <v>30</v>
      </c>
      <c r="R496">
        <v>4</v>
      </c>
      <c r="S496">
        <v>8</v>
      </c>
      <c r="T496">
        <v>3</v>
      </c>
      <c r="U496">
        <v>8</v>
      </c>
      <c r="V496">
        <v>2</v>
      </c>
      <c r="W496">
        <v>0</v>
      </c>
      <c r="X496">
        <v>6</v>
      </c>
      <c r="Y496">
        <v>18</v>
      </c>
      <c r="Z496">
        <f>IF(H_A[[#This Row],[Attrition]]="Yes",1,0)</f>
        <v>0</v>
      </c>
      <c r="AA496" t="str">
        <f>IF(H_A[[#This Row],[Age]]&lt;30,"Young",IF(H_A[[#This Row],[Age]]&lt;45,"Mid","Senior"))</f>
        <v>Mid</v>
      </c>
      <c r="AB496" t="str">
        <f>IF(H_A[[#This Row],[MonthlyIncome]]&lt;5000,"Low",IF(H_A[[#This Row],[MonthlyIncome]]&lt;10000,"Medium","High"))</f>
        <v>Low</v>
      </c>
      <c r="AC496" t="str">
        <f>IF(H_A[[#This Row],[YearsAtCompany]]&lt;3,"Early",IF(H_A[[#This Row],[YearsAtCompany]]&lt;7,"Mid","Long"))</f>
        <v>Long</v>
      </c>
      <c r="AD496" t="str">
        <f>IF(H_A[[#This Row],[PercentSalaryHike]]&lt;13,"Low",IF(H_A[[#This Row],[PercentSalaryHike]]&lt;18,"Medium","High"))</f>
        <v>High</v>
      </c>
    </row>
    <row r="497" spans="1:30" x14ac:dyDescent="0.3">
      <c r="A497">
        <v>27</v>
      </c>
      <c r="B497">
        <v>667</v>
      </c>
      <c r="C497" t="s">
        <v>30</v>
      </c>
      <c r="D497" t="s">
        <v>31</v>
      </c>
      <c r="E497">
        <v>2</v>
      </c>
      <c r="F497">
        <v>1</v>
      </c>
      <c r="G497" t="s">
        <v>50</v>
      </c>
      <c r="H497">
        <v>3</v>
      </c>
      <c r="I497" t="s">
        <v>38</v>
      </c>
      <c r="J497">
        <v>3</v>
      </c>
      <c r="K497">
        <v>1</v>
      </c>
      <c r="L497" t="s">
        <v>48</v>
      </c>
      <c r="M497">
        <v>1</v>
      </c>
      <c r="N497" t="s">
        <v>44</v>
      </c>
      <c r="O497">
        <v>3041</v>
      </c>
      <c r="P497">
        <v>0</v>
      </c>
      <c r="Q497" t="s">
        <v>36</v>
      </c>
      <c r="R497">
        <v>2</v>
      </c>
      <c r="S497">
        <v>5</v>
      </c>
      <c r="T497">
        <v>3</v>
      </c>
      <c r="U497">
        <v>4</v>
      </c>
      <c r="V497">
        <v>3</v>
      </c>
      <c r="W497">
        <v>0</v>
      </c>
      <c r="X497">
        <v>2</v>
      </c>
      <c r="Y497">
        <v>11</v>
      </c>
      <c r="Z497">
        <f>IF(H_A[[#This Row],[Attrition]]="Yes",1,0)</f>
        <v>1</v>
      </c>
      <c r="AA497" t="str">
        <f>IF(H_A[[#This Row],[Age]]&lt;30,"Young",IF(H_A[[#This Row],[Age]]&lt;45,"Mid","Senior"))</f>
        <v>Young</v>
      </c>
      <c r="AB497" t="str">
        <f>IF(H_A[[#This Row],[MonthlyIncome]]&lt;5000,"Low",IF(H_A[[#This Row],[MonthlyIncome]]&lt;10000,"Medium","High"))</f>
        <v>Low</v>
      </c>
      <c r="AC497" t="str">
        <f>IF(H_A[[#This Row],[YearsAtCompany]]&lt;3,"Early",IF(H_A[[#This Row],[YearsAtCompany]]&lt;7,"Mid","Long"))</f>
        <v>Mid</v>
      </c>
      <c r="AD497" t="str">
        <f>IF(H_A[[#This Row],[PercentSalaryHike]]&lt;13,"Low",IF(H_A[[#This Row],[PercentSalaryHike]]&lt;18,"Medium","High"))</f>
        <v>Low</v>
      </c>
    </row>
    <row r="498" spans="1:30" x14ac:dyDescent="0.3">
      <c r="A498">
        <v>21</v>
      </c>
      <c r="B498">
        <v>669</v>
      </c>
      <c r="C498" t="s">
        <v>36</v>
      </c>
      <c r="D498" t="s">
        <v>31</v>
      </c>
      <c r="E498">
        <v>22</v>
      </c>
      <c r="F498">
        <v>1</v>
      </c>
      <c r="G498" t="s">
        <v>51</v>
      </c>
      <c r="H498">
        <v>3</v>
      </c>
      <c r="I498" t="s">
        <v>38</v>
      </c>
      <c r="J498">
        <v>3</v>
      </c>
      <c r="K498">
        <v>1</v>
      </c>
      <c r="L498" t="s">
        <v>48</v>
      </c>
      <c r="M498">
        <v>3</v>
      </c>
      <c r="N498" t="s">
        <v>35</v>
      </c>
      <c r="O498">
        <v>3447</v>
      </c>
      <c r="P498">
        <v>1</v>
      </c>
      <c r="Q498" t="s">
        <v>36</v>
      </c>
      <c r="R498">
        <v>3</v>
      </c>
      <c r="S498">
        <v>3</v>
      </c>
      <c r="T498">
        <v>3</v>
      </c>
      <c r="U498">
        <v>3</v>
      </c>
      <c r="V498">
        <v>2</v>
      </c>
      <c r="W498">
        <v>1</v>
      </c>
      <c r="X498">
        <v>2</v>
      </c>
      <c r="Y498">
        <v>11</v>
      </c>
      <c r="Z498">
        <f>IF(H_A[[#This Row],[Attrition]]="Yes",1,0)</f>
        <v>0</v>
      </c>
      <c r="AA498" t="str">
        <f>IF(H_A[[#This Row],[Age]]&lt;30,"Young",IF(H_A[[#This Row],[Age]]&lt;45,"Mid","Senior"))</f>
        <v>Young</v>
      </c>
      <c r="AB498" t="str">
        <f>IF(H_A[[#This Row],[MonthlyIncome]]&lt;5000,"Low",IF(H_A[[#This Row],[MonthlyIncome]]&lt;10000,"Medium","High"))</f>
        <v>Low</v>
      </c>
      <c r="AC498" t="str">
        <f>IF(H_A[[#This Row],[YearsAtCompany]]&lt;3,"Early",IF(H_A[[#This Row],[YearsAtCompany]]&lt;7,"Mid","Long"))</f>
        <v>Mid</v>
      </c>
      <c r="AD498" t="str">
        <f>IF(H_A[[#This Row],[PercentSalaryHike]]&lt;13,"Low",IF(H_A[[#This Row],[PercentSalaryHike]]&lt;18,"Medium","High"))</f>
        <v>Low</v>
      </c>
    </row>
    <row r="499" spans="1:30" x14ac:dyDescent="0.3">
      <c r="A499">
        <v>44</v>
      </c>
      <c r="B499">
        <v>671</v>
      </c>
      <c r="C499" t="s">
        <v>36</v>
      </c>
      <c r="D499" t="s">
        <v>37</v>
      </c>
      <c r="E499">
        <v>3</v>
      </c>
      <c r="F499">
        <v>4</v>
      </c>
      <c r="G499" t="s">
        <v>41</v>
      </c>
      <c r="H499">
        <v>4</v>
      </c>
      <c r="I499" t="s">
        <v>38</v>
      </c>
      <c r="J499">
        <v>3</v>
      </c>
      <c r="K499">
        <v>5</v>
      </c>
      <c r="L499" t="s">
        <v>47</v>
      </c>
      <c r="M499">
        <v>4</v>
      </c>
      <c r="N499" t="s">
        <v>40</v>
      </c>
      <c r="O499">
        <v>19513</v>
      </c>
      <c r="P499">
        <v>4</v>
      </c>
      <c r="Q499" t="s">
        <v>30</v>
      </c>
      <c r="R499">
        <v>1</v>
      </c>
      <c r="S499">
        <v>26</v>
      </c>
      <c r="T499">
        <v>4</v>
      </c>
      <c r="U499">
        <v>2</v>
      </c>
      <c r="V499">
        <v>2</v>
      </c>
      <c r="W499">
        <v>0</v>
      </c>
      <c r="X499">
        <v>1</v>
      </c>
      <c r="Y499">
        <v>12</v>
      </c>
      <c r="Z499">
        <f>IF(H_A[[#This Row],[Attrition]]="Yes",1,0)</f>
        <v>0</v>
      </c>
      <c r="AA499" t="str">
        <f>IF(H_A[[#This Row],[Age]]&lt;30,"Young",IF(H_A[[#This Row],[Age]]&lt;45,"Mid","Senior"))</f>
        <v>Mid</v>
      </c>
      <c r="AB499" t="str">
        <f>IF(H_A[[#This Row],[MonthlyIncome]]&lt;5000,"Low",IF(H_A[[#This Row],[MonthlyIncome]]&lt;10000,"Medium","High"))</f>
        <v>High</v>
      </c>
      <c r="AC499" t="str">
        <f>IF(H_A[[#This Row],[YearsAtCompany]]&lt;3,"Early",IF(H_A[[#This Row],[YearsAtCompany]]&lt;7,"Mid","Long"))</f>
        <v>Early</v>
      </c>
      <c r="AD499" t="str">
        <f>IF(H_A[[#This Row],[PercentSalaryHike]]&lt;13,"Low",IF(H_A[[#This Row],[PercentSalaryHike]]&lt;18,"Medium","High"))</f>
        <v>Low</v>
      </c>
    </row>
    <row r="500" spans="1:30" x14ac:dyDescent="0.3">
      <c r="A500">
        <v>22</v>
      </c>
      <c r="B500">
        <v>675</v>
      </c>
      <c r="C500" t="s">
        <v>36</v>
      </c>
      <c r="D500" t="s">
        <v>37</v>
      </c>
      <c r="E500">
        <v>6</v>
      </c>
      <c r="F500">
        <v>1</v>
      </c>
      <c r="G500" t="s">
        <v>43</v>
      </c>
      <c r="H500">
        <v>1</v>
      </c>
      <c r="I500" t="s">
        <v>38</v>
      </c>
      <c r="J500">
        <v>3</v>
      </c>
      <c r="K500">
        <v>1</v>
      </c>
      <c r="L500" t="s">
        <v>39</v>
      </c>
      <c r="M500">
        <v>3</v>
      </c>
      <c r="N500" t="s">
        <v>40</v>
      </c>
      <c r="O500">
        <v>2773</v>
      </c>
      <c r="P500">
        <v>0</v>
      </c>
      <c r="Q500" t="s">
        <v>36</v>
      </c>
      <c r="R500">
        <v>4</v>
      </c>
      <c r="S500">
        <v>3</v>
      </c>
      <c r="T500">
        <v>3</v>
      </c>
      <c r="U500">
        <v>2</v>
      </c>
      <c r="V500">
        <v>2</v>
      </c>
      <c r="W500">
        <v>2</v>
      </c>
      <c r="X500">
        <v>2</v>
      </c>
      <c r="Y500">
        <v>20</v>
      </c>
      <c r="Z500">
        <f>IF(H_A[[#This Row],[Attrition]]="Yes",1,0)</f>
        <v>0</v>
      </c>
      <c r="AA500" t="str">
        <f>IF(H_A[[#This Row],[Age]]&lt;30,"Young",IF(H_A[[#This Row],[Age]]&lt;45,"Mid","Senior"))</f>
        <v>Young</v>
      </c>
      <c r="AB500" t="str">
        <f>IF(H_A[[#This Row],[MonthlyIncome]]&lt;5000,"Low",IF(H_A[[#This Row],[MonthlyIncome]]&lt;10000,"Medium","High"))</f>
        <v>Low</v>
      </c>
      <c r="AC500" t="str">
        <f>IF(H_A[[#This Row],[YearsAtCompany]]&lt;3,"Early",IF(H_A[[#This Row],[YearsAtCompany]]&lt;7,"Mid","Long"))</f>
        <v>Early</v>
      </c>
      <c r="AD500" t="str">
        <f>IF(H_A[[#This Row],[PercentSalaryHike]]&lt;13,"Low",IF(H_A[[#This Row],[PercentSalaryHike]]&lt;18,"Medium","High"))</f>
        <v>High</v>
      </c>
    </row>
    <row r="501" spans="1:30" x14ac:dyDescent="0.3">
      <c r="A501">
        <v>33</v>
      </c>
      <c r="B501">
        <v>677</v>
      </c>
      <c r="C501" t="s">
        <v>36</v>
      </c>
      <c r="D501" t="s">
        <v>31</v>
      </c>
      <c r="E501">
        <v>8</v>
      </c>
      <c r="F501">
        <v>4</v>
      </c>
      <c r="G501" t="s">
        <v>50</v>
      </c>
      <c r="H501">
        <v>3</v>
      </c>
      <c r="I501" t="s">
        <v>38</v>
      </c>
      <c r="J501">
        <v>3</v>
      </c>
      <c r="K501">
        <v>2</v>
      </c>
      <c r="L501" t="s">
        <v>34</v>
      </c>
      <c r="M501">
        <v>3</v>
      </c>
      <c r="N501" t="s">
        <v>44</v>
      </c>
      <c r="O501">
        <v>7104</v>
      </c>
      <c r="P501">
        <v>0</v>
      </c>
      <c r="Q501" t="s">
        <v>36</v>
      </c>
      <c r="R501">
        <v>4</v>
      </c>
      <c r="S501">
        <v>6</v>
      </c>
      <c r="T501">
        <v>3</v>
      </c>
      <c r="U501">
        <v>5</v>
      </c>
      <c r="V501">
        <v>0</v>
      </c>
      <c r="W501">
        <v>1</v>
      </c>
      <c r="X501">
        <v>2</v>
      </c>
      <c r="Y501">
        <v>12</v>
      </c>
      <c r="Z501">
        <f>IF(H_A[[#This Row],[Attrition]]="Yes",1,0)</f>
        <v>0</v>
      </c>
      <c r="AA501" t="str">
        <f>IF(H_A[[#This Row],[Age]]&lt;30,"Young",IF(H_A[[#This Row],[Age]]&lt;45,"Mid","Senior"))</f>
        <v>Mid</v>
      </c>
      <c r="AB501" t="str">
        <f>IF(H_A[[#This Row],[MonthlyIncome]]&lt;5000,"Low",IF(H_A[[#This Row],[MonthlyIncome]]&lt;10000,"Medium","High"))</f>
        <v>Medium</v>
      </c>
      <c r="AC501" t="str">
        <f>IF(H_A[[#This Row],[YearsAtCompany]]&lt;3,"Early",IF(H_A[[#This Row],[YearsAtCompany]]&lt;7,"Mid","Long"))</f>
        <v>Mid</v>
      </c>
      <c r="AD501" t="str">
        <f>IF(H_A[[#This Row],[PercentSalaryHike]]&lt;13,"Low",IF(H_A[[#This Row],[PercentSalaryHike]]&lt;18,"Medium","High"))</f>
        <v>Low</v>
      </c>
    </row>
    <row r="502" spans="1:30" x14ac:dyDescent="0.3">
      <c r="A502">
        <v>32</v>
      </c>
      <c r="B502">
        <v>679</v>
      </c>
      <c r="C502" t="s">
        <v>36</v>
      </c>
      <c r="D502" t="s">
        <v>37</v>
      </c>
      <c r="E502">
        <v>9</v>
      </c>
      <c r="F502">
        <v>4</v>
      </c>
      <c r="G502" t="s">
        <v>32</v>
      </c>
      <c r="H502">
        <v>1</v>
      </c>
      <c r="I502" t="s">
        <v>33</v>
      </c>
      <c r="J502">
        <v>3</v>
      </c>
      <c r="K502">
        <v>2</v>
      </c>
      <c r="L502" t="s">
        <v>39</v>
      </c>
      <c r="M502">
        <v>4</v>
      </c>
      <c r="N502" t="s">
        <v>40</v>
      </c>
      <c r="O502">
        <v>6322</v>
      </c>
      <c r="P502">
        <v>1</v>
      </c>
      <c r="Q502" t="s">
        <v>30</v>
      </c>
      <c r="R502">
        <v>4</v>
      </c>
      <c r="S502">
        <v>6</v>
      </c>
      <c r="T502">
        <v>2</v>
      </c>
      <c r="U502">
        <v>6</v>
      </c>
      <c r="V502">
        <v>4</v>
      </c>
      <c r="W502">
        <v>0</v>
      </c>
      <c r="X502">
        <v>5</v>
      </c>
      <c r="Y502">
        <v>12</v>
      </c>
      <c r="Z502">
        <f>IF(H_A[[#This Row],[Attrition]]="Yes",1,0)</f>
        <v>0</v>
      </c>
      <c r="AA502" t="str">
        <f>IF(H_A[[#This Row],[Age]]&lt;30,"Young",IF(H_A[[#This Row],[Age]]&lt;45,"Mid","Senior"))</f>
        <v>Mid</v>
      </c>
      <c r="AB502" t="str">
        <f>IF(H_A[[#This Row],[MonthlyIncome]]&lt;5000,"Low",IF(H_A[[#This Row],[MonthlyIncome]]&lt;10000,"Medium","High"))</f>
        <v>Medium</v>
      </c>
      <c r="AC502" t="str">
        <f>IF(H_A[[#This Row],[YearsAtCompany]]&lt;3,"Early",IF(H_A[[#This Row],[YearsAtCompany]]&lt;7,"Mid","Long"))</f>
        <v>Mid</v>
      </c>
      <c r="AD502" t="str">
        <f>IF(H_A[[#This Row],[PercentSalaryHike]]&lt;13,"Low",IF(H_A[[#This Row],[PercentSalaryHike]]&lt;18,"Medium","High"))</f>
        <v>Low</v>
      </c>
    </row>
    <row r="503" spans="1:30" x14ac:dyDescent="0.3">
      <c r="A503">
        <v>30</v>
      </c>
      <c r="B503">
        <v>680</v>
      </c>
      <c r="C503" t="s">
        <v>36</v>
      </c>
      <c r="D503" t="s">
        <v>37</v>
      </c>
      <c r="E503">
        <v>3</v>
      </c>
      <c r="F503">
        <v>3</v>
      </c>
      <c r="G503" t="s">
        <v>43</v>
      </c>
      <c r="H503">
        <v>3</v>
      </c>
      <c r="I503" t="s">
        <v>33</v>
      </c>
      <c r="J503">
        <v>3</v>
      </c>
      <c r="K503">
        <v>1</v>
      </c>
      <c r="L503" t="s">
        <v>39</v>
      </c>
      <c r="M503">
        <v>3</v>
      </c>
      <c r="N503" t="s">
        <v>44</v>
      </c>
      <c r="O503">
        <v>2083</v>
      </c>
      <c r="P503">
        <v>1</v>
      </c>
      <c r="Q503" t="s">
        <v>36</v>
      </c>
      <c r="R503">
        <v>3</v>
      </c>
      <c r="S503">
        <v>1</v>
      </c>
      <c r="T503">
        <v>3</v>
      </c>
      <c r="U503">
        <v>1</v>
      </c>
      <c r="V503">
        <v>0</v>
      </c>
      <c r="W503">
        <v>0</v>
      </c>
      <c r="X503">
        <v>0</v>
      </c>
      <c r="Y503">
        <v>20</v>
      </c>
      <c r="Z503">
        <f>IF(H_A[[#This Row],[Attrition]]="Yes",1,0)</f>
        <v>0</v>
      </c>
      <c r="AA503" t="str">
        <f>IF(H_A[[#This Row],[Age]]&lt;30,"Young",IF(H_A[[#This Row],[Age]]&lt;45,"Mid","Senior"))</f>
        <v>Mid</v>
      </c>
      <c r="AB503" t="str">
        <f>IF(H_A[[#This Row],[MonthlyIncome]]&lt;5000,"Low",IF(H_A[[#This Row],[MonthlyIncome]]&lt;10000,"Medium","High"))</f>
        <v>Low</v>
      </c>
      <c r="AC503" t="str">
        <f>IF(H_A[[#This Row],[YearsAtCompany]]&lt;3,"Early",IF(H_A[[#This Row],[YearsAtCompany]]&lt;7,"Mid","Long"))</f>
        <v>Early</v>
      </c>
      <c r="AD503" t="str">
        <f>IF(H_A[[#This Row],[PercentSalaryHike]]&lt;13,"Low",IF(H_A[[#This Row],[PercentSalaryHike]]&lt;18,"Medium","High"))</f>
        <v>High</v>
      </c>
    </row>
    <row r="504" spans="1:30" x14ac:dyDescent="0.3">
      <c r="A504">
        <v>53</v>
      </c>
      <c r="B504">
        <v>682</v>
      </c>
      <c r="C504" t="s">
        <v>36</v>
      </c>
      <c r="D504" t="s">
        <v>31</v>
      </c>
      <c r="E504">
        <v>1</v>
      </c>
      <c r="F504">
        <v>1</v>
      </c>
      <c r="G504" t="s">
        <v>43</v>
      </c>
      <c r="H504">
        <v>4</v>
      </c>
      <c r="I504" t="s">
        <v>33</v>
      </c>
      <c r="J504">
        <v>3</v>
      </c>
      <c r="K504">
        <v>2</v>
      </c>
      <c r="L504" t="s">
        <v>34</v>
      </c>
      <c r="M504">
        <v>1</v>
      </c>
      <c r="N504" t="s">
        <v>35</v>
      </c>
      <c r="O504">
        <v>8381</v>
      </c>
      <c r="P504">
        <v>7</v>
      </c>
      <c r="Q504" t="s">
        <v>36</v>
      </c>
      <c r="R504">
        <v>4</v>
      </c>
      <c r="S504">
        <v>18</v>
      </c>
      <c r="T504">
        <v>4</v>
      </c>
      <c r="U504">
        <v>14</v>
      </c>
      <c r="V504">
        <v>7</v>
      </c>
      <c r="W504">
        <v>8</v>
      </c>
      <c r="X504">
        <v>10</v>
      </c>
      <c r="Y504">
        <v>20</v>
      </c>
      <c r="Z504">
        <f>IF(H_A[[#This Row],[Attrition]]="Yes",1,0)</f>
        <v>0</v>
      </c>
      <c r="AA504" t="str">
        <f>IF(H_A[[#This Row],[Age]]&lt;30,"Young",IF(H_A[[#This Row],[Age]]&lt;45,"Mid","Senior"))</f>
        <v>Senior</v>
      </c>
      <c r="AB504" t="str">
        <f>IF(H_A[[#This Row],[MonthlyIncome]]&lt;5000,"Low",IF(H_A[[#This Row],[MonthlyIncome]]&lt;10000,"Medium","High"))</f>
        <v>Medium</v>
      </c>
      <c r="AC504" t="str">
        <f>IF(H_A[[#This Row],[YearsAtCompany]]&lt;3,"Early",IF(H_A[[#This Row],[YearsAtCompany]]&lt;7,"Mid","Long"))</f>
        <v>Long</v>
      </c>
      <c r="AD504" t="str">
        <f>IF(H_A[[#This Row],[PercentSalaryHike]]&lt;13,"Low",IF(H_A[[#This Row],[PercentSalaryHike]]&lt;18,"Medium","High"))</f>
        <v>High</v>
      </c>
    </row>
    <row r="505" spans="1:30" x14ac:dyDescent="0.3">
      <c r="A505">
        <v>34</v>
      </c>
      <c r="B505">
        <v>683</v>
      </c>
      <c r="C505" t="s">
        <v>36</v>
      </c>
      <c r="D505" t="s">
        <v>37</v>
      </c>
      <c r="E505">
        <v>1</v>
      </c>
      <c r="F505">
        <v>5</v>
      </c>
      <c r="G505" t="s">
        <v>32</v>
      </c>
      <c r="H505">
        <v>2</v>
      </c>
      <c r="I505" t="s">
        <v>38</v>
      </c>
      <c r="J505">
        <v>3</v>
      </c>
      <c r="K505">
        <v>1</v>
      </c>
      <c r="L505" t="s">
        <v>39</v>
      </c>
      <c r="M505">
        <v>4</v>
      </c>
      <c r="N505" t="s">
        <v>40</v>
      </c>
      <c r="O505">
        <v>2691</v>
      </c>
      <c r="P505">
        <v>1</v>
      </c>
      <c r="Q505" t="s">
        <v>36</v>
      </c>
      <c r="R505">
        <v>4</v>
      </c>
      <c r="S505">
        <v>10</v>
      </c>
      <c r="T505">
        <v>2</v>
      </c>
      <c r="U505">
        <v>10</v>
      </c>
      <c r="V505">
        <v>9</v>
      </c>
      <c r="W505">
        <v>8</v>
      </c>
      <c r="X505">
        <v>8</v>
      </c>
      <c r="Y505">
        <v>12</v>
      </c>
      <c r="Z505">
        <f>IF(H_A[[#This Row],[Attrition]]="Yes",1,0)</f>
        <v>0</v>
      </c>
      <c r="AA505" t="str">
        <f>IF(H_A[[#This Row],[Age]]&lt;30,"Young",IF(H_A[[#This Row],[Age]]&lt;45,"Mid","Senior"))</f>
        <v>Mid</v>
      </c>
      <c r="AB505" t="str">
        <f>IF(H_A[[#This Row],[MonthlyIncome]]&lt;5000,"Low",IF(H_A[[#This Row],[MonthlyIncome]]&lt;10000,"Medium","High"))</f>
        <v>Low</v>
      </c>
      <c r="AC505" t="str">
        <f>IF(H_A[[#This Row],[YearsAtCompany]]&lt;3,"Early",IF(H_A[[#This Row],[YearsAtCompany]]&lt;7,"Mid","Long"))</f>
        <v>Long</v>
      </c>
      <c r="AD505" t="str">
        <f>IF(H_A[[#This Row],[PercentSalaryHike]]&lt;13,"Low",IF(H_A[[#This Row],[PercentSalaryHike]]&lt;18,"Medium","High"))</f>
        <v>Low</v>
      </c>
    </row>
    <row r="506" spans="1:30" x14ac:dyDescent="0.3">
      <c r="A506">
        <v>45</v>
      </c>
      <c r="B506">
        <v>684</v>
      </c>
      <c r="C506" t="s">
        <v>30</v>
      </c>
      <c r="D506" t="s">
        <v>31</v>
      </c>
      <c r="E506">
        <v>26</v>
      </c>
      <c r="F506">
        <v>4</v>
      </c>
      <c r="G506" t="s">
        <v>32</v>
      </c>
      <c r="H506">
        <v>1</v>
      </c>
      <c r="I506" t="s">
        <v>33</v>
      </c>
      <c r="J506">
        <v>3</v>
      </c>
      <c r="K506">
        <v>2</v>
      </c>
      <c r="L506" t="s">
        <v>34</v>
      </c>
      <c r="M506">
        <v>1</v>
      </c>
      <c r="N506" t="s">
        <v>40</v>
      </c>
      <c r="O506">
        <v>4286</v>
      </c>
      <c r="P506">
        <v>2</v>
      </c>
      <c r="Q506" t="s">
        <v>36</v>
      </c>
      <c r="R506">
        <v>4</v>
      </c>
      <c r="S506">
        <v>5</v>
      </c>
      <c r="T506">
        <v>3</v>
      </c>
      <c r="U506">
        <v>1</v>
      </c>
      <c r="V506">
        <v>1</v>
      </c>
      <c r="W506">
        <v>0</v>
      </c>
      <c r="X506">
        <v>0</v>
      </c>
      <c r="Y506">
        <v>14</v>
      </c>
      <c r="Z506">
        <f>IF(H_A[[#This Row],[Attrition]]="Yes",1,0)</f>
        <v>1</v>
      </c>
      <c r="AA506" t="str">
        <f>IF(H_A[[#This Row],[Age]]&lt;30,"Young",IF(H_A[[#This Row],[Age]]&lt;45,"Mid","Senior"))</f>
        <v>Senior</v>
      </c>
      <c r="AB506" t="str">
        <f>IF(H_A[[#This Row],[MonthlyIncome]]&lt;5000,"Low",IF(H_A[[#This Row],[MonthlyIncome]]&lt;10000,"Medium","High"))</f>
        <v>Low</v>
      </c>
      <c r="AC506" t="str">
        <f>IF(H_A[[#This Row],[YearsAtCompany]]&lt;3,"Early",IF(H_A[[#This Row],[YearsAtCompany]]&lt;7,"Mid","Long"))</f>
        <v>Early</v>
      </c>
      <c r="AD506" t="str">
        <f>IF(H_A[[#This Row],[PercentSalaryHike]]&lt;13,"Low",IF(H_A[[#This Row],[PercentSalaryHike]]&lt;18,"Medium","High"))</f>
        <v>Medium</v>
      </c>
    </row>
    <row r="507" spans="1:30" x14ac:dyDescent="0.3">
      <c r="A507">
        <v>26</v>
      </c>
      <c r="B507">
        <v>686</v>
      </c>
      <c r="C507" t="s">
        <v>36</v>
      </c>
      <c r="D507" t="s">
        <v>37</v>
      </c>
      <c r="E507">
        <v>6</v>
      </c>
      <c r="F507">
        <v>3</v>
      </c>
      <c r="G507" t="s">
        <v>32</v>
      </c>
      <c r="H507">
        <v>3</v>
      </c>
      <c r="I507" t="s">
        <v>33</v>
      </c>
      <c r="J507">
        <v>3</v>
      </c>
      <c r="K507">
        <v>1</v>
      </c>
      <c r="L507" t="s">
        <v>42</v>
      </c>
      <c r="M507">
        <v>4</v>
      </c>
      <c r="N507" t="s">
        <v>40</v>
      </c>
      <c r="O507">
        <v>2659</v>
      </c>
      <c r="P507">
        <v>1</v>
      </c>
      <c r="Q507" t="s">
        <v>30</v>
      </c>
      <c r="R507">
        <v>3</v>
      </c>
      <c r="S507">
        <v>3</v>
      </c>
      <c r="T507">
        <v>3</v>
      </c>
      <c r="U507">
        <v>3</v>
      </c>
      <c r="V507">
        <v>2</v>
      </c>
      <c r="W507">
        <v>0</v>
      </c>
      <c r="X507">
        <v>2</v>
      </c>
      <c r="Y507">
        <v>13</v>
      </c>
      <c r="Z507">
        <f>IF(H_A[[#This Row],[Attrition]]="Yes",1,0)</f>
        <v>0</v>
      </c>
      <c r="AA507" t="str">
        <f>IF(H_A[[#This Row],[Age]]&lt;30,"Young",IF(H_A[[#This Row],[Age]]&lt;45,"Mid","Senior"))</f>
        <v>Young</v>
      </c>
      <c r="AB507" t="str">
        <f>IF(H_A[[#This Row],[MonthlyIncome]]&lt;5000,"Low",IF(H_A[[#This Row],[MonthlyIncome]]&lt;10000,"Medium","High"))</f>
        <v>Low</v>
      </c>
      <c r="AC507" t="str">
        <f>IF(H_A[[#This Row],[YearsAtCompany]]&lt;3,"Early",IF(H_A[[#This Row],[YearsAtCompany]]&lt;7,"Mid","Long"))</f>
        <v>Mid</v>
      </c>
      <c r="AD507" t="str">
        <f>IF(H_A[[#This Row],[PercentSalaryHike]]&lt;13,"Low",IF(H_A[[#This Row],[PercentSalaryHike]]&lt;18,"Medium","High"))</f>
        <v>Medium</v>
      </c>
    </row>
    <row r="508" spans="1:30" x14ac:dyDescent="0.3">
      <c r="A508">
        <v>37</v>
      </c>
      <c r="B508">
        <v>689</v>
      </c>
      <c r="C508" t="s">
        <v>36</v>
      </c>
      <c r="D508" t="s">
        <v>37</v>
      </c>
      <c r="E508">
        <v>3</v>
      </c>
      <c r="F508">
        <v>3</v>
      </c>
      <c r="G508" t="s">
        <v>41</v>
      </c>
      <c r="H508">
        <v>3</v>
      </c>
      <c r="I508" t="s">
        <v>38</v>
      </c>
      <c r="J508">
        <v>3</v>
      </c>
      <c r="K508">
        <v>3</v>
      </c>
      <c r="L508" t="s">
        <v>45</v>
      </c>
      <c r="M508">
        <v>3</v>
      </c>
      <c r="N508" t="s">
        <v>40</v>
      </c>
      <c r="O508">
        <v>9434</v>
      </c>
      <c r="P508">
        <v>1</v>
      </c>
      <c r="Q508" t="s">
        <v>36</v>
      </c>
      <c r="R508">
        <v>3</v>
      </c>
      <c r="S508">
        <v>10</v>
      </c>
      <c r="T508">
        <v>3</v>
      </c>
      <c r="U508">
        <v>10</v>
      </c>
      <c r="V508">
        <v>7</v>
      </c>
      <c r="W508">
        <v>7</v>
      </c>
      <c r="X508">
        <v>8</v>
      </c>
      <c r="Y508">
        <v>15</v>
      </c>
      <c r="Z508">
        <f>IF(H_A[[#This Row],[Attrition]]="Yes",1,0)</f>
        <v>0</v>
      </c>
      <c r="AA508" t="str">
        <f>IF(H_A[[#This Row],[Age]]&lt;30,"Young",IF(H_A[[#This Row],[Age]]&lt;45,"Mid","Senior"))</f>
        <v>Mid</v>
      </c>
      <c r="AB508" t="str">
        <f>IF(H_A[[#This Row],[MonthlyIncome]]&lt;5000,"Low",IF(H_A[[#This Row],[MonthlyIncome]]&lt;10000,"Medium","High"))</f>
        <v>Medium</v>
      </c>
      <c r="AC508" t="str">
        <f>IF(H_A[[#This Row],[YearsAtCompany]]&lt;3,"Early",IF(H_A[[#This Row],[YearsAtCompany]]&lt;7,"Mid","Long"))</f>
        <v>Long</v>
      </c>
      <c r="AD508" t="str">
        <f>IF(H_A[[#This Row],[PercentSalaryHike]]&lt;13,"Low",IF(H_A[[#This Row],[PercentSalaryHike]]&lt;18,"Medium","High"))</f>
        <v>Medium</v>
      </c>
    </row>
    <row r="509" spans="1:30" x14ac:dyDescent="0.3">
      <c r="A509">
        <v>29</v>
      </c>
      <c r="B509">
        <v>690</v>
      </c>
      <c r="C509" t="s">
        <v>36</v>
      </c>
      <c r="D509" t="s">
        <v>31</v>
      </c>
      <c r="E509">
        <v>3</v>
      </c>
      <c r="F509">
        <v>2</v>
      </c>
      <c r="G509" t="s">
        <v>43</v>
      </c>
      <c r="H509">
        <v>2</v>
      </c>
      <c r="I509" t="s">
        <v>33</v>
      </c>
      <c r="J509">
        <v>3</v>
      </c>
      <c r="K509">
        <v>2</v>
      </c>
      <c r="L509" t="s">
        <v>34</v>
      </c>
      <c r="M509">
        <v>3</v>
      </c>
      <c r="N509" t="s">
        <v>40</v>
      </c>
      <c r="O509">
        <v>5561</v>
      </c>
      <c r="P509">
        <v>1</v>
      </c>
      <c r="Q509" t="s">
        <v>36</v>
      </c>
      <c r="R509">
        <v>1</v>
      </c>
      <c r="S509">
        <v>6</v>
      </c>
      <c r="T509">
        <v>2</v>
      </c>
      <c r="U509">
        <v>6</v>
      </c>
      <c r="V509">
        <v>0</v>
      </c>
      <c r="W509">
        <v>1</v>
      </c>
      <c r="X509">
        <v>2</v>
      </c>
      <c r="Y509">
        <v>14</v>
      </c>
      <c r="Z509">
        <f>IF(H_A[[#This Row],[Attrition]]="Yes",1,0)</f>
        <v>0</v>
      </c>
      <c r="AA509" t="str">
        <f>IF(H_A[[#This Row],[Age]]&lt;30,"Young",IF(H_A[[#This Row],[Age]]&lt;45,"Mid","Senior"))</f>
        <v>Young</v>
      </c>
      <c r="AB509" t="str">
        <f>IF(H_A[[#This Row],[MonthlyIncome]]&lt;5000,"Low",IF(H_A[[#This Row],[MonthlyIncome]]&lt;10000,"Medium","High"))</f>
        <v>Medium</v>
      </c>
      <c r="AC509" t="str">
        <f>IF(H_A[[#This Row],[YearsAtCompany]]&lt;3,"Early",IF(H_A[[#This Row],[YearsAtCompany]]&lt;7,"Mid","Long"))</f>
        <v>Mid</v>
      </c>
      <c r="AD509" t="str">
        <f>IF(H_A[[#This Row],[PercentSalaryHike]]&lt;13,"Low",IF(H_A[[#This Row],[PercentSalaryHike]]&lt;18,"Medium","High"))</f>
        <v>Medium</v>
      </c>
    </row>
    <row r="510" spans="1:30" x14ac:dyDescent="0.3">
      <c r="A510">
        <v>35</v>
      </c>
      <c r="B510">
        <v>691</v>
      </c>
      <c r="C510" t="s">
        <v>36</v>
      </c>
      <c r="D510" t="s">
        <v>37</v>
      </c>
      <c r="E510">
        <v>6</v>
      </c>
      <c r="F510">
        <v>4</v>
      </c>
      <c r="G510" t="s">
        <v>32</v>
      </c>
      <c r="H510">
        <v>2</v>
      </c>
      <c r="I510" t="s">
        <v>38</v>
      </c>
      <c r="J510">
        <v>1</v>
      </c>
      <c r="K510">
        <v>2</v>
      </c>
      <c r="L510" t="s">
        <v>39</v>
      </c>
      <c r="M510">
        <v>4</v>
      </c>
      <c r="N510" t="s">
        <v>35</v>
      </c>
      <c r="O510">
        <v>6646</v>
      </c>
      <c r="P510">
        <v>1</v>
      </c>
      <c r="Q510" t="s">
        <v>36</v>
      </c>
      <c r="R510">
        <v>2</v>
      </c>
      <c r="S510">
        <v>17</v>
      </c>
      <c r="T510">
        <v>3</v>
      </c>
      <c r="U510">
        <v>17</v>
      </c>
      <c r="V510">
        <v>11</v>
      </c>
      <c r="W510">
        <v>11</v>
      </c>
      <c r="X510">
        <v>8</v>
      </c>
      <c r="Y510">
        <v>13</v>
      </c>
      <c r="Z510">
        <f>IF(H_A[[#This Row],[Attrition]]="Yes",1,0)</f>
        <v>0</v>
      </c>
      <c r="AA510" t="str">
        <f>IF(H_A[[#This Row],[Age]]&lt;30,"Young",IF(H_A[[#This Row],[Age]]&lt;45,"Mid","Senior"))</f>
        <v>Mid</v>
      </c>
      <c r="AB510" t="str">
        <f>IF(H_A[[#This Row],[MonthlyIncome]]&lt;5000,"Low",IF(H_A[[#This Row],[MonthlyIncome]]&lt;10000,"Medium","High"))</f>
        <v>Medium</v>
      </c>
      <c r="AC510" t="str">
        <f>IF(H_A[[#This Row],[YearsAtCompany]]&lt;3,"Early",IF(H_A[[#This Row],[YearsAtCompany]]&lt;7,"Mid","Long"))</f>
        <v>Long</v>
      </c>
      <c r="AD510" t="str">
        <f>IF(H_A[[#This Row],[PercentSalaryHike]]&lt;13,"Low",IF(H_A[[#This Row],[PercentSalaryHike]]&lt;18,"Medium","High"))</f>
        <v>Medium</v>
      </c>
    </row>
    <row r="511" spans="1:30" x14ac:dyDescent="0.3">
      <c r="A511">
        <v>33</v>
      </c>
      <c r="B511">
        <v>692</v>
      </c>
      <c r="C511" t="s">
        <v>36</v>
      </c>
      <c r="D511" t="s">
        <v>37</v>
      </c>
      <c r="E511">
        <v>6</v>
      </c>
      <c r="F511">
        <v>3</v>
      </c>
      <c r="G511" t="s">
        <v>32</v>
      </c>
      <c r="H511">
        <v>3</v>
      </c>
      <c r="I511" t="s">
        <v>38</v>
      </c>
      <c r="J511">
        <v>3</v>
      </c>
      <c r="K511">
        <v>2</v>
      </c>
      <c r="L511" t="s">
        <v>46</v>
      </c>
      <c r="M511">
        <v>4</v>
      </c>
      <c r="N511" t="s">
        <v>44</v>
      </c>
      <c r="O511">
        <v>7725</v>
      </c>
      <c r="P511">
        <v>3</v>
      </c>
      <c r="Q511" t="s">
        <v>36</v>
      </c>
      <c r="R511">
        <v>3</v>
      </c>
      <c r="S511">
        <v>15</v>
      </c>
      <c r="T511">
        <v>1</v>
      </c>
      <c r="U511">
        <v>13</v>
      </c>
      <c r="V511">
        <v>11</v>
      </c>
      <c r="W511">
        <v>4</v>
      </c>
      <c r="X511">
        <v>7</v>
      </c>
      <c r="Y511">
        <v>23</v>
      </c>
      <c r="Z511">
        <f>IF(H_A[[#This Row],[Attrition]]="Yes",1,0)</f>
        <v>0</v>
      </c>
      <c r="AA511" t="str">
        <f>IF(H_A[[#This Row],[Age]]&lt;30,"Young",IF(H_A[[#This Row],[Age]]&lt;45,"Mid","Senior"))</f>
        <v>Mid</v>
      </c>
      <c r="AB511" t="str">
        <f>IF(H_A[[#This Row],[MonthlyIncome]]&lt;5000,"Low",IF(H_A[[#This Row],[MonthlyIncome]]&lt;10000,"Medium","High"))</f>
        <v>Medium</v>
      </c>
      <c r="AC511" t="str">
        <f>IF(H_A[[#This Row],[YearsAtCompany]]&lt;3,"Early",IF(H_A[[#This Row],[YearsAtCompany]]&lt;7,"Mid","Long"))</f>
        <v>Long</v>
      </c>
      <c r="AD511" t="str">
        <f>IF(H_A[[#This Row],[PercentSalaryHike]]&lt;13,"Low",IF(H_A[[#This Row],[PercentSalaryHike]]&lt;18,"Medium","High"))</f>
        <v>High</v>
      </c>
    </row>
    <row r="512" spans="1:30" x14ac:dyDescent="0.3">
      <c r="A512">
        <v>54</v>
      </c>
      <c r="B512">
        <v>698</v>
      </c>
      <c r="C512" t="s">
        <v>36</v>
      </c>
      <c r="D512" t="s">
        <v>52</v>
      </c>
      <c r="E512">
        <v>19</v>
      </c>
      <c r="F512">
        <v>4</v>
      </c>
      <c r="G512" t="s">
        <v>43</v>
      </c>
      <c r="H512">
        <v>3</v>
      </c>
      <c r="I512" t="s">
        <v>38</v>
      </c>
      <c r="J512">
        <v>3</v>
      </c>
      <c r="K512">
        <v>3</v>
      </c>
      <c r="L512" t="s">
        <v>52</v>
      </c>
      <c r="M512">
        <v>2</v>
      </c>
      <c r="N512" t="s">
        <v>40</v>
      </c>
      <c r="O512">
        <v>10725</v>
      </c>
      <c r="P512">
        <v>2</v>
      </c>
      <c r="Q512" t="s">
        <v>36</v>
      </c>
      <c r="R512">
        <v>3</v>
      </c>
      <c r="S512">
        <v>16</v>
      </c>
      <c r="T512">
        <v>4</v>
      </c>
      <c r="U512">
        <v>9</v>
      </c>
      <c r="V512">
        <v>7</v>
      </c>
      <c r="W512">
        <v>7</v>
      </c>
      <c r="X512">
        <v>1</v>
      </c>
      <c r="Y512">
        <v>15</v>
      </c>
      <c r="Z512">
        <f>IF(H_A[[#This Row],[Attrition]]="Yes",1,0)</f>
        <v>0</v>
      </c>
      <c r="AA512" t="str">
        <f>IF(H_A[[#This Row],[Age]]&lt;30,"Young",IF(H_A[[#This Row],[Age]]&lt;45,"Mid","Senior"))</f>
        <v>Senior</v>
      </c>
      <c r="AB512" t="str">
        <f>IF(H_A[[#This Row],[MonthlyIncome]]&lt;5000,"Low",IF(H_A[[#This Row],[MonthlyIncome]]&lt;10000,"Medium","High"))</f>
        <v>High</v>
      </c>
      <c r="AC512" t="str">
        <f>IF(H_A[[#This Row],[YearsAtCompany]]&lt;3,"Early",IF(H_A[[#This Row],[YearsAtCompany]]&lt;7,"Mid","Long"))</f>
        <v>Long</v>
      </c>
      <c r="AD512" t="str">
        <f>IF(H_A[[#This Row],[PercentSalaryHike]]&lt;13,"Low",IF(H_A[[#This Row],[PercentSalaryHike]]&lt;18,"Medium","High"))</f>
        <v>Medium</v>
      </c>
    </row>
    <row r="513" spans="1:30" x14ac:dyDescent="0.3">
      <c r="A513">
        <v>36</v>
      </c>
      <c r="B513">
        <v>699</v>
      </c>
      <c r="C513" t="s">
        <v>36</v>
      </c>
      <c r="D513" t="s">
        <v>37</v>
      </c>
      <c r="E513">
        <v>9</v>
      </c>
      <c r="F513">
        <v>2</v>
      </c>
      <c r="G513" t="s">
        <v>43</v>
      </c>
      <c r="H513">
        <v>2</v>
      </c>
      <c r="I513" t="s">
        <v>38</v>
      </c>
      <c r="J513">
        <v>2</v>
      </c>
      <c r="K513">
        <v>2</v>
      </c>
      <c r="L513" t="s">
        <v>45</v>
      </c>
      <c r="M513">
        <v>2</v>
      </c>
      <c r="N513" t="s">
        <v>44</v>
      </c>
      <c r="O513">
        <v>8847</v>
      </c>
      <c r="P513">
        <v>2</v>
      </c>
      <c r="Q513" t="s">
        <v>30</v>
      </c>
      <c r="R513">
        <v>3</v>
      </c>
      <c r="S513">
        <v>13</v>
      </c>
      <c r="T513">
        <v>3</v>
      </c>
      <c r="U513">
        <v>3</v>
      </c>
      <c r="V513">
        <v>2</v>
      </c>
      <c r="W513">
        <v>0</v>
      </c>
      <c r="X513">
        <v>2</v>
      </c>
      <c r="Y513">
        <v>11</v>
      </c>
      <c r="Z513">
        <f>IF(H_A[[#This Row],[Attrition]]="Yes",1,0)</f>
        <v>0</v>
      </c>
      <c r="AA513" t="str">
        <f>IF(H_A[[#This Row],[Age]]&lt;30,"Young",IF(H_A[[#This Row],[Age]]&lt;45,"Mid","Senior"))</f>
        <v>Mid</v>
      </c>
      <c r="AB513" t="str">
        <f>IF(H_A[[#This Row],[MonthlyIncome]]&lt;5000,"Low",IF(H_A[[#This Row],[MonthlyIncome]]&lt;10000,"Medium","High"))</f>
        <v>Medium</v>
      </c>
      <c r="AC513" t="str">
        <f>IF(H_A[[#This Row],[YearsAtCompany]]&lt;3,"Early",IF(H_A[[#This Row],[YearsAtCompany]]&lt;7,"Mid","Long"))</f>
        <v>Mid</v>
      </c>
      <c r="AD513" t="str">
        <f>IF(H_A[[#This Row],[PercentSalaryHike]]&lt;13,"Low",IF(H_A[[#This Row],[PercentSalaryHike]]&lt;18,"Medium","High"))</f>
        <v>Low</v>
      </c>
    </row>
    <row r="514" spans="1:30" x14ac:dyDescent="0.3">
      <c r="A514">
        <v>27</v>
      </c>
      <c r="B514">
        <v>700</v>
      </c>
      <c r="C514" t="s">
        <v>36</v>
      </c>
      <c r="D514" t="s">
        <v>37</v>
      </c>
      <c r="E514">
        <v>3</v>
      </c>
      <c r="F514">
        <v>4</v>
      </c>
      <c r="G514" t="s">
        <v>43</v>
      </c>
      <c r="H514">
        <v>1</v>
      </c>
      <c r="I514" t="s">
        <v>38</v>
      </c>
      <c r="J514">
        <v>2</v>
      </c>
      <c r="K514">
        <v>1</v>
      </c>
      <c r="L514" t="s">
        <v>39</v>
      </c>
      <c r="M514">
        <v>4</v>
      </c>
      <c r="N514" t="s">
        <v>35</v>
      </c>
      <c r="O514">
        <v>2045</v>
      </c>
      <c r="P514">
        <v>0</v>
      </c>
      <c r="Q514" t="s">
        <v>36</v>
      </c>
      <c r="R514">
        <v>4</v>
      </c>
      <c r="S514">
        <v>5</v>
      </c>
      <c r="T514">
        <v>3</v>
      </c>
      <c r="U514">
        <v>4</v>
      </c>
      <c r="V514">
        <v>2</v>
      </c>
      <c r="W514">
        <v>1</v>
      </c>
      <c r="X514">
        <v>1</v>
      </c>
      <c r="Y514">
        <v>13</v>
      </c>
      <c r="Z514">
        <f>IF(H_A[[#This Row],[Attrition]]="Yes",1,0)</f>
        <v>0</v>
      </c>
      <c r="AA514" t="str">
        <f>IF(H_A[[#This Row],[Age]]&lt;30,"Young",IF(H_A[[#This Row],[Age]]&lt;45,"Mid","Senior"))</f>
        <v>Young</v>
      </c>
      <c r="AB514" t="str">
        <f>IF(H_A[[#This Row],[MonthlyIncome]]&lt;5000,"Low",IF(H_A[[#This Row],[MonthlyIncome]]&lt;10000,"Medium","High"))</f>
        <v>Low</v>
      </c>
      <c r="AC514" t="str">
        <f>IF(H_A[[#This Row],[YearsAtCompany]]&lt;3,"Early",IF(H_A[[#This Row],[YearsAtCompany]]&lt;7,"Mid","Long"))</f>
        <v>Mid</v>
      </c>
      <c r="AD514" t="str">
        <f>IF(H_A[[#This Row],[PercentSalaryHike]]&lt;13,"Low",IF(H_A[[#This Row],[PercentSalaryHike]]&lt;18,"Medium","High"))</f>
        <v>Medium</v>
      </c>
    </row>
    <row r="515" spans="1:30" x14ac:dyDescent="0.3">
      <c r="A515">
        <v>20</v>
      </c>
      <c r="B515">
        <v>701</v>
      </c>
      <c r="C515" t="s">
        <v>30</v>
      </c>
      <c r="D515" t="s">
        <v>37</v>
      </c>
      <c r="E515">
        <v>10</v>
      </c>
      <c r="F515">
        <v>1</v>
      </c>
      <c r="G515" t="s">
        <v>43</v>
      </c>
      <c r="H515">
        <v>4</v>
      </c>
      <c r="I515" t="s">
        <v>38</v>
      </c>
      <c r="J515">
        <v>3</v>
      </c>
      <c r="K515">
        <v>1</v>
      </c>
      <c r="L515" t="s">
        <v>39</v>
      </c>
      <c r="M515">
        <v>3</v>
      </c>
      <c r="N515" t="s">
        <v>35</v>
      </c>
      <c r="O515">
        <v>1009</v>
      </c>
      <c r="P515">
        <v>1</v>
      </c>
      <c r="Q515" t="s">
        <v>30</v>
      </c>
      <c r="R515">
        <v>4</v>
      </c>
      <c r="S515">
        <v>1</v>
      </c>
      <c r="T515">
        <v>3</v>
      </c>
      <c r="U515">
        <v>1</v>
      </c>
      <c r="V515">
        <v>0</v>
      </c>
      <c r="W515">
        <v>1</v>
      </c>
      <c r="X515">
        <v>1</v>
      </c>
      <c r="Y515">
        <v>11</v>
      </c>
      <c r="Z515">
        <f>IF(H_A[[#This Row],[Attrition]]="Yes",1,0)</f>
        <v>1</v>
      </c>
      <c r="AA515" t="str">
        <f>IF(H_A[[#This Row],[Age]]&lt;30,"Young",IF(H_A[[#This Row],[Age]]&lt;45,"Mid","Senior"))</f>
        <v>Young</v>
      </c>
      <c r="AB515" t="str">
        <f>IF(H_A[[#This Row],[MonthlyIncome]]&lt;5000,"Low",IF(H_A[[#This Row],[MonthlyIncome]]&lt;10000,"Medium","High"))</f>
        <v>Low</v>
      </c>
      <c r="AC515" t="str">
        <f>IF(H_A[[#This Row],[YearsAtCompany]]&lt;3,"Early",IF(H_A[[#This Row],[YearsAtCompany]]&lt;7,"Mid","Long"))</f>
        <v>Early</v>
      </c>
      <c r="AD515" t="str">
        <f>IF(H_A[[#This Row],[PercentSalaryHike]]&lt;13,"Low",IF(H_A[[#This Row],[PercentSalaryHike]]&lt;18,"Medium","High"))</f>
        <v>Low</v>
      </c>
    </row>
    <row r="516" spans="1:30" x14ac:dyDescent="0.3">
      <c r="A516">
        <v>33</v>
      </c>
      <c r="B516">
        <v>702</v>
      </c>
      <c r="C516" t="s">
        <v>30</v>
      </c>
      <c r="D516" t="s">
        <v>37</v>
      </c>
      <c r="E516">
        <v>3</v>
      </c>
      <c r="F516">
        <v>3</v>
      </c>
      <c r="G516" t="s">
        <v>32</v>
      </c>
      <c r="H516">
        <v>1</v>
      </c>
      <c r="I516" t="s">
        <v>38</v>
      </c>
      <c r="J516">
        <v>3</v>
      </c>
      <c r="K516">
        <v>1</v>
      </c>
      <c r="L516" t="s">
        <v>39</v>
      </c>
      <c r="M516">
        <v>1</v>
      </c>
      <c r="N516" t="s">
        <v>35</v>
      </c>
      <c r="O516">
        <v>3348</v>
      </c>
      <c r="P516">
        <v>1</v>
      </c>
      <c r="Q516" t="s">
        <v>30</v>
      </c>
      <c r="R516">
        <v>1</v>
      </c>
      <c r="S516">
        <v>10</v>
      </c>
      <c r="T516">
        <v>3</v>
      </c>
      <c r="U516">
        <v>10</v>
      </c>
      <c r="V516">
        <v>8</v>
      </c>
      <c r="W516">
        <v>9</v>
      </c>
      <c r="X516">
        <v>7</v>
      </c>
      <c r="Y516">
        <v>11</v>
      </c>
      <c r="Z516">
        <f>IF(H_A[[#This Row],[Attrition]]="Yes",1,0)</f>
        <v>1</v>
      </c>
      <c r="AA516" t="str">
        <f>IF(H_A[[#This Row],[Age]]&lt;30,"Young",IF(H_A[[#This Row],[Age]]&lt;45,"Mid","Senior"))</f>
        <v>Mid</v>
      </c>
      <c r="AB516" t="str">
        <f>IF(H_A[[#This Row],[MonthlyIncome]]&lt;5000,"Low",IF(H_A[[#This Row],[MonthlyIncome]]&lt;10000,"Medium","High"))</f>
        <v>Low</v>
      </c>
      <c r="AC516" t="str">
        <f>IF(H_A[[#This Row],[YearsAtCompany]]&lt;3,"Early",IF(H_A[[#This Row],[YearsAtCompany]]&lt;7,"Mid","Long"))</f>
        <v>Long</v>
      </c>
      <c r="AD516" t="str">
        <f>IF(H_A[[#This Row],[PercentSalaryHike]]&lt;13,"Low",IF(H_A[[#This Row],[PercentSalaryHike]]&lt;18,"Medium","High"))</f>
        <v>Low</v>
      </c>
    </row>
    <row r="517" spans="1:30" x14ac:dyDescent="0.3">
      <c r="A517">
        <v>35</v>
      </c>
      <c r="B517">
        <v>704</v>
      </c>
      <c r="C517" t="s">
        <v>36</v>
      </c>
      <c r="D517" t="s">
        <v>37</v>
      </c>
      <c r="E517">
        <v>3</v>
      </c>
      <c r="F517">
        <v>3</v>
      </c>
      <c r="G517" t="s">
        <v>32</v>
      </c>
      <c r="H517">
        <v>3</v>
      </c>
      <c r="I517" t="s">
        <v>38</v>
      </c>
      <c r="J517">
        <v>2</v>
      </c>
      <c r="K517">
        <v>1</v>
      </c>
      <c r="L517" t="s">
        <v>42</v>
      </c>
      <c r="M517">
        <v>3</v>
      </c>
      <c r="N517" t="s">
        <v>40</v>
      </c>
      <c r="O517">
        <v>1281</v>
      </c>
      <c r="P517">
        <v>1</v>
      </c>
      <c r="Q517" t="s">
        <v>36</v>
      </c>
      <c r="R517">
        <v>3</v>
      </c>
      <c r="S517">
        <v>1</v>
      </c>
      <c r="T517">
        <v>3</v>
      </c>
      <c r="U517">
        <v>1</v>
      </c>
      <c r="V517">
        <v>0</v>
      </c>
      <c r="W517">
        <v>0</v>
      </c>
      <c r="X517">
        <v>0</v>
      </c>
      <c r="Y517">
        <v>18</v>
      </c>
      <c r="Z517">
        <f>IF(H_A[[#This Row],[Attrition]]="Yes",1,0)</f>
        <v>0</v>
      </c>
      <c r="AA517" t="str">
        <f>IF(H_A[[#This Row],[Age]]&lt;30,"Young",IF(H_A[[#This Row],[Age]]&lt;45,"Mid","Senior"))</f>
        <v>Mid</v>
      </c>
      <c r="AB517" t="str">
        <f>IF(H_A[[#This Row],[MonthlyIncome]]&lt;5000,"Low",IF(H_A[[#This Row],[MonthlyIncome]]&lt;10000,"Medium","High"))</f>
        <v>Low</v>
      </c>
      <c r="AC517" t="str">
        <f>IF(H_A[[#This Row],[YearsAtCompany]]&lt;3,"Early",IF(H_A[[#This Row],[YearsAtCompany]]&lt;7,"Mid","Long"))</f>
        <v>Early</v>
      </c>
      <c r="AD517" t="str">
        <f>IF(H_A[[#This Row],[PercentSalaryHike]]&lt;13,"Low",IF(H_A[[#This Row],[PercentSalaryHike]]&lt;18,"Medium","High"))</f>
        <v>High</v>
      </c>
    </row>
    <row r="518" spans="1:30" x14ac:dyDescent="0.3">
      <c r="A518">
        <v>23</v>
      </c>
      <c r="B518">
        <v>705</v>
      </c>
      <c r="C518" t="s">
        <v>36</v>
      </c>
      <c r="D518" t="s">
        <v>37</v>
      </c>
      <c r="E518">
        <v>4</v>
      </c>
      <c r="F518">
        <v>3</v>
      </c>
      <c r="G518" t="s">
        <v>43</v>
      </c>
      <c r="H518">
        <v>1</v>
      </c>
      <c r="I518" t="s">
        <v>38</v>
      </c>
      <c r="J518">
        <v>4</v>
      </c>
      <c r="K518">
        <v>1</v>
      </c>
      <c r="L518" t="s">
        <v>39</v>
      </c>
      <c r="M518">
        <v>1</v>
      </c>
      <c r="N518" t="s">
        <v>40</v>
      </c>
      <c r="O518">
        <v>2819</v>
      </c>
      <c r="P518">
        <v>2</v>
      </c>
      <c r="Q518" t="s">
        <v>36</v>
      </c>
      <c r="R518">
        <v>1</v>
      </c>
      <c r="S518">
        <v>5</v>
      </c>
      <c r="T518">
        <v>4</v>
      </c>
      <c r="U518">
        <v>3</v>
      </c>
      <c r="V518">
        <v>2</v>
      </c>
      <c r="W518">
        <v>0</v>
      </c>
      <c r="X518">
        <v>2</v>
      </c>
      <c r="Y518">
        <v>16</v>
      </c>
      <c r="Z518">
        <f>IF(H_A[[#This Row],[Attrition]]="Yes",1,0)</f>
        <v>0</v>
      </c>
      <c r="AA518" t="str">
        <f>IF(H_A[[#This Row],[Age]]&lt;30,"Young",IF(H_A[[#This Row],[Age]]&lt;45,"Mid","Senior"))</f>
        <v>Young</v>
      </c>
      <c r="AB518" t="str">
        <f>IF(H_A[[#This Row],[MonthlyIncome]]&lt;5000,"Low",IF(H_A[[#This Row],[MonthlyIncome]]&lt;10000,"Medium","High"))</f>
        <v>Low</v>
      </c>
      <c r="AC518" t="str">
        <f>IF(H_A[[#This Row],[YearsAtCompany]]&lt;3,"Early",IF(H_A[[#This Row],[YearsAtCompany]]&lt;7,"Mid","Long"))</f>
        <v>Mid</v>
      </c>
      <c r="AD518" t="str">
        <f>IF(H_A[[#This Row],[PercentSalaryHike]]&lt;13,"Low",IF(H_A[[#This Row],[PercentSalaryHike]]&lt;18,"Medium","High"))</f>
        <v>Medium</v>
      </c>
    </row>
    <row r="519" spans="1:30" x14ac:dyDescent="0.3">
      <c r="A519">
        <v>25</v>
      </c>
      <c r="B519">
        <v>707</v>
      </c>
      <c r="C519" t="s">
        <v>36</v>
      </c>
      <c r="D519" t="s">
        <v>31</v>
      </c>
      <c r="E519">
        <v>8</v>
      </c>
      <c r="F519">
        <v>3</v>
      </c>
      <c r="G519" t="s">
        <v>32</v>
      </c>
      <c r="H519">
        <v>4</v>
      </c>
      <c r="I519" t="s">
        <v>38</v>
      </c>
      <c r="J519">
        <v>4</v>
      </c>
      <c r="K519">
        <v>2</v>
      </c>
      <c r="L519" t="s">
        <v>34</v>
      </c>
      <c r="M519">
        <v>2</v>
      </c>
      <c r="N519" t="s">
        <v>40</v>
      </c>
      <c r="O519">
        <v>4851</v>
      </c>
      <c r="P519">
        <v>0</v>
      </c>
      <c r="Q519" t="s">
        <v>36</v>
      </c>
      <c r="R519">
        <v>3</v>
      </c>
      <c r="S519">
        <v>4</v>
      </c>
      <c r="T519">
        <v>3</v>
      </c>
      <c r="U519">
        <v>3</v>
      </c>
      <c r="V519">
        <v>2</v>
      </c>
      <c r="W519">
        <v>1</v>
      </c>
      <c r="X519">
        <v>2</v>
      </c>
      <c r="Y519">
        <v>22</v>
      </c>
      <c r="Z519">
        <f>IF(H_A[[#This Row],[Attrition]]="Yes",1,0)</f>
        <v>0</v>
      </c>
      <c r="AA519" t="str">
        <f>IF(H_A[[#This Row],[Age]]&lt;30,"Young",IF(H_A[[#This Row],[Age]]&lt;45,"Mid","Senior"))</f>
        <v>Young</v>
      </c>
      <c r="AB519" t="str">
        <f>IF(H_A[[#This Row],[MonthlyIncome]]&lt;5000,"Low",IF(H_A[[#This Row],[MonthlyIncome]]&lt;10000,"Medium","High"))</f>
        <v>Low</v>
      </c>
      <c r="AC519" t="str">
        <f>IF(H_A[[#This Row],[YearsAtCompany]]&lt;3,"Early",IF(H_A[[#This Row],[YearsAtCompany]]&lt;7,"Mid","Long"))</f>
        <v>Mid</v>
      </c>
      <c r="AD519" t="str">
        <f>IF(H_A[[#This Row],[PercentSalaryHike]]&lt;13,"Low",IF(H_A[[#This Row],[PercentSalaryHike]]&lt;18,"Medium","High"))</f>
        <v>High</v>
      </c>
    </row>
    <row r="520" spans="1:30" x14ac:dyDescent="0.3">
      <c r="A520">
        <v>38</v>
      </c>
      <c r="B520">
        <v>709</v>
      </c>
      <c r="C520" t="s">
        <v>36</v>
      </c>
      <c r="D520" t="s">
        <v>31</v>
      </c>
      <c r="E520">
        <v>7</v>
      </c>
      <c r="F520">
        <v>4</v>
      </c>
      <c r="G520" t="s">
        <v>50</v>
      </c>
      <c r="H520">
        <v>4</v>
      </c>
      <c r="I520" t="s">
        <v>33</v>
      </c>
      <c r="J520">
        <v>2</v>
      </c>
      <c r="K520">
        <v>2</v>
      </c>
      <c r="L520" t="s">
        <v>34</v>
      </c>
      <c r="M520">
        <v>4</v>
      </c>
      <c r="N520" t="s">
        <v>35</v>
      </c>
      <c r="O520">
        <v>4028</v>
      </c>
      <c r="P520">
        <v>0</v>
      </c>
      <c r="Q520" t="s">
        <v>36</v>
      </c>
      <c r="R520">
        <v>1</v>
      </c>
      <c r="S520">
        <v>8</v>
      </c>
      <c r="T520">
        <v>3</v>
      </c>
      <c r="U520">
        <v>7</v>
      </c>
      <c r="V520">
        <v>7</v>
      </c>
      <c r="W520">
        <v>0</v>
      </c>
      <c r="X520">
        <v>5</v>
      </c>
      <c r="Y520">
        <v>20</v>
      </c>
      <c r="Z520">
        <f>IF(H_A[[#This Row],[Attrition]]="Yes",1,0)</f>
        <v>0</v>
      </c>
      <c r="AA520" t="str">
        <f>IF(H_A[[#This Row],[Age]]&lt;30,"Young",IF(H_A[[#This Row],[Age]]&lt;45,"Mid","Senior"))</f>
        <v>Mid</v>
      </c>
      <c r="AB520" t="str">
        <f>IF(H_A[[#This Row],[MonthlyIncome]]&lt;5000,"Low",IF(H_A[[#This Row],[MonthlyIncome]]&lt;10000,"Medium","High"))</f>
        <v>Low</v>
      </c>
      <c r="AC520" t="str">
        <f>IF(H_A[[#This Row],[YearsAtCompany]]&lt;3,"Early",IF(H_A[[#This Row],[YearsAtCompany]]&lt;7,"Mid","Long"))</f>
        <v>Long</v>
      </c>
      <c r="AD520" t="str">
        <f>IF(H_A[[#This Row],[PercentSalaryHike]]&lt;13,"Low",IF(H_A[[#This Row],[PercentSalaryHike]]&lt;18,"Medium","High"))</f>
        <v>High</v>
      </c>
    </row>
    <row r="521" spans="1:30" x14ac:dyDescent="0.3">
      <c r="A521">
        <v>29</v>
      </c>
      <c r="B521">
        <v>710</v>
      </c>
      <c r="C521" t="s">
        <v>36</v>
      </c>
      <c r="D521" t="s">
        <v>37</v>
      </c>
      <c r="E521">
        <v>1</v>
      </c>
      <c r="F521">
        <v>4</v>
      </c>
      <c r="G521" t="s">
        <v>32</v>
      </c>
      <c r="H521">
        <v>2</v>
      </c>
      <c r="I521" t="s">
        <v>38</v>
      </c>
      <c r="J521">
        <v>1</v>
      </c>
      <c r="K521">
        <v>1</v>
      </c>
      <c r="L521" t="s">
        <v>39</v>
      </c>
      <c r="M521">
        <v>4</v>
      </c>
      <c r="N521" t="s">
        <v>44</v>
      </c>
      <c r="O521">
        <v>2720</v>
      </c>
      <c r="P521">
        <v>1</v>
      </c>
      <c r="Q521" t="s">
        <v>36</v>
      </c>
      <c r="R521">
        <v>4</v>
      </c>
      <c r="S521">
        <v>10</v>
      </c>
      <c r="T521">
        <v>3</v>
      </c>
      <c r="U521">
        <v>10</v>
      </c>
      <c r="V521">
        <v>7</v>
      </c>
      <c r="W521">
        <v>2</v>
      </c>
      <c r="X521">
        <v>8</v>
      </c>
      <c r="Y521">
        <v>18</v>
      </c>
      <c r="Z521">
        <f>IF(H_A[[#This Row],[Attrition]]="Yes",1,0)</f>
        <v>0</v>
      </c>
      <c r="AA521" t="str">
        <f>IF(H_A[[#This Row],[Age]]&lt;30,"Young",IF(H_A[[#This Row],[Age]]&lt;45,"Mid","Senior"))</f>
        <v>Young</v>
      </c>
      <c r="AB521" t="str">
        <f>IF(H_A[[#This Row],[MonthlyIncome]]&lt;5000,"Low",IF(H_A[[#This Row],[MonthlyIncome]]&lt;10000,"Medium","High"))</f>
        <v>Low</v>
      </c>
      <c r="AC521" t="str">
        <f>IF(H_A[[#This Row],[YearsAtCompany]]&lt;3,"Early",IF(H_A[[#This Row],[YearsAtCompany]]&lt;7,"Mid","Long"))</f>
        <v>Long</v>
      </c>
      <c r="AD521" t="str">
        <f>IF(H_A[[#This Row],[PercentSalaryHike]]&lt;13,"Low",IF(H_A[[#This Row],[PercentSalaryHike]]&lt;18,"Medium","High"))</f>
        <v>High</v>
      </c>
    </row>
    <row r="522" spans="1:30" x14ac:dyDescent="0.3">
      <c r="A522">
        <v>48</v>
      </c>
      <c r="B522">
        <v>712</v>
      </c>
      <c r="C522" t="s">
        <v>36</v>
      </c>
      <c r="D522" t="s">
        <v>31</v>
      </c>
      <c r="E522">
        <v>2</v>
      </c>
      <c r="F522">
        <v>1</v>
      </c>
      <c r="G522" t="s">
        <v>50</v>
      </c>
      <c r="H522">
        <v>2</v>
      </c>
      <c r="I522" t="s">
        <v>38</v>
      </c>
      <c r="J522">
        <v>4</v>
      </c>
      <c r="K522">
        <v>2</v>
      </c>
      <c r="L522" t="s">
        <v>34</v>
      </c>
      <c r="M522">
        <v>2</v>
      </c>
      <c r="N522" t="s">
        <v>40</v>
      </c>
      <c r="O522">
        <v>8120</v>
      </c>
      <c r="P522">
        <v>3</v>
      </c>
      <c r="Q522" t="s">
        <v>36</v>
      </c>
      <c r="R522">
        <v>4</v>
      </c>
      <c r="S522">
        <v>12</v>
      </c>
      <c r="T522">
        <v>3</v>
      </c>
      <c r="U522">
        <v>2</v>
      </c>
      <c r="V522">
        <v>2</v>
      </c>
      <c r="W522">
        <v>2</v>
      </c>
      <c r="X522">
        <v>2</v>
      </c>
      <c r="Y522">
        <v>12</v>
      </c>
      <c r="Z522">
        <f>IF(H_A[[#This Row],[Attrition]]="Yes",1,0)</f>
        <v>0</v>
      </c>
      <c r="AA522" t="str">
        <f>IF(H_A[[#This Row],[Age]]&lt;30,"Young",IF(H_A[[#This Row],[Age]]&lt;45,"Mid","Senior"))</f>
        <v>Senior</v>
      </c>
      <c r="AB522" t="str">
        <f>IF(H_A[[#This Row],[MonthlyIncome]]&lt;5000,"Low",IF(H_A[[#This Row],[MonthlyIncome]]&lt;10000,"Medium","High"))</f>
        <v>Medium</v>
      </c>
      <c r="AC522" t="str">
        <f>IF(H_A[[#This Row],[YearsAtCompany]]&lt;3,"Early",IF(H_A[[#This Row],[YearsAtCompany]]&lt;7,"Mid","Long"))</f>
        <v>Early</v>
      </c>
      <c r="AD522" t="str">
        <f>IF(H_A[[#This Row],[PercentSalaryHike]]&lt;13,"Low",IF(H_A[[#This Row],[PercentSalaryHike]]&lt;18,"Medium","High"))</f>
        <v>Low</v>
      </c>
    </row>
    <row r="523" spans="1:30" x14ac:dyDescent="0.3">
      <c r="A523">
        <v>27</v>
      </c>
      <c r="B523">
        <v>714</v>
      </c>
      <c r="C523" t="s">
        <v>36</v>
      </c>
      <c r="D523" t="s">
        <v>31</v>
      </c>
      <c r="E523">
        <v>3</v>
      </c>
      <c r="F523">
        <v>1</v>
      </c>
      <c r="G523" t="s">
        <v>43</v>
      </c>
      <c r="H523">
        <v>4</v>
      </c>
      <c r="I523" t="s">
        <v>33</v>
      </c>
      <c r="J523">
        <v>4</v>
      </c>
      <c r="K523">
        <v>2</v>
      </c>
      <c r="L523" t="s">
        <v>34</v>
      </c>
      <c r="M523">
        <v>4</v>
      </c>
      <c r="N523" t="s">
        <v>44</v>
      </c>
      <c r="O523">
        <v>4647</v>
      </c>
      <c r="P523">
        <v>1</v>
      </c>
      <c r="Q523" t="s">
        <v>30</v>
      </c>
      <c r="R523">
        <v>2</v>
      </c>
      <c r="S523">
        <v>6</v>
      </c>
      <c r="T523">
        <v>3</v>
      </c>
      <c r="U523">
        <v>6</v>
      </c>
      <c r="V523">
        <v>5</v>
      </c>
      <c r="W523">
        <v>0</v>
      </c>
      <c r="X523">
        <v>4</v>
      </c>
      <c r="Y523">
        <v>20</v>
      </c>
      <c r="Z523">
        <f>IF(H_A[[#This Row],[Attrition]]="Yes",1,0)</f>
        <v>0</v>
      </c>
      <c r="AA523" t="str">
        <f>IF(H_A[[#This Row],[Age]]&lt;30,"Young",IF(H_A[[#This Row],[Age]]&lt;45,"Mid","Senior"))</f>
        <v>Young</v>
      </c>
      <c r="AB523" t="str">
        <f>IF(H_A[[#This Row],[MonthlyIncome]]&lt;5000,"Low",IF(H_A[[#This Row],[MonthlyIncome]]&lt;10000,"Medium","High"))</f>
        <v>Low</v>
      </c>
      <c r="AC523" t="str">
        <f>IF(H_A[[#This Row],[YearsAtCompany]]&lt;3,"Early",IF(H_A[[#This Row],[YearsAtCompany]]&lt;7,"Mid","Long"))</f>
        <v>Mid</v>
      </c>
      <c r="AD523" t="str">
        <f>IF(H_A[[#This Row],[PercentSalaryHike]]&lt;13,"Low",IF(H_A[[#This Row],[PercentSalaryHike]]&lt;18,"Medium","High"))</f>
        <v>High</v>
      </c>
    </row>
    <row r="524" spans="1:30" x14ac:dyDescent="0.3">
      <c r="A524">
        <v>37</v>
      </c>
      <c r="B524">
        <v>715</v>
      </c>
      <c r="C524" t="s">
        <v>36</v>
      </c>
      <c r="D524" t="s">
        <v>37</v>
      </c>
      <c r="E524">
        <v>10</v>
      </c>
      <c r="F524">
        <v>2</v>
      </c>
      <c r="G524" t="s">
        <v>32</v>
      </c>
      <c r="H524">
        <v>4</v>
      </c>
      <c r="I524" t="s">
        <v>38</v>
      </c>
      <c r="J524">
        <v>4</v>
      </c>
      <c r="K524">
        <v>1</v>
      </c>
      <c r="L524" t="s">
        <v>39</v>
      </c>
      <c r="M524">
        <v>4</v>
      </c>
      <c r="N524" t="s">
        <v>35</v>
      </c>
      <c r="O524">
        <v>4680</v>
      </c>
      <c r="P524">
        <v>3</v>
      </c>
      <c r="Q524" t="s">
        <v>36</v>
      </c>
      <c r="R524">
        <v>1</v>
      </c>
      <c r="S524">
        <v>4</v>
      </c>
      <c r="T524">
        <v>3</v>
      </c>
      <c r="U524">
        <v>1</v>
      </c>
      <c r="V524">
        <v>0</v>
      </c>
      <c r="W524">
        <v>0</v>
      </c>
      <c r="X524">
        <v>0</v>
      </c>
      <c r="Y524">
        <v>17</v>
      </c>
      <c r="Z524">
        <f>IF(H_A[[#This Row],[Attrition]]="Yes",1,0)</f>
        <v>0</v>
      </c>
      <c r="AA524" t="str">
        <f>IF(H_A[[#This Row],[Age]]&lt;30,"Young",IF(H_A[[#This Row],[Age]]&lt;45,"Mid","Senior"))</f>
        <v>Mid</v>
      </c>
      <c r="AB524" t="str">
        <f>IF(H_A[[#This Row],[MonthlyIncome]]&lt;5000,"Low",IF(H_A[[#This Row],[MonthlyIncome]]&lt;10000,"Medium","High"))</f>
        <v>Low</v>
      </c>
      <c r="AC524" t="str">
        <f>IF(H_A[[#This Row],[YearsAtCompany]]&lt;3,"Early",IF(H_A[[#This Row],[YearsAtCompany]]&lt;7,"Mid","Long"))</f>
        <v>Early</v>
      </c>
      <c r="AD524" t="str">
        <f>IF(H_A[[#This Row],[PercentSalaryHike]]&lt;13,"Low",IF(H_A[[#This Row],[PercentSalaryHike]]&lt;18,"Medium","High"))</f>
        <v>Medium</v>
      </c>
    </row>
    <row r="525" spans="1:30" x14ac:dyDescent="0.3">
      <c r="A525">
        <v>50</v>
      </c>
      <c r="B525">
        <v>716</v>
      </c>
      <c r="C525" t="s">
        <v>36</v>
      </c>
      <c r="D525" t="s">
        <v>37</v>
      </c>
      <c r="E525">
        <v>28</v>
      </c>
      <c r="F525">
        <v>1</v>
      </c>
      <c r="G525" t="s">
        <v>43</v>
      </c>
      <c r="H525">
        <v>4</v>
      </c>
      <c r="I525" t="s">
        <v>38</v>
      </c>
      <c r="J525">
        <v>4</v>
      </c>
      <c r="K525">
        <v>1</v>
      </c>
      <c r="L525" t="s">
        <v>42</v>
      </c>
      <c r="M525">
        <v>3</v>
      </c>
      <c r="N525" t="s">
        <v>40</v>
      </c>
      <c r="O525">
        <v>3221</v>
      </c>
      <c r="P525">
        <v>1</v>
      </c>
      <c r="Q525" t="s">
        <v>30</v>
      </c>
      <c r="R525">
        <v>3</v>
      </c>
      <c r="S525">
        <v>20</v>
      </c>
      <c r="T525">
        <v>3</v>
      </c>
      <c r="U525">
        <v>20</v>
      </c>
      <c r="V525">
        <v>8</v>
      </c>
      <c r="W525">
        <v>3</v>
      </c>
      <c r="X525">
        <v>8</v>
      </c>
      <c r="Y525">
        <v>11</v>
      </c>
      <c r="Z525">
        <f>IF(H_A[[#This Row],[Attrition]]="Yes",1,0)</f>
        <v>0</v>
      </c>
      <c r="AA525" t="str">
        <f>IF(H_A[[#This Row],[Age]]&lt;30,"Young",IF(H_A[[#This Row],[Age]]&lt;45,"Mid","Senior"))</f>
        <v>Senior</v>
      </c>
      <c r="AB525" t="str">
        <f>IF(H_A[[#This Row],[MonthlyIncome]]&lt;5000,"Low",IF(H_A[[#This Row],[MonthlyIncome]]&lt;10000,"Medium","High"))</f>
        <v>Low</v>
      </c>
      <c r="AC525" t="str">
        <f>IF(H_A[[#This Row],[YearsAtCompany]]&lt;3,"Early",IF(H_A[[#This Row],[YearsAtCompany]]&lt;7,"Mid","Long"))</f>
        <v>Long</v>
      </c>
      <c r="AD525" t="str">
        <f>IF(H_A[[#This Row],[PercentSalaryHike]]&lt;13,"Low",IF(H_A[[#This Row],[PercentSalaryHike]]&lt;18,"Medium","High"))</f>
        <v>Low</v>
      </c>
    </row>
    <row r="526" spans="1:30" x14ac:dyDescent="0.3">
      <c r="A526">
        <v>34</v>
      </c>
      <c r="B526">
        <v>717</v>
      </c>
      <c r="C526" t="s">
        <v>36</v>
      </c>
      <c r="D526" t="s">
        <v>37</v>
      </c>
      <c r="E526">
        <v>9</v>
      </c>
      <c r="F526">
        <v>3</v>
      </c>
      <c r="G526" t="s">
        <v>43</v>
      </c>
      <c r="H526">
        <v>4</v>
      </c>
      <c r="I526" t="s">
        <v>33</v>
      </c>
      <c r="J526">
        <v>2</v>
      </c>
      <c r="K526">
        <v>3</v>
      </c>
      <c r="L526" t="s">
        <v>46</v>
      </c>
      <c r="M526">
        <v>2</v>
      </c>
      <c r="N526" t="s">
        <v>35</v>
      </c>
      <c r="O526">
        <v>8621</v>
      </c>
      <c r="P526">
        <v>1</v>
      </c>
      <c r="Q526" t="s">
        <v>36</v>
      </c>
      <c r="R526">
        <v>2</v>
      </c>
      <c r="S526">
        <v>9</v>
      </c>
      <c r="T526">
        <v>4</v>
      </c>
      <c r="U526">
        <v>8</v>
      </c>
      <c r="V526">
        <v>7</v>
      </c>
      <c r="W526">
        <v>7</v>
      </c>
      <c r="X526">
        <v>7</v>
      </c>
      <c r="Y526">
        <v>14</v>
      </c>
      <c r="Z526">
        <f>IF(H_A[[#This Row],[Attrition]]="Yes",1,0)</f>
        <v>0</v>
      </c>
      <c r="AA526" t="str">
        <f>IF(H_A[[#This Row],[Age]]&lt;30,"Young",IF(H_A[[#This Row],[Age]]&lt;45,"Mid","Senior"))</f>
        <v>Mid</v>
      </c>
      <c r="AB526" t="str">
        <f>IF(H_A[[#This Row],[MonthlyIncome]]&lt;5000,"Low",IF(H_A[[#This Row],[MonthlyIncome]]&lt;10000,"Medium","High"))</f>
        <v>Medium</v>
      </c>
      <c r="AC526" t="str">
        <f>IF(H_A[[#This Row],[YearsAtCompany]]&lt;3,"Early",IF(H_A[[#This Row],[YearsAtCompany]]&lt;7,"Mid","Long"))</f>
        <v>Long</v>
      </c>
      <c r="AD526" t="str">
        <f>IF(H_A[[#This Row],[PercentSalaryHike]]&lt;13,"Low",IF(H_A[[#This Row],[PercentSalaryHike]]&lt;18,"Medium","High"))</f>
        <v>Medium</v>
      </c>
    </row>
    <row r="527" spans="1:30" x14ac:dyDescent="0.3">
      <c r="A527">
        <v>24</v>
      </c>
      <c r="B527">
        <v>720</v>
      </c>
      <c r="C527" t="s">
        <v>30</v>
      </c>
      <c r="D527" t="s">
        <v>31</v>
      </c>
      <c r="E527">
        <v>3</v>
      </c>
      <c r="F527">
        <v>2</v>
      </c>
      <c r="G527" t="s">
        <v>32</v>
      </c>
      <c r="H527">
        <v>1</v>
      </c>
      <c r="I527" t="s">
        <v>33</v>
      </c>
      <c r="J527">
        <v>3</v>
      </c>
      <c r="K527">
        <v>2</v>
      </c>
      <c r="L527" t="s">
        <v>34</v>
      </c>
      <c r="M527">
        <v>3</v>
      </c>
      <c r="N527" t="s">
        <v>35</v>
      </c>
      <c r="O527">
        <v>4577</v>
      </c>
      <c r="P527">
        <v>9</v>
      </c>
      <c r="Q527" t="s">
        <v>36</v>
      </c>
      <c r="R527">
        <v>1</v>
      </c>
      <c r="S527">
        <v>4</v>
      </c>
      <c r="T527">
        <v>3</v>
      </c>
      <c r="U527">
        <v>2</v>
      </c>
      <c r="V527">
        <v>2</v>
      </c>
      <c r="W527">
        <v>2</v>
      </c>
      <c r="X527">
        <v>0</v>
      </c>
      <c r="Y527">
        <v>14</v>
      </c>
      <c r="Z527">
        <f>IF(H_A[[#This Row],[Attrition]]="Yes",1,0)</f>
        <v>1</v>
      </c>
      <c r="AA527" t="str">
        <f>IF(H_A[[#This Row],[Age]]&lt;30,"Young",IF(H_A[[#This Row],[Age]]&lt;45,"Mid","Senior"))</f>
        <v>Young</v>
      </c>
      <c r="AB527" t="str">
        <f>IF(H_A[[#This Row],[MonthlyIncome]]&lt;5000,"Low",IF(H_A[[#This Row],[MonthlyIncome]]&lt;10000,"Medium","High"))</f>
        <v>Low</v>
      </c>
      <c r="AC527" t="str">
        <f>IF(H_A[[#This Row],[YearsAtCompany]]&lt;3,"Early",IF(H_A[[#This Row],[YearsAtCompany]]&lt;7,"Mid","Long"))</f>
        <v>Early</v>
      </c>
      <c r="AD527" t="str">
        <f>IF(H_A[[#This Row],[PercentSalaryHike]]&lt;13,"Low",IF(H_A[[#This Row],[PercentSalaryHike]]&lt;18,"Medium","High"))</f>
        <v>Medium</v>
      </c>
    </row>
    <row r="528" spans="1:30" x14ac:dyDescent="0.3">
      <c r="A528">
        <v>39</v>
      </c>
      <c r="B528">
        <v>721</v>
      </c>
      <c r="C528" t="s">
        <v>36</v>
      </c>
      <c r="D528" t="s">
        <v>37</v>
      </c>
      <c r="E528">
        <v>2</v>
      </c>
      <c r="F528">
        <v>4</v>
      </c>
      <c r="G528" t="s">
        <v>51</v>
      </c>
      <c r="H528">
        <v>4</v>
      </c>
      <c r="I528" t="s">
        <v>33</v>
      </c>
      <c r="J528">
        <v>2</v>
      </c>
      <c r="K528">
        <v>2</v>
      </c>
      <c r="L528" t="s">
        <v>46</v>
      </c>
      <c r="M528">
        <v>3</v>
      </c>
      <c r="N528" t="s">
        <v>35</v>
      </c>
      <c r="O528">
        <v>4553</v>
      </c>
      <c r="P528">
        <v>1</v>
      </c>
      <c r="Q528" t="s">
        <v>36</v>
      </c>
      <c r="R528">
        <v>1</v>
      </c>
      <c r="S528">
        <v>20</v>
      </c>
      <c r="T528">
        <v>3</v>
      </c>
      <c r="U528">
        <v>20</v>
      </c>
      <c r="V528">
        <v>7</v>
      </c>
      <c r="W528">
        <v>11</v>
      </c>
      <c r="X528">
        <v>10</v>
      </c>
      <c r="Y528">
        <v>11</v>
      </c>
      <c r="Z528">
        <f>IF(H_A[[#This Row],[Attrition]]="Yes",1,0)</f>
        <v>0</v>
      </c>
      <c r="AA528" t="str">
        <f>IF(H_A[[#This Row],[Age]]&lt;30,"Young",IF(H_A[[#This Row],[Age]]&lt;45,"Mid","Senior"))</f>
        <v>Mid</v>
      </c>
      <c r="AB528" t="str">
        <f>IF(H_A[[#This Row],[MonthlyIncome]]&lt;5000,"Low",IF(H_A[[#This Row],[MonthlyIncome]]&lt;10000,"Medium","High"))</f>
        <v>Low</v>
      </c>
      <c r="AC528" t="str">
        <f>IF(H_A[[#This Row],[YearsAtCompany]]&lt;3,"Early",IF(H_A[[#This Row],[YearsAtCompany]]&lt;7,"Mid","Long"))</f>
        <v>Long</v>
      </c>
      <c r="AD528" t="str">
        <f>IF(H_A[[#This Row],[PercentSalaryHike]]&lt;13,"Low",IF(H_A[[#This Row],[PercentSalaryHike]]&lt;18,"Medium","High"))</f>
        <v>Low</v>
      </c>
    </row>
    <row r="529" spans="1:30" x14ac:dyDescent="0.3">
      <c r="A529">
        <v>32</v>
      </c>
      <c r="B529">
        <v>722</v>
      </c>
      <c r="C529" t="s">
        <v>36</v>
      </c>
      <c r="D529" t="s">
        <v>31</v>
      </c>
      <c r="E529">
        <v>10</v>
      </c>
      <c r="F529">
        <v>3</v>
      </c>
      <c r="G529" t="s">
        <v>50</v>
      </c>
      <c r="H529">
        <v>4</v>
      </c>
      <c r="I529" t="s">
        <v>38</v>
      </c>
      <c r="J529">
        <v>3</v>
      </c>
      <c r="K529">
        <v>2</v>
      </c>
      <c r="L529" t="s">
        <v>34</v>
      </c>
      <c r="M529">
        <v>4</v>
      </c>
      <c r="N529" t="s">
        <v>35</v>
      </c>
      <c r="O529">
        <v>5396</v>
      </c>
      <c r="P529">
        <v>1</v>
      </c>
      <c r="Q529" t="s">
        <v>36</v>
      </c>
      <c r="R529">
        <v>4</v>
      </c>
      <c r="S529">
        <v>10</v>
      </c>
      <c r="T529">
        <v>2</v>
      </c>
      <c r="U529">
        <v>10</v>
      </c>
      <c r="V529">
        <v>7</v>
      </c>
      <c r="W529">
        <v>0</v>
      </c>
      <c r="X529">
        <v>8</v>
      </c>
      <c r="Y529">
        <v>12</v>
      </c>
      <c r="Z529">
        <f>IF(H_A[[#This Row],[Attrition]]="Yes",1,0)</f>
        <v>0</v>
      </c>
      <c r="AA529" t="str">
        <f>IF(H_A[[#This Row],[Age]]&lt;30,"Young",IF(H_A[[#This Row],[Age]]&lt;45,"Mid","Senior"))</f>
        <v>Mid</v>
      </c>
      <c r="AB529" t="str">
        <f>IF(H_A[[#This Row],[MonthlyIncome]]&lt;5000,"Low",IF(H_A[[#This Row],[MonthlyIncome]]&lt;10000,"Medium","High"))</f>
        <v>Medium</v>
      </c>
      <c r="AC529" t="str">
        <f>IF(H_A[[#This Row],[YearsAtCompany]]&lt;3,"Early",IF(H_A[[#This Row],[YearsAtCompany]]&lt;7,"Mid","Long"))</f>
        <v>Long</v>
      </c>
      <c r="AD529" t="str">
        <f>IF(H_A[[#This Row],[PercentSalaryHike]]&lt;13,"Low",IF(H_A[[#This Row],[PercentSalaryHike]]&lt;18,"Medium","High"))</f>
        <v>Low</v>
      </c>
    </row>
    <row r="530" spans="1:30" x14ac:dyDescent="0.3">
      <c r="A530">
        <v>50</v>
      </c>
      <c r="B530">
        <v>723</v>
      </c>
      <c r="C530" t="s">
        <v>30</v>
      </c>
      <c r="D530" t="s">
        <v>31</v>
      </c>
      <c r="E530">
        <v>8</v>
      </c>
      <c r="F530">
        <v>2</v>
      </c>
      <c r="G530" t="s">
        <v>51</v>
      </c>
      <c r="H530">
        <v>2</v>
      </c>
      <c r="I530" t="s">
        <v>38</v>
      </c>
      <c r="J530">
        <v>3</v>
      </c>
      <c r="K530">
        <v>2</v>
      </c>
      <c r="L530" t="s">
        <v>34</v>
      </c>
      <c r="M530">
        <v>3</v>
      </c>
      <c r="N530" t="s">
        <v>40</v>
      </c>
      <c r="O530">
        <v>6796</v>
      </c>
      <c r="P530">
        <v>3</v>
      </c>
      <c r="Q530" t="s">
        <v>30</v>
      </c>
      <c r="R530">
        <v>1</v>
      </c>
      <c r="S530">
        <v>18</v>
      </c>
      <c r="T530">
        <v>3</v>
      </c>
      <c r="U530">
        <v>4</v>
      </c>
      <c r="V530">
        <v>3</v>
      </c>
      <c r="W530">
        <v>1</v>
      </c>
      <c r="X530">
        <v>3</v>
      </c>
      <c r="Y530">
        <v>14</v>
      </c>
      <c r="Z530">
        <f>IF(H_A[[#This Row],[Attrition]]="Yes",1,0)</f>
        <v>1</v>
      </c>
      <c r="AA530" t="str">
        <f>IF(H_A[[#This Row],[Age]]&lt;30,"Young",IF(H_A[[#This Row],[Age]]&lt;45,"Mid","Senior"))</f>
        <v>Senior</v>
      </c>
      <c r="AB530" t="str">
        <f>IF(H_A[[#This Row],[MonthlyIncome]]&lt;5000,"Low",IF(H_A[[#This Row],[MonthlyIncome]]&lt;10000,"Medium","High"))</f>
        <v>Medium</v>
      </c>
      <c r="AC530" t="str">
        <f>IF(H_A[[#This Row],[YearsAtCompany]]&lt;3,"Early",IF(H_A[[#This Row],[YearsAtCompany]]&lt;7,"Mid","Long"))</f>
        <v>Mid</v>
      </c>
      <c r="AD530" t="str">
        <f>IF(H_A[[#This Row],[PercentSalaryHike]]&lt;13,"Low",IF(H_A[[#This Row],[PercentSalaryHike]]&lt;18,"Medium","High"))</f>
        <v>Medium</v>
      </c>
    </row>
    <row r="531" spans="1:30" x14ac:dyDescent="0.3">
      <c r="A531">
        <v>38</v>
      </c>
      <c r="B531">
        <v>724</v>
      </c>
      <c r="C531" t="s">
        <v>36</v>
      </c>
      <c r="D531" t="s">
        <v>37</v>
      </c>
      <c r="E531">
        <v>1</v>
      </c>
      <c r="F531">
        <v>4</v>
      </c>
      <c r="G531" t="s">
        <v>32</v>
      </c>
      <c r="H531">
        <v>2</v>
      </c>
      <c r="I531" t="s">
        <v>33</v>
      </c>
      <c r="J531">
        <v>4</v>
      </c>
      <c r="K531">
        <v>2</v>
      </c>
      <c r="L531" t="s">
        <v>46</v>
      </c>
      <c r="M531">
        <v>4</v>
      </c>
      <c r="N531" t="s">
        <v>35</v>
      </c>
      <c r="O531">
        <v>7625</v>
      </c>
      <c r="P531">
        <v>0</v>
      </c>
      <c r="Q531" t="s">
        <v>36</v>
      </c>
      <c r="R531">
        <v>3</v>
      </c>
      <c r="S531">
        <v>10</v>
      </c>
      <c r="T531">
        <v>2</v>
      </c>
      <c r="U531">
        <v>9</v>
      </c>
      <c r="V531">
        <v>7</v>
      </c>
      <c r="W531">
        <v>1</v>
      </c>
      <c r="X531">
        <v>8</v>
      </c>
      <c r="Y531">
        <v>13</v>
      </c>
      <c r="Z531">
        <f>IF(H_A[[#This Row],[Attrition]]="Yes",1,0)</f>
        <v>0</v>
      </c>
      <c r="AA531" t="str">
        <f>IF(H_A[[#This Row],[Age]]&lt;30,"Young",IF(H_A[[#This Row],[Age]]&lt;45,"Mid","Senior"))</f>
        <v>Mid</v>
      </c>
      <c r="AB531" t="str">
        <f>IF(H_A[[#This Row],[MonthlyIncome]]&lt;5000,"Low",IF(H_A[[#This Row],[MonthlyIncome]]&lt;10000,"Medium","High"))</f>
        <v>Medium</v>
      </c>
      <c r="AC531" t="str">
        <f>IF(H_A[[#This Row],[YearsAtCompany]]&lt;3,"Early",IF(H_A[[#This Row],[YearsAtCompany]]&lt;7,"Mid","Long"))</f>
        <v>Long</v>
      </c>
      <c r="AD531" t="str">
        <f>IF(H_A[[#This Row],[PercentSalaryHike]]&lt;13,"Low",IF(H_A[[#This Row],[PercentSalaryHike]]&lt;18,"Medium","High"))</f>
        <v>Medium</v>
      </c>
    </row>
    <row r="532" spans="1:30" x14ac:dyDescent="0.3">
      <c r="A532">
        <v>27</v>
      </c>
      <c r="B532">
        <v>725</v>
      </c>
      <c r="C532" t="s">
        <v>36</v>
      </c>
      <c r="D532" t="s">
        <v>37</v>
      </c>
      <c r="E532">
        <v>1</v>
      </c>
      <c r="F532">
        <v>2</v>
      </c>
      <c r="G532" t="s">
        <v>32</v>
      </c>
      <c r="H532">
        <v>3</v>
      </c>
      <c r="I532" t="s">
        <v>33</v>
      </c>
      <c r="J532">
        <v>3</v>
      </c>
      <c r="K532">
        <v>3</v>
      </c>
      <c r="L532" t="s">
        <v>45</v>
      </c>
      <c r="M532">
        <v>1</v>
      </c>
      <c r="N532" t="s">
        <v>40</v>
      </c>
      <c r="O532">
        <v>7412</v>
      </c>
      <c r="P532">
        <v>1</v>
      </c>
      <c r="Q532" t="s">
        <v>36</v>
      </c>
      <c r="R532">
        <v>4</v>
      </c>
      <c r="S532">
        <v>9</v>
      </c>
      <c r="T532">
        <v>3</v>
      </c>
      <c r="U532">
        <v>9</v>
      </c>
      <c r="V532">
        <v>7</v>
      </c>
      <c r="W532">
        <v>0</v>
      </c>
      <c r="X532">
        <v>7</v>
      </c>
      <c r="Y532">
        <v>11</v>
      </c>
      <c r="Z532">
        <f>IF(H_A[[#This Row],[Attrition]]="Yes",1,0)</f>
        <v>0</v>
      </c>
      <c r="AA532" t="str">
        <f>IF(H_A[[#This Row],[Age]]&lt;30,"Young",IF(H_A[[#This Row],[Age]]&lt;45,"Mid","Senior"))</f>
        <v>Young</v>
      </c>
      <c r="AB532" t="str">
        <f>IF(H_A[[#This Row],[MonthlyIncome]]&lt;5000,"Low",IF(H_A[[#This Row],[MonthlyIncome]]&lt;10000,"Medium","High"))</f>
        <v>Medium</v>
      </c>
      <c r="AC532" t="str">
        <f>IF(H_A[[#This Row],[YearsAtCompany]]&lt;3,"Early",IF(H_A[[#This Row],[YearsAtCompany]]&lt;7,"Mid","Long"))</f>
        <v>Long</v>
      </c>
      <c r="AD532" t="str">
        <f>IF(H_A[[#This Row],[PercentSalaryHike]]&lt;13,"Low",IF(H_A[[#This Row],[PercentSalaryHike]]&lt;18,"Medium","High"))</f>
        <v>Low</v>
      </c>
    </row>
    <row r="533" spans="1:30" x14ac:dyDescent="0.3">
      <c r="A533">
        <v>32</v>
      </c>
      <c r="B533">
        <v>727</v>
      </c>
      <c r="C533" t="s">
        <v>36</v>
      </c>
      <c r="D533" t="s">
        <v>37</v>
      </c>
      <c r="E533">
        <v>3</v>
      </c>
      <c r="F533">
        <v>2</v>
      </c>
      <c r="G533" t="s">
        <v>32</v>
      </c>
      <c r="H533">
        <v>3</v>
      </c>
      <c r="I533" t="s">
        <v>33</v>
      </c>
      <c r="J533">
        <v>3</v>
      </c>
      <c r="K533">
        <v>3</v>
      </c>
      <c r="L533" t="s">
        <v>49</v>
      </c>
      <c r="M533">
        <v>4</v>
      </c>
      <c r="N533" t="s">
        <v>35</v>
      </c>
      <c r="O533">
        <v>11159</v>
      </c>
      <c r="P533">
        <v>3</v>
      </c>
      <c r="Q533" t="s">
        <v>36</v>
      </c>
      <c r="R533">
        <v>4</v>
      </c>
      <c r="S533">
        <v>10</v>
      </c>
      <c r="T533">
        <v>3</v>
      </c>
      <c r="U533">
        <v>7</v>
      </c>
      <c r="V533">
        <v>7</v>
      </c>
      <c r="W533">
        <v>7</v>
      </c>
      <c r="X533">
        <v>7</v>
      </c>
      <c r="Y533">
        <v>15</v>
      </c>
      <c r="Z533">
        <f>IF(H_A[[#This Row],[Attrition]]="Yes",1,0)</f>
        <v>0</v>
      </c>
      <c r="AA533" t="str">
        <f>IF(H_A[[#This Row],[Age]]&lt;30,"Young",IF(H_A[[#This Row],[Age]]&lt;45,"Mid","Senior"))</f>
        <v>Mid</v>
      </c>
      <c r="AB533" t="str">
        <f>IF(H_A[[#This Row],[MonthlyIncome]]&lt;5000,"Low",IF(H_A[[#This Row],[MonthlyIncome]]&lt;10000,"Medium","High"))</f>
        <v>High</v>
      </c>
      <c r="AC533" t="str">
        <f>IF(H_A[[#This Row],[YearsAtCompany]]&lt;3,"Early",IF(H_A[[#This Row],[YearsAtCompany]]&lt;7,"Mid","Long"))</f>
        <v>Long</v>
      </c>
      <c r="AD533" t="str">
        <f>IF(H_A[[#This Row],[PercentSalaryHike]]&lt;13,"Low",IF(H_A[[#This Row],[PercentSalaryHike]]&lt;18,"Medium","High"))</f>
        <v>Medium</v>
      </c>
    </row>
    <row r="534" spans="1:30" x14ac:dyDescent="0.3">
      <c r="A534">
        <v>47</v>
      </c>
      <c r="B534">
        <v>728</v>
      </c>
      <c r="C534" t="s">
        <v>36</v>
      </c>
      <c r="D534" t="s">
        <v>31</v>
      </c>
      <c r="E534">
        <v>14</v>
      </c>
      <c r="F534">
        <v>4</v>
      </c>
      <c r="G534" t="s">
        <v>50</v>
      </c>
      <c r="H534">
        <v>4</v>
      </c>
      <c r="I534" t="s">
        <v>38</v>
      </c>
      <c r="J534">
        <v>3</v>
      </c>
      <c r="K534">
        <v>2</v>
      </c>
      <c r="L534" t="s">
        <v>34</v>
      </c>
      <c r="M534">
        <v>1</v>
      </c>
      <c r="N534" t="s">
        <v>35</v>
      </c>
      <c r="O534">
        <v>4960</v>
      </c>
      <c r="P534">
        <v>2</v>
      </c>
      <c r="Q534" t="s">
        <v>36</v>
      </c>
      <c r="R534">
        <v>4</v>
      </c>
      <c r="S534">
        <v>20</v>
      </c>
      <c r="T534">
        <v>3</v>
      </c>
      <c r="U534">
        <v>7</v>
      </c>
      <c r="V534">
        <v>7</v>
      </c>
      <c r="W534">
        <v>1</v>
      </c>
      <c r="X534">
        <v>7</v>
      </c>
      <c r="Y534">
        <v>12</v>
      </c>
      <c r="Z534">
        <f>IF(H_A[[#This Row],[Attrition]]="Yes",1,0)</f>
        <v>0</v>
      </c>
      <c r="AA534" t="str">
        <f>IF(H_A[[#This Row],[Age]]&lt;30,"Young",IF(H_A[[#This Row],[Age]]&lt;45,"Mid","Senior"))</f>
        <v>Senior</v>
      </c>
      <c r="AB534" t="str">
        <f>IF(H_A[[#This Row],[MonthlyIncome]]&lt;5000,"Low",IF(H_A[[#This Row],[MonthlyIncome]]&lt;10000,"Medium","High"))</f>
        <v>Low</v>
      </c>
      <c r="AC534" t="str">
        <f>IF(H_A[[#This Row],[YearsAtCompany]]&lt;3,"Early",IF(H_A[[#This Row],[YearsAtCompany]]&lt;7,"Mid","Long"))</f>
        <v>Long</v>
      </c>
      <c r="AD534" t="str">
        <f>IF(H_A[[#This Row],[PercentSalaryHike]]&lt;13,"Low",IF(H_A[[#This Row],[PercentSalaryHike]]&lt;18,"Medium","High"))</f>
        <v>Low</v>
      </c>
    </row>
    <row r="535" spans="1:30" x14ac:dyDescent="0.3">
      <c r="A535">
        <v>40</v>
      </c>
      <c r="B535">
        <v>729</v>
      </c>
      <c r="C535" t="s">
        <v>36</v>
      </c>
      <c r="D535" t="s">
        <v>31</v>
      </c>
      <c r="E535">
        <v>5</v>
      </c>
      <c r="F535">
        <v>4</v>
      </c>
      <c r="G535" t="s">
        <v>32</v>
      </c>
      <c r="H535">
        <v>4</v>
      </c>
      <c r="I535" t="s">
        <v>38</v>
      </c>
      <c r="J535">
        <v>2</v>
      </c>
      <c r="K535">
        <v>3</v>
      </c>
      <c r="L535" t="s">
        <v>34</v>
      </c>
      <c r="M535">
        <v>1</v>
      </c>
      <c r="N535" t="s">
        <v>40</v>
      </c>
      <c r="O535">
        <v>10475</v>
      </c>
      <c r="P535">
        <v>5</v>
      </c>
      <c r="Q535" t="s">
        <v>30</v>
      </c>
      <c r="R535">
        <v>3</v>
      </c>
      <c r="S535">
        <v>20</v>
      </c>
      <c r="T535">
        <v>3</v>
      </c>
      <c r="U535">
        <v>18</v>
      </c>
      <c r="V535">
        <v>13</v>
      </c>
      <c r="W535">
        <v>1</v>
      </c>
      <c r="X535">
        <v>12</v>
      </c>
      <c r="Y535">
        <v>21</v>
      </c>
      <c r="Z535">
        <f>IF(H_A[[#This Row],[Attrition]]="Yes",1,0)</f>
        <v>0</v>
      </c>
      <c r="AA535" t="str">
        <f>IF(H_A[[#This Row],[Age]]&lt;30,"Young",IF(H_A[[#This Row],[Age]]&lt;45,"Mid","Senior"))</f>
        <v>Mid</v>
      </c>
      <c r="AB535" t="str">
        <f>IF(H_A[[#This Row],[MonthlyIncome]]&lt;5000,"Low",IF(H_A[[#This Row],[MonthlyIncome]]&lt;10000,"Medium","High"))</f>
        <v>High</v>
      </c>
      <c r="AC535" t="str">
        <f>IF(H_A[[#This Row],[YearsAtCompany]]&lt;3,"Early",IF(H_A[[#This Row],[YearsAtCompany]]&lt;7,"Mid","Long"))</f>
        <v>Long</v>
      </c>
      <c r="AD535" t="str">
        <f>IF(H_A[[#This Row],[PercentSalaryHike]]&lt;13,"Low",IF(H_A[[#This Row],[PercentSalaryHike]]&lt;18,"Medium","High"))</f>
        <v>High</v>
      </c>
    </row>
    <row r="536" spans="1:30" x14ac:dyDescent="0.3">
      <c r="A536">
        <v>53</v>
      </c>
      <c r="B536">
        <v>730</v>
      </c>
      <c r="C536" t="s">
        <v>36</v>
      </c>
      <c r="D536" t="s">
        <v>37</v>
      </c>
      <c r="E536">
        <v>7</v>
      </c>
      <c r="F536">
        <v>3</v>
      </c>
      <c r="G536" t="s">
        <v>32</v>
      </c>
      <c r="H536">
        <v>3</v>
      </c>
      <c r="I536" t="s">
        <v>38</v>
      </c>
      <c r="J536">
        <v>4</v>
      </c>
      <c r="K536">
        <v>4</v>
      </c>
      <c r="L536" t="s">
        <v>49</v>
      </c>
      <c r="M536">
        <v>3</v>
      </c>
      <c r="N536" t="s">
        <v>40</v>
      </c>
      <c r="O536">
        <v>14814</v>
      </c>
      <c r="P536">
        <v>3</v>
      </c>
      <c r="Q536" t="s">
        <v>36</v>
      </c>
      <c r="R536">
        <v>3</v>
      </c>
      <c r="S536">
        <v>32</v>
      </c>
      <c r="T536">
        <v>3</v>
      </c>
      <c r="U536">
        <v>5</v>
      </c>
      <c r="V536">
        <v>1</v>
      </c>
      <c r="W536">
        <v>1</v>
      </c>
      <c r="X536">
        <v>3</v>
      </c>
      <c r="Y536">
        <v>19</v>
      </c>
      <c r="Z536">
        <f>IF(H_A[[#This Row],[Attrition]]="Yes",1,0)</f>
        <v>0</v>
      </c>
      <c r="AA536" t="str">
        <f>IF(H_A[[#This Row],[Age]]&lt;30,"Young",IF(H_A[[#This Row],[Age]]&lt;45,"Mid","Senior"))</f>
        <v>Senior</v>
      </c>
      <c r="AB536" t="str">
        <f>IF(H_A[[#This Row],[MonthlyIncome]]&lt;5000,"Low",IF(H_A[[#This Row],[MonthlyIncome]]&lt;10000,"Medium","High"))</f>
        <v>High</v>
      </c>
      <c r="AC536" t="str">
        <f>IF(H_A[[#This Row],[YearsAtCompany]]&lt;3,"Early",IF(H_A[[#This Row],[YearsAtCompany]]&lt;7,"Mid","Long"))</f>
        <v>Mid</v>
      </c>
      <c r="AD536" t="str">
        <f>IF(H_A[[#This Row],[PercentSalaryHike]]&lt;13,"Low",IF(H_A[[#This Row],[PercentSalaryHike]]&lt;18,"Medium","High"))</f>
        <v>High</v>
      </c>
    </row>
    <row r="537" spans="1:30" x14ac:dyDescent="0.3">
      <c r="A537">
        <v>41</v>
      </c>
      <c r="B537">
        <v>731</v>
      </c>
      <c r="C537" t="s">
        <v>36</v>
      </c>
      <c r="D537" t="s">
        <v>52</v>
      </c>
      <c r="E537">
        <v>10</v>
      </c>
      <c r="F537">
        <v>4</v>
      </c>
      <c r="G537" t="s">
        <v>52</v>
      </c>
      <c r="H537">
        <v>2</v>
      </c>
      <c r="I537" t="s">
        <v>38</v>
      </c>
      <c r="J537">
        <v>2</v>
      </c>
      <c r="K537">
        <v>5</v>
      </c>
      <c r="L537" t="s">
        <v>47</v>
      </c>
      <c r="M537">
        <v>4</v>
      </c>
      <c r="N537" t="s">
        <v>44</v>
      </c>
      <c r="O537">
        <v>19141</v>
      </c>
      <c r="P537">
        <v>3</v>
      </c>
      <c r="Q537" t="s">
        <v>36</v>
      </c>
      <c r="R537">
        <v>2</v>
      </c>
      <c r="S537">
        <v>23</v>
      </c>
      <c r="T537">
        <v>2</v>
      </c>
      <c r="U537">
        <v>21</v>
      </c>
      <c r="V537">
        <v>6</v>
      </c>
      <c r="W537">
        <v>12</v>
      </c>
      <c r="X537">
        <v>6</v>
      </c>
      <c r="Y537">
        <v>15</v>
      </c>
      <c r="Z537">
        <f>IF(H_A[[#This Row],[Attrition]]="Yes",1,0)</f>
        <v>0</v>
      </c>
      <c r="AA537" t="str">
        <f>IF(H_A[[#This Row],[Age]]&lt;30,"Young",IF(H_A[[#This Row],[Age]]&lt;45,"Mid","Senior"))</f>
        <v>Mid</v>
      </c>
      <c r="AB537" t="str">
        <f>IF(H_A[[#This Row],[MonthlyIncome]]&lt;5000,"Low",IF(H_A[[#This Row],[MonthlyIncome]]&lt;10000,"Medium","High"))</f>
        <v>High</v>
      </c>
      <c r="AC537" t="str">
        <f>IF(H_A[[#This Row],[YearsAtCompany]]&lt;3,"Early",IF(H_A[[#This Row],[YearsAtCompany]]&lt;7,"Mid","Long"))</f>
        <v>Long</v>
      </c>
      <c r="AD537" t="str">
        <f>IF(H_A[[#This Row],[PercentSalaryHike]]&lt;13,"Low",IF(H_A[[#This Row],[PercentSalaryHike]]&lt;18,"Medium","High"))</f>
        <v>Medium</v>
      </c>
    </row>
    <row r="538" spans="1:30" x14ac:dyDescent="0.3">
      <c r="A538">
        <v>60</v>
      </c>
      <c r="B538">
        <v>732</v>
      </c>
      <c r="C538" t="s">
        <v>36</v>
      </c>
      <c r="D538" t="s">
        <v>31</v>
      </c>
      <c r="E538">
        <v>16</v>
      </c>
      <c r="F538">
        <v>4</v>
      </c>
      <c r="G538" t="s">
        <v>50</v>
      </c>
      <c r="H538">
        <v>1</v>
      </c>
      <c r="I538" t="s">
        <v>38</v>
      </c>
      <c r="J538">
        <v>3</v>
      </c>
      <c r="K538">
        <v>2</v>
      </c>
      <c r="L538" t="s">
        <v>34</v>
      </c>
      <c r="M538">
        <v>1</v>
      </c>
      <c r="N538" t="s">
        <v>35</v>
      </c>
      <c r="O538">
        <v>5405</v>
      </c>
      <c r="P538">
        <v>8</v>
      </c>
      <c r="Q538" t="s">
        <v>36</v>
      </c>
      <c r="R538">
        <v>4</v>
      </c>
      <c r="S538">
        <v>10</v>
      </c>
      <c r="T538">
        <v>3</v>
      </c>
      <c r="U538">
        <v>2</v>
      </c>
      <c r="V538">
        <v>2</v>
      </c>
      <c r="W538">
        <v>2</v>
      </c>
      <c r="X538">
        <v>2</v>
      </c>
      <c r="Y538">
        <v>14</v>
      </c>
      <c r="Z538">
        <f>IF(H_A[[#This Row],[Attrition]]="Yes",1,0)</f>
        <v>0</v>
      </c>
      <c r="AA538" t="str">
        <f>IF(H_A[[#This Row],[Age]]&lt;30,"Young",IF(H_A[[#This Row],[Age]]&lt;45,"Mid","Senior"))</f>
        <v>Senior</v>
      </c>
      <c r="AB538" t="str">
        <f>IF(H_A[[#This Row],[MonthlyIncome]]&lt;5000,"Low",IF(H_A[[#This Row],[MonthlyIncome]]&lt;10000,"Medium","High"))</f>
        <v>Medium</v>
      </c>
      <c r="AC538" t="str">
        <f>IF(H_A[[#This Row],[YearsAtCompany]]&lt;3,"Early",IF(H_A[[#This Row],[YearsAtCompany]]&lt;7,"Mid","Long"))</f>
        <v>Early</v>
      </c>
      <c r="AD538" t="str">
        <f>IF(H_A[[#This Row],[PercentSalaryHike]]&lt;13,"Low",IF(H_A[[#This Row],[PercentSalaryHike]]&lt;18,"Medium","High"))</f>
        <v>Medium</v>
      </c>
    </row>
    <row r="539" spans="1:30" x14ac:dyDescent="0.3">
      <c r="A539">
        <v>27</v>
      </c>
      <c r="B539">
        <v>733</v>
      </c>
      <c r="C539" t="s">
        <v>36</v>
      </c>
      <c r="D539" t="s">
        <v>37</v>
      </c>
      <c r="E539">
        <v>10</v>
      </c>
      <c r="F539">
        <v>2</v>
      </c>
      <c r="G539" t="s">
        <v>32</v>
      </c>
      <c r="H539">
        <v>4</v>
      </c>
      <c r="I539" t="s">
        <v>38</v>
      </c>
      <c r="J539">
        <v>3</v>
      </c>
      <c r="K539">
        <v>3</v>
      </c>
      <c r="L539" t="s">
        <v>45</v>
      </c>
      <c r="M539">
        <v>1</v>
      </c>
      <c r="N539" t="s">
        <v>44</v>
      </c>
      <c r="O539">
        <v>8793</v>
      </c>
      <c r="P539">
        <v>1</v>
      </c>
      <c r="Q539" t="s">
        <v>36</v>
      </c>
      <c r="R539">
        <v>3</v>
      </c>
      <c r="S539">
        <v>9</v>
      </c>
      <c r="T539">
        <v>2</v>
      </c>
      <c r="U539">
        <v>9</v>
      </c>
      <c r="V539">
        <v>7</v>
      </c>
      <c r="W539">
        <v>1</v>
      </c>
      <c r="X539">
        <v>7</v>
      </c>
      <c r="Y539">
        <v>21</v>
      </c>
      <c r="Z539">
        <f>IF(H_A[[#This Row],[Attrition]]="Yes",1,0)</f>
        <v>0</v>
      </c>
      <c r="AA539" t="str">
        <f>IF(H_A[[#This Row],[Age]]&lt;30,"Young",IF(H_A[[#This Row],[Age]]&lt;45,"Mid","Senior"))</f>
        <v>Young</v>
      </c>
      <c r="AB539" t="str">
        <f>IF(H_A[[#This Row],[MonthlyIncome]]&lt;5000,"Low",IF(H_A[[#This Row],[MonthlyIncome]]&lt;10000,"Medium","High"))</f>
        <v>Medium</v>
      </c>
      <c r="AC539" t="str">
        <f>IF(H_A[[#This Row],[YearsAtCompany]]&lt;3,"Early",IF(H_A[[#This Row],[YearsAtCompany]]&lt;7,"Mid","Long"))</f>
        <v>Long</v>
      </c>
      <c r="AD539" t="str">
        <f>IF(H_A[[#This Row],[PercentSalaryHike]]&lt;13,"Low",IF(H_A[[#This Row],[PercentSalaryHike]]&lt;18,"Medium","High"))</f>
        <v>High</v>
      </c>
    </row>
    <row r="540" spans="1:30" x14ac:dyDescent="0.3">
      <c r="A540">
        <v>41</v>
      </c>
      <c r="B540">
        <v>734</v>
      </c>
      <c r="C540" t="s">
        <v>36</v>
      </c>
      <c r="D540" t="s">
        <v>52</v>
      </c>
      <c r="E540">
        <v>1</v>
      </c>
      <c r="F540">
        <v>3</v>
      </c>
      <c r="G540" t="s">
        <v>52</v>
      </c>
      <c r="H540">
        <v>4</v>
      </c>
      <c r="I540" t="s">
        <v>38</v>
      </c>
      <c r="J540">
        <v>2</v>
      </c>
      <c r="K540">
        <v>5</v>
      </c>
      <c r="L540" t="s">
        <v>47</v>
      </c>
      <c r="M540">
        <v>3</v>
      </c>
      <c r="N540" t="s">
        <v>40</v>
      </c>
      <c r="O540">
        <v>19189</v>
      </c>
      <c r="P540">
        <v>1</v>
      </c>
      <c r="Q540" t="s">
        <v>36</v>
      </c>
      <c r="R540">
        <v>2</v>
      </c>
      <c r="S540">
        <v>22</v>
      </c>
      <c r="T540">
        <v>3</v>
      </c>
      <c r="U540">
        <v>22</v>
      </c>
      <c r="V540">
        <v>7</v>
      </c>
      <c r="W540">
        <v>2</v>
      </c>
      <c r="X540">
        <v>10</v>
      </c>
      <c r="Y540">
        <v>12</v>
      </c>
      <c r="Z540">
        <f>IF(H_A[[#This Row],[Attrition]]="Yes",1,0)</f>
        <v>0</v>
      </c>
      <c r="AA540" t="str">
        <f>IF(H_A[[#This Row],[Age]]&lt;30,"Young",IF(H_A[[#This Row],[Age]]&lt;45,"Mid","Senior"))</f>
        <v>Mid</v>
      </c>
      <c r="AB540" t="str">
        <f>IF(H_A[[#This Row],[MonthlyIncome]]&lt;5000,"Low",IF(H_A[[#This Row],[MonthlyIncome]]&lt;10000,"Medium","High"))</f>
        <v>High</v>
      </c>
      <c r="AC540" t="str">
        <f>IF(H_A[[#This Row],[YearsAtCompany]]&lt;3,"Early",IF(H_A[[#This Row],[YearsAtCompany]]&lt;7,"Mid","Long"))</f>
        <v>Long</v>
      </c>
      <c r="AD540" t="str">
        <f>IF(H_A[[#This Row],[PercentSalaryHike]]&lt;13,"Low",IF(H_A[[#This Row],[PercentSalaryHike]]&lt;18,"Medium","High"))</f>
        <v>Low</v>
      </c>
    </row>
    <row r="541" spans="1:30" x14ac:dyDescent="0.3">
      <c r="A541">
        <v>50</v>
      </c>
      <c r="B541">
        <v>738</v>
      </c>
      <c r="C541" t="s">
        <v>36</v>
      </c>
      <c r="D541" t="s">
        <v>31</v>
      </c>
      <c r="E541">
        <v>8</v>
      </c>
      <c r="F541">
        <v>4</v>
      </c>
      <c r="G541" t="s">
        <v>50</v>
      </c>
      <c r="H541">
        <v>4</v>
      </c>
      <c r="I541" t="s">
        <v>38</v>
      </c>
      <c r="J541">
        <v>3</v>
      </c>
      <c r="K541">
        <v>1</v>
      </c>
      <c r="L541" t="s">
        <v>48</v>
      </c>
      <c r="M541">
        <v>2</v>
      </c>
      <c r="N541" t="s">
        <v>40</v>
      </c>
      <c r="O541">
        <v>3875</v>
      </c>
      <c r="P541">
        <v>7</v>
      </c>
      <c r="Q541" t="s">
        <v>36</v>
      </c>
      <c r="R541">
        <v>4</v>
      </c>
      <c r="S541">
        <v>4</v>
      </c>
      <c r="T541">
        <v>3</v>
      </c>
      <c r="U541">
        <v>2</v>
      </c>
      <c r="V541">
        <v>2</v>
      </c>
      <c r="W541">
        <v>2</v>
      </c>
      <c r="X541">
        <v>2</v>
      </c>
      <c r="Y541">
        <v>15</v>
      </c>
      <c r="Z541">
        <f>IF(H_A[[#This Row],[Attrition]]="Yes",1,0)</f>
        <v>0</v>
      </c>
      <c r="AA541" t="str">
        <f>IF(H_A[[#This Row],[Age]]&lt;30,"Young",IF(H_A[[#This Row],[Age]]&lt;45,"Mid","Senior"))</f>
        <v>Senior</v>
      </c>
      <c r="AB541" t="str">
        <f>IF(H_A[[#This Row],[MonthlyIncome]]&lt;5000,"Low",IF(H_A[[#This Row],[MonthlyIncome]]&lt;10000,"Medium","High"))</f>
        <v>Low</v>
      </c>
      <c r="AC541" t="str">
        <f>IF(H_A[[#This Row],[YearsAtCompany]]&lt;3,"Early",IF(H_A[[#This Row],[YearsAtCompany]]&lt;7,"Mid","Long"))</f>
        <v>Early</v>
      </c>
      <c r="AD541" t="str">
        <f>IF(H_A[[#This Row],[PercentSalaryHike]]&lt;13,"Low",IF(H_A[[#This Row],[PercentSalaryHike]]&lt;18,"Medium","High"))</f>
        <v>Medium</v>
      </c>
    </row>
    <row r="542" spans="1:30" x14ac:dyDescent="0.3">
      <c r="A542">
        <v>28</v>
      </c>
      <c r="B542">
        <v>741</v>
      </c>
      <c r="C542" t="s">
        <v>30</v>
      </c>
      <c r="D542" t="s">
        <v>37</v>
      </c>
      <c r="E542">
        <v>1</v>
      </c>
      <c r="F542">
        <v>2</v>
      </c>
      <c r="G542" t="s">
        <v>32</v>
      </c>
      <c r="H542">
        <v>1</v>
      </c>
      <c r="I542" t="s">
        <v>33</v>
      </c>
      <c r="J542">
        <v>1</v>
      </c>
      <c r="K542">
        <v>1</v>
      </c>
      <c r="L542" t="s">
        <v>39</v>
      </c>
      <c r="M542">
        <v>2</v>
      </c>
      <c r="N542" t="s">
        <v>35</v>
      </c>
      <c r="O542">
        <v>2216</v>
      </c>
      <c r="P542">
        <v>7</v>
      </c>
      <c r="Q542" t="s">
        <v>30</v>
      </c>
      <c r="R542">
        <v>4</v>
      </c>
      <c r="S542">
        <v>10</v>
      </c>
      <c r="T542">
        <v>3</v>
      </c>
      <c r="U542">
        <v>7</v>
      </c>
      <c r="V542">
        <v>7</v>
      </c>
      <c r="W542">
        <v>3</v>
      </c>
      <c r="X542">
        <v>7</v>
      </c>
      <c r="Y542">
        <v>13</v>
      </c>
      <c r="Z542">
        <f>IF(H_A[[#This Row],[Attrition]]="Yes",1,0)</f>
        <v>1</v>
      </c>
      <c r="AA542" t="str">
        <f>IF(H_A[[#This Row],[Age]]&lt;30,"Young",IF(H_A[[#This Row],[Age]]&lt;45,"Mid","Senior"))</f>
        <v>Young</v>
      </c>
      <c r="AB542" t="str">
        <f>IF(H_A[[#This Row],[MonthlyIncome]]&lt;5000,"Low",IF(H_A[[#This Row],[MonthlyIncome]]&lt;10000,"Medium","High"))</f>
        <v>Low</v>
      </c>
      <c r="AC542" t="str">
        <f>IF(H_A[[#This Row],[YearsAtCompany]]&lt;3,"Early",IF(H_A[[#This Row],[YearsAtCompany]]&lt;7,"Mid","Long"))</f>
        <v>Long</v>
      </c>
      <c r="AD542" t="str">
        <f>IF(H_A[[#This Row],[PercentSalaryHike]]&lt;13,"Low",IF(H_A[[#This Row],[PercentSalaryHike]]&lt;18,"Medium","High"))</f>
        <v>Medium</v>
      </c>
    </row>
    <row r="543" spans="1:30" x14ac:dyDescent="0.3">
      <c r="A543">
        <v>36</v>
      </c>
      <c r="B543">
        <v>742</v>
      </c>
      <c r="C543" t="s">
        <v>36</v>
      </c>
      <c r="D543" t="s">
        <v>37</v>
      </c>
      <c r="E543">
        <v>8</v>
      </c>
      <c r="F543">
        <v>3</v>
      </c>
      <c r="G543" t="s">
        <v>32</v>
      </c>
      <c r="H543">
        <v>1</v>
      </c>
      <c r="I543" t="s">
        <v>33</v>
      </c>
      <c r="J543">
        <v>4</v>
      </c>
      <c r="K543">
        <v>3</v>
      </c>
      <c r="L543" t="s">
        <v>49</v>
      </c>
      <c r="M543">
        <v>1</v>
      </c>
      <c r="N543" t="s">
        <v>40</v>
      </c>
      <c r="O543">
        <v>11713</v>
      </c>
      <c r="P543">
        <v>9</v>
      </c>
      <c r="Q543" t="s">
        <v>36</v>
      </c>
      <c r="R543">
        <v>1</v>
      </c>
      <c r="S543">
        <v>10</v>
      </c>
      <c r="T543">
        <v>3</v>
      </c>
      <c r="U543">
        <v>8</v>
      </c>
      <c r="V543">
        <v>7</v>
      </c>
      <c r="W543">
        <v>0</v>
      </c>
      <c r="X543">
        <v>5</v>
      </c>
      <c r="Y543">
        <v>14</v>
      </c>
      <c r="Z543">
        <f>IF(H_A[[#This Row],[Attrition]]="Yes",1,0)</f>
        <v>0</v>
      </c>
      <c r="AA543" t="str">
        <f>IF(H_A[[#This Row],[Age]]&lt;30,"Young",IF(H_A[[#This Row],[Age]]&lt;45,"Mid","Senior"))</f>
        <v>Mid</v>
      </c>
      <c r="AB543" t="str">
        <f>IF(H_A[[#This Row],[MonthlyIncome]]&lt;5000,"Low",IF(H_A[[#This Row],[MonthlyIncome]]&lt;10000,"Medium","High"))</f>
        <v>High</v>
      </c>
      <c r="AC543" t="str">
        <f>IF(H_A[[#This Row],[YearsAtCompany]]&lt;3,"Early",IF(H_A[[#This Row],[YearsAtCompany]]&lt;7,"Mid","Long"))</f>
        <v>Long</v>
      </c>
      <c r="AD543" t="str">
        <f>IF(H_A[[#This Row],[PercentSalaryHike]]&lt;13,"Low",IF(H_A[[#This Row],[PercentSalaryHike]]&lt;18,"Medium","High"))</f>
        <v>Medium</v>
      </c>
    </row>
    <row r="544" spans="1:30" x14ac:dyDescent="0.3">
      <c r="A544">
        <v>38</v>
      </c>
      <c r="B544">
        <v>743</v>
      </c>
      <c r="C544" t="s">
        <v>36</v>
      </c>
      <c r="D544" t="s">
        <v>37</v>
      </c>
      <c r="E544">
        <v>1</v>
      </c>
      <c r="F544">
        <v>3</v>
      </c>
      <c r="G544" t="s">
        <v>32</v>
      </c>
      <c r="H544">
        <v>3</v>
      </c>
      <c r="I544" t="s">
        <v>33</v>
      </c>
      <c r="J544">
        <v>3</v>
      </c>
      <c r="K544">
        <v>3</v>
      </c>
      <c r="L544" t="s">
        <v>45</v>
      </c>
      <c r="M544">
        <v>3</v>
      </c>
      <c r="N544" t="s">
        <v>35</v>
      </c>
      <c r="O544">
        <v>7861</v>
      </c>
      <c r="P544">
        <v>4</v>
      </c>
      <c r="Q544" t="s">
        <v>30</v>
      </c>
      <c r="R544">
        <v>4</v>
      </c>
      <c r="S544">
        <v>10</v>
      </c>
      <c r="T544">
        <v>4</v>
      </c>
      <c r="U544">
        <v>1</v>
      </c>
      <c r="V544">
        <v>0</v>
      </c>
      <c r="W544">
        <v>0</v>
      </c>
      <c r="X544">
        <v>0</v>
      </c>
      <c r="Y544">
        <v>14</v>
      </c>
      <c r="Z544">
        <f>IF(H_A[[#This Row],[Attrition]]="Yes",1,0)</f>
        <v>0</v>
      </c>
      <c r="AA544" t="str">
        <f>IF(H_A[[#This Row],[Age]]&lt;30,"Young",IF(H_A[[#This Row],[Age]]&lt;45,"Mid","Senior"))</f>
        <v>Mid</v>
      </c>
      <c r="AB544" t="str">
        <f>IF(H_A[[#This Row],[MonthlyIncome]]&lt;5000,"Low",IF(H_A[[#This Row],[MonthlyIncome]]&lt;10000,"Medium","High"))</f>
        <v>Medium</v>
      </c>
      <c r="AC544" t="str">
        <f>IF(H_A[[#This Row],[YearsAtCompany]]&lt;3,"Early",IF(H_A[[#This Row],[YearsAtCompany]]&lt;7,"Mid","Long"))</f>
        <v>Early</v>
      </c>
      <c r="AD544" t="str">
        <f>IF(H_A[[#This Row],[PercentSalaryHike]]&lt;13,"Low",IF(H_A[[#This Row],[PercentSalaryHike]]&lt;18,"Medium","High"))</f>
        <v>Medium</v>
      </c>
    </row>
    <row r="545" spans="1:30" x14ac:dyDescent="0.3">
      <c r="A545">
        <v>44</v>
      </c>
      <c r="B545">
        <v>744</v>
      </c>
      <c r="C545" t="s">
        <v>36</v>
      </c>
      <c r="D545" t="s">
        <v>37</v>
      </c>
      <c r="E545">
        <v>24</v>
      </c>
      <c r="F545">
        <v>3</v>
      </c>
      <c r="G545" t="s">
        <v>43</v>
      </c>
      <c r="H545">
        <v>1</v>
      </c>
      <c r="I545" t="s">
        <v>38</v>
      </c>
      <c r="J545">
        <v>1</v>
      </c>
      <c r="K545">
        <v>1</v>
      </c>
      <c r="L545" t="s">
        <v>42</v>
      </c>
      <c r="M545">
        <v>3</v>
      </c>
      <c r="N545" t="s">
        <v>35</v>
      </c>
      <c r="O545">
        <v>3708</v>
      </c>
      <c r="P545">
        <v>2</v>
      </c>
      <c r="Q545" t="s">
        <v>36</v>
      </c>
      <c r="R545">
        <v>3</v>
      </c>
      <c r="S545">
        <v>9</v>
      </c>
      <c r="T545">
        <v>3</v>
      </c>
      <c r="U545">
        <v>5</v>
      </c>
      <c r="V545">
        <v>2</v>
      </c>
      <c r="W545">
        <v>1</v>
      </c>
      <c r="X545">
        <v>4</v>
      </c>
      <c r="Y545">
        <v>14</v>
      </c>
      <c r="Z545">
        <f>IF(H_A[[#This Row],[Attrition]]="Yes",1,0)</f>
        <v>0</v>
      </c>
      <c r="AA545" t="str">
        <f>IF(H_A[[#This Row],[Age]]&lt;30,"Young",IF(H_A[[#This Row],[Age]]&lt;45,"Mid","Senior"))</f>
        <v>Mid</v>
      </c>
      <c r="AB545" t="str">
        <f>IF(H_A[[#This Row],[MonthlyIncome]]&lt;5000,"Low",IF(H_A[[#This Row],[MonthlyIncome]]&lt;10000,"Medium","High"))</f>
        <v>Low</v>
      </c>
      <c r="AC545" t="str">
        <f>IF(H_A[[#This Row],[YearsAtCompany]]&lt;3,"Early",IF(H_A[[#This Row],[YearsAtCompany]]&lt;7,"Mid","Long"))</f>
        <v>Mid</v>
      </c>
      <c r="AD545" t="str">
        <f>IF(H_A[[#This Row],[PercentSalaryHike]]&lt;13,"Low",IF(H_A[[#This Row],[PercentSalaryHike]]&lt;18,"Medium","High"))</f>
        <v>Medium</v>
      </c>
    </row>
    <row r="546" spans="1:30" x14ac:dyDescent="0.3">
      <c r="A546">
        <v>47</v>
      </c>
      <c r="B546">
        <v>746</v>
      </c>
      <c r="C546" t="s">
        <v>36</v>
      </c>
      <c r="D546" t="s">
        <v>31</v>
      </c>
      <c r="E546">
        <v>3</v>
      </c>
      <c r="F546">
        <v>3</v>
      </c>
      <c r="G546" t="s">
        <v>43</v>
      </c>
      <c r="H546">
        <v>4</v>
      </c>
      <c r="I546" t="s">
        <v>33</v>
      </c>
      <c r="J546">
        <v>3</v>
      </c>
      <c r="K546">
        <v>4</v>
      </c>
      <c r="L546" t="s">
        <v>34</v>
      </c>
      <c r="M546">
        <v>3</v>
      </c>
      <c r="N546" t="s">
        <v>44</v>
      </c>
      <c r="O546">
        <v>13770</v>
      </c>
      <c r="P546">
        <v>9</v>
      </c>
      <c r="Q546" t="s">
        <v>30</v>
      </c>
      <c r="R546">
        <v>4</v>
      </c>
      <c r="S546">
        <v>28</v>
      </c>
      <c r="T546">
        <v>2</v>
      </c>
      <c r="U546">
        <v>22</v>
      </c>
      <c r="V546">
        <v>2</v>
      </c>
      <c r="W546">
        <v>11</v>
      </c>
      <c r="X546">
        <v>13</v>
      </c>
      <c r="Y546">
        <v>12</v>
      </c>
      <c r="Z546">
        <f>IF(H_A[[#This Row],[Attrition]]="Yes",1,0)</f>
        <v>0</v>
      </c>
      <c r="AA546" t="str">
        <f>IF(H_A[[#This Row],[Age]]&lt;30,"Young",IF(H_A[[#This Row],[Age]]&lt;45,"Mid","Senior"))</f>
        <v>Senior</v>
      </c>
      <c r="AB546" t="str">
        <f>IF(H_A[[#This Row],[MonthlyIncome]]&lt;5000,"Low",IF(H_A[[#This Row],[MonthlyIncome]]&lt;10000,"Medium","High"))</f>
        <v>High</v>
      </c>
      <c r="AC546" t="str">
        <f>IF(H_A[[#This Row],[YearsAtCompany]]&lt;3,"Early",IF(H_A[[#This Row],[YearsAtCompany]]&lt;7,"Mid","Long"))</f>
        <v>Long</v>
      </c>
      <c r="AD546" t="str">
        <f>IF(H_A[[#This Row],[PercentSalaryHike]]&lt;13,"Low",IF(H_A[[#This Row],[PercentSalaryHike]]&lt;18,"Medium","High"))</f>
        <v>Low</v>
      </c>
    </row>
    <row r="547" spans="1:30" x14ac:dyDescent="0.3">
      <c r="A547">
        <v>30</v>
      </c>
      <c r="B547">
        <v>747</v>
      </c>
      <c r="C547" t="s">
        <v>36</v>
      </c>
      <c r="D547" t="s">
        <v>31</v>
      </c>
      <c r="E547">
        <v>27</v>
      </c>
      <c r="F547">
        <v>5</v>
      </c>
      <c r="G547" t="s">
        <v>50</v>
      </c>
      <c r="H547">
        <v>3</v>
      </c>
      <c r="I547" t="s">
        <v>38</v>
      </c>
      <c r="J547">
        <v>3</v>
      </c>
      <c r="K547">
        <v>2</v>
      </c>
      <c r="L547" t="s">
        <v>34</v>
      </c>
      <c r="M547">
        <v>4</v>
      </c>
      <c r="N547" t="s">
        <v>44</v>
      </c>
      <c r="O547">
        <v>5304</v>
      </c>
      <c r="P547">
        <v>7</v>
      </c>
      <c r="Q547" t="s">
        <v>36</v>
      </c>
      <c r="R547">
        <v>4</v>
      </c>
      <c r="S547">
        <v>10</v>
      </c>
      <c r="T547">
        <v>2</v>
      </c>
      <c r="U547">
        <v>8</v>
      </c>
      <c r="V547">
        <v>7</v>
      </c>
      <c r="W547">
        <v>7</v>
      </c>
      <c r="X547">
        <v>7</v>
      </c>
      <c r="Y547">
        <v>23</v>
      </c>
      <c r="Z547">
        <f>IF(H_A[[#This Row],[Attrition]]="Yes",1,0)</f>
        <v>0</v>
      </c>
      <c r="AA547" t="str">
        <f>IF(H_A[[#This Row],[Age]]&lt;30,"Young",IF(H_A[[#This Row],[Age]]&lt;45,"Mid","Senior"))</f>
        <v>Mid</v>
      </c>
      <c r="AB547" t="str">
        <f>IF(H_A[[#This Row],[MonthlyIncome]]&lt;5000,"Low",IF(H_A[[#This Row],[MonthlyIncome]]&lt;10000,"Medium","High"))</f>
        <v>Medium</v>
      </c>
      <c r="AC547" t="str">
        <f>IF(H_A[[#This Row],[YearsAtCompany]]&lt;3,"Early",IF(H_A[[#This Row],[YearsAtCompany]]&lt;7,"Mid","Long"))</f>
        <v>Long</v>
      </c>
      <c r="AD547" t="str">
        <f>IF(H_A[[#This Row],[PercentSalaryHike]]&lt;13,"Low",IF(H_A[[#This Row],[PercentSalaryHike]]&lt;18,"Medium","High"))</f>
        <v>High</v>
      </c>
    </row>
    <row r="548" spans="1:30" x14ac:dyDescent="0.3">
      <c r="A548">
        <v>29</v>
      </c>
      <c r="B548">
        <v>749</v>
      </c>
      <c r="C548" t="s">
        <v>36</v>
      </c>
      <c r="D548" t="s">
        <v>31</v>
      </c>
      <c r="E548">
        <v>10</v>
      </c>
      <c r="F548">
        <v>3</v>
      </c>
      <c r="G548" t="s">
        <v>32</v>
      </c>
      <c r="H548">
        <v>3</v>
      </c>
      <c r="I548" t="s">
        <v>38</v>
      </c>
      <c r="J548">
        <v>3</v>
      </c>
      <c r="K548">
        <v>1</v>
      </c>
      <c r="L548" t="s">
        <v>48</v>
      </c>
      <c r="M548">
        <v>3</v>
      </c>
      <c r="N548" t="s">
        <v>35</v>
      </c>
      <c r="O548">
        <v>2642</v>
      </c>
      <c r="P548">
        <v>1</v>
      </c>
      <c r="Q548" t="s">
        <v>36</v>
      </c>
      <c r="R548">
        <v>3</v>
      </c>
      <c r="S548">
        <v>1</v>
      </c>
      <c r="T548">
        <v>3</v>
      </c>
      <c r="U548">
        <v>1</v>
      </c>
      <c r="V548">
        <v>0</v>
      </c>
      <c r="W548">
        <v>0</v>
      </c>
      <c r="X548">
        <v>0</v>
      </c>
      <c r="Y548">
        <v>11</v>
      </c>
      <c r="Z548">
        <f>IF(H_A[[#This Row],[Attrition]]="Yes",1,0)</f>
        <v>0</v>
      </c>
      <c r="AA548" t="str">
        <f>IF(H_A[[#This Row],[Age]]&lt;30,"Young",IF(H_A[[#This Row],[Age]]&lt;45,"Mid","Senior"))</f>
        <v>Young</v>
      </c>
      <c r="AB548" t="str">
        <f>IF(H_A[[#This Row],[MonthlyIncome]]&lt;5000,"Low",IF(H_A[[#This Row],[MonthlyIncome]]&lt;10000,"Medium","High"))</f>
        <v>Low</v>
      </c>
      <c r="AC548" t="str">
        <f>IF(H_A[[#This Row],[YearsAtCompany]]&lt;3,"Early",IF(H_A[[#This Row],[YearsAtCompany]]&lt;7,"Mid","Long"))</f>
        <v>Early</v>
      </c>
      <c r="AD548" t="str">
        <f>IF(H_A[[#This Row],[PercentSalaryHike]]&lt;13,"Low",IF(H_A[[#This Row],[PercentSalaryHike]]&lt;18,"Medium","High"))</f>
        <v>Low</v>
      </c>
    </row>
    <row r="549" spans="1:30" x14ac:dyDescent="0.3">
      <c r="A549">
        <v>42</v>
      </c>
      <c r="B549">
        <v>752</v>
      </c>
      <c r="C549" t="s">
        <v>30</v>
      </c>
      <c r="D549" t="s">
        <v>37</v>
      </c>
      <c r="E549">
        <v>19</v>
      </c>
      <c r="F549">
        <v>3</v>
      </c>
      <c r="G549" t="s">
        <v>43</v>
      </c>
      <c r="H549">
        <v>3</v>
      </c>
      <c r="I549" t="s">
        <v>38</v>
      </c>
      <c r="J549">
        <v>4</v>
      </c>
      <c r="K549">
        <v>1</v>
      </c>
      <c r="L549" t="s">
        <v>39</v>
      </c>
      <c r="M549">
        <v>3</v>
      </c>
      <c r="N549" t="s">
        <v>44</v>
      </c>
      <c r="O549">
        <v>2759</v>
      </c>
      <c r="P549">
        <v>6</v>
      </c>
      <c r="Q549" t="s">
        <v>30</v>
      </c>
      <c r="R549">
        <v>4</v>
      </c>
      <c r="S549">
        <v>7</v>
      </c>
      <c r="T549">
        <v>3</v>
      </c>
      <c r="U549">
        <v>2</v>
      </c>
      <c r="V549">
        <v>2</v>
      </c>
      <c r="W549">
        <v>2</v>
      </c>
      <c r="X549">
        <v>2</v>
      </c>
      <c r="Y549">
        <v>12</v>
      </c>
      <c r="Z549">
        <f>IF(H_A[[#This Row],[Attrition]]="Yes",1,0)</f>
        <v>1</v>
      </c>
      <c r="AA549" t="str">
        <f>IF(H_A[[#This Row],[Age]]&lt;30,"Young",IF(H_A[[#This Row],[Age]]&lt;45,"Mid","Senior"))</f>
        <v>Mid</v>
      </c>
      <c r="AB549" t="str">
        <f>IF(H_A[[#This Row],[MonthlyIncome]]&lt;5000,"Low",IF(H_A[[#This Row],[MonthlyIncome]]&lt;10000,"Medium","High"))</f>
        <v>Low</v>
      </c>
      <c r="AC549" t="str">
        <f>IF(H_A[[#This Row],[YearsAtCompany]]&lt;3,"Early",IF(H_A[[#This Row],[YearsAtCompany]]&lt;7,"Mid","Long"))</f>
        <v>Early</v>
      </c>
      <c r="AD549" t="str">
        <f>IF(H_A[[#This Row],[PercentSalaryHike]]&lt;13,"Low",IF(H_A[[#This Row],[PercentSalaryHike]]&lt;18,"Medium","High"))</f>
        <v>Low</v>
      </c>
    </row>
    <row r="550" spans="1:30" x14ac:dyDescent="0.3">
      <c r="A550">
        <v>43</v>
      </c>
      <c r="B550">
        <v>754</v>
      </c>
      <c r="C550" t="s">
        <v>36</v>
      </c>
      <c r="D550" t="s">
        <v>31</v>
      </c>
      <c r="E550">
        <v>15</v>
      </c>
      <c r="F550">
        <v>3</v>
      </c>
      <c r="G550" t="s">
        <v>32</v>
      </c>
      <c r="H550">
        <v>4</v>
      </c>
      <c r="I550" t="s">
        <v>38</v>
      </c>
      <c r="J550">
        <v>2</v>
      </c>
      <c r="K550">
        <v>2</v>
      </c>
      <c r="L550" t="s">
        <v>34</v>
      </c>
      <c r="M550">
        <v>4</v>
      </c>
      <c r="N550" t="s">
        <v>40</v>
      </c>
      <c r="O550">
        <v>6804</v>
      </c>
      <c r="P550">
        <v>3</v>
      </c>
      <c r="Q550" t="s">
        <v>36</v>
      </c>
      <c r="R550">
        <v>3</v>
      </c>
      <c r="S550">
        <v>7</v>
      </c>
      <c r="T550">
        <v>3</v>
      </c>
      <c r="U550">
        <v>2</v>
      </c>
      <c r="V550">
        <v>2</v>
      </c>
      <c r="W550">
        <v>2</v>
      </c>
      <c r="X550">
        <v>2</v>
      </c>
      <c r="Y550">
        <v>18</v>
      </c>
      <c r="Z550">
        <f>IF(H_A[[#This Row],[Attrition]]="Yes",1,0)</f>
        <v>0</v>
      </c>
      <c r="AA550" t="str">
        <f>IF(H_A[[#This Row],[Age]]&lt;30,"Young",IF(H_A[[#This Row],[Age]]&lt;45,"Mid","Senior"))</f>
        <v>Mid</v>
      </c>
      <c r="AB550" t="str">
        <f>IF(H_A[[#This Row],[MonthlyIncome]]&lt;5000,"Low",IF(H_A[[#This Row],[MonthlyIncome]]&lt;10000,"Medium","High"))</f>
        <v>Medium</v>
      </c>
      <c r="AC550" t="str">
        <f>IF(H_A[[#This Row],[YearsAtCompany]]&lt;3,"Early",IF(H_A[[#This Row],[YearsAtCompany]]&lt;7,"Mid","Long"))</f>
        <v>Early</v>
      </c>
      <c r="AD550" t="str">
        <f>IF(H_A[[#This Row],[PercentSalaryHike]]&lt;13,"Low",IF(H_A[[#This Row],[PercentSalaryHike]]&lt;18,"Medium","High"))</f>
        <v>High</v>
      </c>
    </row>
    <row r="551" spans="1:30" x14ac:dyDescent="0.3">
      <c r="A551">
        <v>34</v>
      </c>
      <c r="B551">
        <v>757</v>
      </c>
      <c r="C551" t="s">
        <v>36</v>
      </c>
      <c r="D551" t="s">
        <v>37</v>
      </c>
      <c r="E551">
        <v>8</v>
      </c>
      <c r="F551">
        <v>2</v>
      </c>
      <c r="G551" t="s">
        <v>43</v>
      </c>
      <c r="H551">
        <v>2</v>
      </c>
      <c r="I551" t="s">
        <v>33</v>
      </c>
      <c r="J551">
        <v>3</v>
      </c>
      <c r="K551">
        <v>2</v>
      </c>
      <c r="L551" t="s">
        <v>46</v>
      </c>
      <c r="M551">
        <v>3</v>
      </c>
      <c r="N551" t="s">
        <v>35</v>
      </c>
      <c r="O551">
        <v>6142</v>
      </c>
      <c r="P551">
        <v>3</v>
      </c>
      <c r="Q551" t="s">
        <v>36</v>
      </c>
      <c r="R551">
        <v>4</v>
      </c>
      <c r="S551">
        <v>10</v>
      </c>
      <c r="T551">
        <v>3</v>
      </c>
      <c r="U551">
        <v>5</v>
      </c>
      <c r="V551">
        <v>1</v>
      </c>
      <c r="W551">
        <v>4</v>
      </c>
      <c r="X551">
        <v>3</v>
      </c>
      <c r="Y551">
        <v>11</v>
      </c>
      <c r="Z551">
        <f>IF(H_A[[#This Row],[Attrition]]="Yes",1,0)</f>
        <v>0</v>
      </c>
      <c r="AA551" t="str">
        <f>IF(H_A[[#This Row],[Age]]&lt;30,"Young",IF(H_A[[#This Row],[Age]]&lt;45,"Mid","Senior"))</f>
        <v>Mid</v>
      </c>
      <c r="AB551" t="str">
        <f>IF(H_A[[#This Row],[MonthlyIncome]]&lt;5000,"Low",IF(H_A[[#This Row],[MonthlyIncome]]&lt;10000,"Medium","High"))</f>
        <v>Medium</v>
      </c>
      <c r="AC551" t="str">
        <f>IF(H_A[[#This Row],[YearsAtCompany]]&lt;3,"Early",IF(H_A[[#This Row],[YearsAtCompany]]&lt;7,"Mid","Long"))</f>
        <v>Mid</v>
      </c>
      <c r="AD551" t="str">
        <f>IF(H_A[[#This Row],[PercentSalaryHike]]&lt;13,"Low",IF(H_A[[#This Row],[PercentSalaryHike]]&lt;18,"Medium","High"))</f>
        <v>Low</v>
      </c>
    </row>
    <row r="552" spans="1:30" x14ac:dyDescent="0.3">
      <c r="A552">
        <v>23</v>
      </c>
      <c r="B552">
        <v>758</v>
      </c>
      <c r="C552" t="s">
        <v>36</v>
      </c>
      <c r="D552" t="s">
        <v>37</v>
      </c>
      <c r="E552">
        <v>9</v>
      </c>
      <c r="F552">
        <v>1</v>
      </c>
      <c r="G552" t="s">
        <v>43</v>
      </c>
      <c r="H552">
        <v>2</v>
      </c>
      <c r="I552" t="s">
        <v>38</v>
      </c>
      <c r="J552">
        <v>3</v>
      </c>
      <c r="K552">
        <v>1</v>
      </c>
      <c r="L552" t="s">
        <v>42</v>
      </c>
      <c r="M552">
        <v>1</v>
      </c>
      <c r="N552" t="s">
        <v>40</v>
      </c>
      <c r="O552">
        <v>2500</v>
      </c>
      <c r="P552">
        <v>1</v>
      </c>
      <c r="Q552" t="s">
        <v>36</v>
      </c>
      <c r="R552">
        <v>4</v>
      </c>
      <c r="S552">
        <v>5</v>
      </c>
      <c r="T552">
        <v>4</v>
      </c>
      <c r="U552">
        <v>4</v>
      </c>
      <c r="V552">
        <v>3</v>
      </c>
      <c r="W552">
        <v>0</v>
      </c>
      <c r="X552">
        <v>2</v>
      </c>
      <c r="Y552">
        <v>14</v>
      </c>
      <c r="Z552">
        <f>IF(H_A[[#This Row],[Attrition]]="Yes",1,0)</f>
        <v>0</v>
      </c>
      <c r="AA552" t="str">
        <f>IF(H_A[[#This Row],[Age]]&lt;30,"Young",IF(H_A[[#This Row],[Age]]&lt;45,"Mid","Senior"))</f>
        <v>Young</v>
      </c>
      <c r="AB552" t="str">
        <f>IF(H_A[[#This Row],[MonthlyIncome]]&lt;5000,"Low",IF(H_A[[#This Row],[MonthlyIncome]]&lt;10000,"Medium","High"))</f>
        <v>Low</v>
      </c>
      <c r="AC552" t="str">
        <f>IF(H_A[[#This Row],[YearsAtCompany]]&lt;3,"Early",IF(H_A[[#This Row],[YearsAtCompany]]&lt;7,"Mid","Long"))</f>
        <v>Mid</v>
      </c>
      <c r="AD552" t="str">
        <f>IF(H_A[[#This Row],[PercentSalaryHike]]&lt;13,"Low",IF(H_A[[#This Row],[PercentSalaryHike]]&lt;18,"Medium","High"))</f>
        <v>Medium</v>
      </c>
    </row>
    <row r="553" spans="1:30" x14ac:dyDescent="0.3">
      <c r="A553">
        <v>39</v>
      </c>
      <c r="B553">
        <v>760</v>
      </c>
      <c r="C553" t="s">
        <v>36</v>
      </c>
      <c r="D553" t="s">
        <v>52</v>
      </c>
      <c r="E553">
        <v>3</v>
      </c>
      <c r="F553">
        <v>3</v>
      </c>
      <c r="G553" t="s">
        <v>52</v>
      </c>
      <c r="H553">
        <v>3</v>
      </c>
      <c r="I553" t="s">
        <v>33</v>
      </c>
      <c r="J553">
        <v>4</v>
      </c>
      <c r="K553">
        <v>2</v>
      </c>
      <c r="L553" t="s">
        <v>52</v>
      </c>
      <c r="M553">
        <v>2</v>
      </c>
      <c r="N553" t="s">
        <v>40</v>
      </c>
      <c r="O553">
        <v>6389</v>
      </c>
      <c r="P553">
        <v>9</v>
      </c>
      <c r="Q553" t="s">
        <v>36</v>
      </c>
      <c r="R553">
        <v>3</v>
      </c>
      <c r="S553">
        <v>12</v>
      </c>
      <c r="T553">
        <v>1</v>
      </c>
      <c r="U553">
        <v>8</v>
      </c>
      <c r="V553">
        <v>3</v>
      </c>
      <c r="W553">
        <v>3</v>
      </c>
      <c r="X553">
        <v>6</v>
      </c>
      <c r="Y553">
        <v>15</v>
      </c>
      <c r="Z553">
        <f>IF(H_A[[#This Row],[Attrition]]="Yes",1,0)</f>
        <v>0</v>
      </c>
      <c r="AA553" t="str">
        <f>IF(H_A[[#This Row],[Age]]&lt;30,"Young",IF(H_A[[#This Row],[Age]]&lt;45,"Mid","Senior"))</f>
        <v>Mid</v>
      </c>
      <c r="AB553" t="str">
        <f>IF(H_A[[#This Row],[MonthlyIncome]]&lt;5000,"Low",IF(H_A[[#This Row],[MonthlyIncome]]&lt;10000,"Medium","High"))</f>
        <v>Medium</v>
      </c>
      <c r="AC553" t="str">
        <f>IF(H_A[[#This Row],[YearsAtCompany]]&lt;3,"Early",IF(H_A[[#This Row],[YearsAtCompany]]&lt;7,"Mid","Long"))</f>
        <v>Long</v>
      </c>
      <c r="AD553" t="str">
        <f>IF(H_A[[#This Row],[PercentSalaryHike]]&lt;13,"Low",IF(H_A[[#This Row],[PercentSalaryHike]]&lt;18,"Medium","High"))</f>
        <v>Medium</v>
      </c>
    </row>
    <row r="554" spans="1:30" x14ac:dyDescent="0.3">
      <c r="A554">
        <v>56</v>
      </c>
      <c r="B554">
        <v>762</v>
      </c>
      <c r="C554" t="s">
        <v>36</v>
      </c>
      <c r="D554" t="s">
        <v>37</v>
      </c>
      <c r="E554">
        <v>9</v>
      </c>
      <c r="F554">
        <v>3</v>
      </c>
      <c r="G554" t="s">
        <v>43</v>
      </c>
      <c r="H554">
        <v>3</v>
      </c>
      <c r="I554" t="s">
        <v>38</v>
      </c>
      <c r="J554">
        <v>3</v>
      </c>
      <c r="K554">
        <v>4</v>
      </c>
      <c r="L554" t="s">
        <v>46</v>
      </c>
      <c r="M554">
        <v>4</v>
      </c>
      <c r="N554" t="s">
        <v>40</v>
      </c>
      <c r="O554">
        <v>11103</v>
      </c>
      <c r="P554">
        <v>7</v>
      </c>
      <c r="Q554" t="s">
        <v>36</v>
      </c>
      <c r="R554">
        <v>3</v>
      </c>
      <c r="S554">
        <v>30</v>
      </c>
      <c r="T554">
        <v>2</v>
      </c>
      <c r="U554">
        <v>10</v>
      </c>
      <c r="V554">
        <v>7</v>
      </c>
      <c r="W554">
        <v>1</v>
      </c>
      <c r="X554">
        <v>1</v>
      </c>
      <c r="Y554">
        <v>11</v>
      </c>
      <c r="Z554">
        <f>IF(H_A[[#This Row],[Attrition]]="Yes",1,0)</f>
        <v>0</v>
      </c>
      <c r="AA554" t="str">
        <f>IF(H_A[[#This Row],[Age]]&lt;30,"Young",IF(H_A[[#This Row],[Age]]&lt;45,"Mid","Senior"))</f>
        <v>Senior</v>
      </c>
      <c r="AB554" t="str">
        <f>IF(H_A[[#This Row],[MonthlyIncome]]&lt;5000,"Low",IF(H_A[[#This Row],[MonthlyIncome]]&lt;10000,"Medium","High"))</f>
        <v>High</v>
      </c>
      <c r="AC554" t="str">
        <f>IF(H_A[[#This Row],[YearsAtCompany]]&lt;3,"Early",IF(H_A[[#This Row],[YearsAtCompany]]&lt;7,"Mid","Long"))</f>
        <v>Long</v>
      </c>
      <c r="AD554" t="str">
        <f>IF(H_A[[#This Row],[PercentSalaryHike]]&lt;13,"Low",IF(H_A[[#This Row],[PercentSalaryHike]]&lt;18,"Medium","High"))</f>
        <v>Low</v>
      </c>
    </row>
    <row r="555" spans="1:30" x14ac:dyDescent="0.3">
      <c r="A555">
        <v>40</v>
      </c>
      <c r="B555">
        <v>763</v>
      </c>
      <c r="C555" t="s">
        <v>36</v>
      </c>
      <c r="D555" t="s">
        <v>37</v>
      </c>
      <c r="E555">
        <v>2</v>
      </c>
      <c r="F555">
        <v>1</v>
      </c>
      <c r="G555" t="s">
        <v>43</v>
      </c>
      <c r="H555">
        <v>4</v>
      </c>
      <c r="I555" t="s">
        <v>33</v>
      </c>
      <c r="J555">
        <v>2</v>
      </c>
      <c r="K555">
        <v>1</v>
      </c>
      <c r="L555" t="s">
        <v>39</v>
      </c>
      <c r="M555">
        <v>4</v>
      </c>
      <c r="N555" t="s">
        <v>35</v>
      </c>
      <c r="O555">
        <v>2342</v>
      </c>
      <c r="P555">
        <v>0</v>
      </c>
      <c r="Q555" t="s">
        <v>30</v>
      </c>
      <c r="R555">
        <v>4</v>
      </c>
      <c r="S555">
        <v>5</v>
      </c>
      <c r="T555">
        <v>2</v>
      </c>
      <c r="U555">
        <v>4</v>
      </c>
      <c r="V555">
        <v>2</v>
      </c>
      <c r="W555">
        <v>2</v>
      </c>
      <c r="X555">
        <v>3</v>
      </c>
      <c r="Y555">
        <v>20</v>
      </c>
      <c r="Z555">
        <f>IF(H_A[[#This Row],[Attrition]]="Yes",1,0)</f>
        <v>0</v>
      </c>
      <c r="AA555" t="str">
        <f>IF(H_A[[#This Row],[Age]]&lt;30,"Young",IF(H_A[[#This Row],[Age]]&lt;45,"Mid","Senior"))</f>
        <v>Mid</v>
      </c>
      <c r="AB555" t="str">
        <f>IF(H_A[[#This Row],[MonthlyIncome]]&lt;5000,"Low",IF(H_A[[#This Row],[MonthlyIncome]]&lt;10000,"Medium","High"))</f>
        <v>Low</v>
      </c>
      <c r="AC555" t="str">
        <f>IF(H_A[[#This Row],[YearsAtCompany]]&lt;3,"Early",IF(H_A[[#This Row],[YearsAtCompany]]&lt;7,"Mid","Long"))</f>
        <v>Mid</v>
      </c>
      <c r="AD555" t="str">
        <f>IF(H_A[[#This Row],[PercentSalaryHike]]&lt;13,"Low",IF(H_A[[#This Row],[PercentSalaryHike]]&lt;18,"Medium","High"))</f>
        <v>High</v>
      </c>
    </row>
    <row r="556" spans="1:30" x14ac:dyDescent="0.3">
      <c r="A556">
        <v>27</v>
      </c>
      <c r="B556">
        <v>764</v>
      </c>
      <c r="C556" t="s">
        <v>36</v>
      </c>
      <c r="D556" t="s">
        <v>37</v>
      </c>
      <c r="E556">
        <v>7</v>
      </c>
      <c r="F556">
        <v>3</v>
      </c>
      <c r="G556" t="s">
        <v>43</v>
      </c>
      <c r="H556">
        <v>4</v>
      </c>
      <c r="I556" t="s">
        <v>33</v>
      </c>
      <c r="J556">
        <v>2</v>
      </c>
      <c r="K556">
        <v>2</v>
      </c>
      <c r="L556" t="s">
        <v>46</v>
      </c>
      <c r="M556">
        <v>1</v>
      </c>
      <c r="N556" t="s">
        <v>35</v>
      </c>
      <c r="O556">
        <v>6811</v>
      </c>
      <c r="P556">
        <v>8</v>
      </c>
      <c r="Q556" t="s">
        <v>36</v>
      </c>
      <c r="R556">
        <v>1</v>
      </c>
      <c r="S556">
        <v>9</v>
      </c>
      <c r="T556">
        <v>1</v>
      </c>
      <c r="U556">
        <v>7</v>
      </c>
      <c r="V556">
        <v>6</v>
      </c>
      <c r="W556">
        <v>0</v>
      </c>
      <c r="X556">
        <v>7</v>
      </c>
      <c r="Y556">
        <v>19</v>
      </c>
      <c r="Z556">
        <f>IF(H_A[[#This Row],[Attrition]]="Yes",1,0)</f>
        <v>0</v>
      </c>
      <c r="AA556" t="str">
        <f>IF(H_A[[#This Row],[Age]]&lt;30,"Young",IF(H_A[[#This Row],[Age]]&lt;45,"Mid","Senior"))</f>
        <v>Young</v>
      </c>
      <c r="AB556" t="str">
        <f>IF(H_A[[#This Row],[MonthlyIncome]]&lt;5000,"Low",IF(H_A[[#This Row],[MonthlyIncome]]&lt;10000,"Medium","High"))</f>
        <v>Medium</v>
      </c>
      <c r="AC556" t="str">
        <f>IF(H_A[[#This Row],[YearsAtCompany]]&lt;3,"Early",IF(H_A[[#This Row],[YearsAtCompany]]&lt;7,"Mid","Long"))</f>
        <v>Long</v>
      </c>
      <c r="AD556" t="str">
        <f>IF(H_A[[#This Row],[PercentSalaryHike]]&lt;13,"Low",IF(H_A[[#This Row],[PercentSalaryHike]]&lt;18,"Medium","High"))</f>
        <v>High</v>
      </c>
    </row>
    <row r="557" spans="1:30" x14ac:dyDescent="0.3">
      <c r="A557">
        <v>29</v>
      </c>
      <c r="B557">
        <v>766</v>
      </c>
      <c r="C557" t="s">
        <v>36</v>
      </c>
      <c r="D557" t="s">
        <v>31</v>
      </c>
      <c r="E557">
        <v>10</v>
      </c>
      <c r="F557">
        <v>3</v>
      </c>
      <c r="G557" t="s">
        <v>50</v>
      </c>
      <c r="H557">
        <v>4</v>
      </c>
      <c r="I557" t="s">
        <v>38</v>
      </c>
      <c r="J557">
        <v>3</v>
      </c>
      <c r="K557">
        <v>1</v>
      </c>
      <c r="L557" t="s">
        <v>48</v>
      </c>
      <c r="M557">
        <v>2</v>
      </c>
      <c r="N557" t="s">
        <v>44</v>
      </c>
      <c r="O557">
        <v>2297</v>
      </c>
      <c r="P557">
        <v>1</v>
      </c>
      <c r="Q557" t="s">
        <v>36</v>
      </c>
      <c r="R557">
        <v>4</v>
      </c>
      <c r="S557">
        <v>2</v>
      </c>
      <c r="T557">
        <v>3</v>
      </c>
      <c r="U557">
        <v>2</v>
      </c>
      <c r="V557">
        <v>2</v>
      </c>
      <c r="W557">
        <v>2</v>
      </c>
      <c r="X557">
        <v>2</v>
      </c>
      <c r="Y557">
        <v>14</v>
      </c>
      <c r="Z557">
        <f>IF(H_A[[#This Row],[Attrition]]="Yes",1,0)</f>
        <v>0</v>
      </c>
      <c r="AA557" t="str">
        <f>IF(H_A[[#This Row],[Age]]&lt;30,"Young",IF(H_A[[#This Row],[Age]]&lt;45,"Mid","Senior"))</f>
        <v>Young</v>
      </c>
      <c r="AB557" t="str">
        <f>IF(H_A[[#This Row],[MonthlyIncome]]&lt;5000,"Low",IF(H_A[[#This Row],[MonthlyIncome]]&lt;10000,"Medium","High"))</f>
        <v>Low</v>
      </c>
      <c r="AC557" t="str">
        <f>IF(H_A[[#This Row],[YearsAtCompany]]&lt;3,"Early",IF(H_A[[#This Row],[YearsAtCompany]]&lt;7,"Mid","Long"))</f>
        <v>Early</v>
      </c>
      <c r="AD557" t="str">
        <f>IF(H_A[[#This Row],[PercentSalaryHike]]&lt;13,"Low",IF(H_A[[#This Row],[PercentSalaryHike]]&lt;18,"Medium","High"))</f>
        <v>Medium</v>
      </c>
    </row>
    <row r="558" spans="1:30" x14ac:dyDescent="0.3">
      <c r="A558">
        <v>53</v>
      </c>
      <c r="B558">
        <v>769</v>
      </c>
      <c r="C558" t="s">
        <v>36</v>
      </c>
      <c r="D558" t="s">
        <v>37</v>
      </c>
      <c r="E558">
        <v>6</v>
      </c>
      <c r="F558">
        <v>3</v>
      </c>
      <c r="G558" t="s">
        <v>32</v>
      </c>
      <c r="H558">
        <v>4</v>
      </c>
      <c r="I558" t="s">
        <v>38</v>
      </c>
      <c r="J558">
        <v>3</v>
      </c>
      <c r="K558">
        <v>2</v>
      </c>
      <c r="L558" t="s">
        <v>42</v>
      </c>
      <c r="M558">
        <v>4</v>
      </c>
      <c r="N558" t="s">
        <v>35</v>
      </c>
      <c r="O558">
        <v>2450</v>
      </c>
      <c r="P558">
        <v>2</v>
      </c>
      <c r="Q558" t="s">
        <v>36</v>
      </c>
      <c r="R558">
        <v>4</v>
      </c>
      <c r="S558">
        <v>19</v>
      </c>
      <c r="T558">
        <v>3</v>
      </c>
      <c r="U558">
        <v>2</v>
      </c>
      <c r="V558">
        <v>2</v>
      </c>
      <c r="W558">
        <v>2</v>
      </c>
      <c r="X558">
        <v>2</v>
      </c>
      <c r="Y558">
        <v>17</v>
      </c>
      <c r="Z558">
        <f>IF(H_A[[#This Row],[Attrition]]="Yes",1,0)</f>
        <v>0</v>
      </c>
      <c r="AA558" t="str">
        <f>IF(H_A[[#This Row],[Age]]&lt;30,"Young",IF(H_A[[#This Row],[Age]]&lt;45,"Mid","Senior"))</f>
        <v>Senior</v>
      </c>
      <c r="AB558" t="str">
        <f>IF(H_A[[#This Row],[MonthlyIncome]]&lt;5000,"Low",IF(H_A[[#This Row],[MonthlyIncome]]&lt;10000,"Medium","High"))</f>
        <v>Low</v>
      </c>
      <c r="AC558" t="str">
        <f>IF(H_A[[#This Row],[YearsAtCompany]]&lt;3,"Early",IF(H_A[[#This Row],[YearsAtCompany]]&lt;7,"Mid","Long"))</f>
        <v>Early</v>
      </c>
      <c r="AD558" t="str">
        <f>IF(H_A[[#This Row],[PercentSalaryHike]]&lt;13,"Low",IF(H_A[[#This Row],[PercentSalaryHike]]&lt;18,"Medium","High"))</f>
        <v>Medium</v>
      </c>
    </row>
    <row r="559" spans="1:30" x14ac:dyDescent="0.3">
      <c r="A559">
        <v>35</v>
      </c>
      <c r="B559">
        <v>771</v>
      </c>
      <c r="C559" t="s">
        <v>36</v>
      </c>
      <c r="D559" t="s">
        <v>37</v>
      </c>
      <c r="E559">
        <v>2</v>
      </c>
      <c r="F559">
        <v>4</v>
      </c>
      <c r="G559" t="s">
        <v>32</v>
      </c>
      <c r="H559">
        <v>4</v>
      </c>
      <c r="I559" t="s">
        <v>33</v>
      </c>
      <c r="J559">
        <v>3</v>
      </c>
      <c r="K559">
        <v>2</v>
      </c>
      <c r="L559" t="s">
        <v>46</v>
      </c>
      <c r="M559">
        <v>1</v>
      </c>
      <c r="N559" t="s">
        <v>44</v>
      </c>
      <c r="O559">
        <v>5093</v>
      </c>
      <c r="P559">
        <v>2</v>
      </c>
      <c r="Q559" t="s">
        <v>36</v>
      </c>
      <c r="R559">
        <v>1</v>
      </c>
      <c r="S559">
        <v>16</v>
      </c>
      <c r="T559">
        <v>4</v>
      </c>
      <c r="U559">
        <v>1</v>
      </c>
      <c r="V559">
        <v>0</v>
      </c>
      <c r="W559">
        <v>0</v>
      </c>
      <c r="X559">
        <v>0</v>
      </c>
      <c r="Y559">
        <v>11</v>
      </c>
      <c r="Z559">
        <f>IF(H_A[[#This Row],[Attrition]]="Yes",1,0)</f>
        <v>0</v>
      </c>
      <c r="AA559" t="str">
        <f>IF(H_A[[#This Row],[Age]]&lt;30,"Young",IF(H_A[[#This Row],[Age]]&lt;45,"Mid","Senior"))</f>
        <v>Mid</v>
      </c>
      <c r="AB559" t="str">
        <f>IF(H_A[[#This Row],[MonthlyIncome]]&lt;5000,"Low",IF(H_A[[#This Row],[MonthlyIncome]]&lt;10000,"Medium","High"))</f>
        <v>Medium</v>
      </c>
      <c r="AC559" t="str">
        <f>IF(H_A[[#This Row],[YearsAtCompany]]&lt;3,"Early",IF(H_A[[#This Row],[YearsAtCompany]]&lt;7,"Mid","Long"))</f>
        <v>Early</v>
      </c>
      <c r="AD559" t="str">
        <f>IF(H_A[[#This Row],[PercentSalaryHike]]&lt;13,"Low",IF(H_A[[#This Row],[PercentSalaryHike]]&lt;18,"Medium","High"))</f>
        <v>Low</v>
      </c>
    </row>
    <row r="560" spans="1:30" x14ac:dyDescent="0.3">
      <c r="A560">
        <v>32</v>
      </c>
      <c r="B560">
        <v>772</v>
      </c>
      <c r="C560" t="s">
        <v>36</v>
      </c>
      <c r="D560" t="s">
        <v>37</v>
      </c>
      <c r="E560">
        <v>24</v>
      </c>
      <c r="F560">
        <v>4</v>
      </c>
      <c r="G560" t="s">
        <v>32</v>
      </c>
      <c r="H560">
        <v>1</v>
      </c>
      <c r="I560" t="s">
        <v>38</v>
      </c>
      <c r="J560">
        <v>3</v>
      </c>
      <c r="K560">
        <v>2</v>
      </c>
      <c r="L560" t="s">
        <v>42</v>
      </c>
      <c r="M560">
        <v>4</v>
      </c>
      <c r="N560" t="s">
        <v>40</v>
      </c>
      <c r="O560">
        <v>5309</v>
      </c>
      <c r="P560">
        <v>1</v>
      </c>
      <c r="Q560" t="s">
        <v>36</v>
      </c>
      <c r="R560">
        <v>4</v>
      </c>
      <c r="S560">
        <v>10</v>
      </c>
      <c r="T560">
        <v>3</v>
      </c>
      <c r="U560">
        <v>10</v>
      </c>
      <c r="V560">
        <v>8</v>
      </c>
      <c r="W560">
        <v>4</v>
      </c>
      <c r="X560">
        <v>7</v>
      </c>
      <c r="Y560">
        <v>15</v>
      </c>
      <c r="Z560">
        <f>IF(H_A[[#This Row],[Attrition]]="Yes",1,0)</f>
        <v>0</v>
      </c>
      <c r="AA560" t="str">
        <f>IF(H_A[[#This Row],[Age]]&lt;30,"Young",IF(H_A[[#This Row],[Age]]&lt;45,"Mid","Senior"))</f>
        <v>Mid</v>
      </c>
      <c r="AB560" t="str">
        <f>IF(H_A[[#This Row],[MonthlyIncome]]&lt;5000,"Low",IF(H_A[[#This Row],[MonthlyIncome]]&lt;10000,"Medium","High"))</f>
        <v>Medium</v>
      </c>
      <c r="AC560" t="str">
        <f>IF(H_A[[#This Row],[YearsAtCompany]]&lt;3,"Early",IF(H_A[[#This Row],[YearsAtCompany]]&lt;7,"Mid","Long"))</f>
        <v>Long</v>
      </c>
      <c r="AD560" t="str">
        <f>IF(H_A[[#This Row],[PercentSalaryHike]]&lt;13,"Low",IF(H_A[[#This Row],[PercentSalaryHike]]&lt;18,"Medium","High"))</f>
        <v>Medium</v>
      </c>
    </row>
    <row r="561" spans="1:30" x14ac:dyDescent="0.3">
      <c r="A561">
        <v>38</v>
      </c>
      <c r="B561">
        <v>773</v>
      </c>
      <c r="C561" t="s">
        <v>36</v>
      </c>
      <c r="D561" t="s">
        <v>37</v>
      </c>
      <c r="E561">
        <v>2</v>
      </c>
      <c r="F561">
        <v>5</v>
      </c>
      <c r="G561" t="s">
        <v>43</v>
      </c>
      <c r="H561">
        <v>4</v>
      </c>
      <c r="I561" t="s">
        <v>38</v>
      </c>
      <c r="J561">
        <v>3</v>
      </c>
      <c r="K561">
        <v>1</v>
      </c>
      <c r="L561" t="s">
        <v>39</v>
      </c>
      <c r="M561">
        <v>3</v>
      </c>
      <c r="N561" t="s">
        <v>40</v>
      </c>
      <c r="O561">
        <v>3057</v>
      </c>
      <c r="P561">
        <v>6</v>
      </c>
      <c r="Q561" t="s">
        <v>30</v>
      </c>
      <c r="R561">
        <v>2</v>
      </c>
      <c r="S561">
        <v>6</v>
      </c>
      <c r="T561">
        <v>1</v>
      </c>
      <c r="U561">
        <v>1</v>
      </c>
      <c r="V561">
        <v>0</v>
      </c>
      <c r="W561">
        <v>0</v>
      </c>
      <c r="X561">
        <v>1</v>
      </c>
      <c r="Y561">
        <v>13</v>
      </c>
      <c r="Z561">
        <f>IF(H_A[[#This Row],[Attrition]]="Yes",1,0)</f>
        <v>0</v>
      </c>
      <c r="AA561" t="str">
        <f>IF(H_A[[#This Row],[Age]]&lt;30,"Young",IF(H_A[[#This Row],[Age]]&lt;45,"Mid","Senior"))</f>
        <v>Mid</v>
      </c>
      <c r="AB561" t="str">
        <f>IF(H_A[[#This Row],[MonthlyIncome]]&lt;5000,"Low",IF(H_A[[#This Row],[MonthlyIncome]]&lt;10000,"Medium","High"))</f>
        <v>Low</v>
      </c>
      <c r="AC561" t="str">
        <f>IF(H_A[[#This Row],[YearsAtCompany]]&lt;3,"Early",IF(H_A[[#This Row],[YearsAtCompany]]&lt;7,"Mid","Long"))</f>
        <v>Early</v>
      </c>
      <c r="AD561" t="str">
        <f>IF(H_A[[#This Row],[PercentSalaryHike]]&lt;13,"Low",IF(H_A[[#This Row],[PercentSalaryHike]]&lt;18,"Medium","High"))</f>
        <v>Medium</v>
      </c>
    </row>
    <row r="562" spans="1:30" x14ac:dyDescent="0.3">
      <c r="A562">
        <v>34</v>
      </c>
      <c r="B562">
        <v>775</v>
      </c>
      <c r="C562" t="s">
        <v>36</v>
      </c>
      <c r="D562" t="s">
        <v>37</v>
      </c>
      <c r="E562">
        <v>8</v>
      </c>
      <c r="F562">
        <v>5</v>
      </c>
      <c r="G562" t="s">
        <v>32</v>
      </c>
      <c r="H562">
        <v>2</v>
      </c>
      <c r="I562" t="s">
        <v>33</v>
      </c>
      <c r="J562">
        <v>3</v>
      </c>
      <c r="K562">
        <v>2</v>
      </c>
      <c r="L562" t="s">
        <v>45</v>
      </c>
      <c r="M562">
        <v>1</v>
      </c>
      <c r="N562" t="s">
        <v>44</v>
      </c>
      <c r="O562">
        <v>5121</v>
      </c>
      <c r="P562">
        <v>3</v>
      </c>
      <c r="Q562" t="s">
        <v>36</v>
      </c>
      <c r="R562">
        <v>3</v>
      </c>
      <c r="S562">
        <v>7</v>
      </c>
      <c r="T562">
        <v>3</v>
      </c>
      <c r="U562">
        <v>0</v>
      </c>
      <c r="V562">
        <v>0</v>
      </c>
      <c r="W562">
        <v>0</v>
      </c>
      <c r="X562">
        <v>0</v>
      </c>
      <c r="Y562">
        <v>14</v>
      </c>
      <c r="Z562">
        <f>IF(H_A[[#This Row],[Attrition]]="Yes",1,0)</f>
        <v>0</v>
      </c>
      <c r="AA562" t="str">
        <f>IF(H_A[[#This Row],[Age]]&lt;30,"Young",IF(H_A[[#This Row],[Age]]&lt;45,"Mid","Senior"))</f>
        <v>Mid</v>
      </c>
      <c r="AB562" t="str">
        <f>IF(H_A[[#This Row],[MonthlyIncome]]&lt;5000,"Low",IF(H_A[[#This Row],[MonthlyIncome]]&lt;10000,"Medium","High"))</f>
        <v>Medium</v>
      </c>
      <c r="AC562" t="str">
        <f>IF(H_A[[#This Row],[YearsAtCompany]]&lt;3,"Early",IF(H_A[[#This Row],[YearsAtCompany]]&lt;7,"Mid","Long"))</f>
        <v>Early</v>
      </c>
      <c r="AD562" t="str">
        <f>IF(H_A[[#This Row],[PercentSalaryHike]]&lt;13,"Low",IF(H_A[[#This Row],[PercentSalaryHike]]&lt;18,"Medium","High"))</f>
        <v>Medium</v>
      </c>
    </row>
    <row r="563" spans="1:30" x14ac:dyDescent="0.3">
      <c r="A563">
        <v>52</v>
      </c>
      <c r="B563">
        <v>776</v>
      </c>
      <c r="C563" t="s">
        <v>36</v>
      </c>
      <c r="D563" t="s">
        <v>31</v>
      </c>
      <c r="E563">
        <v>3</v>
      </c>
      <c r="F563">
        <v>4</v>
      </c>
      <c r="G563" t="s">
        <v>50</v>
      </c>
      <c r="H563">
        <v>3</v>
      </c>
      <c r="I563" t="s">
        <v>38</v>
      </c>
      <c r="J563">
        <v>2</v>
      </c>
      <c r="K563">
        <v>4</v>
      </c>
      <c r="L563" t="s">
        <v>47</v>
      </c>
      <c r="M563">
        <v>1</v>
      </c>
      <c r="N563" t="s">
        <v>40</v>
      </c>
      <c r="O563">
        <v>16856</v>
      </c>
      <c r="P563">
        <v>1</v>
      </c>
      <c r="Q563" t="s">
        <v>36</v>
      </c>
      <c r="R563">
        <v>1</v>
      </c>
      <c r="S563">
        <v>34</v>
      </c>
      <c r="T563">
        <v>4</v>
      </c>
      <c r="U563">
        <v>34</v>
      </c>
      <c r="V563">
        <v>6</v>
      </c>
      <c r="W563">
        <v>1</v>
      </c>
      <c r="X563">
        <v>16</v>
      </c>
      <c r="Y563">
        <v>11</v>
      </c>
      <c r="Z563">
        <f>IF(H_A[[#This Row],[Attrition]]="Yes",1,0)</f>
        <v>0</v>
      </c>
      <c r="AA563" t="str">
        <f>IF(H_A[[#This Row],[Age]]&lt;30,"Young",IF(H_A[[#This Row],[Age]]&lt;45,"Mid","Senior"))</f>
        <v>Senior</v>
      </c>
      <c r="AB563" t="str">
        <f>IF(H_A[[#This Row],[MonthlyIncome]]&lt;5000,"Low",IF(H_A[[#This Row],[MonthlyIncome]]&lt;10000,"Medium","High"))</f>
        <v>High</v>
      </c>
      <c r="AC563" t="str">
        <f>IF(H_A[[#This Row],[YearsAtCompany]]&lt;3,"Early",IF(H_A[[#This Row],[YearsAtCompany]]&lt;7,"Mid","Long"))</f>
        <v>Long</v>
      </c>
      <c r="AD563" t="str">
        <f>IF(H_A[[#This Row],[PercentSalaryHike]]&lt;13,"Low",IF(H_A[[#This Row],[PercentSalaryHike]]&lt;18,"Medium","High"))</f>
        <v>Low</v>
      </c>
    </row>
    <row r="564" spans="1:30" x14ac:dyDescent="0.3">
      <c r="A564">
        <v>33</v>
      </c>
      <c r="B564">
        <v>780</v>
      </c>
      <c r="C564" t="s">
        <v>30</v>
      </c>
      <c r="D564" t="s">
        <v>37</v>
      </c>
      <c r="E564">
        <v>1</v>
      </c>
      <c r="F564">
        <v>4</v>
      </c>
      <c r="G564" t="s">
        <v>41</v>
      </c>
      <c r="H564">
        <v>4</v>
      </c>
      <c r="I564" t="s">
        <v>38</v>
      </c>
      <c r="J564">
        <v>3</v>
      </c>
      <c r="K564">
        <v>1</v>
      </c>
      <c r="L564" t="s">
        <v>39</v>
      </c>
      <c r="M564">
        <v>4</v>
      </c>
      <c r="N564" t="s">
        <v>35</v>
      </c>
      <c r="O564">
        <v>2686</v>
      </c>
      <c r="P564">
        <v>1</v>
      </c>
      <c r="Q564" t="s">
        <v>30</v>
      </c>
      <c r="R564">
        <v>3</v>
      </c>
      <c r="S564">
        <v>10</v>
      </c>
      <c r="T564">
        <v>2</v>
      </c>
      <c r="U564">
        <v>10</v>
      </c>
      <c r="V564">
        <v>9</v>
      </c>
      <c r="W564">
        <v>7</v>
      </c>
      <c r="X564">
        <v>8</v>
      </c>
      <c r="Y564">
        <v>13</v>
      </c>
      <c r="Z564">
        <f>IF(H_A[[#This Row],[Attrition]]="Yes",1,0)</f>
        <v>1</v>
      </c>
      <c r="AA564" t="str">
        <f>IF(H_A[[#This Row],[Age]]&lt;30,"Young",IF(H_A[[#This Row],[Age]]&lt;45,"Mid","Senior"))</f>
        <v>Mid</v>
      </c>
      <c r="AB564" t="str">
        <f>IF(H_A[[#This Row],[MonthlyIncome]]&lt;5000,"Low",IF(H_A[[#This Row],[MonthlyIncome]]&lt;10000,"Medium","High"))</f>
        <v>Low</v>
      </c>
      <c r="AC564" t="str">
        <f>IF(H_A[[#This Row],[YearsAtCompany]]&lt;3,"Early",IF(H_A[[#This Row],[YearsAtCompany]]&lt;7,"Mid","Long"))</f>
        <v>Long</v>
      </c>
      <c r="AD564" t="str">
        <f>IF(H_A[[#This Row],[PercentSalaryHike]]&lt;13,"Low",IF(H_A[[#This Row],[PercentSalaryHike]]&lt;18,"Medium","High"))</f>
        <v>Medium</v>
      </c>
    </row>
    <row r="565" spans="1:30" x14ac:dyDescent="0.3">
      <c r="A565">
        <v>25</v>
      </c>
      <c r="B565">
        <v>781</v>
      </c>
      <c r="C565" t="s">
        <v>36</v>
      </c>
      <c r="D565" t="s">
        <v>31</v>
      </c>
      <c r="E565">
        <v>26</v>
      </c>
      <c r="F565">
        <v>1</v>
      </c>
      <c r="G565" t="s">
        <v>43</v>
      </c>
      <c r="H565">
        <v>3</v>
      </c>
      <c r="I565" t="s">
        <v>33</v>
      </c>
      <c r="J565">
        <v>3</v>
      </c>
      <c r="K565">
        <v>2</v>
      </c>
      <c r="L565" t="s">
        <v>34</v>
      </c>
      <c r="M565">
        <v>4</v>
      </c>
      <c r="N565" t="s">
        <v>35</v>
      </c>
      <c r="O565">
        <v>6180</v>
      </c>
      <c r="P565">
        <v>1</v>
      </c>
      <c r="Q565" t="s">
        <v>36</v>
      </c>
      <c r="R565">
        <v>2</v>
      </c>
      <c r="S565">
        <v>6</v>
      </c>
      <c r="T565">
        <v>2</v>
      </c>
      <c r="U565">
        <v>6</v>
      </c>
      <c r="V565">
        <v>5</v>
      </c>
      <c r="W565">
        <v>1</v>
      </c>
      <c r="X565">
        <v>4</v>
      </c>
      <c r="Y565">
        <v>23</v>
      </c>
      <c r="Z565">
        <f>IF(H_A[[#This Row],[Attrition]]="Yes",1,0)</f>
        <v>0</v>
      </c>
      <c r="AA565" t="str">
        <f>IF(H_A[[#This Row],[Age]]&lt;30,"Young",IF(H_A[[#This Row],[Age]]&lt;45,"Mid","Senior"))</f>
        <v>Young</v>
      </c>
      <c r="AB565" t="str">
        <f>IF(H_A[[#This Row],[MonthlyIncome]]&lt;5000,"Low",IF(H_A[[#This Row],[MonthlyIncome]]&lt;10000,"Medium","High"))</f>
        <v>Medium</v>
      </c>
      <c r="AC565" t="str">
        <f>IF(H_A[[#This Row],[YearsAtCompany]]&lt;3,"Early",IF(H_A[[#This Row],[YearsAtCompany]]&lt;7,"Mid","Long"))</f>
        <v>Mid</v>
      </c>
      <c r="AD565" t="str">
        <f>IF(H_A[[#This Row],[PercentSalaryHike]]&lt;13,"Low",IF(H_A[[#This Row],[PercentSalaryHike]]&lt;18,"Medium","High"))</f>
        <v>High</v>
      </c>
    </row>
    <row r="566" spans="1:30" x14ac:dyDescent="0.3">
      <c r="A566">
        <v>45</v>
      </c>
      <c r="B566">
        <v>783</v>
      </c>
      <c r="C566" t="s">
        <v>36</v>
      </c>
      <c r="D566" t="s">
        <v>31</v>
      </c>
      <c r="E566">
        <v>2</v>
      </c>
      <c r="F566">
        <v>2</v>
      </c>
      <c r="G566" t="s">
        <v>51</v>
      </c>
      <c r="H566">
        <v>2</v>
      </c>
      <c r="I566" t="s">
        <v>38</v>
      </c>
      <c r="J566">
        <v>1</v>
      </c>
      <c r="K566">
        <v>2</v>
      </c>
      <c r="L566" t="s">
        <v>48</v>
      </c>
      <c r="M566">
        <v>3</v>
      </c>
      <c r="N566" t="s">
        <v>35</v>
      </c>
      <c r="O566">
        <v>6632</v>
      </c>
      <c r="P566">
        <v>0</v>
      </c>
      <c r="Q566" t="s">
        <v>36</v>
      </c>
      <c r="R566">
        <v>1</v>
      </c>
      <c r="S566">
        <v>9</v>
      </c>
      <c r="T566">
        <v>3</v>
      </c>
      <c r="U566">
        <v>8</v>
      </c>
      <c r="V566">
        <v>7</v>
      </c>
      <c r="W566">
        <v>3</v>
      </c>
      <c r="X566">
        <v>1</v>
      </c>
      <c r="Y566">
        <v>13</v>
      </c>
      <c r="Z566">
        <f>IF(H_A[[#This Row],[Attrition]]="Yes",1,0)</f>
        <v>0</v>
      </c>
      <c r="AA566" t="str">
        <f>IF(H_A[[#This Row],[Age]]&lt;30,"Young",IF(H_A[[#This Row],[Age]]&lt;45,"Mid","Senior"))</f>
        <v>Senior</v>
      </c>
      <c r="AB566" t="str">
        <f>IF(H_A[[#This Row],[MonthlyIncome]]&lt;5000,"Low",IF(H_A[[#This Row],[MonthlyIncome]]&lt;10000,"Medium","High"))</f>
        <v>Medium</v>
      </c>
      <c r="AC566" t="str">
        <f>IF(H_A[[#This Row],[YearsAtCompany]]&lt;3,"Early",IF(H_A[[#This Row],[YearsAtCompany]]&lt;7,"Mid","Long"))</f>
        <v>Long</v>
      </c>
      <c r="AD566" t="str">
        <f>IF(H_A[[#This Row],[PercentSalaryHike]]&lt;13,"Low",IF(H_A[[#This Row],[PercentSalaryHike]]&lt;18,"Medium","High"))</f>
        <v>Medium</v>
      </c>
    </row>
    <row r="567" spans="1:30" x14ac:dyDescent="0.3">
      <c r="A567">
        <v>23</v>
      </c>
      <c r="B567">
        <v>784</v>
      </c>
      <c r="C567" t="s">
        <v>36</v>
      </c>
      <c r="D567" t="s">
        <v>37</v>
      </c>
      <c r="E567">
        <v>10</v>
      </c>
      <c r="F567">
        <v>1</v>
      </c>
      <c r="G567" t="s">
        <v>43</v>
      </c>
      <c r="H567">
        <v>1</v>
      </c>
      <c r="I567" t="s">
        <v>38</v>
      </c>
      <c r="J567">
        <v>4</v>
      </c>
      <c r="K567">
        <v>1</v>
      </c>
      <c r="L567" t="s">
        <v>39</v>
      </c>
      <c r="M567">
        <v>3</v>
      </c>
      <c r="N567" t="s">
        <v>35</v>
      </c>
      <c r="O567">
        <v>3505</v>
      </c>
      <c r="P567">
        <v>1</v>
      </c>
      <c r="Q567" t="s">
        <v>36</v>
      </c>
      <c r="R567">
        <v>4</v>
      </c>
      <c r="S567">
        <v>2</v>
      </c>
      <c r="T567">
        <v>3</v>
      </c>
      <c r="U567">
        <v>2</v>
      </c>
      <c r="V567">
        <v>2</v>
      </c>
      <c r="W567">
        <v>0</v>
      </c>
      <c r="X567">
        <v>2</v>
      </c>
      <c r="Y567">
        <v>18</v>
      </c>
      <c r="Z567">
        <f>IF(H_A[[#This Row],[Attrition]]="Yes",1,0)</f>
        <v>0</v>
      </c>
      <c r="AA567" t="str">
        <f>IF(H_A[[#This Row],[Age]]&lt;30,"Young",IF(H_A[[#This Row],[Age]]&lt;45,"Mid","Senior"))</f>
        <v>Young</v>
      </c>
      <c r="AB567" t="str">
        <f>IF(H_A[[#This Row],[MonthlyIncome]]&lt;5000,"Low",IF(H_A[[#This Row],[MonthlyIncome]]&lt;10000,"Medium","High"))</f>
        <v>Low</v>
      </c>
      <c r="AC567" t="str">
        <f>IF(H_A[[#This Row],[YearsAtCompany]]&lt;3,"Early",IF(H_A[[#This Row],[YearsAtCompany]]&lt;7,"Mid","Long"))</f>
        <v>Early</v>
      </c>
      <c r="AD567" t="str">
        <f>IF(H_A[[#This Row],[PercentSalaryHike]]&lt;13,"Low",IF(H_A[[#This Row],[PercentSalaryHike]]&lt;18,"Medium","High"))</f>
        <v>High</v>
      </c>
    </row>
    <row r="568" spans="1:30" x14ac:dyDescent="0.3">
      <c r="A568">
        <v>47</v>
      </c>
      <c r="B568">
        <v>785</v>
      </c>
      <c r="C568" t="s">
        <v>30</v>
      </c>
      <c r="D568" t="s">
        <v>31</v>
      </c>
      <c r="E568">
        <v>27</v>
      </c>
      <c r="F568">
        <v>2</v>
      </c>
      <c r="G568" t="s">
        <v>32</v>
      </c>
      <c r="H568">
        <v>2</v>
      </c>
      <c r="I568" t="s">
        <v>33</v>
      </c>
      <c r="J568">
        <v>4</v>
      </c>
      <c r="K568">
        <v>2</v>
      </c>
      <c r="L568" t="s">
        <v>34</v>
      </c>
      <c r="M568">
        <v>3</v>
      </c>
      <c r="N568" t="s">
        <v>35</v>
      </c>
      <c r="O568">
        <v>6397</v>
      </c>
      <c r="P568">
        <v>4</v>
      </c>
      <c r="Q568" t="s">
        <v>30</v>
      </c>
      <c r="R568">
        <v>4</v>
      </c>
      <c r="S568">
        <v>8</v>
      </c>
      <c r="T568">
        <v>3</v>
      </c>
      <c r="U568">
        <v>5</v>
      </c>
      <c r="V568">
        <v>4</v>
      </c>
      <c r="W568">
        <v>1</v>
      </c>
      <c r="X568">
        <v>3</v>
      </c>
      <c r="Y568">
        <v>12</v>
      </c>
      <c r="Z568">
        <f>IF(H_A[[#This Row],[Attrition]]="Yes",1,0)</f>
        <v>1</v>
      </c>
      <c r="AA568" t="str">
        <f>IF(H_A[[#This Row],[Age]]&lt;30,"Young",IF(H_A[[#This Row],[Age]]&lt;45,"Mid","Senior"))</f>
        <v>Senior</v>
      </c>
      <c r="AB568" t="str">
        <f>IF(H_A[[#This Row],[MonthlyIncome]]&lt;5000,"Low",IF(H_A[[#This Row],[MonthlyIncome]]&lt;10000,"Medium","High"))</f>
        <v>Medium</v>
      </c>
      <c r="AC568" t="str">
        <f>IF(H_A[[#This Row],[YearsAtCompany]]&lt;3,"Early",IF(H_A[[#This Row],[YearsAtCompany]]&lt;7,"Mid","Long"))</f>
        <v>Mid</v>
      </c>
      <c r="AD568" t="str">
        <f>IF(H_A[[#This Row],[PercentSalaryHike]]&lt;13,"Low",IF(H_A[[#This Row],[PercentSalaryHike]]&lt;18,"Medium","High"))</f>
        <v>Low</v>
      </c>
    </row>
    <row r="569" spans="1:30" x14ac:dyDescent="0.3">
      <c r="A569">
        <v>34</v>
      </c>
      <c r="B569">
        <v>786</v>
      </c>
      <c r="C569" t="s">
        <v>36</v>
      </c>
      <c r="D569" t="s">
        <v>31</v>
      </c>
      <c r="E569">
        <v>2</v>
      </c>
      <c r="F569">
        <v>3</v>
      </c>
      <c r="G569" t="s">
        <v>41</v>
      </c>
      <c r="H569">
        <v>4</v>
      </c>
      <c r="I569" t="s">
        <v>38</v>
      </c>
      <c r="J569">
        <v>3</v>
      </c>
      <c r="K569">
        <v>2</v>
      </c>
      <c r="L569" t="s">
        <v>34</v>
      </c>
      <c r="M569">
        <v>4</v>
      </c>
      <c r="N569" t="s">
        <v>35</v>
      </c>
      <c r="O569">
        <v>6274</v>
      </c>
      <c r="P569">
        <v>1</v>
      </c>
      <c r="Q569" t="s">
        <v>36</v>
      </c>
      <c r="R569">
        <v>3</v>
      </c>
      <c r="S569">
        <v>6</v>
      </c>
      <c r="T569">
        <v>3</v>
      </c>
      <c r="U569">
        <v>6</v>
      </c>
      <c r="V569">
        <v>5</v>
      </c>
      <c r="W569">
        <v>1</v>
      </c>
      <c r="X569">
        <v>4</v>
      </c>
      <c r="Y569">
        <v>22</v>
      </c>
      <c r="Z569">
        <f>IF(H_A[[#This Row],[Attrition]]="Yes",1,0)</f>
        <v>0</v>
      </c>
      <c r="AA569" t="str">
        <f>IF(H_A[[#This Row],[Age]]&lt;30,"Young",IF(H_A[[#This Row],[Age]]&lt;45,"Mid","Senior"))</f>
        <v>Mid</v>
      </c>
      <c r="AB569" t="str">
        <f>IF(H_A[[#This Row],[MonthlyIncome]]&lt;5000,"Low",IF(H_A[[#This Row],[MonthlyIncome]]&lt;10000,"Medium","High"))</f>
        <v>Medium</v>
      </c>
      <c r="AC569" t="str">
        <f>IF(H_A[[#This Row],[YearsAtCompany]]&lt;3,"Early",IF(H_A[[#This Row],[YearsAtCompany]]&lt;7,"Mid","Long"))</f>
        <v>Mid</v>
      </c>
      <c r="AD569" t="str">
        <f>IF(H_A[[#This Row],[PercentSalaryHike]]&lt;13,"Low",IF(H_A[[#This Row],[PercentSalaryHike]]&lt;18,"Medium","High"))</f>
        <v>High</v>
      </c>
    </row>
    <row r="570" spans="1:30" x14ac:dyDescent="0.3">
      <c r="A570">
        <v>55</v>
      </c>
      <c r="B570">
        <v>787</v>
      </c>
      <c r="C570" t="s">
        <v>30</v>
      </c>
      <c r="D570" t="s">
        <v>37</v>
      </c>
      <c r="E570">
        <v>2</v>
      </c>
      <c r="F570">
        <v>3</v>
      </c>
      <c r="G570" t="s">
        <v>43</v>
      </c>
      <c r="H570">
        <v>4</v>
      </c>
      <c r="I570" t="s">
        <v>38</v>
      </c>
      <c r="J570">
        <v>3</v>
      </c>
      <c r="K570">
        <v>5</v>
      </c>
      <c r="L570" t="s">
        <v>47</v>
      </c>
      <c r="M570">
        <v>1</v>
      </c>
      <c r="N570" t="s">
        <v>40</v>
      </c>
      <c r="O570">
        <v>19859</v>
      </c>
      <c r="P570">
        <v>5</v>
      </c>
      <c r="Q570" t="s">
        <v>30</v>
      </c>
      <c r="R570">
        <v>4</v>
      </c>
      <c r="S570">
        <v>24</v>
      </c>
      <c r="T570">
        <v>3</v>
      </c>
      <c r="U570">
        <v>5</v>
      </c>
      <c r="V570">
        <v>2</v>
      </c>
      <c r="W570">
        <v>1</v>
      </c>
      <c r="X570">
        <v>4</v>
      </c>
      <c r="Y570">
        <v>13</v>
      </c>
      <c r="Z570">
        <f>IF(H_A[[#This Row],[Attrition]]="Yes",1,0)</f>
        <v>1</v>
      </c>
      <c r="AA570" t="str">
        <f>IF(H_A[[#This Row],[Age]]&lt;30,"Young",IF(H_A[[#This Row],[Age]]&lt;45,"Mid","Senior"))</f>
        <v>Senior</v>
      </c>
      <c r="AB570" t="str">
        <f>IF(H_A[[#This Row],[MonthlyIncome]]&lt;5000,"Low",IF(H_A[[#This Row],[MonthlyIncome]]&lt;10000,"Medium","High"))</f>
        <v>High</v>
      </c>
      <c r="AC570" t="str">
        <f>IF(H_A[[#This Row],[YearsAtCompany]]&lt;3,"Early",IF(H_A[[#This Row],[YearsAtCompany]]&lt;7,"Mid","Long"))</f>
        <v>Mid</v>
      </c>
      <c r="AD570" t="str">
        <f>IF(H_A[[#This Row],[PercentSalaryHike]]&lt;13,"Low",IF(H_A[[#This Row],[PercentSalaryHike]]&lt;18,"Medium","High"))</f>
        <v>Medium</v>
      </c>
    </row>
    <row r="571" spans="1:30" x14ac:dyDescent="0.3">
      <c r="A571">
        <v>36</v>
      </c>
      <c r="B571">
        <v>789</v>
      </c>
      <c r="C571" t="s">
        <v>36</v>
      </c>
      <c r="D571" t="s">
        <v>31</v>
      </c>
      <c r="E571">
        <v>8</v>
      </c>
      <c r="F571">
        <v>4</v>
      </c>
      <c r="G571" t="s">
        <v>32</v>
      </c>
      <c r="H571">
        <v>1</v>
      </c>
      <c r="I571" t="s">
        <v>38</v>
      </c>
      <c r="J571">
        <v>2</v>
      </c>
      <c r="K571">
        <v>3</v>
      </c>
      <c r="L571" t="s">
        <v>34</v>
      </c>
      <c r="M571">
        <v>1</v>
      </c>
      <c r="N571" t="s">
        <v>35</v>
      </c>
      <c r="O571">
        <v>7587</v>
      </c>
      <c r="P571">
        <v>1</v>
      </c>
      <c r="Q571" t="s">
        <v>36</v>
      </c>
      <c r="R571">
        <v>2</v>
      </c>
      <c r="S571">
        <v>10</v>
      </c>
      <c r="T571">
        <v>3</v>
      </c>
      <c r="U571">
        <v>10</v>
      </c>
      <c r="V571">
        <v>7</v>
      </c>
      <c r="W571">
        <v>0</v>
      </c>
      <c r="X571">
        <v>9</v>
      </c>
      <c r="Y571">
        <v>15</v>
      </c>
      <c r="Z571">
        <f>IF(H_A[[#This Row],[Attrition]]="Yes",1,0)</f>
        <v>0</v>
      </c>
      <c r="AA571" t="str">
        <f>IF(H_A[[#This Row],[Age]]&lt;30,"Young",IF(H_A[[#This Row],[Age]]&lt;45,"Mid","Senior"))</f>
        <v>Mid</v>
      </c>
      <c r="AB571" t="str">
        <f>IF(H_A[[#This Row],[MonthlyIncome]]&lt;5000,"Low",IF(H_A[[#This Row],[MonthlyIncome]]&lt;10000,"Medium","High"))</f>
        <v>Medium</v>
      </c>
      <c r="AC571" t="str">
        <f>IF(H_A[[#This Row],[YearsAtCompany]]&lt;3,"Early",IF(H_A[[#This Row],[YearsAtCompany]]&lt;7,"Mid","Long"))</f>
        <v>Long</v>
      </c>
      <c r="AD571" t="str">
        <f>IF(H_A[[#This Row],[PercentSalaryHike]]&lt;13,"Low",IF(H_A[[#This Row],[PercentSalaryHike]]&lt;18,"Medium","High"))</f>
        <v>Medium</v>
      </c>
    </row>
    <row r="572" spans="1:30" x14ac:dyDescent="0.3">
      <c r="A572">
        <v>52</v>
      </c>
      <c r="B572">
        <v>791</v>
      </c>
      <c r="C572" t="s">
        <v>36</v>
      </c>
      <c r="D572" t="s">
        <v>37</v>
      </c>
      <c r="E572">
        <v>19</v>
      </c>
      <c r="F572">
        <v>4</v>
      </c>
      <c r="G572" t="s">
        <v>43</v>
      </c>
      <c r="H572">
        <v>4</v>
      </c>
      <c r="I572" t="s">
        <v>38</v>
      </c>
      <c r="J572">
        <v>3</v>
      </c>
      <c r="K572">
        <v>1</v>
      </c>
      <c r="L572" t="s">
        <v>39</v>
      </c>
      <c r="M572">
        <v>4</v>
      </c>
      <c r="N572" t="s">
        <v>40</v>
      </c>
      <c r="O572">
        <v>4258</v>
      </c>
      <c r="P572">
        <v>0</v>
      </c>
      <c r="Q572" t="s">
        <v>36</v>
      </c>
      <c r="R572">
        <v>1</v>
      </c>
      <c r="S572">
        <v>5</v>
      </c>
      <c r="T572">
        <v>3</v>
      </c>
      <c r="U572">
        <v>4</v>
      </c>
      <c r="V572">
        <v>3</v>
      </c>
      <c r="W572">
        <v>1</v>
      </c>
      <c r="X572">
        <v>2</v>
      </c>
      <c r="Y572">
        <v>18</v>
      </c>
      <c r="Z572">
        <f>IF(H_A[[#This Row],[Attrition]]="Yes",1,0)</f>
        <v>0</v>
      </c>
      <c r="AA572" t="str">
        <f>IF(H_A[[#This Row],[Age]]&lt;30,"Young",IF(H_A[[#This Row],[Age]]&lt;45,"Mid","Senior"))</f>
        <v>Senior</v>
      </c>
      <c r="AB572" t="str">
        <f>IF(H_A[[#This Row],[MonthlyIncome]]&lt;5000,"Low",IF(H_A[[#This Row],[MonthlyIncome]]&lt;10000,"Medium","High"))</f>
        <v>Low</v>
      </c>
      <c r="AC572" t="str">
        <f>IF(H_A[[#This Row],[YearsAtCompany]]&lt;3,"Early",IF(H_A[[#This Row],[YearsAtCompany]]&lt;7,"Mid","Long"))</f>
        <v>Mid</v>
      </c>
      <c r="AD572" t="str">
        <f>IF(H_A[[#This Row],[PercentSalaryHike]]&lt;13,"Low",IF(H_A[[#This Row],[PercentSalaryHike]]&lt;18,"Medium","High"))</f>
        <v>High</v>
      </c>
    </row>
    <row r="573" spans="1:30" x14ac:dyDescent="0.3">
      <c r="A573">
        <v>26</v>
      </c>
      <c r="B573">
        <v>792</v>
      </c>
      <c r="C573" t="s">
        <v>36</v>
      </c>
      <c r="D573" t="s">
        <v>37</v>
      </c>
      <c r="E573">
        <v>1</v>
      </c>
      <c r="F573">
        <v>2</v>
      </c>
      <c r="G573" t="s">
        <v>32</v>
      </c>
      <c r="H573">
        <v>1</v>
      </c>
      <c r="I573" t="s">
        <v>33</v>
      </c>
      <c r="J573">
        <v>1</v>
      </c>
      <c r="K573">
        <v>1</v>
      </c>
      <c r="L573" t="s">
        <v>42</v>
      </c>
      <c r="M573">
        <v>4</v>
      </c>
      <c r="N573" t="s">
        <v>44</v>
      </c>
      <c r="O573">
        <v>4364</v>
      </c>
      <c r="P573">
        <v>3</v>
      </c>
      <c r="Q573" t="s">
        <v>36</v>
      </c>
      <c r="R573">
        <v>1</v>
      </c>
      <c r="S573">
        <v>5</v>
      </c>
      <c r="T573">
        <v>3</v>
      </c>
      <c r="U573">
        <v>2</v>
      </c>
      <c r="V573">
        <v>2</v>
      </c>
      <c r="W573">
        <v>2</v>
      </c>
      <c r="X573">
        <v>0</v>
      </c>
      <c r="Y573">
        <v>14</v>
      </c>
      <c r="Z573">
        <f>IF(H_A[[#This Row],[Attrition]]="Yes",1,0)</f>
        <v>0</v>
      </c>
      <c r="AA573" t="str">
        <f>IF(H_A[[#This Row],[Age]]&lt;30,"Young",IF(H_A[[#This Row],[Age]]&lt;45,"Mid","Senior"))</f>
        <v>Young</v>
      </c>
      <c r="AB573" t="str">
        <f>IF(H_A[[#This Row],[MonthlyIncome]]&lt;5000,"Low",IF(H_A[[#This Row],[MonthlyIncome]]&lt;10000,"Medium","High"))</f>
        <v>Low</v>
      </c>
      <c r="AC573" t="str">
        <f>IF(H_A[[#This Row],[YearsAtCompany]]&lt;3,"Early",IF(H_A[[#This Row],[YearsAtCompany]]&lt;7,"Mid","Long"))</f>
        <v>Early</v>
      </c>
      <c r="AD573" t="str">
        <f>IF(H_A[[#This Row],[PercentSalaryHike]]&lt;13,"Low",IF(H_A[[#This Row],[PercentSalaryHike]]&lt;18,"Medium","High"))</f>
        <v>Medium</v>
      </c>
    </row>
    <row r="574" spans="1:30" x14ac:dyDescent="0.3">
      <c r="A574">
        <v>29</v>
      </c>
      <c r="B574">
        <v>793</v>
      </c>
      <c r="C574" t="s">
        <v>36</v>
      </c>
      <c r="D574" t="s">
        <v>37</v>
      </c>
      <c r="E574">
        <v>27</v>
      </c>
      <c r="F574">
        <v>3</v>
      </c>
      <c r="G574" t="s">
        <v>43</v>
      </c>
      <c r="H574">
        <v>2</v>
      </c>
      <c r="I574" t="s">
        <v>33</v>
      </c>
      <c r="J574">
        <v>3</v>
      </c>
      <c r="K574">
        <v>2</v>
      </c>
      <c r="L574" t="s">
        <v>46</v>
      </c>
      <c r="M574">
        <v>3</v>
      </c>
      <c r="N574" t="s">
        <v>40</v>
      </c>
      <c r="O574">
        <v>4335</v>
      </c>
      <c r="P574">
        <v>4</v>
      </c>
      <c r="Q574" t="s">
        <v>36</v>
      </c>
      <c r="R574">
        <v>1</v>
      </c>
      <c r="S574">
        <v>11</v>
      </c>
      <c r="T574">
        <v>2</v>
      </c>
      <c r="U574">
        <v>8</v>
      </c>
      <c r="V574">
        <v>7</v>
      </c>
      <c r="W574">
        <v>1</v>
      </c>
      <c r="X574">
        <v>1</v>
      </c>
      <c r="Y574">
        <v>12</v>
      </c>
      <c r="Z574">
        <f>IF(H_A[[#This Row],[Attrition]]="Yes",1,0)</f>
        <v>0</v>
      </c>
      <c r="AA574" t="str">
        <f>IF(H_A[[#This Row],[Age]]&lt;30,"Young",IF(H_A[[#This Row],[Age]]&lt;45,"Mid","Senior"))</f>
        <v>Young</v>
      </c>
      <c r="AB574" t="str">
        <f>IF(H_A[[#This Row],[MonthlyIncome]]&lt;5000,"Low",IF(H_A[[#This Row],[MonthlyIncome]]&lt;10000,"Medium","High"))</f>
        <v>Low</v>
      </c>
      <c r="AC574" t="str">
        <f>IF(H_A[[#This Row],[YearsAtCompany]]&lt;3,"Early",IF(H_A[[#This Row],[YearsAtCompany]]&lt;7,"Mid","Long"))</f>
        <v>Long</v>
      </c>
      <c r="AD574" t="str">
        <f>IF(H_A[[#This Row],[PercentSalaryHike]]&lt;13,"Low",IF(H_A[[#This Row],[PercentSalaryHike]]&lt;18,"Medium","High"))</f>
        <v>Low</v>
      </c>
    </row>
    <row r="575" spans="1:30" x14ac:dyDescent="0.3">
      <c r="A575">
        <v>26</v>
      </c>
      <c r="B575">
        <v>796</v>
      </c>
      <c r="C575" t="s">
        <v>30</v>
      </c>
      <c r="D575" t="s">
        <v>31</v>
      </c>
      <c r="E575">
        <v>8</v>
      </c>
      <c r="F575">
        <v>3</v>
      </c>
      <c r="G575" t="s">
        <v>51</v>
      </c>
      <c r="H575">
        <v>4</v>
      </c>
      <c r="I575" t="s">
        <v>38</v>
      </c>
      <c r="J575">
        <v>2</v>
      </c>
      <c r="K575">
        <v>2</v>
      </c>
      <c r="L575" t="s">
        <v>34</v>
      </c>
      <c r="M575">
        <v>1</v>
      </c>
      <c r="N575" t="s">
        <v>35</v>
      </c>
      <c r="O575">
        <v>5326</v>
      </c>
      <c r="P575">
        <v>6</v>
      </c>
      <c r="Q575" t="s">
        <v>36</v>
      </c>
      <c r="R575">
        <v>3</v>
      </c>
      <c r="S575">
        <v>6</v>
      </c>
      <c r="T575">
        <v>2</v>
      </c>
      <c r="U575">
        <v>4</v>
      </c>
      <c r="V575">
        <v>3</v>
      </c>
      <c r="W575">
        <v>1</v>
      </c>
      <c r="X575">
        <v>2</v>
      </c>
      <c r="Y575">
        <v>17</v>
      </c>
      <c r="Z575">
        <f>IF(H_A[[#This Row],[Attrition]]="Yes",1,0)</f>
        <v>1</v>
      </c>
      <c r="AA575" t="str">
        <f>IF(H_A[[#This Row],[Age]]&lt;30,"Young",IF(H_A[[#This Row],[Age]]&lt;45,"Mid","Senior"))</f>
        <v>Young</v>
      </c>
      <c r="AB575" t="str">
        <f>IF(H_A[[#This Row],[MonthlyIncome]]&lt;5000,"Low",IF(H_A[[#This Row],[MonthlyIncome]]&lt;10000,"Medium","High"))</f>
        <v>Medium</v>
      </c>
      <c r="AC575" t="str">
        <f>IF(H_A[[#This Row],[YearsAtCompany]]&lt;3,"Early",IF(H_A[[#This Row],[YearsAtCompany]]&lt;7,"Mid","Long"))</f>
        <v>Mid</v>
      </c>
      <c r="AD575" t="str">
        <f>IF(H_A[[#This Row],[PercentSalaryHike]]&lt;13,"Low",IF(H_A[[#This Row],[PercentSalaryHike]]&lt;18,"Medium","High"))</f>
        <v>Medium</v>
      </c>
    </row>
    <row r="576" spans="1:30" x14ac:dyDescent="0.3">
      <c r="A576">
        <v>34</v>
      </c>
      <c r="B576">
        <v>797</v>
      </c>
      <c r="C576" t="s">
        <v>36</v>
      </c>
      <c r="D576" t="s">
        <v>37</v>
      </c>
      <c r="E576">
        <v>1</v>
      </c>
      <c r="F576">
        <v>4</v>
      </c>
      <c r="G576" t="s">
        <v>32</v>
      </c>
      <c r="H576">
        <v>2</v>
      </c>
      <c r="I576" t="s">
        <v>33</v>
      </c>
      <c r="J576">
        <v>4</v>
      </c>
      <c r="K576">
        <v>1</v>
      </c>
      <c r="L576" t="s">
        <v>39</v>
      </c>
      <c r="M576">
        <v>4</v>
      </c>
      <c r="N576" t="s">
        <v>35</v>
      </c>
      <c r="O576">
        <v>3280</v>
      </c>
      <c r="P576">
        <v>2</v>
      </c>
      <c r="Q576" t="s">
        <v>36</v>
      </c>
      <c r="R576">
        <v>3</v>
      </c>
      <c r="S576">
        <v>10</v>
      </c>
      <c r="T576">
        <v>3</v>
      </c>
      <c r="U576">
        <v>4</v>
      </c>
      <c r="V576">
        <v>2</v>
      </c>
      <c r="W576">
        <v>1</v>
      </c>
      <c r="X576">
        <v>3</v>
      </c>
      <c r="Y576">
        <v>16</v>
      </c>
      <c r="Z576">
        <f>IF(H_A[[#This Row],[Attrition]]="Yes",1,0)</f>
        <v>0</v>
      </c>
      <c r="AA576" t="str">
        <f>IF(H_A[[#This Row],[Age]]&lt;30,"Young",IF(H_A[[#This Row],[Age]]&lt;45,"Mid","Senior"))</f>
        <v>Mid</v>
      </c>
      <c r="AB576" t="str">
        <f>IF(H_A[[#This Row],[MonthlyIncome]]&lt;5000,"Low",IF(H_A[[#This Row],[MonthlyIncome]]&lt;10000,"Medium","High"))</f>
        <v>Low</v>
      </c>
      <c r="AC576" t="str">
        <f>IF(H_A[[#This Row],[YearsAtCompany]]&lt;3,"Early",IF(H_A[[#This Row],[YearsAtCompany]]&lt;7,"Mid","Long"))</f>
        <v>Mid</v>
      </c>
      <c r="AD576" t="str">
        <f>IF(H_A[[#This Row],[PercentSalaryHike]]&lt;13,"Low",IF(H_A[[#This Row],[PercentSalaryHike]]&lt;18,"Medium","High"))</f>
        <v>Medium</v>
      </c>
    </row>
    <row r="577" spans="1:30" x14ac:dyDescent="0.3">
      <c r="A577">
        <v>54</v>
      </c>
      <c r="B577">
        <v>799</v>
      </c>
      <c r="C577" t="s">
        <v>36</v>
      </c>
      <c r="D577" t="s">
        <v>37</v>
      </c>
      <c r="E577">
        <v>19</v>
      </c>
      <c r="F577">
        <v>4</v>
      </c>
      <c r="G577" t="s">
        <v>43</v>
      </c>
      <c r="H577">
        <v>4</v>
      </c>
      <c r="I577" t="s">
        <v>33</v>
      </c>
      <c r="J577">
        <v>3</v>
      </c>
      <c r="K577">
        <v>2</v>
      </c>
      <c r="L577" t="s">
        <v>45</v>
      </c>
      <c r="M577">
        <v>1</v>
      </c>
      <c r="N577" t="s">
        <v>44</v>
      </c>
      <c r="O577">
        <v>5485</v>
      </c>
      <c r="P577">
        <v>9</v>
      </c>
      <c r="Q577" t="s">
        <v>30</v>
      </c>
      <c r="R577">
        <v>2</v>
      </c>
      <c r="S577">
        <v>9</v>
      </c>
      <c r="T577">
        <v>3</v>
      </c>
      <c r="U577">
        <v>5</v>
      </c>
      <c r="V577">
        <v>3</v>
      </c>
      <c r="W577">
        <v>1</v>
      </c>
      <c r="X577">
        <v>4</v>
      </c>
      <c r="Y577">
        <v>11</v>
      </c>
      <c r="Z577">
        <f>IF(H_A[[#This Row],[Attrition]]="Yes",1,0)</f>
        <v>0</v>
      </c>
      <c r="AA577" t="str">
        <f>IF(H_A[[#This Row],[Age]]&lt;30,"Young",IF(H_A[[#This Row],[Age]]&lt;45,"Mid","Senior"))</f>
        <v>Senior</v>
      </c>
      <c r="AB577" t="str">
        <f>IF(H_A[[#This Row],[MonthlyIncome]]&lt;5000,"Low",IF(H_A[[#This Row],[MonthlyIncome]]&lt;10000,"Medium","High"))</f>
        <v>Medium</v>
      </c>
      <c r="AC577" t="str">
        <f>IF(H_A[[#This Row],[YearsAtCompany]]&lt;3,"Early",IF(H_A[[#This Row],[YearsAtCompany]]&lt;7,"Mid","Long"))</f>
        <v>Mid</v>
      </c>
      <c r="AD577" t="str">
        <f>IF(H_A[[#This Row],[PercentSalaryHike]]&lt;13,"Low",IF(H_A[[#This Row],[PercentSalaryHike]]&lt;18,"Medium","High"))</f>
        <v>Low</v>
      </c>
    </row>
    <row r="578" spans="1:30" x14ac:dyDescent="0.3">
      <c r="A578">
        <v>27</v>
      </c>
      <c r="B578">
        <v>800</v>
      </c>
      <c r="C578" t="s">
        <v>36</v>
      </c>
      <c r="D578" t="s">
        <v>31</v>
      </c>
      <c r="E578">
        <v>8</v>
      </c>
      <c r="F578">
        <v>1</v>
      </c>
      <c r="G578" t="s">
        <v>50</v>
      </c>
      <c r="H578">
        <v>3</v>
      </c>
      <c r="I578" t="s">
        <v>38</v>
      </c>
      <c r="J578">
        <v>3</v>
      </c>
      <c r="K578">
        <v>2</v>
      </c>
      <c r="L578" t="s">
        <v>34</v>
      </c>
      <c r="M578">
        <v>4</v>
      </c>
      <c r="N578" t="s">
        <v>40</v>
      </c>
      <c r="O578">
        <v>4342</v>
      </c>
      <c r="P578">
        <v>0</v>
      </c>
      <c r="Q578" t="s">
        <v>36</v>
      </c>
      <c r="R578">
        <v>2</v>
      </c>
      <c r="S578">
        <v>5</v>
      </c>
      <c r="T578">
        <v>3</v>
      </c>
      <c r="U578">
        <v>4</v>
      </c>
      <c r="V578">
        <v>2</v>
      </c>
      <c r="W578">
        <v>1</v>
      </c>
      <c r="X578">
        <v>1</v>
      </c>
      <c r="Y578">
        <v>19</v>
      </c>
      <c r="Z578">
        <f>IF(H_A[[#This Row],[Attrition]]="Yes",1,0)</f>
        <v>0</v>
      </c>
      <c r="AA578" t="str">
        <f>IF(H_A[[#This Row],[Age]]&lt;30,"Young",IF(H_A[[#This Row],[Age]]&lt;45,"Mid","Senior"))</f>
        <v>Young</v>
      </c>
      <c r="AB578" t="str">
        <f>IF(H_A[[#This Row],[MonthlyIncome]]&lt;5000,"Low",IF(H_A[[#This Row],[MonthlyIncome]]&lt;10000,"Medium","High"))</f>
        <v>Low</v>
      </c>
      <c r="AC578" t="str">
        <f>IF(H_A[[#This Row],[YearsAtCompany]]&lt;3,"Early",IF(H_A[[#This Row],[YearsAtCompany]]&lt;7,"Mid","Long"))</f>
        <v>Mid</v>
      </c>
      <c r="AD578" t="str">
        <f>IF(H_A[[#This Row],[PercentSalaryHike]]&lt;13,"Low",IF(H_A[[#This Row],[PercentSalaryHike]]&lt;18,"Medium","High"))</f>
        <v>High</v>
      </c>
    </row>
    <row r="579" spans="1:30" x14ac:dyDescent="0.3">
      <c r="A579">
        <v>37</v>
      </c>
      <c r="B579">
        <v>802</v>
      </c>
      <c r="C579" t="s">
        <v>36</v>
      </c>
      <c r="D579" t="s">
        <v>37</v>
      </c>
      <c r="E579">
        <v>10</v>
      </c>
      <c r="F579">
        <v>1</v>
      </c>
      <c r="G579" t="s">
        <v>32</v>
      </c>
      <c r="H579">
        <v>4</v>
      </c>
      <c r="I579" t="s">
        <v>33</v>
      </c>
      <c r="J579">
        <v>3</v>
      </c>
      <c r="K579">
        <v>1</v>
      </c>
      <c r="L579" t="s">
        <v>39</v>
      </c>
      <c r="M579">
        <v>1</v>
      </c>
      <c r="N579" t="s">
        <v>44</v>
      </c>
      <c r="O579">
        <v>2782</v>
      </c>
      <c r="P579">
        <v>0</v>
      </c>
      <c r="Q579" t="s">
        <v>30</v>
      </c>
      <c r="R579">
        <v>2</v>
      </c>
      <c r="S579">
        <v>6</v>
      </c>
      <c r="T579">
        <v>2</v>
      </c>
      <c r="U579">
        <v>5</v>
      </c>
      <c r="V579">
        <v>3</v>
      </c>
      <c r="W579">
        <v>4</v>
      </c>
      <c r="X579">
        <v>3</v>
      </c>
      <c r="Y579">
        <v>13</v>
      </c>
      <c r="Z579">
        <f>IF(H_A[[#This Row],[Attrition]]="Yes",1,0)</f>
        <v>0</v>
      </c>
      <c r="AA579" t="str">
        <f>IF(H_A[[#This Row],[Age]]&lt;30,"Young",IF(H_A[[#This Row],[Age]]&lt;45,"Mid","Senior"))</f>
        <v>Mid</v>
      </c>
      <c r="AB579" t="str">
        <f>IF(H_A[[#This Row],[MonthlyIncome]]&lt;5000,"Low",IF(H_A[[#This Row],[MonthlyIncome]]&lt;10000,"Medium","High"))</f>
        <v>Low</v>
      </c>
      <c r="AC579" t="str">
        <f>IF(H_A[[#This Row],[YearsAtCompany]]&lt;3,"Early",IF(H_A[[#This Row],[YearsAtCompany]]&lt;7,"Mid","Long"))</f>
        <v>Mid</v>
      </c>
      <c r="AD579" t="str">
        <f>IF(H_A[[#This Row],[PercentSalaryHike]]&lt;13,"Low",IF(H_A[[#This Row],[PercentSalaryHike]]&lt;18,"Medium","High"))</f>
        <v>Medium</v>
      </c>
    </row>
    <row r="580" spans="1:30" x14ac:dyDescent="0.3">
      <c r="A580">
        <v>38</v>
      </c>
      <c r="B580">
        <v>803</v>
      </c>
      <c r="C580" t="s">
        <v>36</v>
      </c>
      <c r="D580" t="s">
        <v>37</v>
      </c>
      <c r="E580">
        <v>2</v>
      </c>
      <c r="F580">
        <v>4</v>
      </c>
      <c r="G580" t="s">
        <v>32</v>
      </c>
      <c r="H580">
        <v>1</v>
      </c>
      <c r="I580" t="s">
        <v>33</v>
      </c>
      <c r="J580">
        <v>4</v>
      </c>
      <c r="K580">
        <v>2</v>
      </c>
      <c r="L580" t="s">
        <v>45</v>
      </c>
      <c r="M580">
        <v>1</v>
      </c>
      <c r="N580" t="s">
        <v>35</v>
      </c>
      <c r="O580">
        <v>5980</v>
      </c>
      <c r="P580">
        <v>6</v>
      </c>
      <c r="Q580" t="s">
        <v>30</v>
      </c>
      <c r="R580">
        <v>4</v>
      </c>
      <c r="S580">
        <v>17</v>
      </c>
      <c r="T580">
        <v>3</v>
      </c>
      <c r="U580">
        <v>15</v>
      </c>
      <c r="V580">
        <v>7</v>
      </c>
      <c r="W580">
        <v>4</v>
      </c>
      <c r="X580">
        <v>12</v>
      </c>
      <c r="Y580">
        <v>12</v>
      </c>
      <c r="Z580">
        <f>IF(H_A[[#This Row],[Attrition]]="Yes",1,0)</f>
        <v>0</v>
      </c>
      <c r="AA580" t="str">
        <f>IF(H_A[[#This Row],[Age]]&lt;30,"Young",IF(H_A[[#This Row],[Age]]&lt;45,"Mid","Senior"))</f>
        <v>Mid</v>
      </c>
      <c r="AB580" t="str">
        <f>IF(H_A[[#This Row],[MonthlyIncome]]&lt;5000,"Low",IF(H_A[[#This Row],[MonthlyIncome]]&lt;10000,"Medium","High"))</f>
        <v>Medium</v>
      </c>
      <c r="AC580" t="str">
        <f>IF(H_A[[#This Row],[YearsAtCompany]]&lt;3,"Early",IF(H_A[[#This Row],[YearsAtCompany]]&lt;7,"Mid","Long"))</f>
        <v>Long</v>
      </c>
      <c r="AD580" t="str">
        <f>IF(H_A[[#This Row],[PercentSalaryHike]]&lt;13,"Low",IF(H_A[[#This Row],[PercentSalaryHike]]&lt;18,"Medium","High"))</f>
        <v>Low</v>
      </c>
    </row>
    <row r="581" spans="1:30" x14ac:dyDescent="0.3">
      <c r="A581">
        <v>34</v>
      </c>
      <c r="B581">
        <v>804</v>
      </c>
      <c r="C581" t="s">
        <v>36</v>
      </c>
      <c r="D581" t="s">
        <v>37</v>
      </c>
      <c r="E581">
        <v>2</v>
      </c>
      <c r="F581">
        <v>4</v>
      </c>
      <c r="G581" t="s">
        <v>43</v>
      </c>
      <c r="H581">
        <v>3</v>
      </c>
      <c r="I581" t="s">
        <v>33</v>
      </c>
      <c r="J581">
        <v>2</v>
      </c>
      <c r="K581">
        <v>1</v>
      </c>
      <c r="L581" t="s">
        <v>39</v>
      </c>
      <c r="M581">
        <v>1</v>
      </c>
      <c r="N581" t="s">
        <v>35</v>
      </c>
      <c r="O581">
        <v>4381</v>
      </c>
      <c r="P581">
        <v>1</v>
      </c>
      <c r="Q581" t="s">
        <v>36</v>
      </c>
      <c r="R581">
        <v>3</v>
      </c>
      <c r="S581">
        <v>6</v>
      </c>
      <c r="T581">
        <v>3</v>
      </c>
      <c r="U581">
        <v>6</v>
      </c>
      <c r="V581">
        <v>5</v>
      </c>
      <c r="W581">
        <v>1</v>
      </c>
      <c r="X581">
        <v>3</v>
      </c>
      <c r="Y581">
        <v>11</v>
      </c>
      <c r="Z581">
        <f>IF(H_A[[#This Row],[Attrition]]="Yes",1,0)</f>
        <v>0</v>
      </c>
      <c r="AA581" t="str">
        <f>IF(H_A[[#This Row],[Age]]&lt;30,"Young",IF(H_A[[#This Row],[Age]]&lt;45,"Mid","Senior"))</f>
        <v>Mid</v>
      </c>
      <c r="AB581" t="str">
        <f>IF(H_A[[#This Row],[MonthlyIncome]]&lt;5000,"Low",IF(H_A[[#This Row],[MonthlyIncome]]&lt;10000,"Medium","High"))</f>
        <v>Low</v>
      </c>
      <c r="AC581" t="str">
        <f>IF(H_A[[#This Row],[YearsAtCompany]]&lt;3,"Early",IF(H_A[[#This Row],[YearsAtCompany]]&lt;7,"Mid","Long"))</f>
        <v>Mid</v>
      </c>
      <c r="AD581" t="str">
        <f>IF(H_A[[#This Row],[PercentSalaryHike]]&lt;13,"Low",IF(H_A[[#This Row],[PercentSalaryHike]]&lt;18,"Medium","High"))</f>
        <v>Low</v>
      </c>
    </row>
    <row r="582" spans="1:30" x14ac:dyDescent="0.3">
      <c r="A582">
        <v>35</v>
      </c>
      <c r="B582">
        <v>805</v>
      </c>
      <c r="C582" t="s">
        <v>36</v>
      </c>
      <c r="D582" t="s">
        <v>31</v>
      </c>
      <c r="E582">
        <v>8</v>
      </c>
      <c r="F582">
        <v>4</v>
      </c>
      <c r="G582" t="s">
        <v>32</v>
      </c>
      <c r="H582">
        <v>1</v>
      </c>
      <c r="I582" t="s">
        <v>33</v>
      </c>
      <c r="J582">
        <v>3</v>
      </c>
      <c r="K582">
        <v>1</v>
      </c>
      <c r="L582" t="s">
        <v>48</v>
      </c>
      <c r="M582">
        <v>4</v>
      </c>
      <c r="N582" t="s">
        <v>40</v>
      </c>
      <c r="O582">
        <v>2572</v>
      </c>
      <c r="P582">
        <v>1</v>
      </c>
      <c r="Q582" t="s">
        <v>36</v>
      </c>
      <c r="R582">
        <v>2</v>
      </c>
      <c r="S582">
        <v>3</v>
      </c>
      <c r="T582">
        <v>2</v>
      </c>
      <c r="U582">
        <v>3</v>
      </c>
      <c r="V582">
        <v>2</v>
      </c>
      <c r="W582">
        <v>0</v>
      </c>
      <c r="X582">
        <v>2</v>
      </c>
      <c r="Y582">
        <v>16</v>
      </c>
      <c r="Z582">
        <f>IF(H_A[[#This Row],[Attrition]]="Yes",1,0)</f>
        <v>0</v>
      </c>
      <c r="AA582" t="str">
        <f>IF(H_A[[#This Row],[Age]]&lt;30,"Young",IF(H_A[[#This Row],[Age]]&lt;45,"Mid","Senior"))</f>
        <v>Mid</v>
      </c>
      <c r="AB582" t="str">
        <f>IF(H_A[[#This Row],[MonthlyIncome]]&lt;5000,"Low",IF(H_A[[#This Row],[MonthlyIncome]]&lt;10000,"Medium","High"))</f>
        <v>Low</v>
      </c>
      <c r="AC582" t="str">
        <f>IF(H_A[[#This Row],[YearsAtCompany]]&lt;3,"Early",IF(H_A[[#This Row],[YearsAtCompany]]&lt;7,"Mid","Long"))</f>
        <v>Mid</v>
      </c>
      <c r="AD582" t="str">
        <f>IF(H_A[[#This Row],[PercentSalaryHike]]&lt;13,"Low",IF(H_A[[#This Row],[PercentSalaryHike]]&lt;18,"Medium","High"))</f>
        <v>Medium</v>
      </c>
    </row>
    <row r="583" spans="1:30" x14ac:dyDescent="0.3">
      <c r="A583">
        <v>30</v>
      </c>
      <c r="B583">
        <v>806</v>
      </c>
      <c r="C583" t="s">
        <v>36</v>
      </c>
      <c r="D583" t="s">
        <v>37</v>
      </c>
      <c r="E583">
        <v>1</v>
      </c>
      <c r="F583">
        <v>3</v>
      </c>
      <c r="G583" t="s">
        <v>32</v>
      </c>
      <c r="H583">
        <v>4</v>
      </c>
      <c r="I583" t="s">
        <v>38</v>
      </c>
      <c r="J583">
        <v>1</v>
      </c>
      <c r="K583">
        <v>1</v>
      </c>
      <c r="L583" t="s">
        <v>42</v>
      </c>
      <c r="M583">
        <v>3</v>
      </c>
      <c r="N583" t="s">
        <v>40</v>
      </c>
      <c r="O583">
        <v>3833</v>
      </c>
      <c r="P583">
        <v>3</v>
      </c>
      <c r="Q583" t="s">
        <v>36</v>
      </c>
      <c r="R583">
        <v>3</v>
      </c>
      <c r="S583">
        <v>7</v>
      </c>
      <c r="T583">
        <v>3</v>
      </c>
      <c r="U583">
        <v>2</v>
      </c>
      <c r="V583">
        <v>2</v>
      </c>
      <c r="W583">
        <v>0</v>
      </c>
      <c r="X583">
        <v>2</v>
      </c>
      <c r="Y583">
        <v>21</v>
      </c>
      <c r="Z583">
        <f>IF(H_A[[#This Row],[Attrition]]="Yes",1,0)</f>
        <v>0</v>
      </c>
      <c r="AA583" t="str">
        <f>IF(H_A[[#This Row],[Age]]&lt;30,"Young",IF(H_A[[#This Row],[Age]]&lt;45,"Mid","Senior"))</f>
        <v>Mid</v>
      </c>
      <c r="AB583" t="str">
        <f>IF(H_A[[#This Row],[MonthlyIncome]]&lt;5000,"Low",IF(H_A[[#This Row],[MonthlyIncome]]&lt;10000,"Medium","High"))</f>
        <v>Low</v>
      </c>
      <c r="AC583" t="str">
        <f>IF(H_A[[#This Row],[YearsAtCompany]]&lt;3,"Early",IF(H_A[[#This Row],[YearsAtCompany]]&lt;7,"Mid","Long"))</f>
        <v>Early</v>
      </c>
      <c r="AD583" t="str">
        <f>IF(H_A[[#This Row],[PercentSalaryHike]]&lt;13,"Low",IF(H_A[[#This Row],[PercentSalaryHike]]&lt;18,"Medium","High"))</f>
        <v>High</v>
      </c>
    </row>
    <row r="584" spans="1:30" x14ac:dyDescent="0.3">
      <c r="A584">
        <v>40</v>
      </c>
      <c r="B584">
        <v>807</v>
      </c>
      <c r="C584" t="s">
        <v>36</v>
      </c>
      <c r="D584" t="s">
        <v>37</v>
      </c>
      <c r="E584">
        <v>2</v>
      </c>
      <c r="F584">
        <v>2</v>
      </c>
      <c r="G584" t="s">
        <v>43</v>
      </c>
      <c r="H584">
        <v>3</v>
      </c>
      <c r="I584" t="s">
        <v>33</v>
      </c>
      <c r="J584">
        <v>4</v>
      </c>
      <c r="K584">
        <v>2</v>
      </c>
      <c r="L584" t="s">
        <v>46</v>
      </c>
      <c r="M584">
        <v>2</v>
      </c>
      <c r="N584" t="s">
        <v>40</v>
      </c>
      <c r="O584">
        <v>4244</v>
      </c>
      <c r="P584">
        <v>1</v>
      </c>
      <c r="Q584" t="s">
        <v>36</v>
      </c>
      <c r="R584">
        <v>4</v>
      </c>
      <c r="S584">
        <v>8</v>
      </c>
      <c r="T584">
        <v>3</v>
      </c>
      <c r="U584">
        <v>8</v>
      </c>
      <c r="V584">
        <v>7</v>
      </c>
      <c r="W584">
        <v>3</v>
      </c>
      <c r="X584">
        <v>7</v>
      </c>
      <c r="Y584">
        <v>24</v>
      </c>
      <c r="Z584">
        <f>IF(H_A[[#This Row],[Attrition]]="Yes",1,0)</f>
        <v>0</v>
      </c>
      <c r="AA584" t="str">
        <f>IF(H_A[[#This Row],[Age]]&lt;30,"Young",IF(H_A[[#This Row],[Age]]&lt;45,"Mid","Senior"))</f>
        <v>Mid</v>
      </c>
      <c r="AB584" t="str">
        <f>IF(H_A[[#This Row],[MonthlyIncome]]&lt;5000,"Low",IF(H_A[[#This Row],[MonthlyIncome]]&lt;10000,"Medium","High"))</f>
        <v>Low</v>
      </c>
      <c r="AC584" t="str">
        <f>IF(H_A[[#This Row],[YearsAtCompany]]&lt;3,"Early",IF(H_A[[#This Row],[YearsAtCompany]]&lt;7,"Mid","Long"))</f>
        <v>Long</v>
      </c>
      <c r="AD584" t="str">
        <f>IF(H_A[[#This Row],[PercentSalaryHike]]&lt;13,"Low",IF(H_A[[#This Row],[PercentSalaryHike]]&lt;18,"Medium","High"))</f>
        <v>High</v>
      </c>
    </row>
    <row r="585" spans="1:30" x14ac:dyDescent="0.3">
      <c r="A585">
        <v>34</v>
      </c>
      <c r="B585">
        <v>808</v>
      </c>
      <c r="C585" t="s">
        <v>36</v>
      </c>
      <c r="D585" t="s">
        <v>31</v>
      </c>
      <c r="E585">
        <v>8</v>
      </c>
      <c r="F585">
        <v>2</v>
      </c>
      <c r="G585" t="s">
        <v>32</v>
      </c>
      <c r="H585">
        <v>3</v>
      </c>
      <c r="I585" t="s">
        <v>33</v>
      </c>
      <c r="J585">
        <v>3</v>
      </c>
      <c r="K585">
        <v>2</v>
      </c>
      <c r="L585" t="s">
        <v>34</v>
      </c>
      <c r="M585">
        <v>1</v>
      </c>
      <c r="N585" t="s">
        <v>40</v>
      </c>
      <c r="O585">
        <v>6500</v>
      </c>
      <c r="P585">
        <v>5</v>
      </c>
      <c r="Q585" t="s">
        <v>36</v>
      </c>
      <c r="R585">
        <v>2</v>
      </c>
      <c r="S585">
        <v>6</v>
      </c>
      <c r="T585">
        <v>3</v>
      </c>
      <c r="U585">
        <v>3</v>
      </c>
      <c r="V585">
        <v>2</v>
      </c>
      <c r="W585">
        <v>1</v>
      </c>
      <c r="X585">
        <v>2</v>
      </c>
      <c r="Y585">
        <v>17</v>
      </c>
      <c r="Z585">
        <f>IF(H_A[[#This Row],[Attrition]]="Yes",1,0)</f>
        <v>0</v>
      </c>
      <c r="AA585" t="str">
        <f>IF(H_A[[#This Row],[Age]]&lt;30,"Young",IF(H_A[[#This Row],[Age]]&lt;45,"Mid","Senior"))</f>
        <v>Mid</v>
      </c>
      <c r="AB585" t="str">
        <f>IF(H_A[[#This Row],[MonthlyIncome]]&lt;5000,"Low",IF(H_A[[#This Row],[MonthlyIncome]]&lt;10000,"Medium","High"))</f>
        <v>Medium</v>
      </c>
      <c r="AC585" t="str">
        <f>IF(H_A[[#This Row],[YearsAtCompany]]&lt;3,"Early",IF(H_A[[#This Row],[YearsAtCompany]]&lt;7,"Mid","Long"))</f>
        <v>Mid</v>
      </c>
      <c r="AD585" t="str">
        <f>IF(H_A[[#This Row],[PercentSalaryHike]]&lt;13,"Low",IF(H_A[[#This Row],[PercentSalaryHike]]&lt;18,"Medium","High"))</f>
        <v>Medium</v>
      </c>
    </row>
    <row r="586" spans="1:30" x14ac:dyDescent="0.3">
      <c r="A586">
        <v>42</v>
      </c>
      <c r="B586">
        <v>809</v>
      </c>
      <c r="C586" t="s">
        <v>36</v>
      </c>
      <c r="D586" t="s">
        <v>37</v>
      </c>
      <c r="E586">
        <v>8</v>
      </c>
      <c r="F586">
        <v>3</v>
      </c>
      <c r="G586" t="s">
        <v>32</v>
      </c>
      <c r="H586">
        <v>2</v>
      </c>
      <c r="I586" t="s">
        <v>38</v>
      </c>
      <c r="J586">
        <v>3</v>
      </c>
      <c r="K586">
        <v>5</v>
      </c>
      <c r="L586" t="s">
        <v>47</v>
      </c>
      <c r="M586">
        <v>4</v>
      </c>
      <c r="N586" t="s">
        <v>44</v>
      </c>
      <c r="O586">
        <v>18430</v>
      </c>
      <c r="P586">
        <v>1</v>
      </c>
      <c r="Q586" t="s">
        <v>36</v>
      </c>
      <c r="R586">
        <v>2</v>
      </c>
      <c r="S586">
        <v>24</v>
      </c>
      <c r="T586">
        <v>2</v>
      </c>
      <c r="U586">
        <v>24</v>
      </c>
      <c r="V586">
        <v>7</v>
      </c>
      <c r="W586">
        <v>14</v>
      </c>
      <c r="X586">
        <v>9</v>
      </c>
      <c r="Y586">
        <v>13</v>
      </c>
      <c r="Z586">
        <f>IF(H_A[[#This Row],[Attrition]]="Yes",1,0)</f>
        <v>0</v>
      </c>
      <c r="AA586" t="str">
        <f>IF(H_A[[#This Row],[Age]]&lt;30,"Young",IF(H_A[[#This Row],[Age]]&lt;45,"Mid","Senior"))</f>
        <v>Mid</v>
      </c>
      <c r="AB586" t="str">
        <f>IF(H_A[[#This Row],[MonthlyIncome]]&lt;5000,"Low",IF(H_A[[#This Row],[MonthlyIncome]]&lt;10000,"Medium","High"))</f>
        <v>High</v>
      </c>
      <c r="AC586" t="str">
        <f>IF(H_A[[#This Row],[YearsAtCompany]]&lt;3,"Early",IF(H_A[[#This Row],[YearsAtCompany]]&lt;7,"Mid","Long"))</f>
        <v>Long</v>
      </c>
      <c r="AD586" t="str">
        <f>IF(H_A[[#This Row],[PercentSalaryHike]]&lt;13,"Low",IF(H_A[[#This Row],[PercentSalaryHike]]&lt;18,"Medium","High"))</f>
        <v>Medium</v>
      </c>
    </row>
    <row r="587" spans="1:30" x14ac:dyDescent="0.3">
      <c r="A587">
        <v>23</v>
      </c>
      <c r="B587">
        <v>811</v>
      </c>
      <c r="C587" t="s">
        <v>30</v>
      </c>
      <c r="D587" t="s">
        <v>37</v>
      </c>
      <c r="E587">
        <v>6</v>
      </c>
      <c r="F587">
        <v>3</v>
      </c>
      <c r="G587" t="s">
        <v>32</v>
      </c>
      <c r="H587">
        <v>3</v>
      </c>
      <c r="I587" t="s">
        <v>38</v>
      </c>
      <c r="J587">
        <v>4</v>
      </c>
      <c r="K587">
        <v>1</v>
      </c>
      <c r="L587" t="s">
        <v>42</v>
      </c>
      <c r="M587">
        <v>1</v>
      </c>
      <c r="N587" t="s">
        <v>40</v>
      </c>
      <c r="O587">
        <v>1601</v>
      </c>
      <c r="P587">
        <v>1</v>
      </c>
      <c r="Q587" t="s">
        <v>30</v>
      </c>
      <c r="R587">
        <v>3</v>
      </c>
      <c r="S587">
        <v>1</v>
      </c>
      <c r="T587">
        <v>3</v>
      </c>
      <c r="U587">
        <v>0</v>
      </c>
      <c r="V587">
        <v>0</v>
      </c>
      <c r="W587">
        <v>0</v>
      </c>
      <c r="X587">
        <v>0</v>
      </c>
      <c r="Y587">
        <v>21</v>
      </c>
      <c r="Z587">
        <f>IF(H_A[[#This Row],[Attrition]]="Yes",1,0)</f>
        <v>1</v>
      </c>
      <c r="AA587" t="str">
        <f>IF(H_A[[#This Row],[Age]]&lt;30,"Young",IF(H_A[[#This Row],[Age]]&lt;45,"Mid","Senior"))</f>
        <v>Young</v>
      </c>
      <c r="AB587" t="str">
        <f>IF(H_A[[#This Row],[MonthlyIncome]]&lt;5000,"Low",IF(H_A[[#This Row],[MonthlyIncome]]&lt;10000,"Medium","High"))</f>
        <v>Low</v>
      </c>
      <c r="AC587" t="str">
        <f>IF(H_A[[#This Row],[YearsAtCompany]]&lt;3,"Early",IF(H_A[[#This Row],[YearsAtCompany]]&lt;7,"Mid","Long"))</f>
        <v>Early</v>
      </c>
      <c r="AD587" t="str">
        <f>IF(H_A[[#This Row],[PercentSalaryHike]]&lt;13,"Low",IF(H_A[[#This Row],[PercentSalaryHike]]&lt;18,"Medium","High"))</f>
        <v>High</v>
      </c>
    </row>
    <row r="588" spans="1:30" x14ac:dyDescent="0.3">
      <c r="A588">
        <v>24</v>
      </c>
      <c r="B588">
        <v>812</v>
      </c>
      <c r="C588" t="s">
        <v>36</v>
      </c>
      <c r="D588" t="s">
        <v>37</v>
      </c>
      <c r="E588">
        <v>9</v>
      </c>
      <c r="F588">
        <v>3</v>
      </c>
      <c r="G588" t="s">
        <v>32</v>
      </c>
      <c r="H588">
        <v>3</v>
      </c>
      <c r="I588" t="s">
        <v>38</v>
      </c>
      <c r="J588">
        <v>2</v>
      </c>
      <c r="K588">
        <v>1</v>
      </c>
      <c r="L588" t="s">
        <v>42</v>
      </c>
      <c r="M588">
        <v>2</v>
      </c>
      <c r="N588" t="s">
        <v>44</v>
      </c>
      <c r="O588">
        <v>2694</v>
      </c>
      <c r="P588">
        <v>1</v>
      </c>
      <c r="Q588" t="s">
        <v>36</v>
      </c>
      <c r="R588">
        <v>3</v>
      </c>
      <c r="S588">
        <v>1</v>
      </c>
      <c r="T588">
        <v>3</v>
      </c>
      <c r="U588">
        <v>1</v>
      </c>
      <c r="V588">
        <v>0</v>
      </c>
      <c r="W588">
        <v>0</v>
      </c>
      <c r="X588">
        <v>0</v>
      </c>
      <c r="Y588">
        <v>11</v>
      </c>
      <c r="Z588">
        <f>IF(H_A[[#This Row],[Attrition]]="Yes",1,0)</f>
        <v>0</v>
      </c>
      <c r="AA588" t="str">
        <f>IF(H_A[[#This Row],[Age]]&lt;30,"Young",IF(H_A[[#This Row],[Age]]&lt;45,"Mid","Senior"))</f>
        <v>Young</v>
      </c>
      <c r="AB588" t="str">
        <f>IF(H_A[[#This Row],[MonthlyIncome]]&lt;5000,"Low",IF(H_A[[#This Row],[MonthlyIncome]]&lt;10000,"Medium","High"))</f>
        <v>Low</v>
      </c>
      <c r="AC588" t="str">
        <f>IF(H_A[[#This Row],[YearsAtCompany]]&lt;3,"Early",IF(H_A[[#This Row],[YearsAtCompany]]&lt;7,"Mid","Long"))</f>
        <v>Early</v>
      </c>
      <c r="AD588" t="str">
        <f>IF(H_A[[#This Row],[PercentSalaryHike]]&lt;13,"Low",IF(H_A[[#This Row],[PercentSalaryHike]]&lt;18,"Medium","High"))</f>
        <v>Low</v>
      </c>
    </row>
    <row r="589" spans="1:30" x14ac:dyDescent="0.3">
      <c r="A589">
        <v>52</v>
      </c>
      <c r="B589">
        <v>813</v>
      </c>
      <c r="C589" t="s">
        <v>36</v>
      </c>
      <c r="D589" t="s">
        <v>37</v>
      </c>
      <c r="E589">
        <v>11</v>
      </c>
      <c r="F589">
        <v>4</v>
      </c>
      <c r="G589" t="s">
        <v>32</v>
      </c>
      <c r="H589">
        <v>4</v>
      </c>
      <c r="I589" t="s">
        <v>33</v>
      </c>
      <c r="J589">
        <v>3</v>
      </c>
      <c r="K589">
        <v>2</v>
      </c>
      <c r="L589" t="s">
        <v>42</v>
      </c>
      <c r="M589">
        <v>3</v>
      </c>
      <c r="N589" t="s">
        <v>40</v>
      </c>
      <c r="O589">
        <v>3149</v>
      </c>
      <c r="P589">
        <v>8</v>
      </c>
      <c r="Q589" t="s">
        <v>36</v>
      </c>
      <c r="R589">
        <v>2</v>
      </c>
      <c r="S589">
        <v>9</v>
      </c>
      <c r="T589">
        <v>3</v>
      </c>
      <c r="U589">
        <v>5</v>
      </c>
      <c r="V589">
        <v>2</v>
      </c>
      <c r="W589">
        <v>1</v>
      </c>
      <c r="X589">
        <v>4</v>
      </c>
      <c r="Y589">
        <v>20</v>
      </c>
      <c r="Z589">
        <f>IF(H_A[[#This Row],[Attrition]]="Yes",1,0)</f>
        <v>0</v>
      </c>
      <c r="AA589" t="str">
        <f>IF(H_A[[#This Row],[Age]]&lt;30,"Young",IF(H_A[[#This Row],[Age]]&lt;45,"Mid","Senior"))</f>
        <v>Senior</v>
      </c>
      <c r="AB589" t="str">
        <f>IF(H_A[[#This Row],[MonthlyIncome]]&lt;5000,"Low",IF(H_A[[#This Row],[MonthlyIncome]]&lt;10000,"Medium","High"))</f>
        <v>Low</v>
      </c>
      <c r="AC589" t="str">
        <f>IF(H_A[[#This Row],[YearsAtCompany]]&lt;3,"Early",IF(H_A[[#This Row],[YearsAtCompany]]&lt;7,"Mid","Long"))</f>
        <v>Mid</v>
      </c>
      <c r="AD589" t="str">
        <f>IF(H_A[[#This Row],[PercentSalaryHike]]&lt;13,"Low",IF(H_A[[#This Row],[PercentSalaryHike]]&lt;18,"Medium","High"))</f>
        <v>High</v>
      </c>
    </row>
    <row r="590" spans="1:30" x14ac:dyDescent="0.3">
      <c r="A590">
        <v>50</v>
      </c>
      <c r="B590">
        <v>815</v>
      </c>
      <c r="C590" t="s">
        <v>36</v>
      </c>
      <c r="D590" t="s">
        <v>37</v>
      </c>
      <c r="E590">
        <v>2</v>
      </c>
      <c r="F590">
        <v>3</v>
      </c>
      <c r="G590" t="s">
        <v>43</v>
      </c>
      <c r="H590">
        <v>3</v>
      </c>
      <c r="I590" t="s">
        <v>38</v>
      </c>
      <c r="J590">
        <v>3</v>
      </c>
      <c r="K590">
        <v>4</v>
      </c>
      <c r="L590" t="s">
        <v>49</v>
      </c>
      <c r="M590">
        <v>3</v>
      </c>
      <c r="N590" t="s">
        <v>40</v>
      </c>
      <c r="O590">
        <v>17639</v>
      </c>
      <c r="P590">
        <v>5</v>
      </c>
      <c r="Q590" t="s">
        <v>36</v>
      </c>
      <c r="R590">
        <v>4</v>
      </c>
      <c r="S590">
        <v>30</v>
      </c>
      <c r="T590">
        <v>3</v>
      </c>
      <c r="U590">
        <v>4</v>
      </c>
      <c r="V590">
        <v>3</v>
      </c>
      <c r="W590">
        <v>0</v>
      </c>
      <c r="X590">
        <v>3</v>
      </c>
      <c r="Y590">
        <v>16</v>
      </c>
      <c r="Z590">
        <f>IF(H_A[[#This Row],[Attrition]]="Yes",1,0)</f>
        <v>0</v>
      </c>
      <c r="AA590" t="str">
        <f>IF(H_A[[#This Row],[Age]]&lt;30,"Young",IF(H_A[[#This Row],[Age]]&lt;45,"Mid","Senior"))</f>
        <v>Senior</v>
      </c>
      <c r="AB590" t="str">
        <f>IF(H_A[[#This Row],[MonthlyIncome]]&lt;5000,"Low",IF(H_A[[#This Row],[MonthlyIncome]]&lt;10000,"Medium","High"))</f>
        <v>High</v>
      </c>
      <c r="AC590" t="str">
        <f>IF(H_A[[#This Row],[YearsAtCompany]]&lt;3,"Early",IF(H_A[[#This Row],[YearsAtCompany]]&lt;7,"Mid","Long"))</f>
        <v>Mid</v>
      </c>
      <c r="AD590" t="str">
        <f>IF(H_A[[#This Row],[PercentSalaryHike]]&lt;13,"Low",IF(H_A[[#This Row],[PercentSalaryHike]]&lt;18,"Medium","High"))</f>
        <v>Medium</v>
      </c>
    </row>
    <row r="591" spans="1:30" x14ac:dyDescent="0.3">
      <c r="A591">
        <v>29</v>
      </c>
      <c r="B591">
        <v>816</v>
      </c>
      <c r="C591" t="s">
        <v>30</v>
      </c>
      <c r="D591" t="s">
        <v>37</v>
      </c>
      <c r="E591">
        <v>1</v>
      </c>
      <c r="F591">
        <v>2</v>
      </c>
      <c r="G591" t="s">
        <v>32</v>
      </c>
      <c r="H591">
        <v>2</v>
      </c>
      <c r="I591" t="s">
        <v>33</v>
      </c>
      <c r="J591">
        <v>2</v>
      </c>
      <c r="K591">
        <v>1</v>
      </c>
      <c r="L591" t="s">
        <v>42</v>
      </c>
      <c r="M591">
        <v>1</v>
      </c>
      <c r="N591" t="s">
        <v>40</v>
      </c>
      <c r="O591">
        <v>2319</v>
      </c>
      <c r="P591">
        <v>1</v>
      </c>
      <c r="Q591" t="s">
        <v>30</v>
      </c>
      <c r="R591">
        <v>4</v>
      </c>
      <c r="S591">
        <v>1</v>
      </c>
      <c r="T591">
        <v>3</v>
      </c>
      <c r="U591">
        <v>1</v>
      </c>
      <c r="V591">
        <v>0</v>
      </c>
      <c r="W591">
        <v>0</v>
      </c>
      <c r="X591">
        <v>0</v>
      </c>
      <c r="Y591">
        <v>11</v>
      </c>
      <c r="Z591">
        <f>IF(H_A[[#This Row],[Attrition]]="Yes",1,0)</f>
        <v>1</v>
      </c>
      <c r="AA591" t="str">
        <f>IF(H_A[[#This Row],[Age]]&lt;30,"Young",IF(H_A[[#This Row],[Age]]&lt;45,"Mid","Senior"))</f>
        <v>Young</v>
      </c>
      <c r="AB591" t="str">
        <f>IF(H_A[[#This Row],[MonthlyIncome]]&lt;5000,"Low",IF(H_A[[#This Row],[MonthlyIncome]]&lt;10000,"Medium","High"))</f>
        <v>Low</v>
      </c>
      <c r="AC591" t="str">
        <f>IF(H_A[[#This Row],[YearsAtCompany]]&lt;3,"Early",IF(H_A[[#This Row],[YearsAtCompany]]&lt;7,"Mid","Long"))</f>
        <v>Early</v>
      </c>
      <c r="AD591" t="str">
        <f>IF(H_A[[#This Row],[PercentSalaryHike]]&lt;13,"Low",IF(H_A[[#This Row],[PercentSalaryHike]]&lt;18,"Medium","High"))</f>
        <v>Low</v>
      </c>
    </row>
    <row r="592" spans="1:30" x14ac:dyDescent="0.3">
      <c r="A592">
        <v>33</v>
      </c>
      <c r="B592">
        <v>817</v>
      </c>
      <c r="C592" t="s">
        <v>36</v>
      </c>
      <c r="D592" t="s">
        <v>37</v>
      </c>
      <c r="E592">
        <v>7</v>
      </c>
      <c r="F592">
        <v>3</v>
      </c>
      <c r="G592" t="s">
        <v>43</v>
      </c>
      <c r="H592">
        <v>3</v>
      </c>
      <c r="I592" t="s">
        <v>38</v>
      </c>
      <c r="J592">
        <v>3</v>
      </c>
      <c r="K592">
        <v>3</v>
      </c>
      <c r="L592" t="s">
        <v>49</v>
      </c>
      <c r="M592">
        <v>3</v>
      </c>
      <c r="N592" t="s">
        <v>40</v>
      </c>
      <c r="O592">
        <v>11691</v>
      </c>
      <c r="P592">
        <v>0</v>
      </c>
      <c r="Q592" t="s">
        <v>36</v>
      </c>
      <c r="R592">
        <v>4</v>
      </c>
      <c r="S592">
        <v>14</v>
      </c>
      <c r="T592">
        <v>4</v>
      </c>
      <c r="U592">
        <v>13</v>
      </c>
      <c r="V592">
        <v>9</v>
      </c>
      <c r="W592">
        <v>3</v>
      </c>
      <c r="X592">
        <v>7</v>
      </c>
      <c r="Y592">
        <v>11</v>
      </c>
      <c r="Z592">
        <f>IF(H_A[[#This Row],[Attrition]]="Yes",1,0)</f>
        <v>0</v>
      </c>
      <c r="AA592" t="str">
        <f>IF(H_A[[#This Row],[Age]]&lt;30,"Young",IF(H_A[[#This Row],[Age]]&lt;45,"Mid","Senior"))</f>
        <v>Mid</v>
      </c>
      <c r="AB592" t="str">
        <f>IF(H_A[[#This Row],[MonthlyIncome]]&lt;5000,"Low",IF(H_A[[#This Row],[MonthlyIncome]]&lt;10000,"Medium","High"))</f>
        <v>High</v>
      </c>
      <c r="AC592" t="str">
        <f>IF(H_A[[#This Row],[YearsAtCompany]]&lt;3,"Early",IF(H_A[[#This Row],[YearsAtCompany]]&lt;7,"Mid","Long"))</f>
        <v>Long</v>
      </c>
      <c r="AD592" t="str">
        <f>IF(H_A[[#This Row],[PercentSalaryHike]]&lt;13,"Low",IF(H_A[[#This Row],[PercentSalaryHike]]&lt;18,"Medium","High"))</f>
        <v>Low</v>
      </c>
    </row>
    <row r="593" spans="1:30" x14ac:dyDescent="0.3">
      <c r="A593">
        <v>33</v>
      </c>
      <c r="B593">
        <v>819</v>
      </c>
      <c r="C593" t="s">
        <v>30</v>
      </c>
      <c r="D593" t="s">
        <v>31</v>
      </c>
      <c r="E593">
        <v>16</v>
      </c>
      <c r="F593">
        <v>3</v>
      </c>
      <c r="G593" t="s">
        <v>50</v>
      </c>
      <c r="H593">
        <v>1</v>
      </c>
      <c r="I593" t="s">
        <v>33</v>
      </c>
      <c r="J593">
        <v>3</v>
      </c>
      <c r="K593">
        <v>2</v>
      </c>
      <c r="L593" t="s">
        <v>34</v>
      </c>
      <c r="M593">
        <v>1</v>
      </c>
      <c r="N593" t="s">
        <v>35</v>
      </c>
      <c r="O593">
        <v>5324</v>
      </c>
      <c r="P593">
        <v>5</v>
      </c>
      <c r="Q593" t="s">
        <v>36</v>
      </c>
      <c r="R593">
        <v>3</v>
      </c>
      <c r="S593">
        <v>6</v>
      </c>
      <c r="T593">
        <v>3</v>
      </c>
      <c r="U593">
        <v>3</v>
      </c>
      <c r="V593">
        <v>2</v>
      </c>
      <c r="W593">
        <v>0</v>
      </c>
      <c r="X593">
        <v>2</v>
      </c>
      <c r="Y593">
        <v>15</v>
      </c>
      <c r="Z593">
        <f>IF(H_A[[#This Row],[Attrition]]="Yes",1,0)</f>
        <v>1</v>
      </c>
      <c r="AA593" t="str">
        <f>IF(H_A[[#This Row],[Age]]&lt;30,"Young",IF(H_A[[#This Row],[Age]]&lt;45,"Mid","Senior"))</f>
        <v>Mid</v>
      </c>
      <c r="AB593" t="str">
        <f>IF(H_A[[#This Row],[MonthlyIncome]]&lt;5000,"Low",IF(H_A[[#This Row],[MonthlyIncome]]&lt;10000,"Medium","High"))</f>
        <v>Medium</v>
      </c>
      <c r="AC593" t="str">
        <f>IF(H_A[[#This Row],[YearsAtCompany]]&lt;3,"Early",IF(H_A[[#This Row],[YearsAtCompany]]&lt;7,"Mid","Long"))</f>
        <v>Mid</v>
      </c>
      <c r="AD593" t="str">
        <f>IF(H_A[[#This Row],[PercentSalaryHike]]&lt;13,"Low",IF(H_A[[#This Row],[PercentSalaryHike]]&lt;18,"Medium","High"))</f>
        <v>Medium</v>
      </c>
    </row>
    <row r="594" spans="1:30" x14ac:dyDescent="0.3">
      <c r="A594">
        <v>47</v>
      </c>
      <c r="B594">
        <v>820</v>
      </c>
      <c r="C594" t="s">
        <v>36</v>
      </c>
      <c r="D594" t="s">
        <v>37</v>
      </c>
      <c r="E594">
        <v>2</v>
      </c>
      <c r="F594">
        <v>2</v>
      </c>
      <c r="G594" t="s">
        <v>41</v>
      </c>
      <c r="H594">
        <v>3</v>
      </c>
      <c r="I594" t="s">
        <v>33</v>
      </c>
      <c r="J594">
        <v>3</v>
      </c>
      <c r="K594">
        <v>4</v>
      </c>
      <c r="L594" t="s">
        <v>47</v>
      </c>
      <c r="M594">
        <v>4</v>
      </c>
      <c r="N594" t="s">
        <v>40</v>
      </c>
      <c r="O594">
        <v>16752</v>
      </c>
      <c r="P594">
        <v>1</v>
      </c>
      <c r="Q594" t="s">
        <v>30</v>
      </c>
      <c r="R594">
        <v>3</v>
      </c>
      <c r="S594">
        <v>26</v>
      </c>
      <c r="T594">
        <v>2</v>
      </c>
      <c r="U594">
        <v>26</v>
      </c>
      <c r="V594">
        <v>14</v>
      </c>
      <c r="W594">
        <v>3</v>
      </c>
      <c r="X594">
        <v>0</v>
      </c>
      <c r="Y594">
        <v>11</v>
      </c>
      <c r="Z594">
        <f>IF(H_A[[#This Row],[Attrition]]="Yes",1,0)</f>
        <v>0</v>
      </c>
      <c r="AA594" t="str">
        <f>IF(H_A[[#This Row],[Age]]&lt;30,"Young",IF(H_A[[#This Row],[Age]]&lt;45,"Mid","Senior"))</f>
        <v>Senior</v>
      </c>
      <c r="AB594" t="str">
        <f>IF(H_A[[#This Row],[MonthlyIncome]]&lt;5000,"Low",IF(H_A[[#This Row],[MonthlyIncome]]&lt;10000,"Medium","High"))</f>
        <v>High</v>
      </c>
      <c r="AC594" t="str">
        <f>IF(H_A[[#This Row],[YearsAtCompany]]&lt;3,"Early",IF(H_A[[#This Row],[YearsAtCompany]]&lt;7,"Mid","Long"))</f>
        <v>Long</v>
      </c>
      <c r="AD594" t="str">
        <f>IF(H_A[[#This Row],[PercentSalaryHike]]&lt;13,"Low",IF(H_A[[#This Row],[PercentSalaryHike]]&lt;18,"Medium","High"))</f>
        <v>Low</v>
      </c>
    </row>
    <row r="595" spans="1:30" x14ac:dyDescent="0.3">
      <c r="A595">
        <v>36</v>
      </c>
      <c r="B595">
        <v>823</v>
      </c>
      <c r="C595" t="s">
        <v>36</v>
      </c>
      <c r="D595" t="s">
        <v>37</v>
      </c>
      <c r="E595">
        <v>1</v>
      </c>
      <c r="F595">
        <v>3</v>
      </c>
      <c r="G595" t="s">
        <v>41</v>
      </c>
      <c r="H595">
        <v>3</v>
      </c>
      <c r="I595" t="s">
        <v>33</v>
      </c>
      <c r="J595">
        <v>3</v>
      </c>
      <c r="K595">
        <v>2</v>
      </c>
      <c r="L595" t="s">
        <v>45</v>
      </c>
      <c r="M595">
        <v>2</v>
      </c>
      <c r="N595" t="s">
        <v>40</v>
      </c>
      <c r="O595">
        <v>5228</v>
      </c>
      <c r="P595">
        <v>0</v>
      </c>
      <c r="Q595" t="s">
        <v>36</v>
      </c>
      <c r="R595">
        <v>1</v>
      </c>
      <c r="S595">
        <v>10</v>
      </c>
      <c r="T595">
        <v>3</v>
      </c>
      <c r="U595">
        <v>9</v>
      </c>
      <c r="V595">
        <v>7</v>
      </c>
      <c r="W595">
        <v>0</v>
      </c>
      <c r="X595">
        <v>5</v>
      </c>
      <c r="Y595">
        <v>15</v>
      </c>
      <c r="Z595">
        <f>IF(H_A[[#This Row],[Attrition]]="Yes",1,0)</f>
        <v>0</v>
      </c>
      <c r="AA595" t="str">
        <f>IF(H_A[[#This Row],[Age]]&lt;30,"Young",IF(H_A[[#This Row],[Age]]&lt;45,"Mid","Senior"))</f>
        <v>Mid</v>
      </c>
      <c r="AB595" t="str">
        <f>IF(H_A[[#This Row],[MonthlyIncome]]&lt;5000,"Low",IF(H_A[[#This Row],[MonthlyIncome]]&lt;10000,"Medium","High"))</f>
        <v>Medium</v>
      </c>
      <c r="AC595" t="str">
        <f>IF(H_A[[#This Row],[YearsAtCompany]]&lt;3,"Early",IF(H_A[[#This Row],[YearsAtCompany]]&lt;7,"Mid","Long"))</f>
        <v>Long</v>
      </c>
      <c r="AD595" t="str">
        <f>IF(H_A[[#This Row],[PercentSalaryHike]]&lt;13,"Low",IF(H_A[[#This Row],[PercentSalaryHike]]&lt;18,"Medium","High"))</f>
        <v>Medium</v>
      </c>
    </row>
    <row r="596" spans="1:30" x14ac:dyDescent="0.3">
      <c r="A596">
        <v>29</v>
      </c>
      <c r="B596">
        <v>824</v>
      </c>
      <c r="C596" t="s">
        <v>36</v>
      </c>
      <c r="D596" t="s">
        <v>37</v>
      </c>
      <c r="E596">
        <v>23</v>
      </c>
      <c r="F596">
        <v>2</v>
      </c>
      <c r="G596" t="s">
        <v>32</v>
      </c>
      <c r="H596">
        <v>3</v>
      </c>
      <c r="I596" t="s">
        <v>38</v>
      </c>
      <c r="J596">
        <v>4</v>
      </c>
      <c r="K596">
        <v>1</v>
      </c>
      <c r="L596" t="s">
        <v>39</v>
      </c>
      <c r="M596">
        <v>3</v>
      </c>
      <c r="N596" t="s">
        <v>40</v>
      </c>
      <c r="O596">
        <v>2700</v>
      </c>
      <c r="P596">
        <v>1</v>
      </c>
      <c r="Q596" t="s">
        <v>36</v>
      </c>
      <c r="R596">
        <v>3</v>
      </c>
      <c r="S596">
        <v>10</v>
      </c>
      <c r="T596">
        <v>3</v>
      </c>
      <c r="U596">
        <v>10</v>
      </c>
      <c r="V596">
        <v>7</v>
      </c>
      <c r="W596">
        <v>0</v>
      </c>
      <c r="X596">
        <v>7</v>
      </c>
      <c r="Y596">
        <v>24</v>
      </c>
      <c r="Z596">
        <f>IF(H_A[[#This Row],[Attrition]]="Yes",1,0)</f>
        <v>0</v>
      </c>
      <c r="AA596" t="str">
        <f>IF(H_A[[#This Row],[Age]]&lt;30,"Young",IF(H_A[[#This Row],[Age]]&lt;45,"Mid","Senior"))</f>
        <v>Young</v>
      </c>
      <c r="AB596" t="str">
        <f>IF(H_A[[#This Row],[MonthlyIncome]]&lt;5000,"Low",IF(H_A[[#This Row],[MonthlyIncome]]&lt;10000,"Medium","High"))</f>
        <v>Low</v>
      </c>
      <c r="AC596" t="str">
        <f>IF(H_A[[#This Row],[YearsAtCompany]]&lt;3,"Early",IF(H_A[[#This Row],[YearsAtCompany]]&lt;7,"Mid","Long"))</f>
        <v>Long</v>
      </c>
      <c r="AD596" t="str">
        <f>IF(H_A[[#This Row],[PercentSalaryHike]]&lt;13,"Low",IF(H_A[[#This Row],[PercentSalaryHike]]&lt;18,"Medium","High"))</f>
        <v>High</v>
      </c>
    </row>
    <row r="597" spans="1:30" x14ac:dyDescent="0.3">
      <c r="A597">
        <v>58</v>
      </c>
      <c r="B597">
        <v>825</v>
      </c>
      <c r="C597" t="s">
        <v>30</v>
      </c>
      <c r="D597" t="s">
        <v>37</v>
      </c>
      <c r="E597">
        <v>2</v>
      </c>
      <c r="F597">
        <v>4</v>
      </c>
      <c r="G597" t="s">
        <v>32</v>
      </c>
      <c r="H597">
        <v>4</v>
      </c>
      <c r="I597" t="s">
        <v>38</v>
      </c>
      <c r="J597">
        <v>3</v>
      </c>
      <c r="K597">
        <v>5</v>
      </c>
      <c r="L597" t="s">
        <v>49</v>
      </c>
      <c r="M597">
        <v>2</v>
      </c>
      <c r="N597" t="s">
        <v>35</v>
      </c>
      <c r="O597">
        <v>19246</v>
      </c>
      <c r="P597">
        <v>7</v>
      </c>
      <c r="Q597" t="s">
        <v>30</v>
      </c>
      <c r="R597">
        <v>4</v>
      </c>
      <c r="S597">
        <v>40</v>
      </c>
      <c r="T597">
        <v>3</v>
      </c>
      <c r="U597">
        <v>31</v>
      </c>
      <c r="V597">
        <v>15</v>
      </c>
      <c r="W597">
        <v>13</v>
      </c>
      <c r="X597">
        <v>8</v>
      </c>
      <c r="Y597">
        <v>12</v>
      </c>
      <c r="Z597">
        <f>IF(H_A[[#This Row],[Attrition]]="Yes",1,0)</f>
        <v>1</v>
      </c>
      <c r="AA597" t="str">
        <f>IF(H_A[[#This Row],[Age]]&lt;30,"Young",IF(H_A[[#This Row],[Age]]&lt;45,"Mid","Senior"))</f>
        <v>Senior</v>
      </c>
      <c r="AB597" t="str">
        <f>IF(H_A[[#This Row],[MonthlyIncome]]&lt;5000,"Low",IF(H_A[[#This Row],[MonthlyIncome]]&lt;10000,"Medium","High"))</f>
        <v>High</v>
      </c>
      <c r="AC597" t="str">
        <f>IF(H_A[[#This Row],[YearsAtCompany]]&lt;3,"Early",IF(H_A[[#This Row],[YearsAtCompany]]&lt;7,"Mid","Long"))</f>
        <v>Long</v>
      </c>
      <c r="AD597" t="str">
        <f>IF(H_A[[#This Row],[PercentSalaryHike]]&lt;13,"Low",IF(H_A[[#This Row],[PercentSalaryHike]]&lt;18,"Medium","High"))</f>
        <v>Low</v>
      </c>
    </row>
    <row r="598" spans="1:30" x14ac:dyDescent="0.3">
      <c r="A598">
        <v>35</v>
      </c>
      <c r="B598">
        <v>826</v>
      </c>
      <c r="C598" t="s">
        <v>36</v>
      </c>
      <c r="D598" t="s">
        <v>37</v>
      </c>
      <c r="E598">
        <v>1</v>
      </c>
      <c r="F598">
        <v>4</v>
      </c>
      <c r="G598" t="s">
        <v>32</v>
      </c>
      <c r="H598">
        <v>4</v>
      </c>
      <c r="I598" t="s">
        <v>33</v>
      </c>
      <c r="J598">
        <v>4</v>
      </c>
      <c r="K598">
        <v>1</v>
      </c>
      <c r="L598" t="s">
        <v>39</v>
      </c>
      <c r="M598">
        <v>3</v>
      </c>
      <c r="N598" t="s">
        <v>35</v>
      </c>
      <c r="O598">
        <v>2506</v>
      </c>
      <c r="P598">
        <v>3</v>
      </c>
      <c r="Q598" t="s">
        <v>36</v>
      </c>
      <c r="R598">
        <v>3</v>
      </c>
      <c r="S598">
        <v>7</v>
      </c>
      <c r="T598">
        <v>3</v>
      </c>
      <c r="U598">
        <v>2</v>
      </c>
      <c r="V598">
        <v>2</v>
      </c>
      <c r="W598">
        <v>2</v>
      </c>
      <c r="X598">
        <v>2</v>
      </c>
      <c r="Y598">
        <v>13</v>
      </c>
      <c r="Z598">
        <f>IF(H_A[[#This Row],[Attrition]]="Yes",1,0)</f>
        <v>0</v>
      </c>
      <c r="AA598" t="str">
        <f>IF(H_A[[#This Row],[Age]]&lt;30,"Young",IF(H_A[[#This Row],[Age]]&lt;45,"Mid","Senior"))</f>
        <v>Mid</v>
      </c>
      <c r="AB598" t="str">
        <f>IF(H_A[[#This Row],[MonthlyIncome]]&lt;5000,"Low",IF(H_A[[#This Row],[MonthlyIncome]]&lt;10000,"Medium","High"))</f>
        <v>Low</v>
      </c>
      <c r="AC598" t="str">
        <f>IF(H_A[[#This Row],[YearsAtCompany]]&lt;3,"Early",IF(H_A[[#This Row],[YearsAtCompany]]&lt;7,"Mid","Long"))</f>
        <v>Early</v>
      </c>
      <c r="AD598" t="str">
        <f>IF(H_A[[#This Row],[PercentSalaryHike]]&lt;13,"Low",IF(H_A[[#This Row],[PercentSalaryHike]]&lt;18,"Medium","High"))</f>
        <v>Medium</v>
      </c>
    </row>
    <row r="599" spans="1:30" x14ac:dyDescent="0.3">
      <c r="A599">
        <v>42</v>
      </c>
      <c r="B599">
        <v>827</v>
      </c>
      <c r="C599" t="s">
        <v>36</v>
      </c>
      <c r="D599" t="s">
        <v>37</v>
      </c>
      <c r="E599">
        <v>1</v>
      </c>
      <c r="F599">
        <v>2</v>
      </c>
      <c r="G599" t="s">
        <v>32</v>
      </c>
      <c r="H599">
        <v>4</v>
      </c>
      <c r="I599" t="s">
        <v>33</v>
      </c>
      <c r="J599">
        <v>2</v>
      </c>
      <c r="K599">
        <v>2</v>
      </c>
      <c r="L599" t="s">
        <v>45</v>
      </c>
      <c r="M599">
        <v>4</v>
      </c>
      <c r="N599" t="s">
        <v>40</v>
      </c>
      <c r="O599">
        <v>6062</v>
      </c>
      <c r="P599">
        <v>9</v>
      </c>
      <c r="Q599" t="s">
        <v>30</v>
      </c>
      <c r="R599">
        <v>4</v>
      </c>
      <c r="S599">
        <v>8</v>
      </c>
      <c r="T599">
        <v>3</v>
      </c>
      <c r="U599">
        <v>4</v>
      </c>
      <c r="V599">
        <v>3</v>
      </c>
      <c r="W599">
        <v>0</v>
      </c>
      <c r="X599">
        <v>2</v>
      </c>
      <c r="Y599">
        <v>13</v>
      </c>
      <c r="Z599">
        <f>IF(H_A[[#This Row],[Attrition]]="Yes",1,0)</f>
        <v>0</v>
      </c>
      <c r="AA599" t="str">
        <f>IF(H_A[[#This Row],[Age]]&lt;30,"Young",IF(H_A[[#This Row],[Age]]&lt;45,"Mid","Senior"))</f>
        <v>Mid</v>
      </c>
      <c r="AB599" t="str">
        <f>IF(H_A[[#This Row],[MonthlyIncome]]&lt;5000,"Low",IF(H_A[[#This Row],[MonthlyIncome]]&lt;10000,"Medium","High"))</f>
        <v>Medium</v>
      </c>
      <c r="AC599" t="str">
        <f>IF(H_A[[#This Row],[YearsAtCompany]]&lt;3,"Early",IF(H_A[[#This Row],[YearsAtCompany]]&lt;7,"Mid","Long"))</f>
        <v>Mid</v>
      </c>
      <c r="AD599" t="str">
        <f>IF(H_A[[#This Row],[PercentSalaryHike]]&lt;13,"Low",IF(H_A[[#This Row],[PercentSalaryHike]]&lt;18,"Medium","High"))</f>
        <v>Medium</v>
      </c>
    </row>
    <row r="600" spans="1:30" x14ac:dyDescent="0.3">
      <c r="A600">
        <v>28</v>
      </c>
      <c r="B600">
        <v>828</v>
      </c>
      <c r="C600" t="s">
        <v>30</v>
      </c>
      <c r="D600" t="s">
        <v>37</v>
      </c>
      <c r="E600">
        <v>2</v>
      </c>
      <c r="F600">
        <v>4</v>
      </c>
      <c r="G600" t="s">
        <v>43</v>
      </c>
      <c r="H600">
        <v>3</v>
      </c>
      <c r="I600" t="s">
        <v>38</v>
      </c>
      <c r="J600">
        <v>3</v>
      </c>
      <c r="K600">
        <v>1</v>
      </c>
      <c r="L600" t="s">
        <v>39</v>
      </c>
      <c r="M600">
        <v>3</v>
      </c>
      <c r="N600" t="s">
        <v>35</v>
      </c>
      <c r="O600">
        <v>4382</v>
      </c>
      <c r="P600">
        <v>6</v>
      </c>
      <c r="Q600" t="s">
        <v>36</v>
      </c>
      <c r="R600">
        <v>4</v>
      </c>
      <c r="S600">
        <v>5</v>
      </c>
      <c r="T600">
        <v>2</v>
      </c>
      <c r="U600">
        <v>2</v>
      </c>
      <c r="V600">
        <v>2</v>
      </c>
      <c r="W600">
        <v>2</v>
      </c>
      <c r="X600">
        <v>1</v>
      </c>
      <c r="Y600">
        <v>17</v>
      </c>
      <c r="Z600">
        <f>IF(H_A[[#This Row],[Attrition]]="Yes",1,0)</f>
        <v>1</v>
      </c>
      <c r="AA600" t="str">
        <f>IF(H_A[[#This Row],[Age]]&lt;30,"Young",IF(H_A[[#This Row],[Age]]&lt;45,"Mid","Senior"))</f>
        <v>Young</v>
      </c>
      <c r="AB600" t="str">
        <f>IF(H_A[[#This Row],[MonthlyIncome]]&lt;5000,"Low",IF(H_A[[#This Row],[MonthlyIncome]]&lt;10000,"Medium","High"))</f>
        <v>Low</v>
      </c>
      <c r="AC600" t="str">
        <f>IF(H_A[[#This Row],[YearsAtCompany]]&lt;3,"Early",IF(H_A[[#This Row],[YearsAtCompany]]&lt;7,"Mid","Long"))</f>
        <v>Early</v>
      </c>
      <c r="AD600" t="str">
        <f>IF(H_A[[#This Row],[PercentSalaryHike]]&lt;13,"Low",IF(H_A[[#This Row],[PercentSalaryHike]]&lt;18,"Medium","High"))</f>
        <v>Medium</v>
      </c>
    </row>
    <row r="601" spans="1:30" x14ac:dyDescent="0.3">
      <c r="A601">
        <v>36</v>
      </c>
      <c r="B601">
        <v>829</v>
      </c>
      <c r="C601" t="s">
        <v>36</v>
      </c>
      <c r="D601" t="s">
        <v>52</v>
      </c>
      <c r="E601">
        <v>13</v>
      </c>
      <c r="F601">
        <v>3</v>
      </c>
      <c r="G601" t="s">
        <v>52</v>
      </c>
      <c r="H601">
        <v>3</v>
      </c>
      <c r="I601" t="s">
        <v>38</v>
      </c>
      <c r="J601">
        <v>3</v>
      </c>
      <c r="K601">
        <v>1</v>
      </c>
      <c r="L601" t="s">
        <v>52</v>
      </c>
      <c r="M601">
        <v>2</v>
      </c>
      <c r="N601" t="s">
        <v>40</v>
      </c>
      <c r="O601">
        <v>2143</v>
      </c>
      <c r="P601">
        <v>4</v>
      </c>
      <c r="Q601" t="s">
        <v>36</v>
      </c>
      <c r="R601">
        <v>2</v>
      </c>
      <c r="S601">
        <v>8</v>
      </c>
      <c r="T601">
        <v>3</v>
      </c>
      <c r="U601">
        <v>5</v>
      </c>
      <c r="V601">
        <v>2</v>
      </c>
      <c r="W601">
        <v>0</v>
      </c>
      <c r="X601">
        <v>4</v>
      </c>
      <c r="Y601">
        <v>13</v>
      </c>
      <c r="Z601">
        <f>IF(H_A[[#This Row],[Attrition]]="Yes",1,0)</f>
        <v>0</v>
      </c>
      <c r="AA601" t="str">
        <f>IF(H_A[[#This Row],[Age]]&lt;30,"Young",IF(H_A[[#This Row],[Age]]&lt;45,"Mid","Senior"))</f>
        <v>Mid</v>
      </c>
      <c r="AB601" t="str">
        <f>IF(H_A[[#This Row],[MonthlyIncome]]&lt;5000,"Low",IF(H_A[[#This Row],[MonthlyIncome]]&lt;10000,"Medium","High"))</f>
        <v>Low</v>
      </c>
      <c r="AC601" t="str">
        <f>IF(H_A[[#This Row],[YearsAtCompany]]&lt;3,"Early",IF(H_A[[#This Row],[YearsAtCompany]]&lt;7,"Mid","Long"))</f>
        <v>Mid</v>
      </c>
      <c r="AD601" t="str">
        <f>IF(H_A[[#This Row],[PercentSalaryHike]]&lt;13,"Low",IF(H_A[[#This Row],[PercentSalaryHike]]&lt;18,"Medium","High"))</f>
        <v>Medium</v>
      </c>
    </row>
    <row r="602" spans="1:30" x14ac:dyDescent="0.3">
      <c r="A602">
        <v>32</v>
      </c>
      <c r="B602">
        <v>830</v>
      </c>
      <c r="C602" t="s">
        <v>36</v>
      </c>
      <c r="D602" t="s">
        <v>37</v>
      </c>
      <c r="E602">
        <v>4</v>
      </c>
      <c r="F602">
        <v>3</v>
      </c>
      <c r="G602" t="s">
        <v>32</v>
      </c>
      <c r="H602">
        <v>3</v>
      </c>
      <c r="I602" t="s">
        <v>33</v>
      </c>
      <c r="J602">
        <v>2</v>
      </c>
      <c r="K602">
        <v>2</v>
      </c>
      <c r="L602" t="s">
        <v>45</v>
      </c>
      <c r="M602">
        <v>3</v>
      </c>
      <c r="N602" t="s">
        <v>40</v>
      </c>
      <c r="O602">
        <v>6162</v>
      </c>
      <c r="P602">
        <v>1</v>
      </c>
      <c r="Q602" t="s">
        <v>36</v>
      </c>
      <c r="R602">
        <v>3</v>
      </c>
      <c r="S602">
        <v>14</v>
      </c>
      <c r="T602">
        <v>3</v>
      </c>
      <c r="U602">
        <v>14</v>
      </c>
      <c r="V602">
        <v>13</v>
      </c>
      <c r="W602">
        <v>6</v>
      </c>
      <c r="X602">
        <v>8</v>
      </c>
      <c r="Y602">
        <v>12</v>
      </c>
      <c r="Z602">
        <f>IF(H_A[[#This Row],[Attrition]]="Yes",1,0)</f>
        <v>0</v>
      </c>
      <c r="AA602" t="str">
        <f>IF(H_A[[#This Row],[Age]]&lt;30,"Young",IF(H_A[[#This Row],[Age]]&lt;45,"Mid","Senior"))</f>
        <v>Mid</v>
      </c>
      <c r="AB602" t="str">
        <f>IF(H_A[[#This Row],[MonthlyIncome]]&lt;5000,"Low",IF(H_A[[#This Row],[MonthlyIncome]]&lt;10000,"Medium","High"))</f>
        <v>Medium</v>
      </c>
      <c r="AC602" t="str">
        <f>IF(H_A[[#This Row],[YearsAtCompany]]&lt;3,"Early",IF(H_A[[#This Row],[YearsAtCompany]]&lt;7,"Mid","Long"))</f>
        <v>Long</v>
      </c>
      <c r="AD602" t="str">
        <f>IF(H_A[[#This Row],[PercentSalaryHike]]&lt;13,"Low",IF(H_A[[#This Row],[PercentSalaryHike]]&lt;18,"Medium","High"))</f>
        <v>Low</v>
      </c>
    </row>
    <row r="603" spans="1:30" x14ac:dyDescent="0.3">
      <c r="A603">
        <v>40</v>
      </c>
      <c r="B603">
        <v>832</v>
      </c>
      <c r="C603" t="s">
        <v>36</v>
      </c>
      <c r="D603" t="s">
        <v>37</v>
      </c>
      <c r="E603">
        <v>16</v>
      </c>
      <c r="F603">
        <v>4</v>
      </c>
      <c r="G603" t="s">
        <v>43</v>
      </c>
      <c r="H603">
        <v>1</v>
      </c>
      <c r="I603" t="s">
        <v>38</v>
      </c>
      <c r="J603">
        <v>2</v>
      </c>
      <c r="K603">
        <v>2</v>
      </c>
      <c r="L603" t="s">
        <v>42</v>
      </c>
      <c r="M603">
        <v>3</v>
      </c>
      <c r="N603" t="s">
        <v>35</v>
      </c>
      <c r="O603">
        <v>5094</v>
      </c>
      <c r="P603">
        <v>6</v>
      </c>
      <c r="Q603" t="s">
        <v>36</v>
      </c>
      <c r="R603">
        <v>4</v>
      </c>
      <c r="S603">
        <v>10</v>
      </c>
      <c r="T603">
        <v>3</v>
      </c>
      <c r="U603">
        <v>1</v>
      </c>
      <c r="V603">
        <v>0</v>
      </c>
      <c r="W603">
        <v>0</v>
      </c>
      <c r="X603">
        <v>0</v>
      </c>
      <c r="Y603">
        <v>14</v>
      </c>
      <c r="Z603">
        <f>IF(H_A[[#This Row],[Attrition]]="Yes",1,0)</f>
        <v>0</v>
      </c>
      <c r="AA603" t="str">
        <f>IF(H_A[[#This Row],[Age]]&lt;30,"Young",IF(H_A[[#This Row],[Age]]&lt;45,"Mid","Senior"))</f>
        <v>Mid</v>
      </c>
      <c r="AB603" t="str">
        <f>IF(H_A[[#This Row],[MonthlyIncome]]&lt;5000,"Low",IF(H_A[[#This Row],[MonthlyIncome]]&lt;10000,"Medium","High"))</f>
        <v>Medium</v>
      </c>
      <c r="AC603" t="str">
        <f>IF(H_A[[#This Row],[YearsAtCompany]]&lt;3,"Early",IF(H_A[[#This Row],[YearsAtCompany]]&lt;7,"Mid","Long"))</f>
        <v>Early</v>
      </c>
      <c r="AD603" t="str">
        <f>IF(H_A[[#This Row],[PercentSalaryHike]]&lt;13,"Low",IF(H_A[[#This Row],[PercentSalaryHike]]&lt;18,"Medium","High"))</f>
        <v>Medium</v>
      </c>
    </row>
    <row r="604" spans="1:30" x14ac:dyDescent="0.3">
      <c r="A604">
        <v>30</v>
      </c>
      <c r="B604">
        <v>833</v>
      </c>
      <c r="C604" t="s">
        <v>36</v>
      </c>
      <c r="D604" t="s">
        <v>37</v>
      </c>
      <c r="E604">
        <v>2</v>
      </c>
      <c r="F604">
        <v>3</v>
      </c>
      <c r="G604" t="s">
        <v>43</v>
      </c>
      <c r="H604">
        <v>3</v>
      </c>
      <c r="I604" t="s">
        <v>33</v>
      </c>
      <c r="J604">
        <v>2</v>
      </c>
      <c r="K604">
        <v>2</v>
      </c>
      <c r="L604" t="s">
        <v>45</v>
      </c>
      <c r="M604">
        <v>4</v>
      </c>
      <c r="N604" t="s">
        <v>35</v>
      </c>
      <c r="O604">
        <v>6877</v>
      </c>
      <c r="P604">
        <v>5</v>
      </c>
      <c r="Q604" t="s">
        <v>30</v>
      </c>
      <c r="R604">
        <v>2</v>
      </c>
      <c r="S604">
        <v>12</v>
      </c>
      <c r="T604">
        <v>2</v>
      </c>
      <c r="U604">
        <v>0</v>
      </c>
      <c r="V604">
        <v>0</v>
      </c>
      <c r="W604">
        <v>0</v>
      </c>
      <c r="X604">
        <v>0</v>
      </c>
      <c r="Y604">
        <v>24</v>
      </c>
      <c r="Z604">
        <f>IF(H_A[[#This Row],[Attrition]]="Yes",1,0)</f>
        <v>0</v>
      </c>
      <c r="AA604" t="str">
        <f>IF(H_A[[#This Row],[Age]]&lt;30,"Young",IF(H_A[[#This Row],[Age]]&lt;45,"Mid","Senior"))</f>
        <v>Mid</v>
      </c>
      <c r="AB604" t="str">
        <f>IF(H_A[[#This Row],[MonthlyIncome]]&lt;5000,"Low",IF(H_A[[#This Row],[MonthlyIncome]]&lt;10000,"Medium","High"))</f>
        <v>Medium</v>
      </c>
      <c r="AC604" t="str">
        <f>IF(H_A[[#This Row],[YearsAtCompany]]&lt;3,"Early",IF(H_A[[#This Row],[YearsAtCompany]]&lt;7,"Mid","Long"))</f>
        <v>Early</v>
      </c>
      <c r="AD604" t="str">
        <f>IF(H_A[[#This Row],[PercentSalaryHike]]&lt;13,"Low",IF(H_A[[#This Row],[PercentSalaryHike]]&lt;18,"Medium","High"))</f>
        <v>High</v>
      </c>
    </row>
    <row r="605" spans="1:30" x14ac:dyDescent="0.3">
      <c r="A605">
        <v>45</v>
      </c>
      <c r="B605">
        <v>834</v>
      </c>
      <c r="C605" t="s">
        <v>36</v>
      </c>
      <c r="D605" t="s">
        <v>37</v>
      </c>
      <c r="E605">
        <v>2</v>
      </c>
      <c r="F605">
        <v>3</v>
      </c>
      <c r="G605" t="s">
        <v>32</v>
      </c>
      <c r="H605">
        <v>2</v>
      </c>
      <c r="I605" t="s">
        <v>33</v>
      </c>
      <c r="J605">
        <v>2</v>
      </c>
      <c r="K605">
        <v>1</v>
      </c>
      <c r="L605" t="s">
        <v>39</v>
      </c>
      <c r="M605">
        <v>3</v>
      </c>
      <c r="N605" t="s">
        <v>35</v>
      </c>
      <c r="O605">
        <v>2274</v>
      </c>
      <c r="P605">
        <v>1</v>
      </c>
      <c r="Q605" t="s">
        <v>36</v>
      </c>
      <c r="R605">
        <v>4</v>
      </c>
      <c r="S605">
        <v>1</v>
      </c>
      <c r="T605">
        <v>3</v>
      </c>
      <c r="U605">
        <v>1</v>
      </c>
      <c r="V605">
        <v>0</v>
      </c>
      <c r="W605">
        <v>0</v>
      </c>
      <c r="X605">
        <v>0</v>
      </c>
      <c r="Y605">
        <v>14</v>
      </c>
      <c r="Z605">
        <f>IF(H_A[[#This Row],[Attrition]]="Yes",1,0)</f>
        <v>0</v>
      </c>
      <c r="AA605" t="str">
        <f>IF(H_A[[#This Row],[Age]]&lt;30,"Young",IF(H_A[[#This Row],[Age]]&lt;45,"Mid","Senior"))</f>
        <v>Senior</v>
      </c>
      <c r="AB605" t="str">
        <f>IF(H_A[[#This Row],[MonthlyIncome]]&lt;5000,"Low",IF(H_A[[#This Row],[MonthlyIncome]]&lt;10000,"Medium","High"))</f>
        <v>Low</v>
      </c>
      <c r="AC605" t="str">
        <f>IF(H_A[[#This Row],[YearsAtCompany]]&lt;3,"Early",IF(H_A[[#This Row],[YearsAtCompany]]&lt;7,"Mid","Long"))</f>
        <v>Early</v>
      </c>
      <c r="AD605" t="str">
        <f>IF(H_A[[#This Row],[PercentSalaryHike]]&lt;13,"Low",IF(H_A[[#This Row],[PercentSalaryHike]]&lt;18,"Medium","High"))</f>
        <v>Medium</v>
      </c>
    </row>
    <row r="606" spans="1:30" x14ac:dyDescent="0.3">
      <c r="A606">
        <v>42</v>
      </c>
      <c r="B606">
        <v>836</v>
      </c>
      <c r="C606" t="s">
        <v>36</v>
      </c>
      <c r="D606" t="s">
        <v>37</v>
      </c>
      <c r="E606">
        <v>29</v>
      </c>
      <c r="F606">
        <v>3</v>
      </c>
      <c r="G606" t="s">
        <v>32</v>
      </c>
      <c r="H606">
        <v>2</v>
      </c>
      <c r="I606" t="s">
        <v>38</v>
      </c>
      <c r="J606">
        <v>3</v>
      </c>
      <c r="K606">
        <v>2</v>
      </c>
      <c r="L606" t="s">
        <v>45</v>
      </c>
      <c r="M606">
        <v>2</v>
      </c>
      <c r="N606" t="s">
        <v>40</v>
      </c>
      <c r="O606">
        <v>4434</v>
      </c>
      <c r="P606">
        <v>1</v>
      </c>
      <c r="Q606" t="s">
        <v>36</v>
      </c>
      <c r="R606">
        <v>4</v>
      </c>
      <c r="S606">
        <v>10</v>
      </c>
      <c r="T606">
        <v>2</v>
      </c>
      <c r="U606">
        <v>9</v>
      </c>
      <c r="V606">
        <v>8</v>
      </c>
      <c r="W606">
        <v>7</v>
      </c>
      <c r="X606">
        <v>8</v>
      </c>
      <c r="Y606">
        <v>13</v>
      </c>
      <c r="Z606">
        <f>IF(H_A[[#This Row],[Attrition]]="Yes",1,0)</f>
        <v>0</v>
      </c>
      <c r="AA606" t="str">
        <f>IF(H_A[[#This Row],[Age]]&lt;30,"Young",IF(H_A[[#This Row],[Age]]&lt;45,"Mid","Senior"))</f>
        <v>Mid</v>
      </c>
      <c r="AB606" t="str">
        <f>IF(H_A[[#This Row],[MonthlyIncome]]&lt;5000,"Low",IF(H_A[[#This Row],[MonthlyIncome]]&lt;10000,"Medium","High"))</f>
        <v>Low</v>
      </c>
      <c r="AC606" t="str">
        <f>IF(H_A[[#This Row],[YearsAtCompany]]&lt;3,"Early",IF(H_A[[#This Row],[YearsAtCompany]]&lt;7,"Mid","Long"))</f>
        <v>Long</v>
      </c>
      <c r="AD606" t="str">
        <f>IF(H_A[[#This Row],[PercentSalaryHike]]&lt;13,"Low",IF(H_A[[#This Row],[PercentSalaryHike]]&lt;18,"Medium","High"))</f>
        <v>Medium</v>
      </c>
    </row>
    <row r="607" spans="1:30" x14ac:dyDescent="0.3">
      <c r="A607">
        <v>38</v>
      </c>
      <c r="B607">
        <v>837</v>
      </c>
      <c r="C607" t="s">
        <v>36</v>
      </c>
      <c r="D607" t="s">
        <v>37</v>
      </c>
      <c r="E607">
        <v>12</v>
      </c>
      <c r="F607">
        <v>3</v>
      </c>
      <c r="G607" t="s">
        <v>32</v>
      </c>
      <c r="H607">
        <v>1</v>
      </c>
      <c r="I607" t="s">
        <v>38</v>
      </c>
      <c r="J607">
        <v>2</v>
      </c>
      <c r="K607">
        <v>2</v>
      </c>
      <c r="L607" t="s">
        <v>46</v>
      </c>
      <c r="M607">
        <v>1</v>
      </c>
      <c r="N607" t="s">
        <v>44</v>
      </c>
      <c r="O607">
        <v>6288</v>
      </c>
      <c r="P607">
        <v>2</v>
      </c>
      <c r="Q607" t="s">
        <v>36</v>
      </c>
      <c r="R607">
        <v>3</v>
      </c>
      <c r="S607">
        <v>13</v>
      </c>
      <c r="T607">
        <v>2</v>
      </c>
      <c r="U607">
        <v>4</v>
      </c>
      <c r="V607">
        <v>3</v>
      </c>
      <c r="W607">
        <v>1</v>
      </c>
      <c r="X607">
        <v>2</v>
      </c>
      <c r="Y607">
        <v>15</v>
      </c>
      <c r="Z607">
        <f>IF(H_A[[#This Row],[Attrition]]="Yes",1,0)</f>
        <v>0</v>
      </c>
      <c r="AA607" t="str">
        <f>IF(H_A[[#This Row],[Age]]&lt;30,"Young",IF(H_A[[#This Row],[Age]]&lt;45,"Mid","Senior"))</f>
        <v>Mid</v>
      </c>
      <c r="AB607" t="str">
        <f>IF(H_A[[#This Row],[MonthlyIncome]]&lt;5000,"Low",IF(H_A[[#This Row],[MonthlyIncome]]&lt;10000,"Medium","High"))</f>
        <v>Medium</v>
      </c>
      <c r="AC607" t="str">
        <f>IF(H_A[[#This Row],[YearsAtCompany]]&lt;3,"Early",IF(H_A[[#This Row],[YearsAtCompany]]&lt;7,"Mid","Long"))</f>
        <v>Mid</v>
      </c>
      <c r="AD607" t="str">
        <f>IF(H_A[[#This Row],[PercentSalaryHike]]&lt;13,"Low",IF(H_A[[#This Row],[PercentSalaryHike]]&lt;18,"Medium","High"))</f>
        <v>Medium</v>
      </c>
    </row>
    <row r="608" spans="1:30" x14ac:dyDescent="0.3">
      <c r="A608">
        <v>34</v>
      </c>
      <c r="B608">
        <v>838</v>
      </c>
      <c r="C608" t="s">
        <v>36</v>
      </c>
      <c r="D608" t="s">
        <v>37</v>
      </c>
      <c r="E608">
        <v>16</v>
      </c>
      <c r="F608">
        <v>4</v>
      </c>
      <c r="G608" t="s">
        <v>32</v>
      </c>
      <c r="H608">
        <v>3</v>
      </c>
      <c r="I608" t="s">
        <v>33</v>
      </c>
      <c r="J608">
        <v>2</v>
      </c>
      <c r="K608">
        <v>1</v>
      </c>
      <c r="L608" t="s">
        <v>39</v>
      </c>
      <c r="M608">
        <v>4</v>
      </c>
      <c r="N608" t="s">
        <v>35</v>
      </c>
      <c r="O608">
        <v>2553</v>
      </c>
      <c r="P608">
        <v>1</v>
      </c>
      <c r="Q608" t="s">
        <v>36</v>
      </c>
      <c r="R608">
        <v>3</v>
      </c>
      <c r="S608">
        <v>6</v>
      </c>
      <c r="T608">
        <v>3</v>
      </c>
      <c r="U608">
        <v>5</v>
      </c>
      <c r="V608">
        <v>2</v>
      </c>
      <c r="W608">
        <v>1</v>
      </c>
      <c r="X608">
        <v>3</v>
      </c>
      <c r="Y608">
        <v>16</v>
      </c>
      <c r="Z608">
        <f>IF(H_A[[#This Row],[Attrition]]="Yes",1,0)</f>
        <v>0</v>
      </c>
      <c r="AA608" t="str">
        <f>IF(H_A[[#This Row],[Age]]&lt;30,"Young",IF(H_A[[#This Row],[Age]]&lt;45,"Mid","Senior"))</f>
        <v>Mid</v>
      </c>
      <c r="AB608" t="str">
        <f>IF(H_A[[#This Row],[MonthlyIncome]]&lt;5000,"Low",IF(H_A[[#This Row],[MonthlyIncome]]&lt;10000,"Medium","High"))</f>
        <v>Low</v>
      </c>
      <c r="AC608" t="str">
        <f>IF(H_A[[#This Row],[YearsAtCompany]]&lt;3,"Early",IF(H_A[[#This Row],[YearsAtCompany]]&lt;7,"Mid","Long"))</f>
        <v>Mid</v>
      </c>
      <c r="AD608" t="str">
        <f>IF(H_A[[#This Row],[PercentSalaryHike]]&lt;13,"Low",IF(H_A[[#This Row],[PercentSalaryHike]]&lt;18,"Medium","High"))</f>
        <v>Medium</v>
      </c>
    </row>
    <row r="609" spans="1:30" x14ac:dyDescent="0.3">
      <c r="A609">
        <v>49</v>
      </c>
      <c r="B609">
        <v>840</v>
      </c>
      <c r="C609" t="s">
        <v>30</v>
      </c>
      <c r="D609" t="s">
        <v>31</v>
      </c>
      <c r="E609">
        <v>11</v>
      </c>
      <c r="F609">
        <v>3</v>
      </c>
      <c r="G609" t="s">
        <v>50</v>
      </c>
      <c r="H609">
        <v>3</v>
      </c>
      <c r="I609" t="s">
        <v>33</v>
      </c>
      <c r="J609">
        <v>3</v>
      </c>
      <c r="K609">
        <v>3</v>
      </c>
      <c r="L609" t="s">
        <v>34</v>
      </c>
      <c r="M609">
        <v>4</v>
      </c>
      <c r="N609" t="s">
        <v>40</v>
      </c>
      <c r="O609">
        <v>7654</v>
      </c>
      <c r="P609">
        <v>1</v>
      </c>
      <c r="Q609" t="s">
        <v>36</v>
      </c>
      <c r="R609">
        <v>1</v>
      </c>
      <c r="S609">
        <v>9</v>
      </c>
      <c r="T609">
        <v>4</v>
      </c>
      <c r="U609">
        <v>9</v>
      </c>
      <c r="V609">
        <v>8</v>
      </c>
      <c r="W609">
        <v>7</v>
      </c>
      <c r="X609">
        <v>7</v>
      </c>
      <c r="Y609">
        <v>18</v>
      </c>
      <c r="Z609">
        <f>IF(H_A[[#This Row],[Attrition]]="Yes",1,0)</f>
        <v>1</v>
      </c>
      <c r="AA609" t="str">
        <f>IF(H_A[[#This Row],[Age]]&lt;30,"Young",IF(H_A[[#This Row],[Age]]&lt;45,"Mid","Senior"))</f>
        <v>Senior</v>
      </c>
      <c r="AB609" t="str">
        <f>IF(H_A[[#This Row],[MonthlyIncome]]&lt;5000,"Low",IF(H_A[[#This Row],[MonthlyIncome]]&lt;10000,"Medium","High"))</f>
        <v>Medium</v>
      </c>
      <c r="AC609" t="str">
        <f>IF(H_A[[#This Row],[YearsAtCompany]]&lt;3,"Early",IF(H_A[[#This Row],[YearsAtCompany]]&lt;7,"Mid","Long"))</f>
        <v>Long</v>
      </c>
      <c r="AD609" t="str">
        <f>IF(H_A[[#This Row],[PercentSalaryHike]]&lt;13,"Low",IF(H_A[[#This Row],[PercentSalaryHike]]&lt;18,"Medium","High"))</f>
        <v>High</v>
      </c>
    </row>
    <row r="610" spans="1:30" x14ac:dyDescent="0.3">
      <c r="A610">
        <v>55</v>
      </c>
      <c r="B610">
        <v>842</v>
      </c>
      <c r="C610" t="s">
        <v>30</v>
      </c>
      <c r="D610" t="s">
        <v>31</v>
      </c>
      <c r="E610">
        <v>2</v>
      </c>
      <c r="F610">
        <v>1</v>
      </c>
      <c r="G610" t="s">
        <v>43</v>
      </c>
      <c r="H610">
        <v>3</v>
      </c>
      <c r="I610" t="s">
        <v>38</v>
      </c>
      <c r="J610">
        <v>3</v>
      </c>
      <c r="K610">
        <v>2</v>
      </c>
      <c r="L610" t="s">
        <v>34</v>
      </c>
      <c r="M610">
        <v>4</v>
      </c>
      <c r="N610" t="s">
        <v>35</v>
      </c>
      <c r="O610">
        <v>5160</v>
      </c>
      <c r="P610">
        <v>4</v>
      </c>
      <c r="Q610" t="s">
        <v>36</v>
      </c>
      <c r="R610">
        <v>3</v>
      </c>
      <c r="S610">
        <v>12</v>
      </c>
      <c r="T610">
        <v>2</v>
      </c>
      <c r="U610">
        <v>9</v>
      </c>
      <c r="V610">
        <v>7</v>
      </c>
      <c r="W610">
        <v>7</v>
      </c>
      <c r="X610">
        <v>3</v>
      </c>
      <c r="Y610">
        <v>16</v>
      </c>
      <c r="Z610">
        <f>IF(H_A[[#This Row],[Attrition]]="Yes",1,0)</f>
        <v>1</v>
      </c>
      <c r="AA610" t="str">
        <f>IF(H_A[[#This Row],[Age]]&lt;30,"Young",IF(H_A[[#This Row],[Age]]&lt;45,"Mid","Senior"))</f>
        <v>Senior</v>
      </c>
      <c r="AB610" t="str">
        <f>IF(H_A[[#This Row],[MonthlyIncome]]&lt;5000,"Low",IF(H_A[[#This Row],[MonthlyIncome]]&lt;10000,"Medium","High"))</f>
        <v>Medium</v>
      </c>
      <c r="AC610" t="str">
        <f>IF(H_A[[#This Row],[YearsAtCompany]]&lt;3,"Early",IF(H_A[[#This Row],[YearsAtCompany]]&lt;7,"Mid","Long"))</f>
        <v>Long</v>
      </c>
      <c r="AD610" t="str">
        <f>IF(H_A[[#This Row],[PercentSalaryHike]]&lt;13,"Low",IF(H_A[[#This Row],[PercentSalaryHike]]&lt;18,"Medium","High"))</f>
        <v>Medium</v>
      </c>
    </row>
    <row r="611" spans="1:30" x14ac:dyDescent="0.3">
      <c r="A611">
        <v>43</v>
      </c>
      <c r="B611">
        <v>843</v>
      </c>
      <c r="C611" t="s">
        <v>36</v>
      </c>
      <c r="D611" t="s">
        <v>37</v>
      </c>
      <c r="E611">
        <v>14</v>
      </c>
      <c r="F611">
        <v>2</v>
      </c>
      <c r="G611" t="s">
        <v>32</v>
      </c>
      <c r="H611">
        <v>2</v>
      </c>
      <c r="I611" t="s">
        <v>38</v>
      </c>
      <c r="J611">
        <v>3</v>
      </c>
      <c r="K611">
        <v>4</v>
      </c>
      <c r="L611" t="s">
        <v>49</v>
      </c>
      <c r="M611">
        <v>1</v>
      </c>
      <c r="N611" t="s">
        <v>40</v>
      </c>
      <c r="O611">
        <v>17159</v>
      </c>
      <c r="P611">
        <v>6</v>
      </c>
      <c r="Q611" t="s">
        <v>36</v>
      </c>
      <c r="R611">
        <v>3</v>
      </c>
      <c r="S611">
        <v>22</v>
      </c>
      <c r="T611">
        <v>3</v>
      </c>
      <c r="U611">
        <v>4</v>
      </c>
      <c r="V611">
        <v>1</v>
      </c>
      <c r="W611">
        <v>1</v>
      </c>
      <c r="X611">
        <v>0</v>
      </c>
      <c r="Y611">
        <v>24</v>
      </c>
      <c r="Z611">
        <f>IF(H_A[[#This Row],[Attrition]]="Yes",1,0)</f>
        <v>0</v>
      </c>
      <c r="AA611" t="str">
        <f>IF(H_A[[#This Row],[Age]]&lt;30,"Young",IF(H_A[[#This Row],[Age]]&lt;45,"Mid","Senior"))</f>
        <v>Mid</v>
      </c>
      <c r="AB611" t="str">
        <f>IF(H_A[[#This Row],[MonthlyIncome]]&lt;5000,"Low",IF(H_A[[#This Row],[MonthlyIncome]]&lt;10000,"Medium","High"))</f>
        <v>High</v>
      </c>
      <c r="AC611" t="str">
        <f>IF(H_A[[#This Row],[YearsAtCompany]]&lt;3,"Early",IF(H_A[[#This Row],[YearsAtCompany]]&lt;7,"Mid","Long"))</f>
        <v>Mid</v>
      </c>
      <c r="AD611" t="str">
        <f>IF(H_A[[#This Row],[PercentSalaryHike]]&lt;13,"Low",IF(H_A[[#This Row],[PercentSalaryHike]]&lt;18,"Medium","High"))</f>
        <v>High</v>
      </c>
    </row>
    <row r="612" spans="1:30" x14ac:dyDescent="0.3">
      <c r="A612">
        <v>27</v>
      </c>
      <c r="B612">
        <v>844</v>
      </c>
      <c r="C612" t="s">
        <v>36</v>
      </c>
      <c r="D612" t="s">
        <v>37</v>
      </c>
      <c r="E612">
        <v>5</v>
      </c>
      <c r="F612">
        <v>1</v>
      </c>
      <c r="G612" t="s">
        <v>51</v>
      </c>
      <c r="H612">
        <v>3</v>
      </c>
      <c r="I612" t="s">
        <v>38</v>
      </c>
      <c r="J612">
        <v>2</v>
      </c>
      <c r="K612">
        <v>3</v>
      </c>
      <c r="L612" t="s">
        <v>49</v>
      </c>
      <c r="M612">
        <v>4</v>
      </c>
      <c r="N612" t="s">
        <v>44</v>
      </c>
      <c r="O612">
        <v>12808</v>
      </c>
      <c r="P612">
        <v>1</v>
      </c>
      <c r="Q612" t="s">
        <v>30</v>
      </c>
      <c r="R612">
        <v>2</v>
      </c>
      <c r="S612">
        <v>9</v>
      </c>
      <c r="T612">
        <v>3</v>
      </c>
      <c r="U612">
        <v>9</v>
      </c>
      <c r="V612">
        <v>8</v>
      </c>
      <c r="W612">
        <v>0</v>
      </c>
      <c r="X612">
        <v>8</v>
      </c>
      <c r="Y612">
        <v>16</v>
      </c>
      <c r="Z612">
        <f>IF(H_A[[#This Row],[Attrition]]="Yes",1,0)</f>
        <v>0</v>
      </c>
      <c r="AA612" t="str">
        <f>IF(H_A[[#This Row],[Age]]&lt;30,"Young",IF(H_A[[#This Row],[Age]]&lt;45,"Mid","Senior"))</f>
        <v>Young</v>
      </c>
      <c r="AB612" t="str">
        <f>IF(H_A[[#This Row],[MonthlyIncome]]&lt;5000,"Low",IF(H_A[[#This Row],[MonthlyIncome]]&lt;10000,"Medium","High"))</f>
        <v>High</v>
      </c>
      <c r="AC612" t="str">
        <f>IF(H_A[[#This Row],[YearsAtCompany]]&lt;3,"Early",IF(H_A[[#This Row],[YearsAtCompany]]&lt;7,"Mid","Long"))</f>
        <v>Long</v>
      </c>
      <c r="AD612" t="str">
        <f>IF(H_A[[#This Row],[PercentSalaryHike]]&lt;13,"Low",IF(H_A[[#This Row],[PercentSalaryHike]]&lt;18,"Medium","High"))</f>
        <v>Medium</v>
      </c>
    </row>
    <row r="613" spans="1:30" x14ac:dyDescent="0.3">
      <c r="A613">
        <v>35</v>
      </c>
      <c r="B613">
        <v>845</v>
      </c>
      <c r="C613" t="s">
        <v>36</v>
      </c>
      <c r="D613" t="s">
        <v>37</v>
      </c>
      <c r="E613">
        <v>7</v>
      </c>
      <c r="F613">
        <v>3</v>
      </c>
      <c r="G613" t="s">
        <v>41</v>
      </c>
      <c r="H613">
        <v>3</v>
      </c>
      <c r="I613" t="s">
        <v>38</v>
      </c>
      <c r="J613">
        <v>3</v>
      </c>
      <c r="K613">
        <v>3</v>
      </c>
      <c r="L613" t="s">
        <v>45</v>
      </c>
      <c r="M613">
        <v>3</v>
      </c>
      <c r="N613" t="s">
        <v>35</v>
      </c>
      <c r="O613">
        <v>10221</v>
      </c>
      <c r="P613">
        <v>3</v>
      </c>
      <c r="Q613" t="s">
        <v>36</v>
      </c>
      <c r="R613">
        <v>2</v>
      </c>
      <c r="S613">
        <v>17</v>
      </c>
      <c r="T613">
        <v>4</v>
      </c>
      <c r="U613">
        <v>8</v>
      </c>
      <c r="V613">
        <v>5</v>
      </c>
      <c r="W613">
        <v>1</v>
      </c>
      <c r="X613">
        <v>6</v>
      </c>
      <c r="Y613">
        <v>21</v>
      </c>
      <c r="Z613">
        <f>IF(H_A[[#This Row],[Attrition]]="Yes",1,0)</f>
        <v>0</v>
      </c>
      <c r="AA613" t="str">
        <f>IF(H_A[[#This Row],[Age]]&lt;30,"Young",IF(H_A[[#This Row],[Age]]&lt;45,"Mid","Senior"))</f>
        <v>Mid</v>
      </c>
      <c r="AB613" t="str">
        <f>IF(H_A[[#This Row],[MonthlyIncome]]&lt;5000,"Low",IF(H_A[[#This Row],[MonthlyIncome]]&lt;10000,"Medium","High"))</f>
        <v>High</v>
      </c>
      <c r="AC613" t="str">
        <f>IF(H_A[[#This Row],[YearsAtCompany]]&lt;3,"Early",IF(H_A[[#This Row],[YearsAtCompany]]&lt;7,"Mid","Long"))</f>
        <v>Long</v>
      </c>
      <c r="AD613" t="str">
        <f>IF(H_A[[#This Row],[PercentSalaryHike]]&lt;13,"Low",IF(H_A[[#This Row],[PercentSalaryHike]]&lt;18,"Medium","High"))</f>
        <v>High</v>
      </c>
    </row>
    <row r="614" spans="1:30" x14ac:dyDescent="0.3">
      <c r="A614">
        <v>28</v>
      </c>
      <c r="B614">
        <v>846</v>
      </c>
      <c r="C614" t="s">
        <v>36</v>
      </c>
      <c r="D614" t="s">
        <v>31</v>
      </c>
      <c r="E614">
        <v>2</v>
      </c>
      <c r="F614">
        <v>4</v>
      </c>
      <c r="G614" t="s">
        <v>50</v>
      </c>
      <c r="H614">
        <v>2</v>
      </c>
      <c r="I614" t="s">
        <v>33</v>
      </c>
      <c r="J614">
        <v>3</v>
      </c>
      <c r="K614">
        <v>2</v>
      </c>
      <c r="L614" t="s">
        <v>34</v>
      </c>
      <c r="M614">
        <v>2</v>
      </c>
      <c r="N614" t="s">
        <v>40</v>
      </c>
      <c r="O614">
        <v>4779</v>
      </c>
      <c r="P614">
        <v>1</v>
      </c>
      <c r="Q614" t="s">
        <v>30</v>
      </c>
      <c r="R614">
        <v>1</v>
      </c>
      <c r="S614">
        <v>8</v>
      </c>
      <c r="T614">
        <v>3</v>
      </c>
      <c r="U614">
        <v>8</v>
      </c>
      <c r="V614">
        <v>7</v>
      </c>
      <c r="W614">
        <v>7</v>
      </c>
      <c r="X614">
        <v>5</v>
      </c>
      <c r="Y614">
        <v>20</v>
      </c>
      <c r="Z614">
        <f>IF(H_A[[#This Row],[Attrition]]="Yes",1,0)</f>
        <v>0</v>
      </c>
      <c r="AA614" t="str">
        <f>IF(H_A[[#This Row],[Age]]&lt;30,"Young",IF(H_A[[#This Row],[Age]]&lt;45,"Mid","Senior"))</f>
        <v>Young</v>
      </c>
      <c r="AB614" t="str">
        <f>IF(H_A[[#This Row],[MonthlyIncome]]&lt;5000,"Low",IF(H_A[[#This Row],[MonthlyIncome]]&lt;10000,"Medium","High"))</f>
        <v>Low</v>
      </c>
      <c r="AC614" t="str">
        <f>IF(H_A[[#This Row],[YearsAtCompany]]&lt;3,"Early",IF(H_A[[#This Row],[YearsAtCompany]]&lt;7,"Mid","Long"))</f>
        <v>Long</v>
      </c>
      <c r="AD614" t="str">
        <f>IF(H_A[[#This Row],[PercentSalaryHike]]&lt;13,"Low",IF(H_A[[#This Row],[PercentSalaryHike]]&lt;18,"Medium","High"))</f>
        <v>High</v>
      </c>
    </row>
    <row r="615" spans="1:30" x14ac:dyDescent="0.3">
      <c r="A615">
        <v>34</v>
      </c>
      <c r="B615">
        <v>847</v>
      </c>
      <c r="C615" t="s">
        <v>36</v>
      </c>
      <c r="D615" t="s">
        <v>52</v>
      </c>
      <c r="E615">
        <v>3</v>
      </c>
      <c r="F615">
        <v>2</v>
      </c>
      <c r="G615" t="s">
        <v>52</v>
      </c>
      <c r="H615">
        <v>3</v>
      </c>
      <c r="I615" t="s">
        <v>38</v>
      </c>
      <c r="J615">
        <v>3</v>
      </c>
      <c r="K615">
        <v>1</v>
      </c>
      <c r="L615" t="s">
        <v>52</v>
      </c>
      <c r="M615">
        <v>4</v>
      </c>
      <c r="N615" t="s">
        <v>40</v>
      </c>
      <c r="O615">
        <v>3737</v>
      </c>
      <c r="P615">
        <v>0</v>
      </c>
      <c r="Q615" t="s">
        <v>36</v>
      </c>
      <c r="R615">
        <v>3</v>
      </c>
      <c r="S615">
        <v>4</v>
      </c>
      <c r="T615">
        <v>1</v>
      </c>
      <c r="U615">
        <v>3</v>
      </c>
      <c r="V615">
        <v>2</v>
      </c>
      <c r="W615">
        <v>0</v>
      </c>
      <c r="X615">
        <v>2</v>
      </c>
      <c r="Y615">
        <v>19</v>
      </c>
      <c r="Z615">
        <f>IF(H_A[[#This Row],[Attrition]]="Yes",1,0)</f>
        <v>0</v>
      </c>
      <c r="AA615" t="str">
        <f>IF(H_A[[#This Row],[Age]]&lt;30,"Young",IF(H_A[[#This Row],[Age]]&lt;45,"Mid","Senior"))</f>
        <v>Mid</v>
      </c>
      <c r="AB615" t="str">
        <f>IF(H_A[[#This Row],[MonthlyIncome]]&lt;5000,"Low",IF(H_A[[#This Row],[MonthlyIncome]]&lt;10000,"Medium","High"))</f>
        <v>Low</v>
      </c>
      <c r="AC615" t="str">
        <f>IF(H_A[[#This Row],[YearsAtCompany]]&lt;3,"Early",IF(H_A[[#This Row],[YearsAtCompany]]&lt;7,"Mid","Long"))</f>
        <v>Mid</v>
      </c>
      <c r="AD615" t="str">
        <f>IF(H_A[[#This Row],[PercentSalaryHike]]&lt;13,"Low",IF(H_A[[#This Row],[PercentSalaryHike]]&lt;18,"Medium","High"))</f>
        <v>High</v>
      </c>
    </row>
    <row r="616" spans="1:30" x14ac:dyDescent="0.3">
      <c r="A616">
        <v>26</v>
      </c>
      <c r="B616">
        <v>848</v>
      </c>
      <c r="C616" t="s">
        <v>30</v>
      </c>
      <c r="D616" t="s">
        <v>37</v>
      </c>
      <c r="E616">
        <v>5</v>
      </c>
      <c r="F616">
        <v>2</v>
      </c>
      <c r="G616" t="s">
        <v>43</v>
      </c>
      <c r="H616">
        <v>3</v>
      </c>
      <c r="I616" t="s">
        <v>33</v>
      </c>
      <c r="J616">
        <v>2</v>
      </c>
      <c r="K616">
        <v>1</v>
      </c>
      <c r="L616" t="s">
        <v>39</v>
      </c>
      <c r="M616">
        <v>3</v>
      </c>
      <c r="N616" t="s">
        <v>40</v>
      </c>
      <c r="O616">
        <v>2366</v>
      </c>
      <c r="P616">
        <v>1</v>
      </c>
      <c r="Q616" t="s">
        <v>30</v>
      </c>
      <c r="R616">
        <v>1</v>
      </c>
      <c r="S616">
        <v>8</v>
      </c>
      <c r="T616">
        <v>3</v>
      </c>
      <c r="U616">
        <v>8</v>
      </c>
      <c r="V616">
        <v>7</v>
      </c>
      <c r="W616">
        <v>1</v>
      </c>
      <c r="X616">
        <v>7</v>
      </c>
      <c r="Y616">
        <v>14</v>
      </c>
      <c r="Z616">
        <f>IF(H_A[[#This Row],[Attrition]]="Yes",1,0)</f>
        <v>1</v>
      </c>
      <c r="AA616" t="str">
        <f>IF(H_A[[#This Row],[Age]]&lt;30,"Young",IF(H_A[[#This Row],[Age]]&lt;45,"Mid","Senior"))</f>
        <v>Young</v>
      </c>
      <c r="AB616" t="str">
        <f>IF(H_A[[#This Row],[MonthlyIncome]]&lt;5000,"Low",IF(H_A[[#This Row],[MonthlyIncome]]&lt;10000,"Medium","High"))</f>
        <v>Low</v>
      </c>
      <c r="AC616" t="str">
        <f>IF(H_A[[#This Row],[YearsAtCompany]]&lt;3,"Early",IF(H_A[[#This Row],[YearsAtCompany]]&lt;7,"Mid","Long"))</f>
        <v>Long</v>
      </c>
      <c r="AD616" t="str">
        <f>IF(H_A[[#This Row],[PercentSalaryHike]]&lt;13,"Low",IF(H_A[[#This Row],[PercentSalaryHike]]&lt;18,"Medium","High"))</f>
        <v>Medium</v>
      </c>
    </row>
    <row r="617" spans="1:30" x14ac:dyDescent="0.3">
      <c r="A617">
        <v>27</v>
      </c>
      <c r="B617">
        <v>850</v>
      </c>
      <c r="C617" t="s">
        <v>36</v>
      </c>
      <c r="D617" t="s">
        <v>37</v>
      </c>
      <c r="E617">
        <v>3</v>
      </c>
      <c r="F617">
        <v>3</v>
      </c>
      <c r="G617" t="s">
        <v>43</v>
      </c>
      <c r="H617">
        <v>4</v>
      </c>
      <c r="I617" t="s">
        <v>38</v>
      </c>
      <c r="J617">
        <v>3</v>
      </c>
      <c r="K617">
        <v>1</v>
      </c>
      <c r="L617" t="s">
        <v>39</v>
      </c>
      <c r="M617">
        <v>4</v>
      </c>
      <c r="N617" t="s">
        <v>40</v>
      </c>
      <c r="O617">
        <v>1706</v>
      </c>
      <c r="P617">
        <v>1</v>
      </c>
      <c r="Q617" t="s">
        <v>36</v>
      </c>
      <c r="R617">
        <v>3</v>
      </c>
      <c r="S617">
        <v>0</v>
      </c>
      <c r="T617">
        <v>2</v>
      </c>
      <c r="U617">
        <v>0</v>
      </c>
      <c r="V617">
        <v>0</v>
      </c>
      <c r="W617">
        <v>0</v>
      </c>
      <c r="X617">
        <v>0</v>
      </c>
      <c r="Y617">
        <v>11</v>
      </c>
      <c r="Z617">
        <f>IF(H_A[[#This Row],[Attrition]]="Yes",1,0)</f>
        <v>0</v>
      </c>
      <c r="AA617" t="str">
        <f>IF(H_A[[#This Row],[Age]]&lt;30,"Young",IF(H_A[[#This Row],[Age]]&lt;45,"Mid","Senior"))</f>
        <v>Young</v>
      </c>
      <c r="AB617" t="str">
        <f>IF(H_A[[#This Row],[MonthlyIncome]]&lt;5000,"Low",IF(H_A[[#This Row],[MonthlyIncome]]&lt;10000,"Medium","High"))</f>
        <v>Low</v>
      </c>
      <c r="AC617" t="str">
        <f>IF(H_A[[#This Row],[YearsAtCompany]]&lt;3,"Early",IF(H_A[[#This Row],[YearsAtCompany]]&lt;7,"Mid","Long"))</f>
        <v>Early</v>
      </c>
      <c r="AD617" t="str">
        <f>IF(H_A[[#This Row],[PercentSalaryHike]]&lt;13,"Low",IF(H_A[[#This Row],[PercentSalaryHike]]&lt;18,"Medium","High"))</f>
        <v>Low</v>
      </c>
    </row>
    <row r="618" spans="1:30" x14ac:dyDescent="0.3">
      <c r="A618">
        <v>51</v>
      </c>
      <c r="B618">
        <v>851</v>
      </c>
      <c r="C618" t="s">
        <v>36</v>
      </c>
      <c r="D618" t="s">
        <v>31</v>
      </c>
      <c r="E618">
        <v>26</v>
      </c>
      <c r="F618">
        <v>4</v>
      </c>
      <c r="G618" t="s">
        <v>50</v>
      </c>
      <c r="H618">
        <v>1</v>
      </c>
      <c r="I618" t="s">
        <v>33</v>
      </c>
      <c r="J618">
        <v>3</v>
      </c>
      <c r="K618">
        <v>4</v>
      </c>
      <c r="L618" t="s">
        <v>47</v>
      </c>
      <c r="M618">
        <v>3</v>
      </c>
      <c r="N618" t="s">
        <v>40</v>
      </c>
      <c r="O618">
        <v>16307</v>
      </c>
      <c r="P618">
        <v>2</v>
      </c>
      <c r="Q618" t="s">
        <v>36</v>
      </c>
      <c r="R618">
        <v>3</v>
      </c>
      <c r="S618">
        <v>29</v>
      </c>
      <c r="T618">
        <v>2</v>
      </c>
      <c r="U618">
        <v>20</v>
      </c>
      <c r="V618">
        <v>6</v>
      </c>
      <c r="W618">
        <v>4</v>
      </c>
      <c r="X618">
        <v>17</v>
      </c>
      <c r="Y618">
        <v>14</v>
      </c>
      <c r="Z618">
        <f>IF(H_A[[#This Row],[Attrition]]="Yes",1,0)</f>
        <v>0</v>
      </c>
      <c r="AA618" t="str">
        <f>IF(H_A[[#This Row],[Age]]&lt;30,"Young",IF(H_A[[#This Row],[Age]]&lt;45,"Mid","Senior"))</f>
        <v>Senior</v>
      </c>
      <c r="AB618" t="str">
        <f>IF(H_A[[#This Row],[MonthlyIncome]]&lt;5000,"Low",IF(H_A[[#This Row],[MonthlyIncome]]&lt;10000,"Medium","High"))</f>
        <v>High</v>
      </c>
      <c r="AC618" t="str">
        <f>IF(H_A[[#This Row],[YearsAtCompany]]&lt;3,"Early",IF(H_A[[#This Row],[YearsAtCompany]]&lt;7,"Mid","Long"))</f>
        <v>Long</v>
      </c>
      <c r="AD618" t="str">
        <f>IF(H_A[[#This Row],[PercentSalaryHike]]&lt;13,"Low",IF(H_A[[#This Row],[PercentSalaryHike]]&lt;18,"Medium","High"))</f>
        <v>Medium</v>
      </c>
    </row>
    <row r="619" spans="1:30" x14ac:dyDescent="0.3">
      <c r="A619">
        <v>44</v>
      </c>
      <c r="B619">
        <v>852</v>
      </c>
      <c r="C619" t="s">
        <v>36</v>
      </c>
      <c r="D619" t="s">
        <v>37</v>
      </c>
      <c r="E619">
        <v>4</v>
      </c>
      <c r="F619">
        <v>3</v>
      </c>
      <c r="G619" t="s">
        <v>43</v>
      </c>
      <c r="H619">
        <v>4</v>
      </c>
      <c r="I619" t="s">
        <v>38</v>
      </c>
      <c r="J619">
        <v>3</v>
      </c>
      <c r="K619">
        <v>2</v>
      </c>
      <c r="L619" t="s">
        <v>46</v>
      </c>
      <c r="M619">
        <v>2</v>
      </c>
      <c r="N619" t="s">
        <v>35</v>
      </c>
      <c r="O619">
        <v>5933</v>
      </c>
      <c r="P619">
        <v>9</v>
      </c>
      <c r="Q619" t="s">
        <v>36</v>
      </c>
      <c r="R619">
        <v>4</v>
      </c>
      <c r="S619">
        <v>10</v>
      </c>
      <c r="T619">
        <v>2</v>
      </c>
      <c r="U619">
        <v>5</v>
      </c>
      <c r="V619">
        <v>2</v>
      </c>
      <c r="W619">
        <v>2</v>
      </c>
      <c r="X619">
        <v>3</v>
      </c>
      <c r="Y619">
        <v>12</v>
      </c>
      <c r="Z619">
        <f>IF(H_A[[#This Row],[Attrition]]="Yes",1,0)</f>
        <v>0</v>
      </c>
      <c r="AA619" t="str">
        <f>IF(H_A[[#This Row],[Age]]&lt;30,"Young",IF(H_A[[#This Row],[Age]]&lt;45,"Mid","Senior"))</f>
        <v>Mid</v>
      </c>
      <c r="AB619" t="str">
        <f>IF(H_A[[#This Row],[MonthlyIncome]]&lt;5000,"Low",IF(H_A[[#This Row],[MonthlyIncome]]&lt;10000,"Medium","High"))</f>
        <v>Medium</v>
      </c>
      <c r="AC619" t="str">
        <f>IF(H_A[[#This Row],[YearsAtCompany]]&lt;3,"Early",IF(H_A[[#This Row],[YearsAtCompany]]&lt;7,"Mid","Long"))</f>
        <v>Mid</v>
      </c>
      <c r="AD619" t="str">
        <f>IF(H_A[[#This Row],[PercentSalaryHike]]&lt;13,"Low",IF(H_A[[#This Row],[PercentSalaryHike]]&lt;18,"Medium","High"))</f>
        <v>Low</v>
      </c>
    </row>
    <row r="620" spans="1:30" x14ac:dyDescent="0.3">
      <c r="A620">
        <v>25</v>
      </c>
      <c r="B620">
        <v>854</v>
      </c>
      <c r="C620" t="s">
        <v>36</v>
      </c>
      <c r="D620" t="s">
        <v>37</v>
      </c>
      <c r="E620">
        <v>2</v>
      </c>
      <c r="F620">
        <v>1</v>
      </c>
      <c r="G620" t="s">
        <v>43</v>
      </c>
      <c r="H620">
        <v>1</v>
      </c>
      <c r="I620" t="s">
        <v>38</v>
      </c>
      <c r="J620">
        <v>4</v>
      </c>
      <c r="K620">
        <v>1</v>
      </c>
      <c r="L620" t="s">
        <v>39</v>
      </c>
      <c r="M620">
        <v>1</v>
      </c>
      <c r="N620" t="s">
        <v>35</v>
      </c>
      <c r="O620">
        <v>3424</v>
      </c>
      <c r="P620">
        <v>7</v>
      </c>
      <c r="Q620" t="s">
        <v>36</v>
      </c>
      <c r="R620">
        <v>3</v>
      </c>
      <c r="S620">
        <v>6</v>
      </c>
      <c r="T620">
        <v>2</v>
      </c>
      <c r="U620">
        <v>4</v>
      </c>
      <c r="V620">
        <v>3</v>
      </c>
      <c r="W620">
        <v>0</v>
      </c>
      <c r="X620">
        <v>1</v>
      </c>
      <c r="Y620">
        <v>13</v>
      </c>
      <c r="Z620">
        <f>IF(H_A[[#This Row],[Attrition]]="Yes",1,0)</f>
        <v>0</v>
      </c>
      <c r="AA620" t="str">
        <f>IF(H_A[[#This Row],[Age]]&lt;30,"Young",IF(H_A[[#This Row],[Age]]&lt;45,"Mid","Senior"))</f>
        <v>Young</v>
      </c>
      <c r="AB620" t="str">
        <f>IF(H_A[[#This Row],[MonthlyIncome]]&lt;5000,"Low",IF(H_A[[#This Row],[MonthlyIncome]]&lt;10000,"Medium","High"))</f>
        <v>Low</v>
      </c>
      <c r="AC620" t="str">
        <f>IF(H_A[[#This Row],[YearsAtCompany]]&lt;3,"Early",IF(H_A[[#This Row],[YearsAtCompany]]&lt;7,"Mid","Long"))</f>
        <v>Mid</v>
      </c>
      <c r="AD620" t="str">
        <f>IF(H_A[[#This Row],[PercentSalaryHike]]&lt;13,"Low",IF(H_A[[#This Row],[PercentSalaryHike]]&lt;18,"Medium","High"))</f>
        <v>Medium</v>
      </c>
    </row>
    <row r="621" spans="1:30" x14ac:dyDescent="0.3">
      <c r="A621">
        <v>33</v>
      </c>
      <c r="B621">
        <v>855</v>
      </c>
      <c r="C621" t="s">
        <v>36</v>
      </c>
      <c r="D621" t="s">
        <v>31</v>
      </c>
      <c r="E621">
        <v>1</v>
      </c>
      <c r="F621">
        <v>3</v>
      </c>
      <c r="G621" t="s">
        <v>43</v>
      </c>
      <c r="H621">
        <v>1</v>
      </c>
      <c r="I621" t="s">
        <v>38</v>
      </c>
      <c r="J621">
        <v>4</v>
      </c>
      <c r="K621">
        <v>2</v>
      </c>
      <c r="L621" t="s">
        <v>34</v>
      </c>
      <c r="M621">
        <v>1</v>
      </c>
      <c r="N621" t="s">
        <v>44</v>
      </c>
      <c r="O621">
        <v>4037</v>
      </c>
      <c r="P621">
        <v>1</v>
      </c>
      <c r="Q621" t="s">
        <v>36</v>
      </c>
      <c r="R621">
        <v>1</v>
      </c>
      <c r="S621">
        <v>9</v>
      </c>
      <c r="T621">
        <v>3</v>
      </c>
      <c r="U621">
        <v>9</v>
      </c>
      <c r="V621">
        <v>8</v>
      </c>
      <c r="W621">
        <v>0</v>
      </c>
      <c r="X621">
        <v>8</v>
      </c>
      <c r="Y621">
        <v>22</v>
      </c>
      <c r="Z621">
        <f>IF(H_A[[#This Row],[Attrition]]="Yes",1,0)</f>
        <v>0</v>
      </c>
      <c r="AA621" t="str">
        <f>IF(H_A[[#This Row],[Age]]&lt;30,"Young",IF(H_A[[#This Row],[Age]]&lt;45,"Mid","Senior"))</f>
        <v>Mid</v>
      </c>
      <c r="AB621" t="str">
        <f>IF(H_A[[#This Row],[MonthlyIncome]]&lt;5000,"Low",IF(H_A[[#This Row],[MonthlyIncome]]&lt;10000,"Medium","High"))</f>
        <v>Low</v>
      </c>
      <c r="AC621" t="str">
        <f>IF(H_A[[#This Row],[YearsAtCompany]]&lt;3,"Early",IF(H_A[[#This Row],[YearsAtCompany]]&lt;7,"Mid","Long"))</f>
        <v>Long</v>
      </c>
      <c r="AD621" t="str">
        <f>IF(H_A[[#This Row],[PercentSalaryHike]]&lt;13,"Low",IF(H_A[[#This Row],[PercentSalaryHike]]&lt;18,"Medium","High"))</f>
        <v>High</v>
      </c>
    </row>
    <row r="622" spans="1:30" x14ac:dyDescent="0.3">
      <c r="A622">
        <v>35</v>
      </c>
      <c r="B622">
        <v>856</v>
      </c>
      <c r="C622" t="s">
        <v>36</v>
      </c>
      <c r="D622" t="s">
        <v>37</v>
      </c>
      <c r="E622">
        <v>27</v>
      </c>
      <c r="F622">
        <v>1</v>
      </c>
      <c r="G622" t="s">
        <v>43</v>
      </c>
      <c r="H622">
        <v>3</v>
      </c>
      <c r="I622" t="s">
        <v>33</v>
      </c>
      <c r="J622">
        <v>2</v>
      </c>
      <c r="K622">
        <v>1</v>
      </c>
      <c r="L622" t="s">
        <v>39</v>
      </c>
      <c r="M622">
        <v>1</v>
      </c>
      <c r="N622" t="s">
        <v>35</v>
      </c>
      <c r="O622">
        <v>2559</v>
      </c>
      <c r="P622">
        <v>1</v>
      </c>
      <c r="Q622" t="s">
        <v>36</v>
      </c>
      <c r="R622">
        <v>4</v>
      </c>
      <c r="S622">
        <v>6</v>
      </c>
      <c r="T622">
        <v>2</v>
      </c>
      <c r="U622">
        <v>6</v>
      </c>
      <c r="V622">
        <v>5</v>
      </c>
      <c r="W622">
        <v>1</v>
      </c>
      <c r="X622">
        <v>1</v>
      </c>
      <c r="Y622">
        <v>11</v>
      </c>
      <c r="Z622">
        <f>IF(H_A[[#This Row],[Attrition]]="Yes",1,0)</f>
        <v>0</v>
      </c>
      <c r="AA622" t="str">
        <f>IF(H_A[[#This Row],[Age]]&lt;30,"Young",IF(H_A[[#This Row],[Age]]&lt;45,"Mid","Senior"))</f>
        <v>Mid</v>
      </c>
      <c r="AB622" t="str">
        <f>IF(H_A[[#This Row],[MonthlyIncome]]&lt;5000,"Low",IF(H_A[[#This Row],[MonthlyIncome]]&lt;10000,"Medium","High"))</f>
        <v>Low</v>
      </c>
      <c r="AC622" t="str">
        <f>IF(H_A[[#This Row],[YearsAtCompany]]&lt;3,"Early",IF(H_A[[#This Row],[YearsAtCompany]]&lt;7,"Mid","Long"))</f>
        <v>Mid</v>
      </c>
      <c r="AD622" t="str">
        <f>IF(H_A[[#This Row],[PercentSalaryHike]]&lt;13,"Low",IF(H_A[[#This Row],[PercentSalaryHike]]&lt;18,"Medium","High"))</f>
        <v>Low</v>
      </c>
    </row>
    <row r="623" spans="1:30" x14ac:dyDescent="0.3">
      <c r="A623">
        <v>36</v>
      </c>
      <c r="B623">
        <v>857</v>
      </c>
      <c r="C623" t="s">
        <v>36</v>
      </c>
      <c r="D623" t="s">
        <v>31</v>
      </c>
      <c r="E623">
        <v>1</v>
      </c>
      <c r="F623">
        <v>2</v>
      </c>
      <c r="G623" t="s">
        <v>32</v>
      </c>
      <c r="H623">
        <v>2</v>
      </c>
      <c r="I623" t="s">
        <v>38</v>
      </c>
      <c r="J623">
        <v>3</v>
      </c>
      <c r="K623">
        <v>2</v>
      </c>
      <c r="L623" t="s">
        <v>34</v>
      </c>
      <c r="M623">
        <v>4</v>
      </c>
      <c r="N623" t="s">
        <v>40</v>
      </c>
      <c r="O623">
        <v>6201</v>
      </c>
      <c r="P623">
        <v>1</v>
      </c>
      <c r="Q623" t="s">
        <v>30</v>
      </c>
      <c r="R623">
        <v>4</v>
      </c>
      <c r="S623">
        <v>18</v>
      </c>
      <c r="T623">
        <v>2</v>
      </c>
      <c r="U623">
        <v>18</v>
      </c>
      <c r="V623">
        <v>14</v>
      </c>
      <c r="W623">
        <v>4</v>
      </c>
      <c r="X623">
        <v>11</v>
      </c>
      <c r="Y623">
        <v>14</v>
      </c>
      <c r="Z623">
        <f>IF(H_A[[#This Row],[Attrition]]="Yes",1,0)</f>
        <v>0</v>
      </c>
      <c r="AA623" t="str">
        <f>IF(H_A[[#This Row],[Age]]&lt;30,"Young",IF(H_A[[#This Row],[Age]]&lt;45,"Mid","Senior"))</f>
        <v>Mid</v>
      </c>
      <c r="AB623" t="str">
        <f>IF(H_A[[#This Row],[MonthlyIncome]]&lt;5000,"Low",IF(H_A[[#This Row],[MonthlyIncome]]&lt;10000,"Medium","High"))</f>
        <v>Medium</v>
      </c>
      <c r="AC623" t="str">
        <f>IF(H_A[[#This Row],[YearsAtCompany]]&lt;3,"Early",IF(H_A[[#This Row],[YearsAtCompany]]&lt;7,"Mid","Long"))</f>
        <v>Long</v>
      </c>
      <c r="AD623" t="str">
        <f>IF(H_A[[#This Row],[PercentSalaryHike]]&lt;13,"Low",IF(H_A[[#This Row],[PercentSalaryHike]]&lt;18,"Medium","High"))</f>
        <v>Medium</v>
      </c>
    </row>
    <row r="624" spans="1:30" x14ac:dyDescent="0.3">
      <c r="A624">
        <v>32</v>
      </c>
      <c r="B624">
        <v>859</v>
      </c>
      <c r="C624" t="s">
        <v>36</v>
      </c>
      <c r="D624" t="s">
        <v>31</v>
      </c>
      <c r="E624">
        <v>13</v>
      </c>
      <c r="F624">
        <v>4</v>
      </c>
      <c r="G624" t="s">
        <v>32</v>
      </c>
      <c r="H624">
        <v>2</v>
      </c>
      <c r="I624" t="s">
        <v>38</v>
      </c>
      <c r="J624">
        <v>3</v>
      </c>
      <c r="K624">
        <v>2</v>
      </c>
      <c r="L624" t="s">
        <v>34</v>
      </c>
      <c r="M624">
        <v>4</v>
      </c>
      <c r="N624" t="s">
        <v>44</v>
      </c>
      <c r="O624">
        <v>4403</v>
      </c>
      <c r="P624">
        <v>2</v>
      </c>
      <c r="Q624" t="s">
        <v>36</v>
      </c>
      <c r="R624">
        <v>3</v>
      </c>
      <c r="S624">
        <v>8</v>
      </c>
      <c r="T624">
        <v>2</v>
      </c>
      <c r="U624">
        <v>5</v>
      </c>
      <c r="V624">
        <v>2</v>
      </c>
      <c r="W624">
        <v>0</v>
      </c>
      <c r="X624">
        <v>3</v>
      </c>
      <c r="Y624">
        <v>11</v>
      </c>
      <c r="Z624">
        <f>IF(H_A[[#This Row],[Attrition]]="Yes",1,0)</f>
        <v>0</v>
      </c>
      <c r="AA624" t="str">
        <f>IF(H_A[[#This Row],[Age]]&lt;30,"Young",IF(H_A[[#This Row],[Age]]&lt;45,"Mid","Senior"))</f>
        <v>Mid</v>
      </c>
      <c r="AB624" t="str">
        <f>IF(H_A[[#This Row],[MonthlyIncome]]&lt;5000,"Low",IF(H_A[[#This Row],[MonthlyIncome]]&lt;10000,"Medium","High"))</f>
        <v>Low</v>
      </c>
      <c r="AC624" t="str">
        <f>IF(H_A[[#This Row],[YearsAtCompany]]&lt;3,"Early",IF(H_A[[#This Row],[YearsAtCompany]]&lt;7,"Mid","Long"))</f>
        <v>Mid</v>
      </c>
      <c r="AD624" t="str">
        <f>IF(H_A[[#This Row],[PercentSalaryHike]]&lt;13,"Low",IF(H_A[[#This Row],[PercentSalaryHike]]&lt;18,"Medium","High"))</f>
        <v>Low</v>
      </c>
    </row>
    <row r="625" spans="1:30" x14ac:dyDescent="0.3">
      <c r="A625">
        <v>30</v>
      </c>
      <c r="B625">
        <v>861</v>
      </c>
      <c r="C625" t="s">
        <v>36</v>
      </c>
      <c r="D625" t="s">
        <v>37</v>
      </c>
      <c r="E625">
        <v>5</v>
      </c>
      <c r="F625">
        <v>4</v>
      </c>
      <c r="G625" t="s">
        <v>32</v>
      </c>
      <c r="H625">
        <v>2</v>
      </c>
      <c r="I625" t="s">
        <v>38</v>
      </c>
      <c r="J625">
        <v>2</v>
      </c>
      <c r="K625">
        <v>1</v>
      </c>
      <c r="L625" t="s">
        <v>39</v>
      </c>
      <c r="M625">
        <v>4</v>
      </c>
      <c r="N625" t="s">
        <v>44</v>
      </c>
      <c r="O625">
        <v>3761</v>
      </c>
      <c r="P625">
        <v>9</v>
      </c>
      <c r="Q625" t="s">
        <v>36</v>
      </c>
      <c r="R625">
        <v>2</v>
      </c>
      <c r="S625">
        <v>10</v>
      </c>
      <c r="T625">
        <v>2</v>
      </c>
      <c r="U625">
        <v>5</v>
      </c>
      <c r="V625">
        <v>4</v>
      </c>
      <c r="W625">
        <v>0</v>
      </c>
      <c r="X625">
        <v>3</v>
      </c>
      <c r="Y625">
        <v>12</v>
      </c>
      <c r="Z625">
        <f>IF(H_A[[#This Row],[Attrition]]="Yes",1,0)</f>
        <v>0</v>
      </c>
      <c r="AA625" t="str">
        <f>IF(H_A[[#This Row],[Age]]&lt;30,"Young",IF(H_A[[#This Row],[Age]]&lt;45,"Mid","Senior"))</f>
        <v>Mid</v>
      </c>
      <c r="AB625" t="str">
        <f>IF(H_A[[#This Row],[MonthlyIncome]]&lt;5000,"Low",IF(H_A[[#This Row],[MonthlyIncome]]&lt;10000,"Medium","High"))</f>
        <v>Low</v>
      </c>
      <c r="AC625" t="str">
        <f>IF(H_A[[#This Row],[YearsAtCompany]]&lt;3,"Early",IF(H_A[[#This Row],[YearsAtCompany]]&lt;7,"Mid","Long"))</f>
        <v>Mid</v>
      </c>
      <c r="AD625" t="str">
        <f>IF(H_A[[#This Row],[PercentSalaryHike]]&lt;13,"Low",IF(H_A[[#This Row],[PercentSalaryHike]]&lt;18,"Medium","High"))</f>
        <v>Low</v>
      </c>
    </row>
    <row r="626" spans="1:30" x14ac:dyDescent="0.3">
      <c r="A626">
        <v>53</v>
      </c>
      <c r="B626">
        <v>862</v>
      </c>
      <c r="C626" t="s">
        <v>36</v>
      </c>
      <c r="D626" t="s">
        <v>31</v>
      </c>
      <c r="E626">
        <v>7</v>
      </c>
      <c r="F626">
        <v>2</v>
      </c>
      <c r="G626" t="s">
        <v>50</v>
      </c>
      <c r="H626">
        <v>1</v>
      </c>
      <c r="I626" t="s">
        <v>33</v>
      </c>
      <c r="J626">
        <v>2</v>
      </c>
      <c r="K626">
        <v>3</v>
      </c>
      <c r="L626" t="s">
        <v>34</v>
      </c>
      <c r="M626">
        <v>4</v>
      </c>
      <c r="N626" t="s">
        <v>40</v>
      </c>
      <c r="O626">
        <v>10934</v>
      </c>
      <c r="P626">
        <v>7</v>
      </c>
      <c r="Q626" t="s">
        <v>30</v>
      </c>
      <c r="R626">
        <v>4</v>
      </c>
      <c r="S626">
        <v>35</v>
      </c>
      <c r="T626">
        <v>3</v>
      </c>
      <c r="U626">
        <v>5</v>
      </c>
      <c r="V626">
        <v>2</v>
      </c>
      <c r="W626">
        <v>0</v>
      </c>
      <c r="X626">
        <v>4</v>
      </c>
      <c r="Y626">
        <v>18</v>
      </c>
      <c r="Z626">
        <f>IF(H_A[[#This Row],[Attrition]]="Yes",1,0)</f>
        <v>0</v>
      </c>
      <c r="AA626" t="str">
        <f>IF(H_A[[#This Row],[Age]]&lt;30,"Young",IF(H_A[[#This Row],[Age]]&lt;45,"Mid","Senior"))</f>
        <v>Senior</v>
      </c>
      <c r="AB626" t="str">
        <f>IF(H_A[[#This Row],[MonthlyIncome]]&lt;5000,"Low",IF(H_A[[#This Row],[MonthlyIncome]]&lt;10000,"Medium","High"))</f>
        <v>High</v>
      </c>
      <c r="AC626" t="str">
        <f>IF(H_A[[#This Row],[YearsAtCompany]]&lt;3,"Early",IF(H_A[[#This Row],[YearsAtCompany]]&lt;7,"Mid","Long"))</f>
        <v>Mid</v>
      </c>
      <c r="AD626" t="str">
        <f>IF(H_A[[#This Row],[PercentSalaryHike]]&lt;13,"Low",IF(H_A[[#This Row],[PercentSalaryHike]]&lt;18,"Medium","High"))</f>
        <v>High</v>
      </c>
    </row>
    <row r="627" spans="1:30" x14ac:dyDescent="0.3">
      <c r="A627">
        <v>45</v>
      </c>
      <c r="B627">
        <v>864</v>
      </c>
      <c r="C627" t="s">
        <v>36</v>
      </c>
      <c r="D627" t="s">
        <v>31</v>
      </c>
      <c r="E627">
        <v>9</v>
      </c>
      <c r="F627">
        <v>3</v>
      </c>
      <c r="G627" t="s">
        <v>50</v>
      </c>
      <c r="H627">
        <v>4</v>
      </c>
      <c r="I627" t="s">
        <v>38</v>
      </c>
      <c r="J627">
        <v>3</v>
      </c>
      <c r="K627">
        <v>3</v>
      </c>
      <c r="L627" t="s">
        <v>34</v>
      </c>
      <c r="M627">
        <v>1</v>
      </c>
      <c r="N627" t="s">
        <v>44</v>
      </c>
      <c r="O627">
        <v>10761</v>
      </c>
      <c r="P627">
        <v>4</v>
      </c>
      <c r="Q627" t="s">
        <v>30</v>
      </c>
      <c r="R627">
        <v>3</v>
      </c>
      <c r="S627">
        <v>18</v>
      </c>
      <c r="T627">
        <v>3</v>
      </c>
      <c r="U627">
        <v>5</v>
      </c>
      <c r="V627">
        <v>4</v>
      </c>
      <c r="W627">
        <v>0</v>
      </c>
      <c r="X627">
        <v>2</v>
      </c>
      <c r="Y627">
        <v>12</v>
      </c>
      <c r="Z627">
        <f>IF(H_A[[#This Row],[Attrition]]="Yes",1,0)</f>
        <v>0</v>
      </c>
      <c r="AA627" t="str">
        <f>IF(H_A[[#This Row],[Age]]&lt;30,"Young",IF(H_A[[#This Row],[Age]]&lt;45,"Mid","Senior"))</f>
        <v>Senior</v>
      </c>
      <c r="AB627" t="str">
        <f>IF(H_A[[#This Row],[MonthlyIncome]]&lt;5000,"Low",IF(H_A[[#This Row],[MonthlyIncome]]&lt;10000,"Medium","High"))</f>
        <v>High</v>
      </c>
      <c r="AC627" t="str">
        <f>IF(H_A[[#This Row],[YearsAtCompany]]&lt;3,"Early",IF(H_A[[#This Row],[YearsAtCompany]]&lt;7,"Mid","Long"))</f>
        <v>Mid</v>
      </c>
      <c r="AD627" t="str">
        <f>IF(H_A[[#This Row],[PercentSalaryHike]]&lt;13,"Low",IF(H_A[[#This Row],[PercentSalaryHike]]&lt;18,"Medium","High"))</f>
        <v>Low</v>
      </c>
    </row>
    <row r="628" spans="1:30" x14ac:dyDescent="0.3">
      <c r="A628">
        <v>32</v>
      </c>
      <c r="B628">
        <v>865</v>
      </c>
      <c r="C628" t="s">
        <v>36</v>
      </c>
      <c r="D628" t="s">
        <v>37</v>
      </c>
      <c r="E628">
        <v>8</v>
      </c>
      <c r="F628">
        <v>2</v>
      </c>
      <c r="G628" t="s">
        <v>43</v>
      </c>
      <c r="H628">
        <v>3</v>
      </c>
      <c r="I628" t="s">
        <v>33</v>
      </c>
      <c r="J628">
        <v>4</v>
      </c>
      <c r="K628">
        <v>2</v>
      </c>
      <c r="L628" t="s">
        <v>39</v>
      </c>
      <c r="M628">
        <v>3</v>
      </c>
      <c r="N628" t="s">
        <v>40</v>
      </c>
      <c r="O628">
        <v>5175</v>
      </c>
      <c r="P628">
        <v>5</v>
      </c>
      <c r="Q628" t="s">
        <v>36</v>
      </c>
      <c r="R628">
        <v>3</v>
      </c>
      <c r="S628">
        <v>9</v>
      </c>
      <c r="T628">
        <v>2</v>
      </c>
      <c r="U628">
        <v>5</v>
      </c>
      <c r="V628">
        <v>3</v>
      </c>
      <c r="W628">
        <v>1</v>
      </c>
      <c r="X628">
        <v>3</v>
      </c>
      <c r="Y628">
        <v>12</v>
      </c>
      <c r="Z628">
        <f>IF(H_A[[#This Row],[Attrition]]="Yes",1,0)</f>
        <v>0</v>
      </c>
      <c r="AA628" t="str">
        <f>IF(H_A[[#This Row],[Age]]&lt;30,"Young",IF(H_A[[#This Row],[Age]]&lt;45,"Mid","Senior"))</f>
        <v>Mid</v>
      </c>
      <c r="AB628" t="str">
        <f>IF(H_A[[#This Row],[MonthlyIncome]]&lt;5000,"Low",IF(H_A[[#This Row],[MonthlyIncome]]&lt;10000,"Medium","High"))</f>
        <v>Medium</v>
      </c>
      <c r="AC628" t="str">
        <f>IF(H_A[[#This Row],[YearsAtCompany]]&lt;3,"Early",IF(H_A[[#This Row],[YearsAtCompany]]&lt;7,"Mid","Long"))</f>
        <v>Mid</v>
      </c>
      <c r="AD628" t="str">
        <f>IF(H_A[[#This Row],[PercentSalaryHike]]&lt;13,"Low",IF(H_A[[#This Row],[PercentSalaryHike]]&lt;18,"Medium","High"))</f>
        <v>Low</v>
      </c>
    </row>
    <row r="629" spans="1:30" x14ac:dyDescent="0.3">
      <c r="A629">
        <v>52</v>
      </c>
      <c r="B629">
        <v>867</v>
      </c>
      <c r="C629" t="s">
        <v>36</v>
      </c>
      <c r="D629" t="s">
        <v>37</v>
      </c>
      <c r="E629">
        <v>25</v>
      </c>
      <c r="F629">
        <v>4</v>
      </c>
      <c r="G629" t="s">
        <v>43</v>
      </c>
      <c r="H629">
        <v>3</v>
      </c>
      <c r="I629" t="s">
        <v>33</v>
      </c>
      <c r="J629">
        <v>2</v>
      </c>
      <c r="K629">
        <v>4</v>
      </c>
      <c r="L629" t="s">
        <v>45</v>
      </c>
      <c r="M629">
        <v>4</v>
      </c>
      <c r="N629" t="s">
        <v>40</v>
      </c>
      <c r="O629">
        <v>13826</v>
      </c>
      <c r="P629">
        <v>3</v>
      </c>
      <c r="Q629" t="s">
        <v>36</v>
      </c>
      <c r="R629">
        <v>3</v>
      </c>
      <c r="S629">
        <v>31</v>
      </c>
      <c r="T629">
        <v>3</v>
      </c>
      <c r="U629">
        <v>9</v>
      </c>
      <c r="V629">
        <v>8</v>
      </c>
      <c r="W629">
        <v>0</v>
      </c>
      <c r="X629">
        <v>0</v>
      </c>
      <c r="Y629">
        <v>22</v>
      </c>
      <c r="Z629">
        <f>IF(H_A[[#This Row],[Attrition]]="Yes",1,0)</f>
        <v>0</v>
      </c>
      <c r="AA629" t="str">
        <f>IF(H_A[[#This Row],[Age]]&lt;30,"Young",IF(H_A[[#This Row],[Age]]&lt;45,"Mid","Senior"))</f>
        <v>Senior</v>
      </c>
      <c r="AB629" t="str">
        <f>IF(H_A[[#This Row],[MonthlyIncome]]&lt;5000,"Low",IF(H_A[[#This Row],[MonthlyIncome]]&lt;10000,"Medium","High"))</f>
        <v>High</v>
      </c>
      <c r="AC629" t="str">
        <f>IF(H_A[[#This Row],[YearsAtCompany]]&lt;3,"Early",IF(H_A[[#This Row],[YearsAtCompany]]&lt;7,"Mid","Long"))</f>
        <v>Long</v>
      </c>
      <c r="AD629" t="str">
        <f>IF(H_A[[#This Row],[PercentSalaryHike]]&lt;13,"Low",IF(H_A[[#This Row],[PercentSalaryHike]]&lt;18,"Medium","High"))</f>
        <v>High</v>
      </c>
    </row>
    <row r="630" spans="1:30" x14ac:dyDescent="0.3">
      <c r="A630">
        <v>37</v>
      </c>
      <c r="B630">
        <v>868</v>
      </c>
      <c r="C630" t="s">
        <v>36</v>
      </c>
      <c r="D630" t="s">
        <v>31</v>
      </c>
      <c r="E630">
        <v>16</v>
      </c>
      <c r="F630">
        <v>4</v>
      </c>
      <c r="G630" t="s">
        <v>50</v>
      </c>
      <c r="H630">
        <v>4</v>
      </c>
      <c r="I630" t="s">
        <v>38</v>
      </c>
      <c r="J630">
        <v>2</v>
      </c>
      <c r="K630">
        <v>2</v>
      </c>
      <c r="L630" t="s">
        <v>34</v>
      </c>
      <c r="M630">
        <v>3</v>
      </c>
      <c r="N630" t="s">
        <v>44</v>
      </c>
      <c r="O630">
        <v>6334</v>
      </c>
      <c r="P630">
        <v>4</v>
      </c>
      <c r="Q630" t="s">
        <v>36</v>
      </c>
      <c r="R630">
        <v>4</v>
      </c>
      <c r="S630">
        <v>9</v>
      </c>
      <c r="T630">
        <v>3</v>
      </c>
      <c r="U630">
        <v>1</v>
      </c>
      <c r="V630">
        <v>0</v>
      </c>
      <c r="W630">
        <v>0</v>
      </c>
      <c r="X630">
        <v>0</v>
      </c>
      <c r="Y630">
        <v>19</v>
      </c>
      <c r="Z630">
        <f>IF(H_A[[#This Row],[Attrition]]="Yes",1,0)</f>
        <v>0</v>
      </c>
      <c r="AA630" t="str">
        <f>IF(H_A[[#This Row],[Age]]&lt;30,"Young",IF(H_A[[#This Row],[Age]]&lt;45,"Mid","Senior"))</f>
        <v>Mid</v>
      </c>
      <c r="AB630" t="str">
        <f>IF(H_A[[#This Row],[MonthlyIncome]]&lt;5000,"Low",IF(H_A[[#This Row],[MonthlyIncome]]&lt;10000,"Medium","High"))</f>
        <v>Medium</v>
      </c>
      <c r="AC630" t="str">
        <f>IF(H_A[[#This Row],[YearsAtCompany]]&lt;3,"Early",IF(H_A[[#This Row],[YearsAtCompany]]&lt;7,"Mid","Long"))</f>
        <v>Early</v>
      </c>
      <c r="AD630" t="str">
        <f>IF(H_A[[#This Row],[PercentSalaryHike]]&lt;13,"Low",IF(H_A[[#This Row],[PercentSalaryHike]]&lt;18,"Medium","High"))</f>
        <v>High</v>
      </c>
    </row>
    <row r="631" spans="1:30" x14ac:dyDescent="0.3">
      <c r="A631">
        <v>28</v>
      </c>
      <c r="B631">
        <v>869</v>
      </c>
      <c r="C631" t="s">
        <v>36</v>
      </c>
      <c r="D631" t="s">
        <v>52</v>
      </c>
      <c r="E631">
        <v>8</v>
      </c>
      <c r="F631">
        <v>2</v>
      </c>
      <c r="G631" t="s">
        <v>43</v>
      </c>
      <c r="H631">
        <v>2</v>
      </c>
      <c r="I631" t="s">
        <v>38</v>
      </c>
      <c r="J631">
        <v>2</v>
      </c>
      <c r="K631">
        <v>1</v>
      </c>
      <c r="L631" t="s">
        <v>52</v>
      </c>
      <c r="M631">
        <v>4</v>
      </c>
      <c r="N631" t="s">
        <v>44</v>
      </c>
      <c r="O631">
        <v>4936</v>
      </c>
      <c r="P631">
        <v>1</v>
      </c>
      <c r="Q631" t="s">
        <v>36</v>
      </c>
      <c r="R631">
        <v>4</v>
      </c>
      <c r="S631">
        <v>6</v>
      </c>
      <c r="T631">
        <v>3</v>
      </c>
      <c r="U631">
        <v>5</v>
      </c>
      <c r="V631">
        <v>1</v>
      </c>
      <c r="W631">
        <v>0</v>
      </c>
      <c r="X631">
        <v>4</v>
      </c>
      <c r="Y631">
        <v>13</v>
      </c>
      <c r="Z631">
        <f>IF(H_A[[#This Row],[Attrition]]="Yes",1,0)</f>
        <v>0</v>
      </c>
      <c r="AA631" t="str">
        <f>IF(H_A[[#This Row],[Age]]&lt;30,"Young",IF(H_A[[#This Row],[Age]]&lt;45,"Mid","Senior"))</f>
        <v>Young</v>
      </c>
      <c r="AB631" t="str">
        <f>IF(H_A[[#This Row],[MonthlyIncome]]&lt;5000,"Low",IF(H_A[[#This Row],[MonthlyIncome]]&lt;10000,"Medium","High"))</f>
        <v>Low</v>
      </c>
      <c r="AC631" t="str">
        <f>IF(H_A[[#This Row],[YearsAtCompany]]&lt;3,"Early",IF(H_A[[#This Row],[YearsAtCompany]]&lt;7,"Mid","Long"))</f>
        <v>Mid</v>
      </c>
      <c r="AD631" t="str">
        <f>IF(H_A[[#This Row],[PercentSalaryHike]]&lt;13,"Low",IF(H_A[[#This Row],[PercentSalaryHike]]&lt;18,"Medium","High"))</f>
        <v>Medium</v>
      </c>
    </row>
    <row r="632" spans="1:30" x14ac:dyDescent="0.3">
      <c r="A632">
        <v>22</v>
      </c>
      <c r="B632">
        <v>872</v>
      </c>
      <c r="C632" t="s">
        <v>36</v>
      </c>
      <c r="D632" t="s">
        <v>37</v>
      </c>
      <c r="E632">
        <v>1</v>
      </c>
      <c r="F632">
        <v>2</v>
      </c>
      <c r="G632" t="s">
        <v>32</v>
      </c>
      <c r="H632">
        <v>4</v>
      </c>
      <c r="I632" t="s">
        <v>38</v>
      </c>
      <c r="J632">
        <v>2</v>
      </c>
      <c r="K632">
        <v>2</v>
      </c>
      <c r="L632" t="s">
        <v>45</v>
      </c>
      <c r="M632">
        <v>4</v>
      </c>
      <c r="N632" t="s">
        <v>40</v>
      </c>
      <c r="O632">
        <v>4775</v>
      </c>
      <c r="P632">
        <v>6</v>
      </c>
      <c r="Q632" t="s">
        <v>36</v>
      </c>
      <c r="R632">
        <v>1</v>
      </c>
      <c r="S632">
        <v>4</v>
      </c>
      <c r="T632">
        <v>1</v>
      </c>
      <c r="U632">
        <v>2</v>
      </c>
      <c r="V632">
        <v>2</v>
      </c>
      <c r="W632">
        <v>2</v>
      </c>
      <c r="X632">
        <v>2</v>
      </c>
      <c r="Y632">
        <v>22</v>
      </c>
      <c r="Z632">
        <f>IF(H_A[[#This Row],[Attrition]]="Yes",1,0)</f>
        <v>0</v>
      </c>
      <c r="AA632" t="str">
        <f>IF(H_A[[#This Row],[Age]]&lt;30,"Young",IF(H_A[[#This Row],[Age]]&lt;45,"Mid","Senior"))</f>
        <v>Young</v>
      </c>
      <c r="AB632" t="str">
        <f>IF(H_A[[#This Row],[MonthlyIncome]]&lt;5000,"Low",IF(H_A[[#This Row],[MonthlyIncome]]&lt;10000,"Medium","High"))</f>
        <v>Low</v>
      </c>
      <c r="AC632" t="str">
        <f>IF(H_A[[#This Row],[YearsAtCompany]]&lt;3,"Early",IF(H_A[[#This Row],[YearsAtCompany]]&lt;7,"Mid","Long"))</f>
        <v>Early</v>
      </c>
      <c r="AD632" t="str">
        <f>IF(H_A[[#This Row],[PercentSalaryHike]]&lt;13,"Low",IF(H_A[[#This Row],[PercentSalaryHike]]&lt;18,"Medium","High"))</f>
        <v>High</v>
      </c>
    </row>
    <row r="633" spans="1:30" x14ac:dyDescent="0.3">
      <c r="A633">
        <v>44</v>
      </c>
      <c r="B633">
        <v>874</v>
      </c>
      <c r="C633" t="s">
        <v>36</v>
      </c>
      <c r="D633" t="s">
        <v>37</v>
      </c>
      <c r="E633">
        <v>8</v>
      </c>
      <c r="F633">
        <v>4</v>
      </c>
      <c r="G633" t="s">
        <v>32</v>
      </c>
      <c r="H633">
        <v>1</v>
      </c>
      <c r="I633" t="s">
        <v>38</v>
      </c>
      <c r="J633">
        <v>4</v>
      </c>
      <c r="K633">
        <v>1</v>
      </c>
      <c r="L633" t="s">
        <v>42</v>
      </c>
      <c r="M633">
        <v>4</v>
      </c>
      <c r="N633" t="s">
        <v>40</v>
      </c>
      <c r="O633">
        <v>2818</v>
      </c>
      <c r="P633">
        <v>2</v>
      </c>
      <c r="Q633" t="s">
        <v>30</v>
      </c>
      <c r="R633">
        <v>3</v>
      </c>
      <c r="S633">
        <v>10</v>
      </c>
      <c r="T633">
        <v>2</v>
      </c>
      <c r="U633">
        <v>3</v>
      </c>
      <c r="V633">
        <v>2</v>
      </c>
      <c r="W633">
        <v>0</v>
      </c>
      <c r="X633">
        <v>2</v>
      </c>
      <c r="Y633">
        <v>24</v>
      </c>
      <c r="Z633">
        <f>IF(H_A[[#This Row],[Attrition]]="Yes",1,0)</f>
        <v>0</v>
      </c>
      <c r="AA633" t="str">
        <f>IF(H_A[[#This Row],[Age]]&lt;30,"Young",IF(H_A[[#This Row],[Age]]&lt;45,"Mid","Senior"))</f>
        <v>Mid</v>
      </c>
      <c r="AB633" t="str">
        <f>IF(H_A[[#This Row],[MonthlyIncome]]&lt;5000,"Low",IF(H_A[[#This Row],[MonthlyIncome]]&lt;10000,"Medium","High"))</f>
        <v>Low</v>
      </c>
      <c r="AC633" t="str">
        <f>IF(H_A[[#This Row],[YearsAtCompany]]&lt;3,"Early",IF(H_A[[#This Row],[YearsAtCompany]]&lt;7,"Mid","Long"))</f>
        <v>Mid</v>
      </c>
      <c r="AD633" t="str">
        <f>IF(H_A[[#This Row],[PercentSalaryHike]]&lt;13,"Low",IF(H_A[[#This Row],[PercentSalaryHike]]&lt;18,"Medium","High"))</f>
        <v>High</v>
      </c>
    </row>
    <row r="634" spans="1:30" x14ac:dyDescent="0.3">
      <c r="A634">
        <v>42</v>
      </c>
      <c r="B634">
        <v>875</v>
      </c>
      <c r="C634" t="s">
        <v>36</v>
      </c>
      <c r="D634" t="s">
        <v>37</v>
      </c>
      <c r="E634">
        <v>2</v>
      </c>
      <c r="F634">
        <v>1</v>
      </c>
      <c r="G634" t="s">
        <v>43</v>
      </c>
      <c r="H634">
        <v>2</v>
      </c>
      <c r="I634" t="s">
        <v>38</v>
      </c>
      <c r="J634">
        <v>3</v>
      </c>
      <c r="K634">
        <v>1</v>
      </c>
      <c r="L634" t="s">
        <v>39</v>
      </c>
      <c r="M634">
        <v>4</v>
      </c>
      <c r="N634" t="s">
        <v>35</v>
      </c>
      <c r="O634">
        <v>2515</v>
      </c>
      <c r="P634">
        <v>5</v>
      </c>
      <c r="Q634" t="s">
        <v>30</v>
      </c>
      <c r="R634">
        <v>4</v>
      </c>
      <c r="S634">
        <v>8</v>
      </c>
      <c r="T634">
        <v>3</v>
      </c>
      <c r="U634">
        <v>2</v>
      </c>
      <c r="V634">
        <v>1</v>
      </c>
      <c r="W634">
        <v>2</v>
      </c>
      <c r="X634">
        <v>2</v>
      </c>
      <c r="Y634">
        <v>14</v>
      </c>
      <c r="Z634">
        <f>IF(H_A[[#This Row],[Attrition]]="Yes",1,0)</f>
        <v>0</v>
      </c>
      <c r="AA634" t="str">
        <f>IF(H_A[[#This Row],[Age]]&lt;30,"Young",IF(H_A[[#This Row],[Age]]&lt;45,"Mid","Senior"))</f>
        <v>Mid</v>
      </c>
      <c r="AB634" t="str">
        <f>IF(H_A[[#This Row],[MonthlyIncome]]&lt;5000,"Low",IF(H_A[[#This Row],[MonthlyIncome]]&lt;10000,"Medium","High"))</f>
        <v>Low</v>
      </c>
      <c r="AC634" t="str">
        <f>IF(H_A[[#This Row],[YearsAtCompany]]&lt;3,"Early",IF(H_A[[#This Row],[YearsAtCompany]]&lt;7,"Mid","Long"))</f>
        <v>Early</v>
      </c>
      <c r="AD634" t="str">
        <f>IF(H_A[[#This Row],[PercentSalaryHike]]&lt;13,"Low",IF(H_A[[#This Row],[PercentSalaryHike]]&lt;18,"Medium","High"))</f>
        <v>Medium</v>
      </c>
    </row>
    <row r="635" spans="1:30" x14ac:dyDescent="0.3">
      <c r="A635">
        <v>36</v>
      </c>
      <c r="B635">
        <v>878</v>
      </c>
      <c r="C635" t="s">
        <v>36</v>
      </c>
      <c r="D635" t="s">
        <v>52</v>
      </c>
      <c r="E635">
        <v>8</v>
      </c>
      <c r="F635">
        <v>3</v>
      </c>
      <c r="G635" t="s">
        <v>32</v>
      </c>
      <c r="H635">
        <v>1</v>
      </c>
      <c r="I635" t="s">
        <v>38</v>
      </c>
      <c r="J635">
        <v>2</v>
      </c>
      <c r="K635">
        <v>1</v>
      </c>
      <c r="L635" t="s">
        <v>52</v>
      </c>
      <c r="M635">
        <v>1</v>
      </c>
      <c r="N635" t="s">
        <v>40</v>
      </c>
      <c r="O635">
        <v>2342</v>
      </c>
      <c r="P635">
        <v>0</v>
      </c>
      <c r="Q635" t="s">
        <v>36</v>
      </c>
      <c r="R635">
        <v>3</v>
      </c>
      <c r="S635">
        <v>6</v>
      </c>
      <c r="T635">
        <v>3</v>
      </c>
      <c r="U635">
        <v>5</v>
      </c>
      <c r="V635">
        <v>4</v>
      </c>
      <c r="W635">
        <v>0</v>
      </c>
      <c r="X635">
        <v>3</v>
      </c>
      <c r="Y635">
        <v>21</v>
      </c>
      <c r="Z635">
        <f>IF(H_A[[#This Row],[Attrition]]="Yes",1,0)</f>
        <v>0</v>
      </c>
      <c r="AA635" t="str">
        <f>IF(H_A[[#This Row],[Age]]&lt;30,"Young",IF(H_A[[#This Row],[Age]]&lt;45,"Mid","Senior"))</f>
        <v>Mid</v>
      </c>
      <c r="AB635" t="str">
        <f>IF(H_A[[#This Row],[MonthlyIncome]]&lt;5000,"Low",IF(H_A[[#This Row],[MonthlyIncome]]&lt;10000,"Medium","High"))</f>
        <v>Low</v>
      </c>
      <c r="AC635" t="str">
        <f>IF(H_A[[#This Row],[YearsAtCompany]]&lt;3,"Early",IF(H_A[[#This Row],[YearsAtCompany]]&lt;7,"Mid","Long"))</f>
        <v>Mid</v>
      </c>
      <c r="AD635" t="str">
        <f>IF(H_A[[#This Row],[PercentSalaryHike]]&lt;13,"Low",IF(H_A[[#This Row],[PercentSalaryHike]]&lt;18,"Medium","High"))</f>
        <v>High</v>
      </c>
    </row>
    <row r="636" spans="1:30" x14ac:dyDescent="0.3">
      <c r="A636">
        <v>25</v>
      </c>
      <c r="B636">
        <v>879</v>
      </c>
      <c r="C636" t="s">
        <v>36</v>
      </c>
      <c r="D636" t="s">
        <v>31</v>
      </c>
      <c r="E636">
        <v>3</v>
      </c>
      <c r="F636">
        <v>1</v>
      </c>
      <c r="G636" t="s">
        <v>41</v>
      </c>
      <c r="H636">
        <v>3</v>
      </c>
      <c r="I636" t="s">
        <v>38</v>
      </c>
      <c r="J636">
        <v>3</v>
      </c>
      <c r="K636">
        <v>2</v>
      </c>
      <c r="L636" t="s">
        <v>34</v>
      </c>
      <c r="M636">
        <v>1</v>
      </c>
      <c r="N636" t="s">
        <v>40</v>
      </c>
      <c r="O636">
        <v>4194</v>
      </c>
      <c r="P636">
        <v>1</v>
      </c>
      <c r="Q636" t="s">
        <v>30</v>
      </c>
      <c r="R636">
        <v>4</v>
      </c>
      <c r="S636">
        <v>5</v>
      </c>
      <c r="T636">
        <v>3</v>
      </c>
      <c r="U636">
        <v>5</v>
      </c>
      <c r="V636">
        <v>3</v>
      </c>
      <c r="W636">
        <v>0</v>
      </c>
      <c r="X636">
        <v>3</v>
      </c>
      <c r="Y636">
        <v>18</v>
      </c>
      <c r="Z636">
        <f>IF(H_A[[#This Row],[Attrition]]="Yes",1,0)</f>
        <v>0</v>
      </c>
      <c r="AA636" t="str">
        <f>IF(H_A[[#This Row],[Age]]&lt;30,"Young",IF(H_A[[#This Row],[Age]]&lt;45,"Mid","Senior"))</f>
        <v>Young</v>
      </c>
      <c r="AB636" t="str">
        <f>IF(H_A[[#This Row],[MonthlyIncome]]&lt;5000,"Low",IF(H_A[[#This Row],[MonthlyIncome]]&lt;10000,"Medium","High"))</f>
        <v>Low</v>
      </c>
      <c r="AC636" t="str">
        <f>IF(H_A[[#This Row],[YearsAtCompany]]&lt;3,"Early",IF(H_A[[#This Row],[YearsAtCompany]]&lt;7,"Mid","Long"))</f>
        <v>Mid</v>
      </c>
      <c r="AD636" t="str">
        <f>IF(H_A[[#This Row],[PercentSalaryHike]]&lt;13,"Low",IF(H_A[[#This Row],[PercentSalaryHike]]&lt;18,"Medium","High"))</f>
        <v>High</v>
      </c>
    </row>
    <row r="637" spans="1:30" x14ac:dyDescent="0.3">
      <c r="A637">
        <v>35</v>
      </c>
      <c r="B637">
        <v>880</v>
      </c>
      <c r="C637" t="s">
        <v>36</v>
      </c>
      <c r="D637" t="s">
        <v>37</v>
      </c>
      <c r="E637">
        <v>9</v>
      </c>
      <c r="F637">
        <v>3</v>
      </c>
      <c r="G637" t="s">
        <v>32</v>
      </c>
      <c r="H637">
        <v>4</v>
      </c>
      <c r="I637" t="s">
        <v>33</v>
      </c>
      <c r="J637">
        <v>2</v>
      </c>
      <c r="K637">
        <v>3</v>
      </c>
      <c r="L637" t="s">
        <v>45</v>
      </c>
      <c r="M637">
        <v>3</v>
      </c>
      <c r="N637" t="s">
        <v>40</v>
      </c>
      <c r="O637">
        <v>10685</v>
      </c>
      <c r="P637">
        <v>1</v>
      </c>
      <c r="Q637" t="s">
        <v>30</v>
      </c>
      <c r="R637">
        <v>2</v>
      </c>
      <c r="S637">
        <v>17</v>
      </c>
      <c r="T637">
        <v>3</v>
      </c>
      <c r="U637">
        <v>17</v>
      </c>
      <c r="V637">
        <v>14</v>
      </c>
      <c r="W637">
        <v>5</v>
      </c>
      <c r="X637">
        <v>15</v>
      </c>
      <c r="Y637">
        <v>20</v>
      </c>
      <c r="Z637">
        <f>IF(H_A[[#This Row],[Attrition]]="Yes",1,0)</f>
        <v>0</v>
      </c>
      <c r="AA637" t="str">
        <f>IF(H_A[[#This Row],[Age]]&lt;30,"Young",IF(H_A[[#This Row],[Age]]&lt;45,"Mid","Senior"))</f>
        <v>Mid</v>
      </c>
      <c r="AB637" t="str">
        <f>IF(H_A[[#This Row],[MonthlyIncome]]&lt;5000,"Low",IF(H_A[[#This Row],[MonthlyIncome]]&lt;10000,"Medium","High"))</f>
        <v>High</v>
      </c>
      <c r="AC637" t="str">
        <f>IF(H_A[[#This Row],[YearsAtCompany]]&lt;3,"Early",IF(H_A[[#This Row],[YearsAtCompany]]&lt;7,"Mid","Long"))</f>
        <v>Long</v>
      </c>
      <c r="AD637" t="str">
        <f>IF(H_A[[#This Row],[PercentSalaryHike]]&lt;13,"Low",IF(H_A[[#This Row],[PercentSalaryHike]]&lt;18,"Medium","High"))</f>
        <v>High</v>
      </c>
    </row>
    <row r="638" spans="1:30" x14ac:dyDescent="0.3">
      <c r="A638">
        <v>35</v>
      </c>
      <c r="B638">
        <v>881</v>
      </c>
      <c r="C638" t="s">
        <v>30</v>
      </c>
      <c r="D638" t="s">
        <v>37</v>
      </c>
      <c r="E638">
        <v>25</v>
      </c>
      <c r="F638">
        <v>4</v>
      </c>
      <c r="G638" t="s">
        <v>32</v>
      </c>
      <c r="H638">
        <v>4</v>
      </c>
      <c r="I638" t="s">
        <v>33</v>
      </c>
      <c r="J638">
        <v>3</v>
      </c>
      <c r="K638">
        <v>1</v>
      </c>
      <c r="L638" t="s">
        <v>39</v>
      </c>
      <c r="M638">
        <v>2</v>
      </c>
      <c r="N638" t="s">
        <v>44</v>
      </c>
      <c r="O638">
        <v>2022</v>
      </c>
      <c r="P638">
        <v>1</v>
      </c>
      <c r="Q638" t="s">
        <v>30</v>
      </c>
      <c r="R638">
        <v>1</v>
      </c>
      <c r="S638">
        <v>10</v>
      </c>
      <c r="T638">
        <v>2</v>
      </c>
      <c r="U638">
        <v>10</v>
      </c>
      <c r="V638">
        <v>2</v>
      </c>
      <c r="W638">
        <v>7</v>
      </c>
      <c r="X638">
        <v>8</v>
      </c>
      <c r="Y638">
        <v>19</v>
      </c>
      <c r="Z638">
        <f>IF(H_A[[#This Row],[Attrition]]="Yes",1,0)</f>
        <v>1</v>
      </c>
      <c r="AA638" t="str">
        <f>IF(H_A[[#This Row],[Age]]&lt;30,"Young",IF(H_A[[#This Row],[Age]]&lt;45,"Mid","Senior"))</f>
        <v>Mid</v>
      </c>
      <c r="AB638" t="str">
        <f>IF(H_A[[#This Row],[MonthlyIncome]]&lt;5000,"Low",IF(H_A[[#This Row],[MonthlyIncome]]&lt;10000,"Medium","High"))</f>
        <v>Low</v>
      </c>
      <c r="AC638" t="str">
        <f>IF(H_A[[#This Row],[YearsAtCompany]]&lt;3,"Early",IF(H_A[[#This Row],[YearsAtCompany]]&lt;7,"Mid","Long"))</f>
        <v>Long</v>
      </c>
      <c r="AD638" t="str">
        <f>IF(H_A[[#This Row],[PercentSalaryHike]]&lt;13,"Low",IF(H_A[[#This Row],[PercentSalaryHike]]&lt;18,"Medium","High"))</f>
        <v>High</v>
      </c>
    </row>
    <row r="639" spans="1:30" x14ac:dyDescent="0.3">
      <c r="A639">
        <v>32</v>
      </c>
      <c r="B639">
        <v>882</v>
      </c>
      <c r="C639" t="s">
        <v>36</v>
      </c>
      <c r="D639" t="s">
        <v>37</v>
      </c>
      <c r="E639">
        <v>1</v>
      </c>
      <c r="F639">
        <v>3</v>
      </c>
      <c r="G639" t="s">
        <v>32</v>
      </c>
      <c r="H639">
        <v>4</v>
      </c>
      <c r="I639" t="s">
        <v>38</v>
      </c>
      <c r="J639">
        <v>3</v>
      </c>
      <c r="K639">
        <v>1</v>
      </c>
      <c r="L639" t="s">
        <v>42</v>
      </c>
      <c r="M639">
        <v>4</v>
      </c>
      <c r="N639" t="s">
        <v>44</v>
      </c>
      <c r="O639">
        <v>2314</v>
      </c>
      <c r="P639">
        <v>0</v>
      </c>
      <c r="Q639" t="s">
        <v>36</v>
      </c>
      <c r="R639">
        <v>2</v>
      </c>
      <c r="S639">
        <v>4</v>
      </c>
      <c r="T639">
        <v>3</v>
      </c>
      <c r="U639">
        <v>3</v>
      </c>
      <c r="V639">
        <v>0</v>
      </c>
      <c r="W639">
        <v>0</v>
      </c>
      <c r="X639">
        <v>2</v>
      </c>
      <c r="Y639">
        <v>12</v>
      </c>
      <c r="Z639">
        <f>IF(H_A[[#This Row],[Attrition]]="Yes",1,0)</f>
        <v>0</v>
      </c>
      <c r="AA639" t="str">
        <f>IF(H_A[[#This Row],[Age]]&lt;30,"Young",IF(H_A[[#This Row],[Age]]&lt;45,"Mid","Senior"))</f>
        <v>Mid</v>
      </c>
      <c r="AB639" t="str">
        <f>IF(H_A[[#This Row],[MonthlyIncome]]&lt;5000,"Low",IF(H_A[[#This Row],[MonthlyIncome]]&lt;10000,"Medium","High"))</f>
        <v>Low</v>
      </c>
      <c r="AC639" t="str">
        <f>IF(H_A[[#This Row],[YearsAtCompany]]&lt;3,"Early",IF(H_A[[#This Row],[YearsAtCompany]]&lt;7,"Mid","Long"))</f>
        <v>Mid</v>
      </c>
      <c r="AD639" t="str">
        <f>IF(H_A[[#This Row],[PercentSalaryHike]]&lt;13,"Low",IF(H_A[[#This Row],[PercentSalaryHike]]&lt;18,"Medium","High"))</f>
        <v>Low</v>
      </c>
    </row>
    <row r="640" spans="1:30" x14ac:dyDescent="0.3">
      <c r="A640">
        <v>25</v>
      </c>
      <c r="B640">
        <v>885</v>
      </c>
      <c r="C640" t="s">
        <v>36</v>
      </c>
      <c r="D640" t="s">
        <v>31</v>
      </c>
      <c r="E640">
        <v>4</v>
      </c>
      <c r="F640">
        <v>1</v>
      </c>
      <c r="G640" t="s">
        <v>50</v>
      </c>
      <c r="H640">
        <v>3</v>
      </c>
      <c r="I640" t="s">
        <v>38</v>
      </c>
      <c r="J640">
        <v>2</v>
      </c>
      <c r="K640">
        <v>2</v>
      </c>
      <c r="L640" t="s">
        <v>34</v>
      </c>
      <c r="M640">
        <v>1</v>
      </c>
      <c r="N640" t="s">
        <v>40</v>
      </c>
      <c r="O640">
        <v>4256</v>
      </c>
      <c r="P640">
        <v>1</v>
      </c>
      <c r="Q640" t="s">
        <v>36</v>
      </c>
      <c r="R640">
        <v>1</v>
      </c>
      <c r="S640">
        <v>5</v>
      </c>
      <c r="T640">
        <v>4</v>
      </c>
      <c r="U640">
        <v>5</v>
      </c>
      <c r="V640">
        <v>2</v>
      </c>
      <c r="W640">
        <v>0</v>
      </c>
      <c r="X640">
        <v>3</v>
      </c>
      <c r="Y640">
        <v>12</v>
      </c>
      <c r="Z640">
        <f>IF(H_A[[#This Row],[Attrition]]="Yes",1,0)</f>
        <v>0</v>
      </c>
      <c r="AA640" t="str">
        <f>IF(H_A[[#This Row],[Age]]&lt;30,"Young",IF(H_A[[#This Row],[Age]]&lt;45,"Mid","Senior"))</f>
        <v>Young</v>
      </c>
      <c r="AB640" t="str">
        <f>IF(H_A[[#This Row],[MonthlyIncome]]&lt;5000,"Low",IF(H_A[[#This Row],[MonthlyIncome]]&lt;10000,"Medium","High"))</f>
        <v>Low</v>
      </c>
      <c r="AC640" t="str">
        <f>IF(H_A[[#This Row],[YearsAtCompany]]&lt;3,"Early",IF(H_A[[#This Row],[YearsAtCompany]]&lt;7,"Mid","Long"))</f>
        <v>Mid</v>
      </c>
      <c r="AD640" t="str">
        <f>IF(H_A[[#This Row],[PercentSalaryHike]]&lt;13,"Low",IF(H_A[[#This Row],[PercentSalaryHike]]&lt;18,"Medium","High"))</f>
        <v>Low</v>
      </c>
    </row>
    <row r="641" spans="1:30" x14ac:dyDescent="0.3">
      <c r="A641">
        <v>49</v>
      </c>
      <c r="B641">
        <v>887</v>
      </c>
      <c r="C641" t="s">
        <v>36</v>
      </c>
      <c r="D641" t="s">
        <v>37</v>
      </c>
      <c r="E641">
        <v>1</v>
      </c>
      <c r="F641">
        <v>3</v>
      </c>
      <c r="G641" t="s">
        <v>51</v>
      </c>
      <c r="H641">
        <v>3</v>
      </c>
      <c r="I641" t="s">
        <v>33</v>
      </c>
      <c r="J641">
        <v>3</v>
      </c>
      <c r="K641">
        <v>1</v>
      </c>
      <c r="L641" t="s">
        <v>39</v>
      </c>
      <c r="M641">
        <v>1</v>
      </c>
      <c r="N641" t="s">
        <v>40</v>
      </c>
      <c r="O641">
        <v>3580</v>
      </c>
      <c r="P641">
        <v>2</v>
      </c>
      <c r="Q641" t="s">
        <v>36</v>
      </c>
      <c r="R641">
        <v>2</v>
      </c>
      <c r="S641">
        <v>7</v>
      </c>
      <c r="T641">
        <v>3</v>
      </c>
      <c r="U641">
        <v>4</v>
      </c>
      <c r="V641">
        <v>2</v>
      </c>
      <c r="W641">
        <v>0</v>
      </c>
      <c r="X641">
        <v>2</v>
      </c>
      <c r="Y641">
        <v>16</v>
      </c>
      <c r="Z641">
        <f>IF(H_A[[#This Row],[Attrition]]="Yes",1,0)</f>
        <v>0</v>
      </c>
      <c r="AA641" t="str">
        <f>IF(H_A[[#This Row],[Age]]&lt;30,"Young",IF(H_A[[#This Row],[Age]]&lt;45,"Mid","Senior"))</f>
        <v>Senior</v>
      </c>
      <c r="AB641" t="str">
        <f>IF(H_A[[#This Row],[MonthlyIncome]]&lt;5000,"Low",IF(H_A[[#This Row],[MonthlyIncome]]&lt;10000,"Medium","High"))</f>
        <v>Low</v>
      </c>
      <c r="AC641" t="str">
        <f>IF(H_A[[#This Row],[YearsAtCompany]]&lt;3,"Early",IF(H_A[[#This Row],[YearsAtCompany]]&lt;7,"Mid","Long"))</f>
        <v>Mid</v>
      </c>
      <c r="AD641" t="str">
        <f>IF(H_A[[#This Row],[PercentSalaryHike]]&lt;13,"Low",IF(H_A[[#This Row],[PercentSalaryHike]]&lt;18,"Medium","High"))</f>
        <v>Medium</v>
      </c>
    </row>
    <row r="642" spans="1:30" x14ac:dyDescent="0.3">
      <c r="A642">
        <v>24</v>
      </c>
      <c r="B642">
        <v>888</v>
      </c>
      <c r="C642" t="s">
        <v>36</v>
      </c>
      <c r="D642" t="s">
        <v>37</v>
      </c>
      <c r="E642">
        <v>4</v>
      </c>
      <c r="F642">
        <v>1</v>
      </c>
      <c r="G642" t="s">
        <v>32</v>
      </c>
      <c r="H642">
        <v>1</v>
      </c>
      <c r="I642" t="s">
        <v>38</v>
      </c>
      <c r="J642">
        <v>2</v>
      </c>
      <c r="K642">
        <v>1</v>
      </c>
      <c r="L642" t="s">
        <v>42</v>
      </c>
      <c r="M642">
        <v>4</v>
      </c>
      <c r="N642" t="s">
        <v>40</v>
      </c>
      <c r="O642">
        <v>3162</v>
      </c>
      <c r="P642">
        <v>0</v>
      </c>
      <c r="Q642" t="s">
        <v>36</v>
      </c>
      <c r="R642">
        <v>4</v>
      </c>
      <c r="S642">
        <v>6</v>
      </c>
      <c r="T642">
        <v>2</v>
      </c>
      <c r="U642">
        <v>5</v>
      </c>
      <c r="V642">
        <v>2</v>
      </c>
      <c r="W642">
        <v>3</v>
      </c>
      <c r="X642">
        <v>4</v>
      </c>
      <c r="Y642">
        <v>17</v>
      </c>
      <c r="Z642">
        <f>IF(H_A[[#This Row],[Attrition]]="Yes",1,0)</f>
        <v>0</v>
      </c>
      <c r="AA642" t="str">
        <f>IF(H_A[[#This Row],[Age]]&lt;30,"Young",IF(H_A[[#This Row],[Age]]&lt;45,"Mid","Senior"))</f>
        <v>Young</v>
      </c>
      <c r="AB642" t="str">
        <f>IF(H_A[[#This Row],[MonthlyIncome]]&lt;5000,"Low",IF(H_A[[#This Row],[MonthlyIncome]]&lt;10000,"Medium","High"))</f>
        <v>Low</v>
      </c>
      <c r="AC642" t="str">
        <f>IF(H_A[[#This Row],[YearsAtCompany]]&lt;3,"Early",IF(H_A[[#This Row],[YearsAtCompany]]&lt;7,"Mid","Long"))</f>
        <v>Mid</v>
      </c>
      <c r="AD642" t="str">
        <f>IF(H_A[[#This Row],[PercentSalaryHike]]&lt;13,"Low",IF(H_A[[#This Row],[PercentSalaryHike]]&lt;18,"Medium","High"))</f>
        <v>Medium</v>
      </c>
    </row>
    <row r="643" spans="1:30" x14ac:dyDescent="0.3">
      <c r="A643">
        <v>32</v>
      </c>
      <c r="B643">
        <v>889</v>
      </c>
      <c r="C643" t="s">
        <v>36</v>
      </c>
      <c r="D643" t="s">
        <v>31</v>
      </c>
      <c r="E643">
        <v>5</v>
      </c>
      <c r="F643">
        <v>2</v>
      </c>
      <c r="G643" t="s">
        <v>32</v>
      </c>
      <c r="H643">
        <v>2</v>
      </c>
      <c r="I643" t="s">
        <v>38</v>
      </c>
      <c r="J643">
        <v>3</v>
      </c>
      <c r="K643">
        <v>2</v>
      </c>
      <c r="L643" t="s">
        <v>34</v>
      </c>
      <c r="M643">
        <v>2</v>
      </c>
      <c r="N643" t="s">
        <v>40</v>
      </c>
      <c r="O643">
        <v>6524</v>
      </c>
      <c r="P643">
        <v>1</v>
      </c>
      <c r="Q643" t="s">
        <v>36</v>
      </c>
      <c r="R643">
        <v>4</v>
      </c>
      <c r="S643">
        <v>10</v>
      </c>
      <c r="T643">
        <v>3</v>
      </c>
      <c r="U643">
        <v>10</v>
      </c>
      <c r="V643">
        <v>8</v>
      </c>
      <c r="W643">
        <v>5</v>
      </c>
      <c r="X643">
        <v>3</v>
      </c>
      <c r="Y643">
        <v>14</v>
      </c>
      <c r="Z643">
        <f>IF(H_A[[#This Row],[Attrition]]="Yes",1,0)</f>
        <v>0</v>
      </c>
      <c r="AA643" t="str">
        <f>IF(H_A[[#This Row],[Age]]&lt;30,"Young",IF(H_A[[#This Row],[Age]]&lt;45,"Mid","Senior"))</f>
        <v>Mid</v>
      </c>
      <c r="AB643" t="str">
        <f>IF(H_A[[#This Row],[MonthlyIncome]]&lt;5000,"Low",IF(H_A[[#This Row],[MonthlyIncome]]&lt;10000,"Medium","High"))</f>
        <v>Medium</v>
      </c>
      <c r="AC643" t="str">
        <f>IF(H_A[[#This Row],[YearsAtCompany]]&lt;3,"Early",IF(H_A[[#This Row],[YearsAtCompany]]&lt;7,"Mid","Long"))</f>
        <v>Long</v>
      </c>
      <c r="AD643" t="str">
        <f>IF(H_A[[#This Row],[PercentSalaryHike]]&lt;13,"Low",IF(H_A[[#This Row],[PercentSalaryHike]]&lt;18,"Medium","High"))</f>
        <v>Medium</v>
      </c>
    </row>
    <row r="644" spans="1:30" x14ac:dyDescent="0.3">
      <c r="A644">
        <v>38</v>
      </c>
      <c r="B644">
        <v>893</v>
      </c>
      <c r="C644" t="s">
        <v>36</v>
      </c>
      <c r="D644" t="s">
        <v>31</v>
      </c>
      <c r="E644">
        <v>9</v>
      </c>
      <c r="F644">
        <v>3</v>
      </c>
      <c r="G644" t="s">
        <v>50</v>
      </c>
      <c r="H644">
        <v>2</v>
      </c>
      <c r="I644" t="s">
        <v>38</v>
      </c>
      <c r="J644">
        <v>2</v>
      </c>
      <c r="K644">
        <v>1</v>
      </c>
      <c r="L644" t="s">
        <v>48</v>
      </c>
      <c r="M644">
        <v>2</v>
      </c>
      <c r="N644" t="s">
        <v>40</v>
      </c>
      <c r="O644">
        <v>2899</v>
      </c>
      <c r="P644">
        <v>0</v>
      </c>
      <c r="Q644" t="s">
        <v>36</v>
      </c>
      <c r="R644">
        <v>4</v>
      </c>
      <c r="S644">
        <v>3</v>
      </c>
      <c r="T644">
        <v>3</v>
      </c>
      <c r="U644">
        <v>2</v>
      </c>
      <c r="V644">
        <v>2</v>
      </c>
      <c r="W644">
        <v>1</v>
      </c>
      <c r="X644">
        <v>2</v>
      </c>
      <c r="Y644">
        <v>19</v>
      </c>
      <c r="Z644">
        <f>IF(H_A[[#This Row],[Attrition]]="Yes",1,0)</f>
        <v>0</v>
      </c>
      <c r="AA644" t="str">
        <f>IF(H_A[[#This Row],[Age]]&lt;30,"Young",IF(H_A[[#This Row],[Age]]&lt;45,"Mid","Senior"))</f>
        <v>Mid</v>
      </c>
      <c r="AB644" t="str">
        <f>IF(H_A[[#This Row],[MonthlyIncome]]&lt;5000,"Low",IF(H_A[[#This Row],[MonthlyIncome]]&lt;10000,"Medium","High"))</f>
        <v>Low</v>
      </c>
      <c r="AC644" t="str">
        <f>IF(H_A[[#This Row],[YearsAtCompany]]&lt;3,"Early",IF(H_A[[#This Row],[YearsAtCompany]]&lt;7,"Mid","Long"))</f>
        <v>Early</v>
      </c>
      <c r="AD644" t="str">
        <f>IF(H_A[[#This Row],[PercentSalaryHike]]&lt;13,"Low",IF(H_A[[#This Row],[PercentSalaryHike]]&lt;18,"Medium","High"))</f>
        <v>High</v>
      </c>
    </row>
    <row r="645" spans="1:30" x14ac:dyDescent="0.3">
      <c r="A645">
        <v>42</v>
      </c>
      <c r="B645">
        <v>894</v>
      </c>
      <c r="C645" t="s">
        <v>36</v>
      </c>
      <c r="D645" t="s">
        <v>37</v>
      </c>
      <c r="E645">
        <v>3</v>
      </c>
      <c r="F645">
        <v>3</v>
      </c>
      <c r="G645" t="s">
        <v>32</v>
      </c>
      <c r="H645">
        <v>3</v>
      </c>
      <c r="I645" t="s">
        <v>33</v>
      </c>
      <c r="J645">
        <v>4</v>
      </c>
      <c r="K645">
        <v>2</v>
      </c>
      <c r="L645" t="s">
        <v>42</v>
      </c>
      <c r="M645">
        <v>4</v>
      </c>
      <c r="N645" t="s">
        <v>40</v>
      </c>
      <c r="O645">
        <v>5231</v>
      </c>
      <c r="P645">
        <v>2</v>
      </c>
      <c r="Q645" t="s">
        <v>30</v>
      </c>
      <c r="R645">
        <v>2</v>
      </c>
      <c r="S645">
        <v>17</v>
      </c>
      <c r="T645">
        <v>2</v>
      </c>
      <c r="U645">
        <v>5</v>
      </c>
      <c r="V645">
        <v>3</v>
      </c>
      <c r="W645">
        <v>1</v>
      </c>
      <c r="X645">
        <v>3</v>
      </c>
      <c r="Y645">
        <v>13</v>
      </c>
      <c r="Z645">
        <f>IF(H_A[[#This Row],[Attrition]]="Yes",1,0)</f>
        <v>0</v>
      </c>
      <c r="AA645" t="str">
        <f>IF(H_A[[#This Row],[Age]]&lt;30,"Young",IF(H_A[[#This Row],[Age]]&lt;45,"Mid","Senior"))</f>
        <v>Mid</v>
      </c>
      <c r="AB645" t="str">
        <f>IF(H_A[[#This Row],[MonthlyIncome]]&lt;5000,"Low",IF(H_A[[#This Row],[MonthlyIncome]]&lt;10000,"Medium","High"))</f>
        <v>Medium</v>
      </c>
      <c r="AC645" t="str">
        <f>IF(H_A[[#This Row],[YearsAtCompany]]&lt;3,"Early",IF(H_A[[#This Row],[YearsAtCompany]]&lt;7,"Mid","Long"))</f>
        <v>Mid</v>
      </c>
      <c r="AD645" t="str">
        <f>IF(H_A[[#This Row],[PercentSalaryHike]]&lt;13,"Low",IF(H_A[[#This Row],[PercentSalaryHike]]&lt;18,"Medium","High"))</f>
        <v>Medium</v>
      </c>
    </row>
    <row r="646" spans="1:30" x14ac:dyDescent="0.3">
      <c r="A646">
        <v>31</v>
      </c>
      <c r="B646">
        <v>895</v>
      </c>
      <c r="C646" t="s">
        <v>36</v>
      </c>
      <c r="D646" t="s">
        <v>37</v>
      </c>
      <c r="E646">
        <v>11</v>
      </c>
      <c r="F646">
        <v>4</v>
      </c>
      <c r="G646" t="s">
        <v>32</v>
      </c>
      <c r="H646">
        <v>4</v>
      </c>
      <c r="I646" t="s">
        <v>38</v>
      </c>
      <c r="J646">
        <v>3</v>
      </c>
      <c r="K646">
        <v>1</v>
      </c>
      <c r="L646" t="s">
        <v>39</v>
      </c>
      <c r="M646">
        <v>4</v>
      </c>
      <c r="N646" t="s">
        <v>40</v>
      </c>
      <c r="O646">
        <v>2356</v>
      </c>
      <c r="P646">
        <v>3</v>
      </c>
      <c r="Q646" t="s">
        <v>30</v>
      </c>
      <c r="R646">
        <v>2</v>
      </c>
      <c r="S646">
        <v>8</v>
      </c>
      <c r="T646">
        <v>3</v>
      </c>
      <c r="U646">
        <v>6</v>
      </c>
      <c r="V646">
        <v>4</v>
      </c>
      <c r="W646">
        <v>0</v>
      </c>
      <c r="X646">
        <v>2</v>
      </c>
      <c r="Y646">
        <v>19</v>
      </c>
      <c r="Z646">
        <f>IF(H_A[[#This Row],[Attrition]]="Yes",1,0)</f>
        <v>0</v>
      </c>
      <c r="AA646" t="str">
        <f>IF(H_A[[#This Row],[Age]]&lt;30,"Young",IF(H_A[[#This Row],[Age]]&lt;45,"Mid","Senior"))</f>
        <v>Mid</v>
      </c>
      <c r="AB646" t="str">
        <f>IF(H_A[[#This Row],[MonthlyIncome]]&lt;5000,"Low",IF(H_A[[#This Row],[MonthlyIncome]]&lt;10000,"Medium","High"))</f>
        <v>Low</v>
      </c>
      <c r="AC646" t="str">
        <f>IF(H_A[[#This Row],[YearsAtCompany]]&lt;3,"Early",IF(H_A[[#This Row],[YearsAtCompany]]&lt;7,"Mid","Long"))</f>
        <v>Mid</v>
      </c>
      <c r="AD646" t="str">
        <f>IF(H_A[[#This Row],[PercentSalaryHike]]&lt;13,"Low",IF(H_A[[#This Row],[PercentSalaryHike]]&lt;18,"Medium","High"))</f>
        <v>High</v>
      </c>
    </row>
    <row r="647" spans="1:30" x14ac:dyDescent="0.3">
      <c r="A647">
        <v>29</v>
      </c>
      <c r="B647">
        <v>896</v>
      </c>
      <c r="C647" t="s">
        <v>30</v>
      </c>
      <c r="D647" t="s">
        <v>31</v>
      </c>
      <c r="E647">
        <v>1</v>
      </c>
      <c r="F647">
        <v>3</v>
      </c>
      <c r="G647" t="s">
        <v>43</v>
      </c>
      <c r="H647">
        <v>2</v>
      </c>
      <c r="I647" t="s">
        <v>33</v>
      </c>
      <c r="J647">
        <v>2</v>
      </c>
      <c r="K647">
        <v>1</v>
      </c>
      <c r="L647" t="s">
        <v>48</v>
      </c>
      <c r="M647">
        <v>3</v>
      </c>
      <c r="N647" t="s">
        <v>44</v>
      </c>
      <c r="O647">
        <v>2800</v>
      </c>
      <c r="P647">
        <v>6</v>
      </c>
      <c r="Q647" t="s">
        <v>30</v>
      </c>
      <c r="R647">
        <v>3</v>
      </c>
      <c r="S647">
        <v>5</v>
      </c>
      <c r="T647">
        <v>3</v>
      </c>
      <c r="U647">
        <v>3</v>
      </c>
      <c r="V647">
        <v>2</v>
      </c>
      <c r="W647">
        <v>0</v>
      </c>
      <c r="X647">
        <v>2</v>
      </c>
      <c r="Y647">
        <v>19</v>
      </c>
      <c r="Z647">
        <f>IF(H_A[[#This Row],[Attrition]]="Yes",1,0)</f>
        <v>1</v>
      </c>
      <c r="AA647" t="str">
        <f>IF(H_A[[#This Row],[Age]]&lt;30,"Young",IF(H_A[[#This Row],[Age]]&lt;45,"Mid","Senior"))</f>
        <v>Young</v>
      </c>
      <c r="AB647" t="str">
        <f>IF(H_A[[#This Row],[MonthlyIncome]]&lt;5000,"Low",IF(H_A[[#This Row],[MonthlyIncome]]&lt;10000,"Medium","High"))</f>
        <v>Low</v>
      </c>
      <c r="AC647" t="str">
        <f>IF(H_A[[#This Row],[YearsAtCompany]]&lt;3,"Early",IF(H_A[[#This Row],[YearsAtCompany]]&lt;7,"Mid","Long"))</f>
        <v>Mid</v>
      </c>
      <c r="AD647" t="str">
        <f>IF(H_A[[#This Row],[PercentSalaryHike]]&lt;13,"Low",IF(H_A[[#This Row],[PercentSalaryHike]]&lt;18,"Medium","High"))</f>
        <v>High</v>
      </c>
    </row>
    <row r="648" spans="1:30" x14ac:dyDescent="0.3">
      <c r="A648">
        <v>53</v>
      </c>
      <c r="B648">
        <v>897</v>
      </c>
      <c r="C648" t="s">
        <v>36</v>
      </c>
      <c r="D648" t="s">
        <v>31</v>
      </c>
      <c r="E648">
        <v>8</v>
      </c>
      <c r="F648">
        <v>3</v>
      </c>
      <c r="G648" t="s">
        <v>50</v>
      </c>
      <c r="H648">
        <v>1</v>
      </c>
      <c r="I648" t="s">
        <v>38</v>
      </c>
      <c r="J648">
        <v>3</v>
      </c>
      <c r="K648">
        <v>4</v>
      </c>
      <c r="L648" t="s">
        <v>34</v>
      </c>
      <c r="M648">
        <v>4</v>
      </c>
      <c r="N648" t="s">
        <v>40</v>
      </c>
      <c r="O648">
        <v>11836</v>
      </c>
      <c r="P648">
        <v>5</v>
      </c>
      <c r="Q648" t="s">
        <v>36</v>
      </c>
      <c r="R648">
        <v>3</v>
      </c>
      <c r="S648">
        <v>28</v>
      </c>
      <c r="T648">
        <v>3</v>
      </c>
      <c r="U648">
        <v>2</v>
      </c>
      <c r="V648">
        <v>0</v>
      </c>
      <c r="W648">
        <v>2</v>
      </c>
      <c r="X648">
        <v>2</v>
      </c>
      <c r="Y648">
        <v>14</v>
      </c>
      <c r="Z648">
        <f>IF(H_A[[#This Row],[Attrition]]="Yes",1,0)</f>
        <v>0</v>
      </c>
      <c r="AA648" t="str">
        <f>IF(H_A[[#This Row],[Age]]&lt;30,"Young",IF(H_A[[#This Row],[Age]]&lt;45,"Mid","Senior"))</f>
        <v>Senior</v>
      </c>
      <c r="AB648" t="str">
        <f>IF(H_A[[#This Row],[MonthlyIncome]]&lt;5000,"Low",IF(H_A[[#This Row],[MonthlyIncome]]&lt;10000,"Medium","High"))</f>
        <v>High</v>
      </c>
      <c r="AC648" t="str">
        <f>IF(H_A[[#This Row],[YearsAtCompany]]&lt;3,"Early",IF(H_A[[#This Row],[YearsAtCompany]]&lt;7,"Mid","Long"))</f>
        <v>Early</v>
      </c>
      <c r="AD648" t="str">
        <f>IF(H_A[[#This Row],[PercentSalaryHike]]&lt;13,"Low",IF(H_A[[#This Row],[PercentSalaryHike]]&lt;18,"Medium","High"))</f>
        <v>Medium</v>
      </c>
    </row>
    <row r="649" spans="1:30" x14ac:dyDescent="0.3">
      <c r="A649">
        <v>35</v>
      </c>
      <c r="B649">
        <v>899</v>
      </c>
      <c r="C649" t="s">
        <v>36</v>
      </c>
      <c r="D649" t="s">
        <v>37</v>
      </c>
      <c r="E649">
        <v>25</v>
      </c>
      <c r="F649">
        <v>3</v>
      </c>
      <c r="G649" t="s">
        <v>51</v>
      </c>
      <c r="H649">
        <v>4</v>
      </c>
      <c r="I649" t="s">
        <v>38</v>
      </c>
      <c r="J649">
        <v>2</v>
      </c>
      <c r="K649">
        <v>3</v>
      </c>
      <c r="L649" t="s">
        <v>45</v>
      </c>
      <c r="M649">
        <v>2</v>
      </c>
      <c r="N649" t="s">
        <v>40</v>
      </c>
      <c r="O649">
        <v>10903</v>
      </c>
      <c r="P649">
        <v>3</v>
      </c>
      <c r="Q649" t="s">
        <v>36</v>
      </c>
      <c r="R649">
        <v>1</v>
      </c>
      <c r="S649">
        <v>16</v>
      </c>
      <c r="T649">
        <v>3</v>
      </c>
      <c r="U649">
        <v>13</v>
      </c>
      <c r="V649">
        <v>10</v>
      </c>
      <c r="W649">
        <v>4</v>
      </c>
      <c r="X649">
        <v>8</v>
      </c>
      <c r="Y649">
        <v>16</v>
      </c>
      <c r="Z649">
        <f>IF(H_A[[#This Row],[Attrition]]="Yes",1,0)</f>
        <v>0</v>
      </c>
      <c r="AA649" t="str">
        <f>IF(H_A[[#This Row],[Age]]&lt;30,"Young",IF(H_A[[#This Row],[Age]]&lt;45,"Mid","Senior"))</f>
        <v>Mid</v>
      </c>
      <c r="AB649" t="str">
        <f>IF(H_A[[#This Row],[MonthlyIncome]]&lt;5000,"Low",IF(H_A[[#This Row],[MonthlyIncome]]&lt;10000,"Medium","High"))</f>
        <v>High</v>
      </c>
      <c r="AC649" t="str">
        <f>IF(H_A[[#This Row],[YearsAtCompany]]&lt;3,"Early",IF(H_A[[#This Row],[YearsAtCompany]]&lt;7,"Mid","Long"))</f>
        <v>Long</v>
      </c>
      <c r="AD649" t="str">
        <f>IF(H_A[[#This Row],[PercentSalaryHike]]&lt;13,"Low",IF(H_A[[#This Row],[PercentSalaryHike]]&lt;18,"Medium","High"))</f>
        <v>Medium</v>
      </c>
    </row>
    <row r="650" spans="1:30" x14ac:dyDescent="0.3">
      <c r="A650">
        <v>37</v>
      </c>
      <c r="B650">
        <v>900</v>
      </c>
      <c r="C650" t="s">
        <v>36</v>
      </c>
      <c r="D650" t="s">
        <v>31</v>
      </c>
      <c r="E650">
        <v>21</v>
      </c>
      <c r="F650">
        <v>2</v>
      </c>
      <c r="G650" t="s">
        <v>43</v>
      </c>
      <c r="H650">
        <v>3</v>
      </c>
      <c r="I650" t="s">
        <v>33</v>
      </c>
      <c r="J650">
        <v>3</v>
      </c>
      <c r="K650">
        <v>1</v>
      </c>
      <c r="L650" t="s">
        <v>48</v>
      </c>
      <c r="M650">
        <v>4</v>
      </c>
      <c r="N650" t="s">
        <v>40</v>
      </c>
      <c r="O650">
        <v>2973</v>
      </c>
      <c r="P650">
        <v>5</v>
      </c>
      <c r="Q650" t="s">
        <v>36</v>
      </c>
      <c r="R650">
        <v>2</v>
      </c>
      <c r="S650">
        <v>10</v>
      </c>
      <c r="T650">
        <v>3</v>
      </c>
      <c r="U650">
        <v>5</v>
      </c>
      <c r="V650">
        <v>4</v>
      </c>
      <c r="W650">
        <v>0</v>
      </c>
      <c r="X650">
        <v>0</v>
      </c>
      <c r="Y650">
        <v>15</v>
      </c>
      <c r="Z650">
        <f>IF(H_A[[#This Row],[Attrition]]="Yes",1,0)</f>
        <v>0</v>
      </c>
      <c r="AA650" t="str">
        <f>IF(H_A[[#This Row],[Age]]&lt;30,"Young",IF(H_A[[#This Row],[Age]]&lt;45,"Mid","Senior"))</f>
        <v>Mid</v>
      </c>
      <c r="AB650" t="str">
        <f>IF(H_A[[#This Row],[MonthlyIncome]]&lt;5000,"Low",IF(H_A[[#This Row],[MonthlyIncome]]&lt;10000,"Medium","High"))</f>
        <v>Low</v>
      </c>
      <c r="AC650" t="str">
        <f>IF(H_A[[#This Row],[YearsAtCompany]]&lt;3,"Early",IF(H_A[[#This Row],[YearsAtCompany]]&lt;7,"Mid","Long"))</f>
        <v>Mid</v>
      </c>
      <c r="AD650" t="str">
        <f>IF(H_A[[#This Row],[PercentSalaryHike]]&lt;13,"Low",IF(H_A[[#This Row],[PercentSalaryHike]]&lt;18,"Medium","High"))</f>
        <v>Medium</v>
      </c>
    </row>
    <row r="651" spans="1:30" x14ac:dyDescent="0.3">
      <c r="A651">
        <v>53</v>
      </c>
      <c r="B651">
        <v>901</v>
      </c>
      <c r="C651" t="s">
        <v>36</v>
      </c>
      <c r="D651" t="s">
        <v>37</v>
      </c>
      <c r="E651">
        <v>23</v>
      </c>
      <c r="F651">
        <v>4</v>
      </c>
      <c r="G651" t="s">
        <v>32</v>
      </c>
      <c r="H651">
        <v>4</v>
      </c>
      <c r="I651" t="s">
        <v>33</v>
      </c>
      <c r="J651">
        <v>3</v>
      </c>
      <c r="K651">
        <v>4</v>
      </c>
      <c r="L651" t="s">
        <v>49</v>
      </c>
      <c r="M651">
        <v>4</v>
      </c>
      <c r="N651" t="s">
        <v>35</v>
      </c>
      <c r="O651">
        <v>14275</v>
      </c>
      <c r="P651">
        <v>6</v>
      </c>
      <c r="Q651" t="s">
        <v>36</v>
      </c>
      <c r="R651">
        <v>3</v>
      </c>
      <c r="S651">
        <v>33</v>
      </c>
      <c r="T651">
        <v>3</v>
      </c>
      <c r="U651">
        <v>12</v>
      </c>
      <c r="V651">
        <v>9</v>
      </c>
      <c r="W651">
        <v>3</v>
      </c>
      <c r="X651">
        <v>8</v>
      </c>
      <c r="Y651">
        <v>18</v>
      </c>
      <c r="Z651">
        <f>IF(H_A[[#This Row],[Attrition]]="Yes",1,0)</f>
        <v>0</v>
      </c>
      <c r="AA651" t="str">
        <f>IF(H_A[[#This Row],[Age]]&lt;30,"Young",IF(H_A[[#This Row],[Age]]&lt;45,"Mid","Senior"))</f>
        <v>Senior</v>
      </c>
      <c r="AB651" t="str">
        <f>IF(H_A[[#This Row],[MonthlyIncome]]&lt;5000,"Low",IF(H_A[[#This Row],[MonthlyIncome]]&lt;10000,"Medium","High"))</f>
        <v>High</v>
      </c>
      <c r="AC651" t="str">
        <f>IF(H_A[[#This Row],[YearsAtCompany]]&lt;3,"Early",IF(H_A[[#This Row],[YearsAtCompany]]&lt;7,"Mid","Long"))</f>
        <v>Long</v>
      </c>
      <c r="AD651" t="str">
        <f>IF(H_A[[#This Row],[PercentSalaryHike]]&lt;13,"Low",IF(H_A[[#This Row],[PercentSalaryHike]]&lt;18,"Medium","High"))</f>
        <v>High</v>
      </c>
    </row>
    <row r="652" spans="1:30" x14ac:dyDescent="0.3">
      <c r="A652">
        <v>43</v>
      </c>
      <c r="B652">
        <v>902</v>
      </c>
      <c r="C652" t="s">
        <v>36</v>
      </c>
      <c r="D652" t="s">
        <v>37</v>
      </c>
      <c r="E652">
        <v>1</v>
      </c>
      <c r="F652">
        <v>3</v>
      </c>
      <c r="G652" t="s">
        <v>32</v>
      </c>
      <c r="H652">
        <v>4</v>
      </c>
      <c r="I652" t="s">
        <v>33</v>
      </c>
      <c r="J652">
        <v>3</v>
      </c>
      <c r="K652">
        <v>2</v>
      </c>
      <c r="L652" t="s">
        <v>46</v>
      </c>
      <c r="M652">
        <v>4</v>
      </c>
      <c r="N652" t="s">
        <v>40</v>
      </c>
      <c r="O652">
        <v>5562</v>
      </c>
      <c r="P652">
        <v>4</v>
      </c>
      <c r="Q652" t="s">
        <v>36</v>
      </c>
      <c r="R652">
        <v>2</v>
      </c>
      <c r="S652">
        <v>12</v>
      </c>
      <c r="T652">
        <v>2</v>
      </c>
      <c r="U652">
        <v>5</v>
      </c>
      <c r="V652">
        <v>2</v>
      </c>
      <c r="W652">
        <v>2</v>
      </c>
      <c r="X652">
        <v>2</v>
      </c>
      <c r="Y652">
        <v>13</v>
      </c>
      <c r="Z652">
        <f>IF(H_A[[#This Row],[Attrition]]="Yes",1,0)</f>
        <v>0</v>
      </c>
      <c r="AA652" t="str">
        <f>IF(H_A[[#This Row],[Age]]&lt;30,"Young",IF(H_A[[#This Row],[Age]]&lt;45,"Mid","Senior"))</f>
        <v>Mid</v>
      </c>
      <c r="AB652" t="str">
        <f>IF(H_A[[#This Row],[MonthlyIncome]]&lt;5000,"Low",IF(H_A[[#This Row],[MonthlyIncome]]&lt;10000,"Medium","High"))</f>
        <v>Medium</v>
      </c>
      <c r="AC652" t="str">
        <f>IF(H_A[[#This Row],[YearsAtCompany]]&lt;3,"Early",IF(H_A[[#This Row],[YearsAtCompany]]&lt;7,"Mid","Long"))</f>
        <v>Mid</v>
      </c>
      <c r="AD652" t="str">
        <f>IF(H_A[[#This Row],[PercentSalaryHike]]&lt;13,"Low",IF(H_A[[#This Row],[PercentSalaryHike]]&lt;18,"Medium","High"))</f>
        <v>Medium</v>
      </c>
    </row>
    <row r="653" spans="1:30" x14ac:dyDescent="0.3">
      <c r="A653">
        <v>47</v>
      </c>
      <c r="B653">
        <v>903</v>
      </c>
      <c r="C653" t="s">
        <v>36</v>
      </c>
      <c r="D653" t="s">
        <v>31</v>
      </c>
      <c r="E653">
        <v>2</v>
      </c>
      <c r="F653">
        <v>2</v>
      </c>
      <c r="G653" t="s">
        <v>50</v>
      </c>
      <c r="H653">
        <v>3</v>
      </c>
      <c r="I653" t="s">
        <v>33</v>
      </c>
      <c r="J653">
        <v>3</v>
      </c>
      <c r="K653">
        <v>2</v>
      </c>
      <c r="L653" t="s">
        <v>34</v>
      </c>
      <c r="M653">
        <v>4</v>
      </c>
      <c r="N653" t="s">
        <v>40</v>
      </c>
      <c r="O653">
        <v>4537</v>
      </c>
      <c r="P653">
        <v>0</v>
      </c>
      <c r="Q653" t="s">
        <v>30</v>
      </c>
      <c r="R653">
        <v>1</v>
      </c>
      <c r="S653">
        <v>8</v>
      </c>
      <c r="T653">
        <v>3</v>
      </c>
      <c r="U653">
        <v>7</v>
      </c>
      <c r="V653">
        <v>6</v>
      </c>
      <c r="W653">
        <v>7</v>
      </c>
      <c r="X653">
        <v>7</v>
      </c>
      <c r="Y653">
        <v>22</v>
      </c>
      <c r="Z653">
        <f>IF(H_A[[#This Row],[Attrition]]="Yes",1,0)</f>
        <v>0</v>
      </c>
      <c r="AA653" t="str">
        <f>IF(H_A[[#This Row],[Age]]&lt;30,"Young",IF(H_A[[#This Row],[Age]]&lt;45,"Mid","Senior"))</f>
        <v>Senior</v>
      </c>
      <c r="AB653" t="str">
        <f>IF(H_A[[#This Row],[MonthlyIncome]]&lt;5000,"Low",IF(H_A[[#This Row],[MonthlyIncome]]&lt;10000,"Medium","High"))</f>
        <v>Low</v>
      </c>
      <c r="AC653" t="str">
        <f>IF(H_A[[#This Row],[YearsAtCompany]]&lt;3,"Early",IF(H_A[[#This Row],[YearsAtCompany]]&lt;7,"Mid","Long"))</f>
        <v>Long</v>
      </c>
      <c r="AD653" t="str">
        <f>IF(H_A[[#This Row],[PercentSalaryHike]]&lt;13,"Low",IF(H_A[[#This Row],[PercentSalaryHike]]&lt;18,"Medium","High"))</f>
        <v>High</v>
      </c>
    </row>
    <row r="654" spans="1:30" x14ac:dyDescent="0.3">
      <c r="A654">
        <v>37</v>
      </c>
      <c r="B654">
        <v>904</v>
      </c>
      <c r="C654" t="s">
        <v>36</v>
      </c>
      <c r="D654" t="s">
        <v>31</v>
      </c>
      <c r="E654">
        <v>19</v>
      </c>
      <c r="F654">
        <v>2</v>
      </c>
      <c r="G654" t="s">
        <v>43</v>
      </c>
      <c r="H654">
        <v>1</v>
      </c>
      <c r="I654" t="s">
        <v>38</v>
      </c>
      <c r="J654">
        <v>3</v>
      </c>
      <c r="K654">
        <v>3</v>
      </c>
      <c r="L654" t="s">
        <v>34</v>
      </c>
      <c r="M654">
        <v>2</v>
      </c>
      <c r="N654" t="s">
        <v>35</v>
      </c>
      <c r="O654">
        <v>7642</v>
      </c>
      <c r="P654">
        <v>1</v>
      </c>
      <c r="Q654" t="s">
        <v>30</v>
      </c>
      <c r="R654">
        <v>4</v>
      </c>
      <c r="S654">
        <v>10</v>
      </c>
      <c r="T654">
        <v>3</v>
      </c>
      <c r="U654">
        <v>10</v>
      </c>
      <c r="V654">
        <v>0</v>
      </c>
      <c r="W654">
        <v>0</v>
      </c>
      <c r="X654">
        <v>9</v>
      </c>
      <c r="Y654">
        <v>13</v>
      </c>
      <c r="Z654">
        <f>IF(H_A[[#This Row],[Attrition]]="Yes",1,0)</f>
        <v>0</v>
      </c>
      <c r="AA654" t="str">
        <f>IF(H_A[[#This Row],[Age]]&lt;30,"Young",IF(H_A[[#This Row],[Age]]&lt;45,"Mid","Senior"))</f>
        <v>Mid</v>
      </c>
      <c r="AB654" t="str">
        <f>IF(H_A[[#This Row],[MonthlyIncome]]&lt;5000,"Low",IF(H_A[[#This Row],[MonthlyIncome]]&lt;10000,"Medium","High"))</f>
        <v>Medium</v>
      </c>
      <c r="AC654" t="str">
        <f>IF(H_A[[#This Row],[YearsAtCompany]]&lt;3,"Early",IF(H_A[[#This Row],[YearsAtCompany]]&lt;7,"Mid","Long"))</f>
        <v>Long</v>
      </c>
      <c r="AD654" t="str">
        <f>IF(H_A[[#This Row],[PercentSalaryHike]]&lt;13,"Low",IF(H_A[[#This Row],[PercentSalaryHike]]&lt;18,"Medium","High"))</f>
        <v>Medium</v>
      </c>
    </row>
    <row r="655" spans="1:30" x14ac:dyDescent="0.3">
      <c r="A655">
        <v>50</v>
      </c>
      <c r="B655">
        <v>905</v>
      </c>
      <c r="C655" t="s">
        <v>36</v>
      </c>
      <c r="D655" t="s">
        <v>37</v>
      </c>
      <c r="E655">
        <v>2</v>
      </c>
      <c r="F655">
        <v>4</v>
      </c>
      <c r="G655" t="s">
        <v>32</v>
      </c>
      <c r="H655">
        <v>1</v>
      </c>
      <c r="I655" t="s">
        <v>38</v>
      </c>
      <c r="J655">
        <v>3</v>
      </c>
      <c r="K655">
        <v>4</v>
      </c>
      <c r="L655" t="s">
        <v>47</v>
      </c>
      <c r="M655">
        <v>1</v>
      </c>
      <c r="N655" t="s">
        <v>44</v>
      </c>
      <c r="O655">
        <v>17924</v>
      </c>
      <c r="P655">
        <v>1</v>
      </c>
      <c r="Q655" t="s">
        <v>36</v>
      </c>
      <c r="R655">
        <v>4</v>
      </c>
      <c r="S655">
        <v>31</v>
      </c>
      <c r="T655">
        <v>3</v>
      </c>
      <c r="U655">
        <v>31</v>
      </c>
      <c r="V655">
        <v>6</v>
      </c>
      <c r="W655">
        <v>14</v>
      </c>
      <c r="X655">
        <v>7</v>
      </c>
      <c r="Y655">
        <v>11</v>
      </c>
      <c r="Z655">
        <f>IF(H_A[[#This Row],[Attrition]]="Yes",1,0)</f>
        <v>0</v>
      </c>
      <c r="AA655" t="str">
        <f>IF(H_A[[#This Row],[Age]]&lt;30,"Young",IF(H_A[[#This Row],[Age]]&lt;45,"Mid","Senior"))</f>
        <v>Senior</v>
      </c>
      <c r="AB655" t="str">
        <f>IF(H_A[[#This Row],[MonthlyIncome]]&lt;5000,"Low",IF(H_A[[#This Row],[MonthlyIncome]]&lt;10000,"Medium","High"))</f>
        <v>High</v>
      </c>
      <c r="AC655" t="str">
        <f>IF(H_A[[#This Row],[YearsAtCompany]]&lt;3,"Early",IF(H_A[[#This Row],[YearsAtCompany]]&lt;7,"Mid","Long"))</f>
        <v>Long</v>
      </c>
      <c r="AD655" t="str">
        <f>IF(H_A[[#This Row],[PercentSalaryHike]]&lt;13,"Low",IF(H_A[[#This Row],[PercentSalaryHike]]&lt;18,"Medium","High"))</f>
        <v>Low</v>
      </c>
    </row>
    <row r="656" spans="1:30" x14ac:dyDescent="0.3">
      <c r="A656">
        <v>39</v>
      </c>
      <c r="B656">
        <v>909</v>
      </c>
      <c r="C656" t="s">
        <v>36</v>
      </c>
      <c r="D656" t="s">
        <v>52</v>
      </c>
      <c r="E656">
        <v>2</v>
      </c>
      <c r="F656">
        <v>3</v>
      </c>
      <c r="G656" t="s">
        <v>32</v>
      </c>
      <c r="H656">
        <v>4</v>
      </c>
      <c r="I656" t="s">
        <v>33</v>
      </c>
      <c r="J656">
        <v>2</v>
      </c>
      <c r="K656">
        <v>2</v>
      </c>
      <c r="L656" t="s">
        <v>52</v>
      </c>
      <c r="M656">
        <v>4</v>
      </c>
      <c r="N656" t="s">
        <v>40</v>
      </c>
      <c r="O656">
        <v>5204</v>
      </c>
      <c r="P656">
        <v>8</v>
      </c>
      <c r="Q656" t="s">
        <v>36</v>
      </c>
      <c r="R656">
        <v>3</v>
      </c>
      <c r="S656">
        <v>13</v>
      </c>
      <c r="T656">
        <v>3</v>
      </c>
      <c r="U656">
        <v>5</v>
      </c>
      <c r="V656">
        <v>4</v>
      </c>
      <c r="W656">
        <v>0</v>
      </c>
      <c r="X656">
        <v>4</v>
      </c>
      <c r="Y656">
        <v>11</v>
      </c>
      <c r="Z656">
        <f>IF(H_A[[#This Row],[Attrition]]="Yes",1,0)</f>
        <v>0</v>
      </c>
      <c r="AA656" t="str">
        <f>IF(H_A[[#This Row],[Age]]&lt;30,"Young",IF(H_A[[#This Row],[Age]]&lt;45,"Mid","Senior"))</f>
        <v>Mid</v>
      </c>
      <c r="AB656" t="str">
        <f>IF(H_A[[#This Row],[MonthlyIncome]]&lt;5000,"Low",IF(H_A[[#This Row],[MonthlyIncome]]&lt;10000,"Medium","High"))</f>
        <v>Medium</v>
      </c>
      <c r="AC656" t="str">
        <f>IF(H_A[[#This Row],[YearsAtCompany]]&lt;3,"Early",IF(H_A[[#This Row],[YearsAtCompany]]&lt;7,"Mid","Long"))</f>
        <v>Mid</v>
      </c>
      <c r="AD656" t="str">
        <f>IF(H_A[[#This Row],[PercentSalaryHike]]&lt;13,"Low",IF(H_A[[#This Row],[PercentSalaryHike]]&lt;18,"Medium","High"))</f>
        <v>Low</v>
      </c>
    </row>
    <row r="657" spans="1:30" x14ac:dyDescent="0.3">
      <c r="A657">
        <v>33</v>
      </c>
      <c r="B657">
        <v>910</v>
      </c>
      <c r="C657" t="s">
        <v>36</v>
      </c>
      <c r="D657" t="s">
        <v>52</v>
      </c>
      <c r="E657">
        <v>3</v>
      </c>
      <c r="F657">
        <v>2</v>
      </c>
      <c r="G657" t="s">
        <v>52</v>
      </c>
      <c r="H657">
        <v>4</v>
      </c>
      <c r="I657" t="s">
        <v>38</v>
      </c>
      <c r="J657">
        <v>3</v>
      </c>
      <c r="K657">
        <v>1</v>
      </c>
      <c r="L657" t="s">
        <v>52</v>
      </c>
      <c r="M657">
        <v>2</v>
      </c>
      <c r="N657" t="s">
        <v>44</v>
      </c>
      <c r="O657">
        <v>2277</v>
      </c>
      <c r="P657">
        <v>3</v>
      </c>
      <c r="Q657" t="s">
        <v>30</v>
      </c>
      <c r="R657">
        <v>3</v>
      </c>
      <c r="S657">
        <v>7</v>
      </c>
      <c r="T657">
        <v>4</v>
      </c>
      <c r="U657">
        <v>4</v>
      </c>
      <c r="V657">
        <v>3</v>
      </c>
      <c r="W657">
        <v>0</v>
      </c>
      <c r="X657">
        <v>3</v>
      </c>
      <c r="Y657">
        <v>11</v>
      </c>
      <c r="Z657">
        <f>IF(H_A[[#This Row],[Attrition]]="Yes",1,0)</f>
        <v>0</v>
      </c>
      <c r="AA657" t="str">
        <f>IF(H_A[[#This Row],[Age]]&lt;30,"Young",IF(H_A[[#This Row],[Age]]&lt;45,"Mid","Senior"))</f>
        <v>Mid</v>
      </c>
      <c r="AB657" t="str">
        <f>IF(H_A[[#This Row],[MonthlyIncome]]&lt;5000,"Low",IF(H_A[[#This Row],[MonthlyIncome]]&lt;10000,"Medium","High"))</f>
        <v>Low</v>
      </c>
      <c r="AC657" t="str">
        <f>IF(H_A[[#This Row],[YearsAtCompany]]&lt;3,"Early",IF(H_A[[#This Row],[YearsAtCompany]]&lt;7,"Mid","Long"))</f>
        <v>Mid</v>
      </c>
      <c r="AD657" t="str">
        <f>IF(H_A[[#This Row],[PercentSalaryHike]]&lt;13,"Low",IF(H_A[[#This Row],[PercentSalaryHike]]&lt;18,"Medium","High"))</f>
        <v>Low</v>
      </c>
    </row>
    <row r="658" spans="1:30" x14ac:dyDescent="0.3">
      <c r="A658">
        <v>32</v>
      </c>
      <c r="B658">
        <v>911</v>
      </c>
      <c r="C658" t="s">
        <v>30</v>
      </c>
      <c r="D658" t="s">
        <v>37</v>
      </c>
      <c r="E658">
        <v>25</v>
      </c>
      <c r="F658">
        <v>4</v>
      </c>
      <c r="G658" t="s">
        <v>32</v>
      </c>
      <c r="H658">
        <v>1</v>
      </c>
      <c r="I658" t="s">
        <v>38</v>
      </c>
      <c r="J658">
        <v>3</v>
      </c>
      <c r="K658">
        <v>1</v>
      </c>
      <c r="L658" t="s">
        <v>42</v>
      </c>
      <c r="M658">
        <v>4</v>
      </c>
      <c r="N658" t="s">
        <v>35</v>
      </c>
      <c r="O658">
        <v>2795</v>
      </c>
      <c r="P658">
        <v>1</v>
      </c>
      <c r="Q658" t="s">
        <v>30</v>
      </c>
      <c r="R658">
        <v>3</v>
      </c>
      <c r="S658">
        <v>1</v>
      </c>
      <c r="T658">
        <v>1</v>
      </c>
      <c r="U658">
        <v>1</v>
      </c>
      <c r="V658">
        <v>0</v>
      </c>
      <c r="W658">
        <v>0</v>
      </c>
      <c r="X658">
        <v>1</v>
      </c>
      <c r="Y658">
        <v>24</v>
      </c>
      <c r="Z658">
        <f>IF(H_A[[#This Row],[Attrition]]="Yes",1,0)</f>
        <v>1</v>
      </c>
      <c r="AA658" t="str">
        <f>IF(H_A[[#This Row],[Age]]&lt;30,"Young",IF(H_A[[#This Row],[Age]]&lt;45,"Mid","Senior"))</f>
        <v>Mid</v>
      </c>
      <c r="AB658" t="str">
        <f>IF(H_A[[#This Row],[MonthlyIncome]]&lt;5000,"Low",IF(H_A[[#This Row],[MonthlyIncome]]&lt;10000,"Medium","High"))</f>
        <v>Low</v>
      </c>
      <c r="AC658" t="str">
        <f>IF(H_A[[#This Row],[YearsAtCompany]]&lt;3,"Early",IF(H_A[[#This Row],[YearsAtCompany]]&lt;7,"Mid","Long"))</f>
        <v>Early</v>
      </c>
      <c r="AD658" t="str">
        <f>IF(H_A[[#This Row],[PercentSalaryHike]]&lt;13,"Low",IF(H_A[[#This Row],[PercentSalaryHike]]&lt;18,"Medium","High"))</f>
        <v>High</v>
      </c>
    </row>
    <row r="659" spans="1:30" x14ac:dyDescent="0.3">
      <c r="A659">
        <v>29</v>
      </c>
      <c r="B659">
        <v>912</v>
      </c>
      <c r="C659" t="s">
        <v>36</v>
      </c>
      <c r="D659" t="s">
        <v>37</v>
      </c>
      <c r="E659">
        <v>7</v>
      </c>
      <c r="F659">
        <v>1</v>
      </c>
      <c r="G659" t="s">
        <v>43</v>
      </c>
      <c r="H659">
        <v>1</v>
      </c>
      <c r="I659" t="s">
        <v>33</v>
      </c>
      <c r="J659">
        <v>2</v>
      </c>
      <c r="K659">
        <v>1</v>
      </c>
      <c r="L659" t="s">
        <v>42</v>
      </c>
      <c r="M659">
        <v>4</v>
      </c>
      <c r="N659" t="s">
        <v>44</v>
      </c>
      <c r="O659">
        <v>2532</v>
      </c>
      <c r="P659">
        <v>6</v>
      </c>
      <c r="Q659" t="s">
        <v>36</v>
      </c>
      <c r="R659">
        <v>3</v>
      </c>
      <c r="S659">
        <v>8</v>
      </c>
      <c r="T659">
        <v>3</v>
      </c>
      <c r="U659">
        <v>4</v>
      </c>
      <c r="V659">
        <v>3</v>
      </c>
      <c r="W659">
        <v>0</v>
      </c>
      <c r="X659">
        <v>3</v>
      </c>
      <c r="Y659">
        <v>14</v>
      </c>
      <c r="Z659">
        <f>IF(H_A[[#This Row],[Attrition]]="Yes",1,0)</f>
        <v>0</v>
      </c>
      <c r="AA659" t="str">
        <f>IF(H_A[[#This Row],[Age]]&lt;30,"Young",IF(H_A[[#This Row],[Age]]&lt;45,"Mid","Senior"))</f>
        <v>Young</v>
      </c>
      <c r="AB659" t="str">
        <f>IF(H_A[[#This Row],[MonthlyIncome]]&lt;5000,"Low",IF(H_A[[#This Row],[MonthlyIncome]]&lt;10000,"Medium","High"))</f>
        <v>Low</v>
      </c>
      <c r="AC659" t="str">
        <f>IF(H_A[[#This Row],[YearsAtCompany]]&lt;3,"Early",IF(H_A[[#This Row],[YearsAtCompany]]&lt;7,"Mid","Long"))</f>
        <v>Mid</v>
      </c>
      <c r="AD659" t="str">
        <f>IF(H_A[[#This Row],[PercentSalaryHike]]&lt;13,"Low",IF(H_A[[#This Row],[PercentSalaryHike]]&lt;18,"Medium","High"))</f>
        <v>Medium</v>
      </c>
    </row>
    <row r="660" spans="1:30" x14ac:dyDescent="0.3">
      <c r="A660">
        <v>44</v>
      </c>
      <c r="B660">
        <v>913</v>
      </c>
      <c r="C660" t="s">
        <v>36</v>
      </c>
      <c r="D660" t="s">
        <v>37</v>
      </c>
      <c r="E660">
        <v>9</v>
      </c>
      <c r="F660">
        <v>2</v>
      </c>
      <c r="G660" t="s">
        <v>32</v>
      </c>
      <c r="H660">
        <v>2</v>
      </c>
      <c r="I660" t="s">
        <v>38</v>
      </c>
      <c r="J660">
        <v>3</v>
      </c>
      <c r="K660">
        <v>1</v>
      </c>
      <c r="L660" t="s">
        <v>39</v>
      </c>
      <c r="M660">
        <v>1</v>
      </c>
      <c r="N660" t="s">
        <v>40</v>
      </c>
      <c r="O660">
        <v>2559</v>
      </c>
      <c r="P660">
        <v>1</v>
      </c>
      <c r="Q660" t="s">
        <v>30</v>
      </c>
      <c r="R660">
        <v>4</v>
      </c>
      <c r="S660">
        <v>8</v>
      </c>
      <c r="T660">
        <v>3</v>
      </c>
      <c r="U660">
        <v>8</v>
      </c>
      <c r="V660">
        <v>7</v>
      </c>
      <c r="W660">
        <v>7</v>
      </c>
      <c r="X660">
        <v>1</v>
      </c>
      <c r="Y660">
        <v>13</v>
      </c>
      <c r="Z660">
        <f>IF(H_A[[#This Row],[Attrition]]="Yes",1,0)</f>
        <v>0</v>
      </c>
      <c r="AA660" t="str">
        <f>IF(H_A[[#This Row],[Age]]&lt;30,"Young",IF(H_A[[#This Row],[Age]]&lt;45,"Mid","Senior"))</f>
        <v>Mid</v>
      </c>
      <c r="AB660" t="str">
        <f>IF(H_A[[#This Row],[MonthlyIncome]]&lt;5000,"Low",IF(H_A[[#This Row],[MonthlyIncome]]&lt;10000,"Medium","High"))</f>
        <v>Low</v>
      </c>
      <c r="AC660" t="str">
        <f>IF(H_A[[#This Row],[YearsAtCompany]]&lt;3,"Early",IF(H_A[[#This Row],[YearsAtCompany]]&lt;7,"Mid","Long"))</f>
        <v>Long</v>
      </c>
      <c r="AD660" t="str">
        <f>IF(H_A[[#This Row],[PercentSalaryHike]]&lt;13,"Low",IF(H_A[[#This Row],[PercentSalaryHike]]&lt;18,"Medium","High"))</f>
        <v>Medium</v>
      </c>
    </row>
    <row r="661" spans="1:30" x14ac:dyDescent="0.3">
      <c r="A661">
        <v>28</v>
      </c>
      <c r="B661">
        <v>916</v>
      </c>
      <c r="C661" t="s">
        <v>36</v>
      </c>
      <c r="D661" t="s">
        <v>31</v>
      </c>
      <c r="E661">
        <v>5</v>
      </c>
      <c r="F661">
        <v>4</v>
      </c>
      <c r="G661" t="s">
        <v>43</v>
      </c>
      <c r="H661">
        <v>1</v>
      </c>
      <c r="I661" t="s">
        <v>38</v>
      </c>
      <c r="J661">
        <v>3</v>
      </c>
      <c r="K661">
        <v>2</v>
      </c>
      <c r="L661" t="s">
        <v>34</v>
      </c>
      <c r="M661">
        <v>4</v>
      </c>
      <c r="N661" t="s">
        <v>35</v>
      </c>
      <c r="O661">
        <v>4908</v>
      </c>
      <c r="P661">
        <v>1</v>
      </c>
      <c r="Q661" t="s">
        <v>36</v>
      </c>
      <c r="R661">
        <v>2</v>
      </c>
      <c r="S661">
        <v>4</v>
      </c>
      <c r="T661">
        <v>3</v>
      </c>
      <c r="U661">
        <v>4</v>
      </c>
      <c r="V661">
        <v>2</v>
      </c>
      <c r="W661">
        <v>0</v>
      </c>
      <c r="X661">
        <v>2</v>
      </c>
      <c r="Y661">
        <v>14</v>
      </c>
      <c r="Z661">
        <f>IF(H_A[[#This Row],[Attrition]]="Yes",1,0)</f>
        <v>0</v>
      </c>
      <c r="AA661" t="str">
        <f>IF(H_A[[#This Row],[Age]]&lt;30,"Young",IF(H_A[[#This Row],[Age]]&lt;45,"Mid","Senior"))</f>
        <v>Young</v>
      </c>
      <c r="AB661" t="str">
        <f>IF(H_A[[#This Row],[MonthlyIncome]]&lt;5000,"Low",IF(H_A[[#This Row],[MonthlyIncome]]&lt;10000,"Medium","High"))</f>
        <v>Low</v>
      </c>
      <c r="AC661" t="str">
        <f>IF(H_A[[#This Row],[YearsAtCompany]]&lt;3,"Early",IF(H_A[[#This Row],[YearsAtCompany]]&lt;7,"Mid","Long"))</f>
        <v>Mid</v>
      </c>
      <c r="AD661" t="str">
        <f>IF(H_A[[#This Row],[PercentSalaryHike]]&lt;13,"Low",IF(H_A[[#This Row],[PercentSalaryHike]]&lt;18,"Medium","High"))</f>
        <v>Medium</v>
      </c>
    </row>
    <row r="662" spans="1:30" x14ac:dyDescent="0.3">
      <c r="A662">
        <v>58</v>
      </c>
      <c r="B662">
        <v>918</v>
      </c>
      <c r="C662" t="s">
        <v>30</v>
      </c>
      <c r="D662" t="s">
        <v>37</v>
      </c>
      <c r="E662">
        <v>2</v>
      </c>
      <c r="F662">
        <v>1</v>
      </c>
      <c r="G662" t="s">
        <v>32</v>
      </c>
      <c r="H662">
        <v>4</v>
      </c>
      <c r="I662" t="s">
        <v>38</v>
      </c>
      <c r="J662">
        <v>2</v>
      </c>
      <c r="K662">
        <v>1</v>
      </c>
      <c r="L662" t="s">
        <v>42</v>
      </c>
      <c r="M662">
        <v>4</v>
      </c>
      <c r="N662" t="s">
        <v>44</v>
      </c>
      <c r="O662">
        <v>2380</v>
      </c>
      <c r="P662">
        <v>9</v>
      </c>
      <c r="Q662" t="s">
        <v>30</v>
      </c>
      <c r="R662">
        <v>4</v>
      </c>
      <c r="S662">
        <v>3</v>
      </c>
      <c r="T662">
        <v>2</v>
      </c>
      <c r="U662">
        <v>1</v>
      </c>
      <c r="V662">
        <v>0</v>
      </c>
      <c r="W662">
        <v>0</v>
      </c>
      <c r="X662">
        <v>0</v>
      </c>
      <c r="Y662">
        <v>14</v>
      </c>
      <c r="Z662">
        <f>IF(H_A[[#This Row],[Attrition]]="Yes",1,0)</f>
        <v>1</v>
      </c>
      <c r="AA662" t="str">
        <f>IF(H_A[[#This Row],[Age]]&lt;30,"Young",IF(H_A[[#This Row],[Age]]&lt;45,"Mid","Senior"))</f>
        <v>Senior</v>
      </c>
      <c r="AB662" t="str">
        <f>IF(H_A[[#This Row],[MonthlyIncome]]&lt;5000,"Low",IF(H_A[[#This Row],[MonthlyIncome]]&lt;10000,"Medium","High"))</f>
        <v>Low</v>
      </c>
      <c r="AC662" t="str">
        <f>IF(H_A[[#This Row],[YearsAtCompany]]&lt;3,"Early",IF(H_A[[#This Row],[YearsAtCompany]]&lt;7,"Mid","Long"))</f>
        <v>Early</v>
      </c>
      <c r="AD662" t="str">
        <f>IF(H_A[[#This Row],[PercentSalaryHike]]&lt;13,"Low",IF(H_A[[#This Row],[PercentSalaryHike]]&lt;18,"Medium","High"))</f>
        <v>Medium</v>
      </c>
    </row>
    <row r="663" spans="1:30" x14ac:dyDescent="0.3">
      <c r="A663">
        <v>43</v>
      </c>
      <c r="B663">
        <v>920</v>
      </c>
      <c r="C663" t="s">
        <v>36</v>
      </c>
      <c r="D663" t="s">
        <v>37</v>
      </c>
      <c r="E663">
        <v>8</v>
      </c>
      <c r="F663">
        <v>3</v>
      </c>
      <c r="G663" t="s">
        <v>32</v>
      </c>
      <c r="H663">
        <v>1</v>
      </c>
      <c r="I663" t="s">
        <v>33</v>
      </c>
      <c r="J663">
        <v>3</v>
      </c>
      <c r="K663">
        <v>2</v>
      </c>
      <c r="L663" t="s">
        <v>45</v>
      </c>
      <c r="M663">
        <v>2</v>
      </c>
      <c r="N663" t="s">
        <v>44</v>
      </c>
      <c r="O663">
        <v>4765</v>
      </c>
      <c r="P663">
        <v>4</v>
      </c>
      <c r="Q663" t="s">
        <v>36</v>
      </c>
      <c r="R663">
        <v>3</v>
      </c>
      <c r="S663">
        <v>4</v>
      </c>
      <c r="T663">
        <v>4</v>
      </c>
      <c r="U663">
        <v>1</v>
      </c>
      <c r="V663">
        <v>0</v>
      </c>
      <c r="W663">
        <v>0</v>
      </c>
      <c r="X663">
        <v>0</v>
      </c>
      <c r="Y663">
        <v>21</v>
      </c>
      <c r="Z663">
        <f>IF(H_A[[#This Row],[Attrition]]="Yes",1,0)</f>
        <v>0</v>
      </c>
      <c r="AA663" t="str">
        <f>IF(H_A[[#This Row],[Age]]&lt;30,"Young",IF(H_A[[#This Row],[Age]]&lt;45,"Mid","Senior"))</f>
        <v>Mid</v>
      </c>
      <c r="AB663" t="str">
        <f>IF(H_A[[#This Row],[MonthlyIncome]]&lt;5000,"Low",IF(H_A[[#This Row],[MonthlyIncome]]&lt;10000,"Medium","High"))</f>
        <v>Low</v>
      </c>
      <c r="AC663" t="str">
        <f>IF(H_A[[#This Row],[YearsAtCompany]]&lt;3,"Early",IF(H_A[[#This Row],[YearsAtCompany]]&lt;7,"Mid","Long"))</f>
        <v>Early</v>
      </c>
      <c r="AD663" t="str">
        <f>IF(H_A[[#This Row],[PercentSalaryHike]]&lt;13,"Low",IF(H_A[[#This Row],[PercentSalaryHike]]&lt;18,"Medium","High"))</f>
        <v>High</v>
      </c>
    </row>
    <row r="664" spans="1:30" x14ac:dyDescent="0.3">
      <c r="A664">
        <v>20</v>
      </c>
      <c r="B664">
        <v>922</v>
      </c>
      <c r="C664" t="s">
        <v>30</v>
      </c>
      <c r="D664" t="s">
        <v>31</v>
      </c>
      <c r="E664">
        <v>2</v>
      </c>
      <c r="F664">
        <v>3</v>
      </c>
      <c r="G664" t="s">
        <v>43</v>
      </c>
      <c r="H664">
        <v>3</v>
      </c>
      <c r="I664" t="s">
        <v>33</v>
      </c>
      <c r="J664">
        <v>2</v>
      </c>
      <c r="K664">
        <v>1</v>
      </c>
      <c r="L664" t="s">
        <v>48</v>
      </c>
      <c r="M664">
        <v>3</v>
      </c>
      <c r="N664" t="s">
        <v>35</v>
      </c>
      <c r="O664">
        <v>2044</v>
      </c>
      <c r="P664">
        <v>1</v>
      </c>
      <c r="Q664" t="s">
        <v>36</v>
      </c>
      <c r="R664">
        <v>4</v>
      </c>
      <c r="S664">
        <v>2</v>
      </c>
      <c r="T664">
        <v>2</v>
      </c>
      <c r="U664">
        <v>2</v>
      </c>
      <c r="V664">
        <v>2</v>
      </c>
      <c r="W664">
        <v>0</v>
      </c>
      <c r="X664">
        <v>2</v>
      </c>
      <c r="Y664">
        <v>13</v>
      </c>
      <c r="Z664">
        <f>IF(H_A[[#This Row],[Attrition]]="Yes",1,0)</f>
        <v>1</v>
      </c>
      <c r="AA664" t="str">
        <f>IF(H_A[[#This Row],[Age]]&lt;30,"Young",IF(H_A[[#This Row],[Age]]&lt;45,"Mid","Senior"))</f>
        <v>Young</v>
      </c>
      <c r="AB664" t="str">
        <f>IF(H_A[[#This Row],[MonthlyIncome]]&lt;5000,"Low",IF(H_A[[#This Row],[MonthlyIncome]]&lt;10000,"Medium","High"))</f>
        <v>Low</v>
      </c>
      <c r="AC664" t="str">
        <f>IF(H_A[[#This Row],[YearsAtCompany]]&lt;3,"Early",IF(H_A[[#This Row],[YearsAtCompany]]&lt;7,"Mid","Long"))</f>
        <v>Early</v>
      </c>
      <c r="AD664" t="str">
        <f>IF(H_A[[#This Row],[PercentSalaryHike]]&lt;13,"Low",IF(H_A[[#This Row],[PercentSalaryHike]]&lt;18,"Medium","High"))</f>
        <v>Medium</v>
      </c>
    </row>
    <row r="665" spans="1:30" x14ac:dyDescent="0.3">
      <c r="A665">
        <v>21</v>
      </c>
      <c r="B665">
        <v>923</v>
      </c>
      <c r="C665" t="s">
        <v>30</v>
      </c>
      <c r="D665" t="s">
        <v>37</v>
      </c>
      <c r="E665">
        <v>18</v>
      </c>
      <c r="F665">
        <v>1</v>
      </c>
      <c r="G665" t="s">
        <v>41</v>
      </c>
      <c r="H665">
        <v>4</v>
      </c>
      <c r="I665" t="s">
        <v>33</v>
      </c>
      <c r="J665">
        <v>3</v>
      </c>
      <c r="K665">
        <v>1</v>
      </c>
      <c r="L665" t="s">
        <v>39</v>
      </c>
      <c r="M665">
        <v>4</v>
      </c>
      <c r="N665" t="s">
        <v>35</v>
      </c>
      <c r="O665">
        <v>2693</v>
      </c>
      <c r="P665">
        <v>1</v>
      </c>
      <c r="Q665" t="s">
        <v>36</v>
      </c>
      <c r="R665">
        <v>1</v>
      </c>
      <c r="S665">
        <v>1</v>
      </c>
      <c r="T665">
        <v>2</v>
      </c>
      <c r="U665">
        <v>1</v>
      </c>
      <c r="V665">
        <v>0</v>
      </c>
      <c r="W665">
        <v>0</v>
      </c>
      <c r="X665">
        <v>0</v>
      </c>
      <c r="Y665">
        <v>19</v>
      </c>
      <c r="Z665">
        <f>IF(H_A[[#This Row],[Attrition]]="Yes",1,0)</f>
        <v>1</v>
      </c>
      <c r="AA665" t="str">
        <f>IF(H_A[[#This Row],[Age]]&lt;30,"Young",IF(H_A[[#This Row],[Age]]&lt;45,"Mid","Senior"))</f>
        <v>Young</v>
      </c>
      <c r="AB665" t="str">
        <f>IF(H_A[[#This Row],[MonthlyIncome]]&lt;5000,"Low",IF(H_A[[#This Row],[MonthlyIncome]]&lt;10000,"Medium","High"))</f>
        <v>Low</v>
      </c>
      <c r="AC665" t="str">
        <f>IF(H_A[[#This Row],[YearsAtCompany]]&lt;3,"Early",IF(H_A[[#This Row],[YearsAtCompany]]&lt;7,"Mid","Long"))</f>
        <v>Early</v>
      </c>
      <c r="AD665" t="str">
        <f>IF(H_A[[#This Row],[PercentSalaryHike]]&lt;13,"Low",IF(H_A[[#This Row],[PercentSalaryHike]]&lt;18,"Medium","High"))</f>
        <v>High</v>
      </c>
    </row>
    <row r="666" spans="1:30" x14ac:dyDescent="0.3">
      <c r="A666">
        <v>36</v>
      </c>
      <c r="B666">
        <v>924</v>
      </c>
      <c r="C666" t="s">
        <v>36</v>
      </c>
      <c r="D666" t="s">
        <v>37</v>
      </c>
      <c r="E666">
        <v>14</v>
      </c>
      <c r="F666">
        <v>1</v>
      </c>
      <c r="G666" t="s">
        <v>32</v>
      </c>
      <c r="H666">
        <v>3</v>
      </c>
      <c r="I666" t="s">
        <v>38</v>
      </c>
      <c r="J666">
        <v>3</v>
      </c>
      <c r="K666">
        <v>2</v>
      </c>
      <c r="L666" t="s">
        <v>46</v>
      </c>
      <c r="M666">
        <v>4</v>
      </c>
      <c r="N666" t="s">
        <v>40</v>
      </c>
      <c r="O666">
        <v>6586</v>
      </c>
      <c r="P666">
        <v>0</v>
      </c>
      <c r="Q666" t="s">
        <v>30</v>
      </c>
      <c r="R666">
        <v>1</v>
      </c>
      <c r="S666">
        <v>17</v>
      </c>
      <c r="T666">
        <v>2</v>
      </c>
      <c r="U666">
        <v>16</v>
      </c>
      <c r="V666">
        <v>8</v>
      </c>
      <c r="W666">
        <v>4</v>
      </c>
      <c r="X666">
        <v>11</v>
      </c>
      <c r="Y666">
        <v>17</v>
      </c>
      <c r="Z666">
        <f>IF(H_A[[#This Row],[Attrition]]="Yes",1,0)</f>
        <v>0</v>
      </c>
      <c r="AA666" t="str">
        <f>IF(H_A[[#This Row],[Age]]&lt;30,"Young",IF(H_A[[#This Row],[Age]]&lt;45,"Mid","Senior"))</f>
        <v>Mid</v>
      </c>
      <c r="AB666" t="str">
        <f>IF(H_A[[#This Row],[MonthlyIncome]]&lt;5000,"Low",IF(H_A[[#This Row],[MonthlyIncome]]&lt;10000,"Medium","High"))</f>
        <v>Medium</v>
      </c>
      <c r="AC666" t="str">
        <f>IF(H_A[[#This Row],[YearsAtCompany]]&lt;3,"Early",IF(H_A[[#This Row],[YearsAtCompany]]&lt;7,"Mid","Long"))</f>
        <v>Long</v>
      </c>
      <c r="AD666" t="str">
        <f>IF(H_A[[#This Row],[PercentSalaryHike]]&lt;13,"Low",IF(H_A[[#This Row],[PercentSalaryHike]]&lt;18,"Medium","High"))</f>
        <v>Medium</v>
      </c>
    </row>
    <row r="667" spans="1:30" x14ac:dyDescent="0.3">
      <c r="A667">
        <v>47</v>
      </c>
      <c r="B667">
        <v>925</v>
      </c>
      <c r="C667" t="s">
        <v>36</v>
      </c>
      <c r="D667" t="s">
        <v>31</v>
      </c>
      <c r="E667">
        <v>2</v>
      </c>
      <c r="F667">
        <v>4</v>
      </c>
      <c r="G667" t="s">
        <v>32</v>
      </c>
      <c r="H667">
        <v>4</v>
      </c>
      <c r="I667" t="s">
        <v>33</v>
      </c>
      <c r="J667">
        <v>2</v>
      </c>
      <c r="K667">
        <v>1</v>
      </c>
      <c r="L667" t="s">
        <v>48</v>
      </c>
      <c r="M667">
        <v>4</v>
      </c>
      <c r="N667" t="s">
        <v>35</v>
      </c>
      <c r="O667">
        <v>3294</v>
      </c>
      <c r="P667">
        <v>1</v>
      </c>
      <c r="Q667" t="s">
        <v>30</v>
      </c>
      <c r="R667">
        <v>1</v>
      </c>
      <c r="S667">
        <v>3</v>
      </c>
      <c r="T667">
        <v>2</v>
      </c>
      <c r="U667">
        <v>3</v>
      </c>
      <c r="V667">
        <v>2</v>
      </c>
      <c r="W667">
        <v>1</v>
      </c>
      <c r="X667">
        <v>2</v>
      </c>
      <c r="Y667">
        <v>18</v>
      </c>
      <c r="Z667">
        <f>IF(H_A[[#This Row],[Attrition]]="Yes",1,0)</f>
        <v>0</v>
      </c>
      <c r="AA667" t="str">
        <f>IF(H_A[[#This Row],[Age]]&lt;30,"Young",IF(H_A[[#This Row],[Age]]&lt;45,"Mid","Senior"))</f>
        <v>Senior</v>
      </c>
      <c r="AB667" t="str">
        <f>IF(H_A[[#This Row],[MonthlyIncome]]&lt;5000,"Low",IF(H_A[[#This Row],[MonthlyIncome]]&lt;10000,"Medium","High"))</f>
        <v>Low</v>
      </c>
      <c r="AC667" t="str">
        <f>IF(H_A[[#This Row],[YearsAtCompany]]&lt;3,"Early",IF(H_A[[#This Row],[YearsAtCompany]]&lt;7,"Mid","Long"))</f>
        <v>Mid</v>
      </c>
      <c r="AD667" t="str">
        <f>IF(H_A[[#This Row],[PercentSalaryHike]]&lt;13,"Low",IF(H_A[[#This Row],[PercentSalaryHike]]&lt;18,"Medium","High"))</f>
        <v>High</v>
      </c>
    </row>
    <row r="668" spans="1:30" x14ac:dyDescent="0.3">
      <c r="A668">
        <v>22</v>
      </c>
      <c r="B668">
        <v>926</v>
      </c>
      <c r="C668" t="s">
        <v>30</v>
      </c>
      <c r="D668" t="s">
        <v>37</v>
      </c>
      <c r="E668">
        <v>3</v>
      </c>
      <c r="F668">
        <v>1</v>
      </c>
      <c r="G668" t="s">
        <v>32</v>
      </c>
      <c r="H668">
        <v>2</v>
      </c>
      <c r="I668" t="s">
        <v>33</v>
      </c>
      <c r="J668">
        <v>3</v>
      </c>
      <c r="K668">
        <v>2</v>
      </c>
      <c r="L668" t="s">
        <v>45</v>
      </c>
      <c r="M668">
        <v>3</v>
      </c>
      <c r="N668" t="s">
        <v>40</v>
      </c>
      <c r="O668">
        <v>4171</v>
      </c>
      <c r="P668">
        <v>0</v>
      </c>
      <c r="Q668" t="s">
        <v>30</v>
      </c>
      <c r="R668">
        <v>1</v>
      </c>
      <c r="S668">
        <v>4</v>
      </c>
      <c r="T668">
        <v>4</v>
      </c>
      <c r="U668">
        <v>3</v>
      </c>
      <c r="V668">
        <v>2</v>
      </c>
      <c r="W668">
        <v>0</v>
      </c>
      <c r="X668">
        <v>2</v>
      </c>
      <c r="Y668">
        <v>19</v>
      </c>
      <c r="Z668">
        <f>IF(H_A[[#This Row],[Attrition]]="Yes",1,0)</f>
        <v>1</v>
      </c>
      <c r="AA668" t="str">
        <f>IF(H_A[[#This Row],[Age]]&lt;30,"Young",IF(H_A[[#This Row],[Age]]&lt;45,"Mid","Senior"))</f>
        <v>Young</v>
      </c>
      <c r="AB668" t="str">
        <f>IF(H_A[[#This Row],[MonthlyIncome]]&lt;5000,"Low",IF(H_A[[#This Row],[MonthlyIncome]]&lt;10000,"Medium","High"))</f>
        <v>Low</v>
      </c>
      <c r="AC668" t="str">
        <f>IF(H_A[[#This Row],[YearsAtCompany]]&lt;3,"Early",IF(H_A[[#This Row],[YearsAtCompany]]&lt;7,"Mid","Long"))</f>
        <v>Mid</v>
      </c>
      <c r="AD668" t="str">
        <f>IF(H_A[[#This Row],[PercentSalaryHike]]&lt;13,"Low",IF(H_A[[#This Row],[PercentSalaryHike]]&lt;18,"Medium","High"))</f>
        <v>High</v>
      </c>
    </row>
    <row r="669" spans="1:30" x14ac:dyDescent="0.3">
      <c r="A669">
        <v>41</v>
      </c>
      <c r="B669">
        <v>927</v>
      </c>
      <c r="C669" t="s">
        <v>30</v>
      </c>
      <c r="D669" t="s">
        <v>37</v>
      </c>
      <c r="E669">
        <v>2</v>
      </c>
      <c r="F669">
        <v>4</v>
      </c>
      <c r="G669" t="s">
        <v>32</v>
      </c>
      <c r="H669">
        <v>2</v>
      </c>
      <c r="I669" t="s">
        <v>33</v>
      </c>
      <c r="J669">
        <v>1</v>
      </c>
      <c r="K669">
        <v>1</v>
      </c>
      <c r="L669" t="s">
        <v>42</v>
      </c>
      <c r="M669">
        <v>4</v>
      </c>
      <c r="N669" t="s">
        <v>44</v>
      </c>
      <c r="O669">
        <v>2778</v>
      </c>
      <c r="P669">
        <v>4</v>
      </c>
      <c r="Q669" t="s">
        <v>30</v>
      </c>
      <c r="R669">
        <v>3</v>
      </c>
      <c r="S669">
        <v>10</v>
      </c>
      <c r="T669">
        <v>2</v>
      </c>
      <c r="U669">
        <v>7</v>
      </c>
      <c r="V669">
        <v>7</v>
      </c>
      <c r="W669">
        <v>1</v>
      </c>
      <c r="X669">
        <v>0</v>
      </c>
      <c r="Y669">
        <v>13</v>
      </c>
      <c r="Z669">
        <f>IF(H_A[[#This Row],[Attrition]]="Yes",1,0)</f>
        <v>1</v>
      </c>
      <c r="AA669" t="str">
        <f>IF(H_A[[#This Row],[Age]]&lt;30,"Young",IF(H_A[[#This Row],[Age]]&lt;45,"Mid","Senior"))</f>
        <v>Mid</v>
      </c>
      <c r="AB669" t="str">
        <f>IF(H_A[[#This Row],[MonthlyIncome]]&lt;5000,"Low",IF(H_A[[#This Row],[MonthlyIncome]]&lt;10000,"Medium","High"))</f>
        <v>Low</v>
      </c>
      <c r="AC669" t="str">
        <f>IF(H_A[[#This Row],[YearsAtCompany]]&lt;3,"Early",IF(H_A[[#This Row],[YearsAtCompany]]&lt;7,"Mid","Long"))</f>
        <v>Long</v>
      </c>
      <c r="AD669" t="str">
        <f>IF(H_A[[#This Row],[PercentSalaryHike]]&lt;13,"Low",IF(H_A[[#This Row],[PercentSalaryHike]]&lt;18,"Medium","High"))</f>
        <v>Medium</v>
      </c>
    </row>
    <row r="670" spans="1:30" x14ac:dyDescent="0.3">
      <c r="A670">
        <v>28</v>
      </c>
      <c r="B670">
        <v>930</v>
      </c>
      <c r="C670" t="s">
        <v>36</v>
      </c>
      <c r="D670" t="s">
        <v>37</v>
      </c>
      <c r="E670">
        <v>9</v>
      </c>
      <c r="F670">
        <v>3</v>
      </c>
      <c r="G670" t="s">
        <v>43</v>
      </c>
      <c r="H670">
        <v>3</v>
      </c>
      <c r="I670" t="s">
        <v>33</v>
      </c>
      <c r="J670">
        <v>3</v>
      </c>
      <c r="K670">
        <v>1</v>
      </c>
      <c r="L670" t="s">
        <v>39</v>
      </c>
      <c r="M670">
        <v>3</v>
      </c>
      <c r="N670" t="s">
        <v>44</v>
      </c>
      <c r="O670">
        <v>2377</v>
      </c>
      <c r="P670">
        <v>5</v>
      </c>
      <c r="Q670" t="s">
        <v>36</v>
      </c>
      <c r="R670">
        <v>2</v>
      </c>
      <c r="S670">
        <v>6</v>
      </c>
      <c r="T670">
        <v>3</v>
      </c>
      <c r="U670">
        <v>2</v>
      </c>
      <c r="V670">
        <v>2</v>
      </c>
      <c r="W670">
        <v>2</v>
      </c>
      <c r="X670">
        <v>2</v>
      </c>
      <c r="Y670">
        <v>18</v>
      </c>
      <c r="Z670">
        <f>IF(H_A[[#This Row],[Attrition]]="Yes",1,0)</f>
        <v>0</v>
      </c>
      <c r="AA670" t="str">
        <f>IF(H_A[[#This Row],[Age]]&lt;30,"Young",IF(H_A[[#This Row],[Age]]&lt;45,"Mid","Senior"))</f>
        <v>Young</v>
      </c>
      <c r="AB670" t="str">
        <f>IF(H_A[[#This Row],[MonthlyIncome]]&lt;5000,"Low",IF(H_A[[#This Row],[MonthlyIncome]]&lt;10000,"Medium","High"))</f>
        <v>Low</v>
      </c>
      <c r="AC670" t="str">
        <f>IF(H_A[[#This Row],[YearsAtCompany]]&lt;3,"Early",IF(H_A[[#This Row],[YearsAtCompany]]&lt;7,"Mid","Long"))</f>
        <v>Early</v>
      </c>
      <c r="AD670" t="str">
        <f>IF(H_A[[#This Row],[PercentSalaryHike]]&lt;13,"Low",IF(H_A[[#This Row],[PercentSalaryHike]]&lt;18,"Medium","High"))</f>
        <v>High</v>
      </c>
    </row>
    <row r="671" spans="1:30" x14ac:dyDescent="0.3">
      <c r="A671">
        <v>39</v>
      </c>
      <c r="B671">
        <v>932</v>
      </c>
      <c r="C671" t="s">
        <v>30</v>
      </c>
      <c r="D671" t="s">
        <v>37</v>
      </c>
      <c r="E671">
        <v>6</v>
      </c>
      <c r="F671">
        <v>3</v>
      </c>
      <c r="G671" t="s">
        <v>43</v>
      </c>
      <c r="H671">
        <v>4</v>
      </c>
      <c r="I671" t="s">
        <v>38</v>
      </c>
      <c r="J671">
        <v>3</v>
      </c>
      <c r="K671">
        <v>1</v>
      </c>
      <c r="L671" t="s">
        <v>42</v>
      </c>
      <c r="M671">
        <v>1</v>
      </c>
      <c r="N671" t="s">
        <v>40</v>
      </c>
      <c r="O671">
        <v>2404</v>
      </c>
      <c r="P671">
        <v>7</v>
      </c>
      <c r="Q671" t="s">
        <v>30</v>
      </c>
      <c r="R671">
        <v>4</v>
      </c>
      <c r="S671">
        <v>8</v>
      </c>
      <c r="T671">
        <v>1</v>
      </c>
      <c r="U671">
        <v>2</v>
      </c>
      <c r="V671">
        <v>2</v>
      </c>
      <c r="W671">
        <v>2</v>
      </c>
      <c r="X671">
        <v>2</v>
      </c>
      <c r="Y671">
        <v>21</v>
      </c>
      <c r="Z671">
        <f>IF(H_A[[#This Row],[Attrition]]="Yes",1,0)</f>
        <v>1</v>
      </c>
      <c r="AA671" t="str">
        <f>IF(H_A[[#This Row],[Age]]&lt;30,"Young",IF(H_A[[#This Row],[Age]]&lt;45,"Mid","Senior"))</f>
        <v>Mid</v>
      </c>
      <c r="AB671" t="str">
        <f>IF(H_A[[#This Row],[MonthlyIncome]]&lt;5000,"Low",IF(H_A[[#This Row],[MonthlyIncome]]&lt;10000,"Medium","High"))</f>
        <v>Low</v>
      </c>
      <c r="AC671" t="str">
        <f>IF(H_A[[#This Row],[YearsAtCompany]]&lt;3,"Early",IF(H_A[[#This Row],[YearsAtCompany]]&lt;7,"Mid","Long"))</f>
        <v>Early</v>
      </c>
      <c r="AD671" t="str">
        <f>IF(H_A[[#This Row],[PercentSalaryHike]]&lt;13,"Low",IF(H_A[[#This Row],[PercentSalaryHike]]&lt;18,"Medium","High"))</f>
        <v>High</v>
      </c>
    </row>
    <row r="672" spans="1:30" x14ac:dyDescent="0.3">
      <c r="A672">
        <v>27</v>
      </c>
      <c r="B672">
        <v>933</v>
      </c>
      <c r="C672" t="s">
        <v>36</v>
      </c>
      <c r="D672" t="s">
        <v>37</v>
      </c>
      <c r="E672">
        <v>4</v>
      </c>
      <c r="F672">
        <v>3</v>
      </c>
      <c r="G672" t="s">
        <v>32</v>
      </c>
      <c r="H672">
        <v>2</v>
      </c>
      <c r="I672" t="s">
        <v>33</v>
      </c>
      <c r="J672">
        <v>3</v>
      </c>
      <c r="K672">
        <v>1</v>
      </c>
      <c r="L672" t="s">
        <v>39</v>
      </c>
      <c r="M672">
        <v>3</v>
      </c>
      <c r="N672" t="s">
        <v>35</v>
      </c>
      <c r="O672">
        <v>2318</v>
      </c>
      <c r="P672">
        <v>1</v>
      </c>
      <c r="Q672" t="s">
        <v>36</v>
      </c>
      <c r="R672">
        <v>3</v>
      </c>
      <c r="S672">
        <v>1</v>
      </c>
      <c r="T672">
        <v>3</v>
      </c>
      <c r="U672">
        <v>1</v>
      </c>
      <c r="V672">
        <v>1</v>
      </c>
      <c r="W672">
        <v>0</v>
      </c>
      <c r="X672">
        <v>0</v>
      </c>
      <c r="Y672">
        <v>19</v>
      </c>
      <c r="Z672">
        <f>IF(H_A[[#This Row],[Attrition]]="Yes",1,0)</f>
        <v>0</v>
      </c>
      <c r="AA672" t="str">
        <f>IF(H_A[[#This Row],[Age]]&lt;30,"Young",IF(H_A[[#This Row],[Age]]&lt;45,"Mid","Senior"))</f>
        <v>Young</v>
      </c>
      <c r="AB672" t="str">
        <f>IF(H_A[[#This Row],[MonthlyIncome]]&lt;5000,"Low",IF(H_A[[#This Row],[MonthlyIncome]]&lt;10000,"Medium","High"))</f>
        <v>Low</v>
      </c>
      <c r="AC672" t="str">
        <f>IF(H_A[[#This Row],[YearsAtCompany]]&lt;3,"Early",IF(H_A[[#This Row],[YearsAtCompany]]&lt;7,"Mid","Long"))</f>
        <v>Early</v>
      </c>
      <c r="AD672" t="str">
        <f>IF(H_A[[#This Row],[PercentSalaryHike]]&lt;13,"Low",IF(H_A[[#This Row],[PercentSalaryHike]]&lt;18,"Medium","High"))</f>
        <v>High</v>
      </c>
    </row>
    <row r="673" spans="1:30" x14ac:dyDescent="0.3">
      <c r="A673">
        <v>34</v>
      </c>
      <c r="B673">
        <v>934</v>
      </c>
      <c r="C673" t="s">
        <v>36</v>
      </c>
      <c r="D673" t="s">
        <v>37</v>
      </c>
      <c r="E673">
        <v>10</v>
      </c>
      <c r="F673">
        <v>3</v>
      </c>
      <c r="G673" t="s">
        <v>32</v>
      </c>
      <c r="H673">
        <v>2</v>
      </c>
      <c r="I673" t="s">
        <v>38</v>
      </c>
      <c r="J673">
        <v>3</v>
      </c>
      <c r="K673">
        <v>1</v>
      </c>
      <c r="L673" t="s">
        <v>42</v>
      </c>
      <c r="M673">
        <v>2</v>
      </c>
      <c r="N673" t="s">
        <v>44</v>
      </c>
      <c r="O673">
        <v>2008</v>
      </c>
      <c r="P673">
        <v>1</v>
      </c>
      <c r="Q673" t="s">
        <v>36</v>
      </c>
      <c r="R673">
        <v>2</v>
      </c>
      <c r="S673">
        <v>1</v>
      </c>
      <c r="T673">
        <v>3</v>
      </c>
      <c r="U673">
        <v>1</v>
      </c>
      <c r="V673">
        <v>0</v>
      </c>
      <c r="W673">
        <v>1</v>
      </c>
      <c r="X673">
        <v>0</v>
      </c>
      <c r="Y673">
        <v>14</v>
      </c>
      <c r="Z673">
        <f>IF(H_A[[#This Row],[Attrition]]="Yes",1,0)</f>
        <v>0</v>
      </c>
      <c r="AA673" t="str">
        <f>IF(H_A[[#This Row],[Age]]&lt;30,"Young",IF(H_A[[#This Row],[Age]]&lt;45,"Mid","Senior"))</f>
        <v>Mid</v>
      </c>
      <c r="AB673" t="str">
        <f>IF(H_A[[#This Row],[MonthlyIncome]]&lt;5000,"Low",IF(H_A[[#This Row],[MonthlyIncome]]&lt;10000,"Medium","High"))</f>
        <v>Low</v>
      </c>
      <c r="AC673" t="str">
        <f>IF(H_A[[#This Row],[YearsAtCompany]]&lt;3,"Early",IF(H_A[[#This Row],[YearsAtCompany]]&lt;7,"Mid","Long"))</f>
        <v>Early</v>
      </c>
      <c r="AD673" t="str">
        <f>IF(H_A[[#This Row],[PercentSalaryHike]]&lt;13,"Low",IF(H_A[[#This Row],[PercentSalaryHike]]&lt;18,"Medium","High"))</f>
        <v>Medium</v>
      </c>
    </row>
    <row r="674" spans="1:30" x14ac:dyDescent="0.3">
      <c r="A674">
        <v>42</v>
      </c>
      <c r="B674">
        <v>936</v>
      </c>
      <c r="C674" t="s">
        <v>36</v>
      </c>
      <c r="D674" t="s">
        <v>31</v>
      </c>
      <c r="E674">
        <v>14</v>
      </c>
      <c r="F674">
        <v>2</v>
      </c>
      <c r="G674" t="s">
        <v>43</v>
      </c>
      <c r="H674">
        <v>3</v>
      </c>
      <c r="I674" t="s">
        <v>33</v>
      </c>
      <c r="J674">
        <v>2</v>
      </c>
      <c r="K674">
        <v>2</v>
      </c>
      <c r="L674" t="s">
        <v>34</v>
      </c>
      <c r="M674">
        <v>3</v>
      </c>
      <c r="N674" t="s">
        <v>35</v>
      </c>
      <c r="O674">
        <v>6244</v>
      </c>
      <c r="P674">
        <v>7</v>
      </c>
      <c r="Q674" t="s">
        <v>36</v>
      </c>
      <c r="R674">
        <v>1</v>
      </c>
      <c r="S674">
        <v>10</v>
      </c>
      <c r="T674">
        <v>3</v>
      </c>
      <c r="U674">
        <v>5</v>
      </c>
      <c r="V674">
        <v>4</v>
      </c>
      <c r="W674">
        <v>0</v>
      </c>
      <c r="X674">
        <v>3</v>
      </c>
      <c r="Y674">
        <v>17</v>
      </c>
      <c r="Z674">
        <f>IF(H_A[[#This Row],[Attrition]]="Yes",1,0)</f>
        <v>0</v>
      </c>
      <c r="AA674" t="str">
        <f>IF(H_A[[#This Row],[Age]]&lt;30,"Young",IF(H_A[[#This Row],[Age]]&lt;45,"Mid","Senior"))</f>
        <v>Mid</v>
      </c>
      <c r="AB674" t="str">
        <f>IF(H_A[[#This Row],[MonthlyIncome]]&lt;5000,"Low",IF(H_A[[#This Row],[MonthlyIncome]]&lt;10000,"Medium","High"))</f>
        <v>Medium</v>
      </c>
      <c r="AC674" t="str">
        <f>IF(H_A[[#This Row],[YearsAtCompany]]&lt;3,"Early",IF(H_A[[#This Row],[YearsAtCompany]]&lt;7,"Mid","Long"))</f>
        <v>Mid</v>
      </c>
      <c r="AD674" t="str">
        <f>IF(H_A[[#This Row],[PercentSalaryHike]]&lt;13,"Low",IF(H_A[[#This Row],[PercentSalaryHike]]&lt;18,"Medium","High"))</f>
        <v>Medium</v>
      </c>
    </row>
    <row r="675" spans="1:30" x14ac:dyDescent="0.3">
      <c r="A675">
        <v>33</v>
      </c>
      <c r="B675">
        <v>939</v>
      </c>
      <c r="C675" t="s">
        <v>36</v>
      </c>
      <c r="D675" t="s">
        <v>37</v>
      </c>
      <c r="E675">
        <v>1</v>
      </c>
      <c r="F675">
        <v>4</v>
      </c>
      <c r="G675" t="s">
        <v>41</v>
      </c>
      <c r="H675">
        <v>3</v>
      </c>
      <c r="I675" t="s">
        <v>38</v>
      </c>
      <c r="J675">
        <v>2</v>
      </c>
      <c r="K675">
        <v>1</v>
      </c>
      <c r="L675" t="s">
        <v>39</v>
      </c>
      <c r="M675">
        <v>1</v>
      </c>
      <c r="N675" t="s">
        <v>35</v>
      </c>
      <c r="O675">
        <v>2799</v>
      </c>
      <c r="P675">
        <v>3</v>
      </c>
      <c r="Q675" t="s">
        <v>30</v>
      </c>
      <c r="R675">
        <v>2</v>
      </c>
      <c r="S675">
        <v>6</v>
      </c>
      <c r="T675">
        <v>3</v>
      </c>
      <c r="U675">
        <v>3</v>
      </c>
      <c r="V675">
        <v>2</v>
      </c>
      <c r="W675">
        <v>0</v>
      </c>
      <c r="X675">
        <v>2</v>
      </c>
      <c r="Y675">
        <v>11</v>
      </c>
      <c r="Z675">
        <f>IF(H_A[[#This Row],[Attrition]]="Yes",1,0)</f>
        <v>0</v>
      </c>
      <c r="AA675" t="str">
        <f>IF(H_A[[#This Row],[Age]]&lt;30,"Young",IF(H_A[[#This Row],[Age]]&lt;45,"Mid","Senior"))</f>
        <v>Mid</v>
      </c>
      <c r="AB675" t="str">
        <f>IF(H_A[[#This Row],[MonthlyIncome]]&lt;5000,"Low",IF(H_A[[#This Row],[MonthlyIncome]]&lt;10000,"Medium","High"))</f>
        <v>Low</v>
      </c>
      <c r="AC675" t="str">
        <f>IF(H_A[[#This Row],[YearsAtCompany]]&lt;3,"Early",IF(H_A[[#This Row],[YearsAtCompany]]&lt;7,"Mid","Long"))</f>
        <v>Mid</v>
      </c>
      <c r="AD675" t="str">
        <f>IF(H_A[[#This Row],[PercentSalaryHike]]&lt;13,"Low",IF(H_A[[#This Row],[PercentSalaryHike]]&lt;18,"Medium","High"))</f>
        <v>Low</v>
      </c>
    </row>
    <row r="676" spans="1:30" x14ac:dyDescent="0.3">
      <c r="A676">
        <v>58</v>
      </c>
      <c r="B676">
        <v>940</v>
      </c>
      <c r="C676" t="s">
        <v>36</v>
      </c>
      <c r="D676" t="s">
        <v>37</v>
      </c>
      <c r="E676">
        <v>5</v>
      </c>
      <c r="F676">
        <v>3</v>
      </c>
      <c r="G676" t="s">
        <v>51</v>
      </c>
      <c r="H676">
        <v>3</v>
      </c>
      <c r="I676" t="s">
        <v>33</v>
      </c>
      <c r="J676">
        <v>2</v>
      </c>
      <c r="K676">
        <v>3</v>
      </c>
      <c r="L676" t="s">
        <v>46</v>
      </c>
      <c r="M676">
        <v>2</v>
      </c>
      <c r="N676" t="s">
        <v>44</v>
      </c>
      <c r="O676">
        <v>10552</v>
      </c>
      <c r="P676">
        <v>2</v>
      </c>
      <c r="Q676" t="s">
        <v>30</v>
      </c>
      <c r="R676">
        <v>4</v>
      </c>
      <c r="S676">
        <v>24</v>
      </c>
      <c r="T676">
        <v>3</v>
      </c>
      <c r="U676">
        <v>6</v>
      </c>
      <c r="V676">
        <v>0</v>
      </c>
      <c r="W676">
        <v>0</v>
      </c>
      <c r="X676">
        <v>4</v>
      </c>
      <c r="Y676">
        <v>13</v>
      </c>
      <c r="Z676">
        <f>IF(H_A[[#This Row],[Attrition]]="Yes",1,0)</f>
        <v>0</v>
      </c>
      <c r="AA676" t="str">
        <f>IF(H_A[[#This Row],[Age]]&lt;30,"Young",IF(H_A[[#This Row],[Age]]&lt;45,"Mid","Senior"))</f>
        <v>Senior</v>
      </c>
      <c r="AB676" t="str">
        <f>IF(H_A[[#This Row],[MonthlyIncome]]&lt;5000,"Low",IF(H_A[[#This Row],[MonthlyIncome]]&lt;10000,"Medium","High"))</f>
        <v>High</v>
      </c>
      <c r="AC676" t="str">
        <f>IF(H_A[[#This Row],[YearsAtCompany]]&lt;3,"Early",IF(H_A[[#This Row],[YearsAtCompany]]&lt;7,"Mid","Long"))</f>
        <v>Mid</v>
      </c>
      <c r="AD676" t="str">
        <f>IF(H_A[[#This Row],[PercentSalaryHike]]&lt;13,"Low",IF(H_A[[#This Row],[PercentSalaryHike]]&lt;18,"Medium","High"))</f>
        <v>Medium</v>
      </c>
    </row>
    <row r="677" spans="1:30" x14ac:dyDescent="0.3">
      <c r="A677">
        <v>31</v>
      </c>
      <c r="B677">
        <v>941</v>
      </c>
      <c r="C677" t="s">
        <v>36</v>
      </c>
      <c r="D677" t="s">
        <v>31</v>
      </c>
      <c r="E677">
        <v>7</v>
      </c>
      <c r="F677">
        <v>4</v>
      </c>
      <c r="G677" t="s">
        <v>32</v>
      </c>
      <c r="H677">
        <v>2</v>
      </c>
      <c r="I677" t="s">
        <v>38</v>
      </c>
      <c r="J677">
        <v>2</v>
      </c>
      <c r="K677">
        <v>1</v>
      </c>
      <c r="L677" t="s">
        <v>48</v>
      </c>
      <c r="M677">
        <v>3</v>
      </c>
      <c r="N677" t="s">
        <v>40</v>
      </c>
      <c r="O677">
        <v>2329</v>
      </c>
      <c r="P677">
        <v>3</v>
      </c>
      <c r="Q677" t="s">
        <v>36</v>
      </c>
      <c r="R677">
        <v>2</v>
      </c>
      <c r="S677">
        <v>13</v>
      </c>
      <c r="T677">
        <v>4</v>
      </c>
      <c r="U677">
        <v>7</v>
      </c>
      <c r="V677">
        <v>7</v>
      </c>
      <c r="W677">
        <v>5</v>
      </c>
      <c r="X677">
        <v>2</v>
      </c>
      <c r="Y677">
        <v>15</v>
      </c>
      <c r="Z677">
        <f>IF(H_A[[#This Row],[Attrition]]="Yes",1,0)</f>
        <v>0</v>
      </c>
      <c r="AA677" t="str">
        <f>IF(H_A[[#This Row],[Age]]&lt;30,"Young",IF(H_A[[#This Row],[Age]]&lt;45,"Mid","Senior"))</f>
        <v>Mid</v>
      </c>
      <c r="AB677" t="str">
        <f>IF(H_A[[#This Row],[MonthlyIncome]]&lt;5000,"Low",IF(H_A[[#This Row],[MonthlyIncome]]&lt;10000,"Medium","High"))</f>
        <v>Low</v>
      </c>
      <c r="AC677" t="str">
        <f>IF(H_A[[#This Row],[YearsAtCompany]]&lt;3,"Early",IF(H_A[[#This Row],[YearsAtCompany]]&lt;7,"Mid","Long"))</f>
        <v>Long</v>
      </c>
      <c r="AD677" t="str">
        <f>IF(H_A[[#This Row],[PercentSalaryHike]]&lt;13,"Low",IF(H_A[[#This Row],[PercentSalaryHike]]&lt;18,"Medium","High"))</f>
        <v>Medium</v>
      </c>
    </row>
    <row r="678" spans="1:30" x14ac:dyDescent="0.3">
      <c r="A678">
        <v>35</v>
      </c>
      <c r="B678">
        <v>942</v>
      </c>
      <c r="C678" t="s">
        <v>36</v>
      </c>
      <c r="D678" t="s">
        <v>37</v>
      </c>
      <c r="E678">
        <v>21</v>
      </c>
      <c r="F678">
        <v>1</v>
      </c>
      <c r="G678" t="s">
        <v>32</v>
      </c>
      <c r="H678">
        <v>4</v>
      </c>
      <c r="I678" t="s">
        <v>33</v>
      </c>
      <c r="J678">
        <v>3</v>
      </c>
      <c r="K678">
        <v>2</v>
      </c>
      <c r="L678" t="s">
        <v>46</v>
      </c>
      <c r="M678">
        <v>4</v>
      </c>
      <c r="N678" t="s">
        <v>40</v>
      </c>
      <c r="O678">
        <v>4014</v>
      </c>
      <c r="P678">
        <v>1</v>
      </c>
      <c r="Q678" t="s">
        <v>30</v>
      </c>
      <c r="R678">
        <v>4</v>
      </c>
      <c r="S678">
        <v>10</v>
      </c>
      <c r="T678">
        <v>1</v>
      </c>
      <c r="U678">
        <v>10</v>
      </c>
      <c r="V678">
        <v>6</v>
      </c>
      <c r="W678">
        <v>0</v>
      </c>
      <c r="X678">
        <v>7</v>
      </c>
      <c r="Y678">
        <v>25</v>
      </c>
      <c r="Z678">
        <f>IF(H_A[[#This Row],[Attrition]]="Yes",1,0)</f>
        <v>0</v>
      </c>
      <c r="AA678" t="str">
        <f>IF(H_A[[#This Row],[Age]]&lt;30,"Young",IF(H_A[[#This Row],[Age]]&lt;45,"Mid","Senior"))</f>
        <v>Mid</v>
      </c>
      <c r="AB678" t="str">
        <f>IF(H_A[[#This Row],[MonthlyIncome]]&lt;5000,"Low",IF(H_A[[#This Row],[MonthlyIncome]]&lt;10000,"Medium","High"))</f>
        <v>Low</v>
      </c>
      <c r="AC678" t="str">
        <f>IF(H_A[[#This Row],[YearsAtCompany]]&lt;3,"Early",IF(H_A[[#This Row],[YearsAtCompany]]&lt;7,"Mid","Long"))</f>
        <v>Long</v>
      </c>
      <c r="AD678" t="str">
        <f>IF(H_A[[#This Row],[PercentSalaryHike]]&lt;13,"Low",IF(H_A[[#This Row],[PercentSalaryHike]]&lt;18,"Medium","High"))</f>
        <v>High</v>
      </c>
    </row>
    <row r="679" spans="1:30" x14ac:dyDescent="0.3">
      <c r="A679">
        <v>49</v>
      </c>
      <c r="B679">
        <v>944</v>
      </c>
      <c r="C679" t="s">
        <v>36</v>
      </c>
      <c r="D679" t="s">
        <v>37</v>
      </c>
      <c r="E679">
        <v>8</v>
      </c>
      <c r="F679">
        <v>2</v>
      </c>
      <c r="G679" t="s">
        <v>41</v>
      </c>
      <c r="H679">
        <v>1</v>
      </c>
      <c r="I679" t="s">
        <v>33</v>
      </c>
      <c r="J679">
        <v>3</v>
      </c>
      <c r="K679">
        <v>3</v>
      </c>
      <c r="L679" t="s">
        <v>42</v>
      </c>
      <c r="M679">
        <v>2</v>
      </c>
      <c r="N679" t="s">
        <v>40</v>
      </c>
      <c r="O679">
        <v>7403</v>
      </c>
      <c r="P679">
        <v>4</v>
      </c>
      <c r="Q679" t="s">
        <v>36</v>
      </c>
      <c r="R679">
        <v>3</v>
      </c>
      <c r="S679">
        <v>29</v>
      </c>
      <c r="T679">
        <v>2</v>
      </c>
      <c r="U679">
        <v>26</v>
      </c>
      <c r="V679">
        <v>9</v>
      </c>
      <c r="W679">
        <v>1</v>
      </c>
      <c r="X679">
        <v>7</v>
      </c>
      <c r="Y679">
        <v>11</v>
      </c>
      <c r="Z679">
        <f>IF(H_A[[#This Row],[Attrition]]="Yes",1,0)</f>
        <v>0</v>
      </c>
      <c r="AA679" t="str">
        <f>IF(H_A[[#This Row],[Age]]&lt;30,"Young",IF(H_A[[#This Row],[Age]]&lt;45,"Mid","Senior"))</f>
        <v>Senior</v>
      </c>
      <c r="AB679" t="str">
        <f>IF(H_A[[#This Row],[MonthlyIncome]]&lt;5000,"Low",IF(H_A[[#This Row],[MonthlyIncome]]&lt;10000,"Medium","High"))</f>
        <v>Medium</v>
      </c>
      <c r="AC679" t="str">
        <f>IF(H_A[[#This Row],[YearsAtCompany]]&lt;3,"Early",IF(H_A[[#This Row],[YearsAtCompany]]&lt;7,"Mid","Long"))</f>
        <v>Long</v>
      </c>
      <c r="AD679" t="str">
        <f>IF(H_A[[#This Row],[PercentSalaryHike]]&lt;13,"Low",IF(H_A[[#This Row],[PercentSalaryHike]]&lt;18,"Medium","High"))</f>
        <v>Low</v>
      </c>
    </row>
    <row r="680" spans="1:30" x14ac:dyDescent="0.3">
      <c r="A680">
        <v>48</v>
      </c>
      <c r="B680">
        <v>945</v>
      </c>
      <c r="C680" t="s">
        <v>36</v>
      </c>
      <c r="D680" t="s">
        <v>37</v>
      </c>
      <c r="E680">
        <v>20</v>
      </c>
      <c r="F680">
        <v>4</v>
      </c>
      <c r="G680" t="s">
        <v>43</v>
      </c>
      <c r="H680">
        <v>4</v>
      </c>
      <c r="I680" t="s">
        <v>38</v>
      </c>
      <c r="J680">
        <v>3</v>
      </c>
      <c r="K680">
        <v>1</v>
      </c>
      <c r="L680" t="s">
        <v>39</v>
      </c>
      <c r="M680">
        <v>3</v>
      </c>
      <c r="N680" t="s">
        <v>40</v>
      </c>
      <c r="O680">
        <v>2259</v>
      </c>
      <c r="P680">
        <v>4</v>
      </c>
      <c r="Q680" t="s">
        <v>36</v>
      </c>
      <c r="R680">
        <v>1</v>
      </c>
      <c r="S680">
        <v>13</v>
      </c>
      <c r="T680">
        <v>2</v>
      </c>
      <c r="U680">
        <v>0</v>
      </c>
      <c r="V680">
        <v>0</v>
      </c>
      <c r="W680">
        <v>0</v>
      </c>
      <c r="X680">
        <v>0</v>
      </c>
      <c r="Y680">
        <v>17</v>
      </c>
      <c r="Z680">
        <f>IF(H_A[[#This Row],[Attrition]]="Yes",1,0)</f>
        <v>0</v>
      </c>
      <c r="AA680" t="str">
        <f>IF(H_A[[#This Row],[Age]]&lt;30,"Young",IF(H_A[[#This Row],[Age]]&lt;45,"Mid","Senior"))</f>
        <v>Senior</v>
      </c>
      <c r="AB680" t="str">
        <f>IF(H_A[[#This Row],[MonthlyIncome]]&lt;5000,"Low",IF(H_A[[#This Row],[MonthlyIncome]]&lt;10000,"Medium","High"))</f>
        <v>Low</v>
      </c>
      <c r="AC680" t="str">
        <f>IF(H_A[[#This Row],[YearsAtCompany]]&lt;3,"Early",IF(H_A[[#This Row],[YearsAtCompany]]&lt;7,"Mid","Long"))</f>
        <v>Early</v>
      </c>
      <c r="AD680" t="str">
        <f>IF(H_A[[#This Row],[PercentSalaryHike]]&lt;13,"Low",IF(H_A[[#This Row],[PercentSalaryHike]]&lt;18,"Medium","High"))</f>
        <v>Medium</v>
      </c>
    </row>
    <row r="681" spans="1:30" x14ac:dyDescent="0.3">
      <c r="A681">
        <v>31</v>
      </c>
      <c r="B681">
        <v>947</v>
      </c>
      <c r="C681" t="s">
        <v>36</v>
      </c>
      <c r="D681" t="s">
        <v>31</v>
      </c>
      <c r="E681">
        <v>20</v>
      </c>
      <c r="F681">
        <v>2</v>
      </c>
      <c r="G681" t="s">
        <v>50</v>
      </c>
      <c r="H681">
        <v>4</v>
      </c>
      <c r="I681" t="s">
        <v>33</v>
      </c>
      <c r="J681">
        <v>3</v>
      </c>
      <c r="K681">
        <v>2</v>
      </c>
      <c r="L681" t="s">
        <v>34</v>
      </c>
      <c r="M681">
        <v>3</v>
      </c>
      <c r="N681" t="s">
        <v>40</v>
      </c>
      <c r="O681">
        <v>6932</v>
      </c>
      <c r="P681">
        <v>1</v>
      </c>
      <c r="Q681" t="s">
        <v>36</v>
      </c>
      <c r="R681">
        <v>4</v>
      </c>
      <c r="S681">
        <v>9</v>
      </c>
      <c r="T681">
        <v>2</v>
      </c>
      <c r="U681">
        <v>9</v>
      </c>
      <c r="V681">
        <v>8</v>
      </c>
      <c r="W681">
        <v>0</v>
      </c>
      <c r="X681">
        <v>0</v>
      </c>
      <c r="Y681">
        <v>13</v>
      </c>
      <c r="Z681">
        <f>IF(H_A[[#This Row],[Attrition]]="Yes",1,0)</f>
        <v>0</v>
      </c>
      <c r="AA681" t="str">
        <f>IF(H_A[[#This Row],[Age]]&lt;30,"Young",IF(H_A[[#This Row],[Age]]&lt;45,"Mid","Senior"))</f>
        <v>Mid</v>
      </c>
      <c r="AB681" t="str">
        <f>IF(H_A[[#This Row],[MonthlyIncome]]&lt;5000,"Low",IF(H_A[[#This Row],[MonthlyIncome]]&lt;10000,"Medium","High"))</f>
        <v>Medium</v>
      </c>
      <c r="AC681" t="str">
        <f>IF(H_A[[#This Row],[YearsAtCompany]]&lt;3,"Early",IF(H_A[[#This Row],[YearsAtCompany]]&lt;7,"Mid","Long"))</f>
        <v>Long</v>
      </c>
      <c r="AD681" t="str">
        <f>IF(H_A[[#This Row],[PercentSalaryHike]]&lt;13,"Low",IF(H_A[[#This Row],[PercentSalaryHike]]&lt;18,"Medium","High"))</f>
        <v>Medium</v>
      </c>
    </row>
    <row r="682" spans="1:30" x14ac:dyDescent="0.3">
      <c r="A682">
        <v>36</v>
      </c>
      <c r="B682">
        <v>949</v>
      </c>
      <c r="C682" t="s">
        <v>36</v>
      </c>
      <c r="D682" t="s">
        <v>37</v>
      </c>
      <c r="E682">
        <v>7</v>
      </c>
      <c r="F682">
        <v>4</v>
      </c>
      <c r="G682" t="s">
        <v>41</v>
      </c>
      <c r="H682">
        <v>2</v>
      </c>
      <c r="I682" t="s">
        <v>38</v>
      </c>
      <c r="J682">
        <v>3</v>
      </c>
      <c r="K682">
        <v>1</v>
      </c>
      <c r="L682" t="s">
        <v>39</v>
      </c>
      <c r="M682">
        <v>4</v>
      </c>
      <c r="N682" t="s">
        <v>35</v>
      </c>
      <c r="O682">
        <v>4678</v>
      </c>
      <c r="P682">
        <v>2</v>
      </c>
      <c r="Q682" t="s">
        <v>36</v>
      </c>
      <c r="R682">
        <v>3</v>
      </c>
      <c r="S682">
        <v>8</v>
      </c>
      <c r="T682">
        <v>3</v>
      </c>
      <c r="U682">
        <v>6</v>
      </c>
      <c r="V682">
        <v>2</v>
      </c>
      <c r="W682">
        <v>0</v>
      </c>
      <c r="X682">
        <v>1</v>
      </c>
      <c r="Y682">
        <v>18</v>
      </c>
      <c r="Z682">
        <f>IF(H_A[[#This Row],[Attrition]]="Yes",1,0)</f>
        <v>0</v>
      </c>
      <c r="AA682" t="str">
        <f>IF(H_A[[#This Row],[Age]]&lt;30,"Young",IF(H_A[[#This Row],[Age]]&lt;45,"Mid","Senior"))</f>
        <v>Mid</v>
      </c>
      <c r="AB682" t="str">
        <f>IF(H_A[[#This Row],[MonthlyIncome]]&lt;5000,"Low",IF(H_A[[#This Row],[MonthlyIncome]]&lt;10000,"Medium","High"))</f>
        <v>Low</v>
      </c>
      <c r="AC682" t="str">
        <f>IF(H_A[[#This Row],[YearsAtCompany]]&lt;3,"Early",IF(H_A[[#This Row],[YearsAtCompany]]&lt;7,"Mid","Long"))</f>
        <v>Mid</v>
      </c>
      <c r="AD682" t="str">
        <f>IF(H_A[[#This Row],[PercentSalaryHike]]&lt;13,"Low",IF(H_A[[#This Row],[PercentSalaryHike]]&lt;18,"Medium","High"))</f>
        <v>High</v>
      </c>
    </row>
    <row r="683" spans="1:30" x14ac:dyDescent="0.3">
      <c r="A683">
        <v>38</v>
      </c>
      <c r="B683">
        <v>950</v>
      </c>
      <c r="C683" t="s">
        <v>36</v>
      </c>
      <c r="D683" t="s">
        <v>37</v>
      </c>
      <c r="E683">
        <v>1</v>
      </c>
      <c r="F683">
        <v>3</v>
      </c>
      <c r="G683" t="s">
        <v>51</v>
      </c>
      <c r="H683">
        <v>4</v>
      </c>
      <c r="I683" t="s">
        <v>33</v>
      </c>
      <c r="J683">
        <v>3</v>
      </c>
      <c r="K683">
        <v>3</v>
      </c>
      <c r="L683" t="s">
        <v>49</v>
      </c>
      <c r="M683">
        <v>1</v>
      </c>
      <c r="N683" t="s">
        <v>40</v>
      </c>
      <c r="O683">
        <v>13582</v>
      </c>
      <c r="P683">
        <v>1</v>
      </c>
      <c r="Q683" t="s">
        <v>36</v>
      </c>
      <c r="R683">
        <v>2</v>
      </c>
      <c r="S683">
        <v>15</v>
      </c>
      <c r="T683">
        <v>3</v>
      </c>
      <c r="U683">
        <v>15</v>
      </c>
      <c r="V683">
        <v>12</v>
      </c>
      <c r="W683">
        <v>5</v>
      </c>
      <c r="X683">
        <v>11</v>
      </c>
      <c r="Y683">
        <v>13</v>
      </c>
      <c r="Z683">
        <f>IF(H_A[[#This Row],[Attrition]]="Yes",1,0)</f>
        <v>0</v>
      </c>
      <c r="AA683" t="str">
        <f>IF(H_A[[#This Row],[Age]]&lt;30,"Young",IF(H_A[[#This Row],[Age]]&lt;45,"Mid","Senior"))</f>
        <v>Mid</v>
      </c>
      <c r="AB683" t="str">
        <f>IF(H_A[[#This Row],[MonthlyIncome]]&lt;5000,"Low",IF(H_A[[#This Row],[MonthlyIncome]]&lt;10000,"Medium","High"))</f>
        <v>High</v>
      </c>
      <c r="AC683" t="str">
        <f>IF(H_A[[#This Row],[YearsAtCompany]]&lt;3,"Early",IF(H_A[[#This Row],[YearsAtCompany]]&lt;7,"Mid","Long"))</f>
        <v>Long</v>
      </c>
      <c r="AD683" t="str">
        <f>IF(H_A[[#This Row],[PercentSalaryHike]]&lt;13,"Low",IF(H_A[[#This Row],[PercentSalaryHike]]&lt;18,"Medium","High"))</f>
        <v>Medium</v>
      </c>
    </row>
    <row r="684" spans="1:30" x14ac:dyDescent="0.3">
      <c r="A684">
        <v>32</v>
      </c>
      <c r="B684">
        <v>951</v>
      </c>
      <c r="C684" t="s">
        <v>36</v>
      </c>
      <c r="D684" t="s">
        <v>37</v>
      </c>
      <c r="E684">
        <v>1</v>
      </c>
      <c r="F684">
        <v>3</v>
      </c>
      <c r="G684" t="s">
        <v>32</v>
      </c>
      <c r="H684">
        <v>3</v>
      </c>
      <c r="I684" t="s">
        <v>33</v>
      </c>
      <c r="J684">
        <v>2</v>
      </c>
      <c r="K684">
        <v>1</v>
      </c>
      <c r="L684" t="s">
        <v>42</v>
      </c>
      <c r="M684">
        <v>2</v>
      </c>
      <c r="N684" t="s">
        <v>40</v>
      </c>
      <c r="O684">
        <v>2332</v>
      </c>
      <c r="P684">
        <v>6</v>
      </c>
      <c r="Q684" t="s">
        <v>36</v>
      </c>
      <c r="R684">
        <v>3</v>
      </c>
      <c r="S684">
        <v>5</v>
      </c>
      <c r="T684">
        <v>3</v>
      </c>
      <c r="U684">
        <v>3</v>
      </c>
      <c r="V684">
        <v>0</v>
      </c>
      <c r="W684">
        <v>0</v>
      </c>
      <c r="X684">
        <v>2</v>
      </c>
      <c r="Y684">
        <v>20</v>
      </c>
      <c r="Z684">
        <f>IF(H_A[[#This Row],[Attrition]]="Yes",1,0)</f>
        <v>0</v>
      </c>
      <c r="AA684" t="str">
        <f>IF(H_A[[#This Row],[Age]]&lt;30,"Young",IF(H_A[[#This Row],[Age]]&lt;45,"Mid","Senior"))</f>
        <v>Mid</v>
      </c>
      <c r="AB684" t="str">
        <f>IF(H_A[[#This Row],[MonthlyIncome]]&lt;5000,"Low",IF(H_A[[#This Row],[MonthlyIncome]]&lt;10000,"Medium","High"))</f>
        <v>Low</v>
      </c>
      <c r="AC684" t="str">
        <f>IF(H_A[[#This Row],[YearsAtCompany]]&lt;3,"Early",IF(H_A[[#This Row],[YearsAtCompany]]&lt;7,"Mid","Long"))</f>
        <v>Mid</v>
      </c>
      <c r="AD684" t="str">
        <f>IF(H_A[[#This Row],[PercentSalaryHike]]&lt;13,"Low",IF(H_A[[#This Row],[PercentSalaryHike]]&lt;18,"Medium","High"))</f>
        <v>High</v>
      </c>
    </row>
    <row r="685" spans="1:30" x14ac:dyDescent="0.3">
      <c r="A685">
        <v>25</v>
      </c>
      <c r="B685">
        <v>952</v>
      </c>
      <c r="C685" t="s">
        <v>30</v>
      </c>
      <c r="D685" t="s">
        <v>31</v>
      </c>
      <c r="E685">
        <v>19</v>
      </c>
      <c r="F685">
        <v>2</v>
      </c>
      <c r="G685" t="s">
        <v>50</v>
      </c>
      <c r="H685">
        <v>3</v>
      </c>
      <c r="I685" t="s">
        <v>38</v>
      </c>
      <c r="J685">
        <v>2</v>
      </c>
      <c r="K685">
        <v>1</v>
      </c>
      <c r="L685" t="s">
        <v>48</v>
      </c>
      <c r="M685">
        <v>2</v>
      </c>
      <c r="N685" t="s">
        <v>40</v>
      </c>
      <c r="O685">
        <v>2413</v>
      </c>
      <c r="P685">
        <v>1</v>
      </c>
      <c r="Q685" t="s">
        <v>30</v>
      </c>
      <c r="R685">
        <v>3</v>
      </c>
      <c r="S685">
        <v>1</v>
      </c>
      <c r="T685">
        <v>3</v>
      </c>
      <c r="U685">
        <v>1</v>
      </c>
      <c r="V685">
        <v>0</v>
      </c>
      <c r="W685">
        <v>0</v>
      </c>
      <c r="X685">
        <v>0</v>
      </c>
      <c r="Y685">
        <v>18</v>
      </c>
      <c r="Z685">
        <f>IF(H_A[[#This Row],[Attrition]]="Yes",1,0)</f>
        <v>1</v>
      </c>
      <c r="AA685" t="str">
        <f>IF(H_A[[#This Row],[Age]]&lt;30,"Young",IF(H_A[[#This Row],[Age]]&lt;45,"Mid","Senior"))</f>
        <v>Young</v>
      </c>
      <c r="AB685" t="str">
        <f>IF(H_A[[#This Row],[MonthlyIncome]]&lt;5000,"Low",IF(H_A[[#This Row],[MonthlyIncome]]&lt;10000,"Medium","High"))</f>
        <v>Low</v>
      </c>
      <c r="AC685" t="str">
        <f>IF(H_A[[#This Row],[YearsAtCompany]]&lt;3,"Early",IF(H_A[[#This Row],[YearsAtCompany]]&lt;7,"Mid","Long"))</f>
        <v>Early</v>
      </c>
      <c r="AD685" t="str">
        <f>IF(H_A[[#This Row],[PercentSalaryHike]]&lt;13,"Low",IF(H_A[[#This Row],[PercentSalaryHike]]&lt;18,"Medium","High"))</f>
        <v>High</v>
      </c>
    </row>
    <row r="686" spans="1:30" x14ac:dyDescent="0.3">
      <c r="A686">
        <v>40</v>
      </c>
      <c r="B686">
        <v>954</v>
      </c>
      <c r="C686" t="s">
        <v>36</v>
      </c>
      <c r="D686" t="s">
        <v>31</v>
      </c>
      <c r="E686">
        <v>10</v>
      </c>
      <c r="F686">
        <v>4</v>
      </c>
      <c r="G686" t="s">
        <v>50</v>
      </c>
      <c r="H686">
        <v>1</v>
      </c>
      <c r="I686" t="s">
        <v>38</v>
      </c>
      <c r="J686">
        <v>2</v>
      </c>
      <c r="K686">
        <v>3</v>
      </c>
      <c r="L686" t="s">
        <v>34</v>
      </c>
      <c r="M686">
        <v>2</v>
      </c>
      <c r="N686" t="s">
        <v>44</v>
      </c>
      <c r="O686">
        <v>9705</v>
      </c>
      <c r="P686">
        <v>2</v>
      </c>
      <c r="Q686" t="s">
        <v>36</v>
      </c>
      <c r="R686">
        <v>2</v>
      </c>
      <c r="S686">
        <v>11</v>
      </c>
      <c r="T686">
        <v>2</v>
      </c>
      <c r="U686">
        <v>1</v>
      </c>
      <c r="V686">
        <v>0</v>
      </c>
      <c r="W686">
        <v>0</v>
      </c>
      <c r="X686">
        <v>0</v>
      </c>
      <c r="Y686">
        <v>12</v>
      </c>
      <c r="Z686">
        <f>IF(H_A[[#This Row],[Attrition]]="Yes",1,0)</f>
        <v>0</v>
      </c>
      <c r="AA686" t="str">
        <f>IF(H_A[[#This Row],[Age]]&lt;30,"Young",IF(H_A[[#This Row],[Age]]&lt;45,"Mid","Senior"))</f>
        <v>Mid</v>
      </c>
      <c r="AB686" t="str">
        <f>IF(H_A[[#This Row],[MonthlyIncome]]&lt;5000,"Low",IF(H_A[[#This Row],[MonthlyIncome]]&lt;10000,"Medium","High"))</f>
        <v>Medium</v>
      </c>
      <c r="AC686" t="str">
        <f>IF(H_A[[#This Row],[YearsAtCompany]]&lt;3,"Early",IF(H_A[[#This Row],[YearsAtCompany]]&lt;7,"Mid","Long"))</f>
        <v>Early</v>
      </c>
      <c r="AD686" t="str">
        <f>IF(H_A[[#This Row],[PercentSalaryHike]]&lt;13,"Low",IF(H_A[[#This Row],[PercentSalaryHike]]&lt;18,"Medium","High"))</f>
        <v>Low</v>
      </c>
    </row>
    <row r="687" spans="1:30" x14ac:dyDescent="0.3">
      <c r="A687">
        <v>26</v>
      </c>
      <c r="B687">
        <v>956</v>
      </c>
      <c r="C687" t="s">
        <v>36</v>
      </c>
      <c r="D687" t="s">
        <v>31</v>
      </c>
      <c r="E687">
        <v>1</v>
      </c>
      <c r="F687">
        <v>3</v>
      </c>
      <c r="G687" t="s">
        <v>43</v>
      </c>
      <c r="H687">
        <v>3</v>
      </c>
      <c r="I687" t="s">
        <v>38</v>
      </c>
      <c r="J687">
        <v>2</v>
      </c>
      <c r="K687">
        <v>2</v>
      </c>
      <c r="L687" t="s">
        <v>34</v>
      </c>
      <c r="M687">
        <v>1</v>
      </c>
      <c r="N687" t="s">
        <v>35</v>
      </c>
      <c r="O687">
        <v>4294</v>
      </c>
      <c r="P687">
        <v>1</v>
      </c>
      <c r="Q687" t="s">
        <v>36</v>
      </c>
      <c r="R687">
        <v>2</v>
      </c>
      <c r="S687">
        <v>7</v>
      </c>
      <c r="T687">
        <v>3</v>
      </c>
      <c r="U687">
        <v>7</v>
      </c>
      <c r="V687">
        <v>7</v>
      </c>
      <c r="W687">
        <v>0</v>
      </c>
      <c r="X687">
        <v>7</v>
      </c>
      <c r="Y687">
        <v>12</v>
      </c>
      <c r="Z687">
        <f>IF(H_A[[#This Row],[Attrition]]="Yes",1,0)</f>
        <v>0</v>
      </c>
      <c r="AA687" t="str">
        <f>IF(H_A[[#This Row],[Age]]&lt;30,"Young",IF(H_A[[#This Row],[Age]]&lt;45,"Mid","Senior"))</f>
        <v>Young</v>
      </c>
      <c r="AB687" t="str">
        <f>IF(H_A[[#This Row],[MonthlyIncome]]&lt;5000,"Low",IF(H_A[[#This Row],[MonthlyIncome]]&lt;10000,"Medium","High"))</f>
        <v>Low</v>
      </c>
      <c r="AC687" t="str">
        <f>IF(H_A[[#This Row],[YearsAtCompany]]&lt;3,"Early",IF(H_A[[#This Row],[YearsAtCompany]]&lt;7,"Mid","Long"))</f>
        <v>Long</v>
      </c>
      <c r="AD687" t="str">
        <f>IF(H_A[[#This Row],[PercentSalaryHike]]&lt;13,"Low",IF(H_A[[#This Row],[PercentSalaryHike]]&lt;18,"Medium","High"))</f>
        <v>Low</v>
      </c>
    </row>
    <row r="688" spans="1:30" x14ac:dyDescent="0.3">
      <c r="A688">
        <v>41</v>
      </c>
      <c r="B688">
        <v>957</v>
      </c>
      <c r="C688" t="s">
        <v>36</v>
      </c>
      <c r="D688" t="s">
        <v>37</v>
      </c>
      <c r="E688">
        <v>6</v>
      </c>
      <c r="F688">
        <v>3</v>
      </c>
      <c r="G688" t="s">
        <v>43</v>
      </c>
      <c r="H688">
        <v>4</v>
      </c>
      <c r="I688" t="s">
        <v>38</v>
      </c>
      <c r="J688">
        <v>3</v>
      </c>
      <c r="K688">
        <v>1</v>
      </c>
      <c r="L688" t="s">
        <v>42</v>
      </c>
      <c r="M688">
        <v>1</v>
      </c>
      <c r="N688" t="s">
        <v>35</v>
      </c>
      <c r="O688">
        <v>4721</v>
      </c>
      <c r="P688">
        <v>2</v>
      </c>
      <c r="Q688" t="s">
        <v>30</v>
      </c>
      <c r="R688">
        <v>3</v>
      </c>
      <c r="S688">
        <v>20</v>
      </c>
      <c r="T688">
        <v>3</v>
      </c>
      <c r="U688">
        <v>18</v>
      </c>
      <c r="V688">
        <v>13</v>
      </c>
      <c r="W688">
        <v>2</v>
      </c>
      <c r="X688">
        <v>17</v>
      </c>
      <c r="Y688">
        <v>13</v>
      </c>
      <c r="Z688">
        <f>IF(H_A[[#This Row],[Attrition]]="Yes",1,0)</f>
        <v>0</v>
      </c>
      <c r="AA688" t="str">
        <f>IF(H_A[[#This Row],[Age]]&lt;30,"Young",IF(H_A[[#This Row],[Age]]&lt;45,"Mid","Senior"))</f>
        <v>Mid</v>
      </c>
      <c r="AB688" t="str">
        <f>IF(H_A[[#This Row],[MonthlyIncome]]&lt;5000,"Low",IF(H_A[[#This Row],[MonthlyIncome]]&lt;10000,"Medium","High"))</f>
        <v>Low</v>
      </c>
      <c r="AC688" t="str">
        <f>IF(H_A[[#This Row],[YearsAtCompany]]&lt;3,"Early",IF(H_A[[#This Row],[YearsAtCompany]]&lt;7,"Mid","Long"))</f>
        <v>Long</v>
      </c>
      <c r="AD688" t="str">
        <f>IF(H_A[[#This Row],[PercentSalaryHike]]&lt;13,"Low",IF(H_A[[#This Row],[PercentSalaryHike]]&lt;18,"Medium","High"))</f>
        <v>Medium</v>
      </c>
    </row>
    <row r="689" spans="1:30" x14ac:dyDescent="0.3">
      <c r="A689">
        <v>36</v>
      </c>
      <c r="B689">
        <v>958</v>
      </c>
      <c r="C689" t="s">
        <v>36</v>
      </c>
      <c r="D689" t="s">
        <v>37</v>
      </c>
      <c r="E689">
        <v>2</v>
      </c>
      <c r="F689">
        <v>4</v>
      </c>
      <c r="G689" t="s">
        <v>43</v>
      </c>
      <c r="H689">
        <v>3</v>
      </c>
      <c r="I689" t="s">
        <v>38</v>
      </c>
      <c r="J689">
        <v>3</v>
      </c>
      <c r="K689">
        <v>1</v>
      </c>
      <c r="L689" t="s">
        <v>42</v>
      </c>
      <c r="M689">
        <v>3</v>
      </c>
      <c r="N689" t="s">
        <v>35</v>
      </c>
      <c r="O689">
        <v>2519</v>
      </c>
      <c r="P689">
        <v>4</v>
      </c>
      <c r="Q689" t="s">
        <v>36</v>
      </c>
      <c r="R689">
        <v>3</v>
      </c>
      <c r="S689">
        <v>16</v>
      </c>
      <c r="T689">
        <v>3</v>
      </c>
      <c r="U689">
        <v>11</v>
      </c>
      <c r="V689">
        <v>8</v>
      </c>
      <c r="W689">
        <v>3</v>
      </c>
      <c r="X689">
        <v>9</v>
      </c>
      <c r="Y689">
        <v>21</v>
      </c>
      <c r="Z689">
        <f>IF(H_A[[#This Row],[Attrition]]="Yes",1,0)</f>
        <v>0</v>
      </c>
      <c r="AA689" t="str">
        <f>IF(H_A[[#This Row],[Age]]&lt;30,"Young",IF(H_A[[#This Row],[Age]]&lt;45,"Mid","Senior"))</f>
        <v>Mid</v>
      </c>
      <c r="AB689" t="str">
        <f>IF(H_A[[#This Row],[MonthlyIncome]]&lt;5000,"Low",IF(H_A[[#This Row],[MonthlyIncome]]&lt;10000,"Medium","High"))</f>
        <v>Low</v>
      </c>
      <c r="AC689" t="str">
        <f>IF(H_A[[#This Row],[YearsAtCompany]]&lt;3,"Early",IF(H_A[[#This Row],[YearsAtCompany]]&lt;7,"Mid","Long"))</f>
        <v>Long</v>
      </c>
      <c r="AD689" t="str">
        <f>IF(H_A[[#This Row],[PercentSalaryHike]]&lt;13,"Low",IF(H_A[[#This Row],[PercentSalaryHike]]&lt;18,"Medium","High"))</f>
        <v>High</v>
      </c>
    </row>
    <row r="690" spans="1:30" x14ac:dyDescent="0.3">
      <c r="A690">
        <v>19</v>
      </c>
      <c r="B690">
        <v>959</v>
      </c>
      <c r="C690" t="s">
        <v>30</v>
      </c>
      <c r="D690" t="s">
        <v>31</v>
      </c>
      <c r="E690">
        <v>21</v>
      </c>
      <c r="F690">
        <v>3</v>
      </c>
      <c r="G690" t="s">
        <v>41</v>
      </c>
      <c r="H690">
        <v>4</v>
      </c>
      <c r="I690" t="s">
        <v>38</v>
      </c>
      <c r="J690">
        <v>2</v>
      </c>
      <c r="K690">
        <v>1</v>
      </c>
      <c r="L690" t="s">
        <v>48</v>
      </c>
      <c r="M690">
        <v>2</v>
      </c>
      <c r="N690" t="s">
        <v>35</v>
      </c>
      <c r="O690">
        <v>2121</v>
      </c>
      <c r="P690">
        <v>1</v>
      </c>
      <c r="Q690" t="s">
        <v>30</v>
      </c>
      <c r="R690">
        <v>2</v>
      </c>
      <c r="S690">
        <v>1</v>
      </c>
      <c r="T690">
        <v>4</v>
      </c>
      <c r="U690">
        <v>1</v>
      </c>
      <c r="V690">
        <v>0</v>
      </c>
      <c r="W690">
        <v>0</v>
      </c>
      <c r="X690">
        <v>0</v>
      </c>
      <c r="Y690">
        <v>13</v>
      </c>
      <c r="Z690">
        <f>IF(H_A[[#This Row],[Attrition]]="Yes",1,0)</f>
        <v>1</v>
      </c>
      <c r="AA690" t="str">
        <f>IF(H_A[[#This Row],[Age]]&lt;30,"Young",IF(H_A[[#This Row],[Age]]&lt;45,"Mid","Senior"))</f>
        <v>Young</v>
      </c>
      <c r="AB690" t="str">
        <f>IF(H_A[[#This Row],[MonthlyIncome]]&lt;5000,"Low",IF(H_A[[#This Row],[MonthlyIncome]]&lt;10000,"Medium","High"))</f>
        <v>Low</v>
      </c>
      <c r="AC690" t="str">
        <f>IF(H_A[[#This Row],[YearsAtCompany]]&lt;3,"Early",IF(H_A[[#This Row],[YearsAtCompany]]&lt;7,"Mid","Long"))</f>
        <v>Early</v>
      </c>
      <c r="AD690" t="str">
        <f>IF(H_A[[#This Row],[PercentSalaryHike]]&lt;13,"Low",IF(H_A[[#This Row],[PercentSalaryHike]]&lt;18,"Medium","High"))</f>
        <v>Medium</v>
      </c>
    </row>
    <row r="691" spans="1:30" x14ac:dyDescent="0.3">
      <c r="A691">
        <v>20</v>
      </c>
      <c r="B691">
        <v>960</v>
      </c>
      <c r="C691" t="s">
        <v>30</v>
      </c>
      <c r="D691" t="s">
        <v>37</v>
      </c>
      <c r="E691">
        <v>4</v>
      </c>
      <c r="F691">
        <v>3</v>
      </c>
      <c r="G691" t="s">
        <v>51</v>
      </c>
      <c r="H691">
        <v>1</v>
      </c>
      <c r="I691" t="s">
        <v>38</v>
      </c>
      <c r="J691">
        <v>3</v>
      </c>
      <c r="K691">
        <v>1</v>
      </c>
      <c r="L691" t="s">
        <v>42</v>
      </c>
      <c r="M691">
        <v>1</v>
      </c>
      <c r="N691" t="s">
        <v>35</v>
      </c>
      <c r="O691">
        <v>2973</v>
      </c>
      <c r="P691">
        <v>1</v>
      </c>
      <c r="Q691" t="s">
        <v>36</v>
      </c>
      <c r="R691">
        <v>2</v>
      </c>
      <c r="S691">
        <v>1</v>
      </c>
      <c r="T691">
        <v>3</v>
      </c>
      <c r="U691">
        <v>1</v>
      </c>
      <c r="V691">
        <v>0</v>
      </c>
      <c r="W691">
        <v>0</v>
      </c>
      <c r="X691">
        <v>0</v>
      </c>
      <c r="Y691">
        <v>19</v>
      </c>
      <c r="Z691">
        <f>IF(H_A[[#This Row],[Attrition]]="Yes",1,0)</f>
        <v>1</v>
      </c>
      <c r="AA691" t="str">
        <f>IF(H_A[[#This Row],[Age]]&lt;30,"Young",IF(H_A[[#This Row],[Age]]&lt;45,"Mid","Senior"))</f>
        <v>Young</v>
      </c>
      <c r="AB691" t="str">
        <f>IF(H_A[[#This Row],[MonthlyIncome]]&lt;5000,"Low",IF(H_A[[#This Row],[MonthlyIncome]]&lt;10000,"Medium","High"))</f>
        <v>Low</v>
      </c>
      <c r="AC691" t="str">
        <f>IF(H_A[[#This Row],[YearsAtCompany]]&lt;3,"Early",IF(H_A[[#This Row],[YearsAtCompany]]&lt;7,"Mid","Long"))</f>
        <v>Early</v>
      </c>
      <c r="AD691" t="str">
        <f>IF(H_A[[#This Row],[PercentSalaryHike]]&lt;13,"Low",IF(H_A[[#This Row],[PercentSalaryHike]]&lt;18,"Medium","High"))</f>
        <v>High</v>
      </c>
    </row>
    <row r="692" spans="1:30" x14ac:dyDescent="0.3">
      <c r="A692">
        <v>31</v>
      </c>
      <c r="B692">
        <v>961</v>
      </c>
      <c r="C692" t="s">
        <v>36</v>
      </c>
      <c r="D692" t="s">
        <v>37</v>
      </c>
      <c r="E692">
        <v>12</v>
      </c>
      <c r="F692">
        <v>3</v>
      </c>
      <c r="G692" t="s">
        <v>43</v>
      </c>
      <c r="H692">
        <v>4</v>
      </c>
      <c r="I692" t="s">
        <v>33</v>
      </c>
      <c r="J692">
        <v>3</v>
      </c>
      <c r="K692">
        <v>2</v>
      </c>
      <c r="L692" t="s">
        <v>46</v>
      </c>
      <c r="M692">
        <v>4</v>
      </c>
      <c r="N692" t="s">
        <v>40</v>
      </c>
      <c r="O692">
        <v>5855</v>
      </c>
      <c r="P692">
        <v>0</v>
      </c>
      <c r="Q692" t="s">
        <v>30</v>
      </c>
      <c r="R692">
        <v>3</v>
      </c>
      <c r="S692">
        <v>10</v>
      </c>
      <c r="T692">
        <v>1</v>
      </c>
      <c r="U692">
        <v>9</v>
      </c>
      <c r="V692">
        <v>7</v>
      </c>
      <c r="W692">
        <v>8</v>
      </c>
      <c r="X692">
        <v>5</v>
      </c>
      <c r="Y692">
        <v>11</v>
      </c>
      <c r="Z692">
        <f>IF(H_A[[#This Row],[Attrition]]="Yes",1,0)</f>
        <v>0</v>
      </c>
      <c r="AA692" t="str">
        <f>IF(H_A[[#This Row],[Age]]&lt;30,"Young",IF(H_A[[#This Row],[Age]]&lt;45,"Mid","Senior"))</f>
        <v>Mid</v>
      </c>
      <c r="AB692" t="str">
        <f>IF(H_A[[#This Row],[MonthlyIncome]]&lt;5000,"Low",IF(H_A[[#This Row],[MonthlyIncome]]&lt;10000,"Medium","High"))</f>
        <v>Medium</v>
      </c>
      <c r="AC692" t="str">
        <f>IF(H_A[[#This Row],[YearsAtCompany]]&lt;3,"Early",IF(H_A[[#This Row],[YearsAtCompany]]&lt;7,"Mid","Long"))</f>
        <v>Long</v>
      </c>
      <c r="AD692" t="str">
        <f>IF(H_A[[#This Row],[PercentSalaryHike]]&lt;13,"Low",IF(H_A[[#This Row],[PercentSalaryHike]]&lt;18,"Medium","High"))</f>
        <v>Low</v>
      </c>
    </row>
    <row r="693" spans="1:30" x14ac:dyDescent="0.3">
      <c r="A693">
        <v>40</v>
      </c>
      <c r="B693">
        <v>964</v>
      </c>
      <c r="C693" t="s">
        <v>36</v>
      </c>
      <c r="D693" t="s">
        <v>37</v>
      </c>
      <c r="E693">
        <v>9</v>
      </c>
      <c r="F693">
        <v>4</v>
      </c>
      <c r="G693" t="s">
        <v>43</v>
      </c>
      <c r="H693">
        <v>4</v>
      </c>
      <c r="I693" t="s">
        <v>38</v>
      </c>
      <c r="J693">
        <v>3</v>
      </c>
      <c r="K693">
        <v>1</v>
      </c>
      <c r="L693" t="s">
        <v>39</v>
      </c>
      <c r="M693">
        <v>2</v>
      </c>
      <c r="N693" t="s">
        <v>44</v>
      </c>
      <c r="O693">
        <v>3617</v>
      </c>
      <c r="P693">
        <v>8</v>
      </c>
      <c r="Q693" t="s">
        <v>30</v>
      </c>
      <c r="R693">
        <v>4</v>
      </c>
      <c r="S693">
        <v>3</v>
      </c>
      <c r="T693">
        <v>3</v>
      </c>
      <c r="U693">
        <v>1</v>
      </c>
      <c r="V693">
        <v>1</v>
      </c>
      <c r="W693">
        <v>0</v>
      </c>
      <c r="X693">
        <v>0</v>
      </c>
      <c r="Y693">
        <v>14</v>
      </c>
      <c r="Z693">
        <f>IF(H_A[[#This Row],[Attrition]]="Yes",1,0)</f>
        <v>0</v>
      </c>
      <c r="AA693" t="str">
        <f>IF(H_A[[#This Row],[Age]]&lt;30,"Young",IF(H_A[[#This Row],[Age]]&lt;45,"Mid","Senior"))</f>
        <v>Mid</v>
      </c>
      <c r="AB693" t="str">
        <f>IF(H_A[[#This Row],[MonthlyIncome]]&lt;5000,"Low",IF(H_A[[#This Row],[MonthlyIncome]]&lt;10000,"Medium","High"))</f>
        <v>Low</v>
      </c>
      <c r="AC693" t="str">
        <f>IF(H_A[[#This Row],[YearsAtCompany]]&lt;3,"Early",IF(H_A[[#This Row],[YearsAtCompany]]&lt;7,"Mid","Long"))</f>
        <v>Early</v>
      </c>
      <c r="AD693" t="str">
        <f>IF(H_A[[#This Row],[PercentSalaryHike]]&lt;13,"Low",IF(H_A[[#This Row],[PercentSalaryHike]]&lt;18,"Medium","High"))</f>
        <v>Medium</v>
      </c>
    </row>
    <row r="694" spans="1:30" x14ac:dyDescent="0.3">
      <c r="A694">
        <v>32</v>
      </c>
      <c r="B694">
        <v>966</v>
      </c>
      <c r="C694" t="s">
        <v>36</v>
      </c>
      <c r="D694" t="s">
        <v>37</v>
      </c>
      <c r="E694">
        <v>3</v>
      </c>
      <c r="F694">
        <v>4</v>
      </c>
      <c r="G694" t="s">
        <v>43</v>
      </c>
      <c r="H694">
        <v>3</v>
      </c>
      <c r="I694" t="s">
        <v>33</v>
      </c>
      <c r="J694">
        <v>3</v>
      </c>
      <c r="K694">
        <v>2</v>
      </c>
      <c r="L694" t="s">
        <v>45</v>
      </c>
      <c r="M694">
        <v>1</v>
      </c>
      <c r="N694" t="s">
        <v>40</v>
      </c>
      <c r="O694">
        <v>6725</v>
      </c>
      <c r="P694">
        <v>1</v>
      </c>
      <c r="Q694" t="s">
        <v>36</v>
      </c>
      <c r="R694">
        <v>3</v>
      </c>
      <c r="S694">
        <v>8</v>
      </c>
      <c r="T694">
        <v>4</v>
      </c>
      <c r="U694">
        <v>8</v>
      </c>
      <c r="V694">
        <v>7</v>
      </c>
      <c r="W694">
        <v>6</v>
      </c>
      <c r="X694">
        <v>3</v>
      </c>
      <c r="Y694">
        <v>12</v>
      </c>
      <c r="Z694">
        <f>IF(H_A[[#This Row],[Attrition]]="Yes",1,0)</f>
        <v>0</v>
      </c>
      <c r="AA694" t="str">
        <f>IF(H_A[[#This Row],[Age]]&lt;30,"Young",IF(H_A[[#This Row],[Age]]&lt;45,"Mid","Senior"))</f>
        <v>Mid</v>
      </c>
      <c r="AB694" t="str">
        <f>IF(H_A[[#This Row],[MonthlyIncome]]&lt;5000,"Low",IF(H_A[[#This Row],[MonthlyIncome]]&lt;10000,"Medium","High"))</f>
        <v>Medium</v>
      </c>
      <c r="AC694" t="str">
        <f>IF(H_A[[#This Row],[YearsAtCompany]]&lt;3,"Early",IF(H_A[[#This Row],[YearsAtCompany]]&lt;7,"Mid","Long"))</f>
        <v>Long</v>
      </c>
      <c r="AD694" t="str">
        <f>IF(H_A[[#This Row],[PercentSalaryHike]]&lt;13,"Low",IF(H_A[[#This Row],[PercentSalaryHike]]&lt;18,"Medium","High"))</f>
        <v>Low</v>
      </c>
    </row>
    <row r="695" spans="1:30" x14ac:dyDescent="0.3">
      <c r="A695">
        <v>36</v>
      </c>
      <c r="B695">
        <v>967</v>
      </c>
      <c r="C695" t="s">
        <v>30</v>
      </c>
      <c r="D695" t="s">
        <v>31</v>
      </c>
      <c r="E695">
        <v>3</v>
      </c>
      <c r="F695">
        <v>1</v>
      </c>
      <c r="G695" t="s">
        <v>32</v>
      </c>
      <c r="H695">
        <v>3</v>
      </c>
      <c r="I695" t="s">
        <v>38</v>
      </c>
      <c r="J695">
        <v>2</v>
      </c>
      <c r="K695">
        <v>3</v>
      </c>
      <c r="L695" t="s">
        <v>34</v>
      </c>
      <c r="M695">
        <v>4</v>
      </c>
      <c r="N695" t="s">
        <v>40</v>
      </c>
      <c r="O695">
        <v>10325</v>
      </c>
      <c r="P695">
        <v>1</v>
      </c>
      <c r="Q695" t="s">
        <v>30</v>
      </c>
      <c r="R695">
        <v>1</v>
      </c>
      <c r="S695">
        <v>16</v>
      </c>
      <c r="T695">
        <v>3</v>
      </c>
      <c r="U695">
        <v>16</v>
      </c>
      <c r="V695">
        <v>7</v>
      </c>
      <c r="W695">
        <v>3</v>
      </c>
      <c r="X695">
        <v>7</v>
      </c>
      <c r="Y695">
        <v>11</v>
      </c>
      <c r="Z695">
        <f>IF(H_A[[#This Row],[Attrition]]="Yes",1,0)</f>
        <v>1</v>
      </c>
      <c r="AA695" t="str">
        <f>IF(H_A[[#This Row],[Age]]&lt;30,"Young",IF(H_A[[#This Row],[Age]]&lt;45,"Mid","Senior"))</f>
        <v>Mid</v>
      </c>
      <c r="AB695" t="str">
        <f>IF(H_A[[#This Row],[MonthlyIncome]]&lt;5000,"Low",IF(H_A[[#This Row],[MonthlyIncome]]&lt;10000,"Medium","High"))</f>
        <v>High</v>
      </c>
      <c r="AC695" t="str">
        <f>IF(H_A[[#This Row],[YearsAtCompany]]&lt;3,"Early",IF(H_A[[#This Row],[YearsAtCompany]]&lt;7,"Mid","Long"))</f>
        <v>Long</v>
      </c>
      <c r="AD695" t="str">
        <f>IF(H_A[[#This Row],[PercentSalaryHike]]&lt;13,"Low",IF(H_A[[#This Row],[PercentSalaryHike]]&lt;18,"Medium","High"))</f>
        <v>Low</v>
      </c>
    </row>
    <row r="696" spans="1:30" x14ac:dyDescent="0.3">
      <c r="A696">
        <v>33</v>
      </c>
      <c r="B696">
        <v>969</v>
      </c>
      <c r="C696" t="s">
        <v>36</v>
      </c>
      <c r="D696" t="s">
        <v>37</v>
      </c>
      <c r="E696">
        <v>1</v>
      </c>
      <c r="F696">
        <v>3</v>
      </c>
      <c r="G696" t="s">
        <v>32</v>
      </c>
      <c r="H696">
        <v>2</v>
      </c>
      <c r="I696" t="s">
        <v>33</v>
      </c>
      <c r="J696">
        <v>2</v>
      </c>
      <c r="K696">
        <v>2</v>
      </c>
      <c r="L696" t="s">
        <v>46</v>
      </c>
      <c r="M696">
        <v>4</v>
      </c>
      <c r="N696" t="s">
        <v>35</v>
      </c>
      <c r="O696">
        <v>6949</v>
      </c>
      <c r="P696">
        <v>0</v>
      </c>
      <c r="Q696" t="s">
        <v>36</v>
      </c>
      <c r="R696">
        <v>1</v>
      </c>
      <c r="S696">
        <v>6</v>
      </c>
      <c r="T696">
        <v>3</v>
      </c>
      <c r="U696">
        <v>5</v>
      </c>
      <c r="V696">
        <v>0</v>
      </c>
      <c r="W696">
        <v>1</v>
      </c>
      <c r="X696">
        <v>4</v>
      </c>
      <c r="Y696">
        <v>14</v>
      </c>
      <c r="Z696">
        <f>IF(H_A[[#This Row],[Attrition]]="Yes",1,0)</f>
        <v>0</v>
      </c>
      <c r="AA696" t="str">
        <f>IF(H_A[[#This Row],[Age]]&lt;30,"Young",IF(H_A[[#This Row],[Age]]&lt;45,"Mid","Senior"))</f>
        <v>Mid</v>
      </c>
      <c r="AB696" t="str">
        <f>IF(H_A[[#This Row],[MonthlyIncome]]&lt;5000,"Low",IF(H_A[[#This Row],[MonthlyIncome]]&lt;10000,"Medium","High"))</f>
        <v>Medium</v>
      </c>
      <c r="AC696" t="str">
        <f>IF(H_A[[#This Row],[YearsAtCompany]]&lt;3,"Early",IF(H_A[[#This Row],[YearsAtCompany]]&lt;7,"Mid","Long"))</f>
        <v>Mid</v>
      </c>
      <c r="AD696" t="str">
        <f>IF(H_A[[#This Row],[PercentSalaryHike]]&lt;13,"Low",IF(H_A[[#This Row],[PercentSalaryHike]]&lt;18,"Medium","High"))</f>
        <v>Medium</v>
      </c>
    </row>
    <row r="697" spans="1:30" x14ac:dyDescent="0.3">
      <c r="A697">
        <v>37</v>
      </c>
      <c r="B697">
        <v>970</v>
      </c>
      <c r="C697" t="s">
        <v>30</v>
      </c>
      <c r="D697" t="s">
        <v>31</v>
      </c>
      <c r="E697">
        <v>1</v>
      </c>
      <c r="F697">
        <v>4</v>
      </c>
      <c r="G697" t="s">
        <v>32</v>
      </c>
      <c r="H697">
        <v>1</v>
      </c>
      <c r="I697" t="s">
        <v>38</v>
      </c>
      <c r="J697">
        <v>2</v>
      </c>
      <c r="K697">
        <v>3</v>
      </c>
      <c r="L697" t="s">
        <v>34</v>
      </c>
      <c r="M697">
        <v>3</v>
      </c>
      <c r="N697" t="s">
        <v>40</v>
      </c>
      <c r="O697">
        <v>10609</v>
      </c>
      <c r="P697">
        <v>5</v>
      </c>
      <c r="Q697" t="s">
        <v>36</v>
      </c>
      <c r="R697">
        <v>3</v>
      </c>
      <c r="S697">
        <v>17</v>
      </c>
      <c r="T697">
        <v>1</v>
      </c>
      <c r="U697">
        <v>14</v>
      </c>
      <c r="V697">
        <v>1</v>
      </c>
      <c r="W697">
        <v>11</v>
      </c>
      <c r="X697">
        <v>7</v>
      </c>
      <c r="Y697">
        <v>11</v>
      </c>
      <c r="Z697">
        <f>IF(H_A[[#This Row],[Attrition]]="Yes",1,0)</f>
        <v>1</v>
      </c>
      <c r="AA697" t="str">
        <f>IF(H_A[[#This Row],[Age]]&lt;30,"Young",IF(H_A[[#This Row],[Age]]&lt;45,"Mid","Senior"))</f>
        <v>Mid</v>
      </c>
      <c r="AB697" t="str">
        <f>IF(H_A[[#This Row],[MonthlyIncome]]&lt;5000,"Low",IF(H_A[[#This Row],[MonthlyIncome]]&lt;10000,"Medium","High"))</f>
        <v>High</v>
      </c>
      <c r="AC697" t="str">
        <f>IF(H_A[[#This Row],[YearsAtCompany]]&lt;3,"Early",IF(H_A[[#This Row],[YearsAtCompany]]&lt;7,"Mid","Long"))</f>
        <v>Long</v>
      </c>
      <c r="AD697" t="str">
        <f>IF(H_A[[#This Row],[PercentSalaryHike]]&lt;13,"Low",IF(H_A[[#This Row],[PercentSalaryHike]]&lt;18,"Medium","High"))</f>
        <v>Low</v>
      </c>
    </row>
    <row r="698" spans="1:30" x14ac:dyDescent="0.3">
      <c r="A698">
        <v>45</v>
      </c>
      <c r="B698">
        <v>972</v>
      </c>
      <c r="C698" t="s">
        <v>36</v>
      </c>
      <c r="D698" t="s">
        <v>37</v>
      </c>
      <c r="E698">
        <v>4</v>
      </c>
      <c r="F698">
        <v>2</v>
      </c>
      <c r="G698" t="s">
        <v>32</v>
      </c>
      <c r="H698">
        <v>3</v>
      </c>
      <c r="I698" t="s">
        <v>38</v>
      </c>
      <c r="J698">
        <v>3</v>
      </c>
      <c r="K698">
        <v>2</v>
      </c>
      <c r="L698" t="s">
        <v>42</v>
      </c>
      <c r="M698">
        <v>2</v>
      </c>
      <c r="N698" t="s">
        <v>40</v>
      </c>
      <c r="O698">
        <v>4447</v>
      </c>
      <c r="P698">
        <v>1</v>
      </c>
      <c r="Q698" t="s">
        <v>36</v>
      </c>
      <c r="R698">
        <v>2</v>
      </c>
      <c r="S698">
        <v>9</v>
      </c>
      <c r="T698">
        <v>2</v>
      </c>
      <c r="U698">
        <v>9</v>
      </c>
      <c r="V698">
        <v>7</v>
      </c>
      <c r="W698">
        <v>0</v>
      </c>
      <c r="X698">
        <v>8</v>
      </c>
      <c r="Y698">
        <v>12</v>
      </c>
      <c r="Z698">
        <f>IF(H_A[[#This Row],[Attrition]]="Yes",1,0)</f>
        <v>0</v>
      </c>
      <c r="AA698" t="str">
        <f>IF(H_A[[#This Row],[Age]]&lt;30,"Young",IF(H_A[[#This Row],[Age]]&lt;45,"Mid","Senior"))</f>
        <v>Senior</v>
      </c>
      <c r="AB698" t="str">
        <f>IF(H_A[[#This Row],[MonthlyIncome]]&lt;5000,"Low",IF(H_A[[#This Row],[MonthlyIncome]]&lt;10000,"Medium","High"))</f>
        <v>Low</v>
      </c>
      <c r="AC698" t="str">
        <f>IF(H_A[[#This Row],[YearsAtCompany]]&lt;3,"Early",IF(H_A[[#This Row],[YearsAtCompany]]&lt;7,"Mid","Long"))</f>
        <v>Long</v>
      </c>
      <c r="AD698" t="str">
        <f>IF(H_A[[#This Row],[PercentSalaryHike]]&lt;13,"Low",IF(H_A[[#This Row],[PercentSalaryHike]]&lt;18,"Medium","High"))</f>
        <v>Low</v>
      </c>
    </row>
    <row r="699" spans="1:30" x14ac:dyDescent="0.3">
      <c r="A699">
        <v>29</v>
      </c>
      <c r="B699">
        <v>974</v>
      </c>
      <c r="C699" t="s">
        <v>36</v>
      </c>
      <c r="D699" t="s">
        <v>31</v>
      </c>
      <c r="E699">
        <v>20</v>
      </c>
      <c r="F699">
        <v>3</v>
      </c>
      <c r="G699" t="s">
        <v>51</v>
      </c>
      <c r="H699">
        <v>3</v>
      </c>
      <c r="I699" t="s">
        <v>33</v>
      </c>
      <c r="J699">
        <v>3</v>
      </c>
      <c r="K699">
        <v>1</v>
      </c>
      <c r="L699" t="s">
        <v>48</v>
      </c>
      <c r="M699">
        <v>4</v>
      </c>
      <c r="N699" t="s">
        <v>40</v>
      </c>
      <c r="O699">
        <v>2157</v>
      </c>
      <c r="P699">
        <v>1</v>
      </c>
      <c r="Q699" t="s">
        <v>36</v>
      </c>
      <c r="R699">
        <v>2</v>
      </c>
      <c r="S699">
        <v>3</v>
      </c>
      <c r="T699">
        <v>3</v>
      </c>
      <c r="U699">
        <v>3</v>
      </c>
      <c r="V699">
        <v>1</v>
      </c>
      <c r="W699">
        <v>0</v>
      </c>
      <c r="X699">
        <v>2</v>
      </c>
      <c r="Y699">
        <v>15</v>
      </c>
      <c r="Z699">
        <f>IF(H_A[[#This Row],[Attrition]]="Yes",1,0)</f>
        <v>0</v>
      </c>
      <c r="AA699" t="str">
        <f>IF(H_A[[#This Row],[Age]]&lt;30,"Young",IF(H_A[[#This Row],[Age]]&lt;45,"Mid","Senior"))</f>
        <v>Young</v>
      </c>
      <c r="AB699" t="str">
        <f>IF(H_A[[#This Row],[MonthlyIncome]]&lt;5000,"Low",IF(H_A[[#This Row],[MonthlyIncome]]&lt;10000,"Medium","High"))</f>
        <v>Low</v>
      </c>
      <c r="AC699" t="str">
        <f>IF(H_A[[#This Row],[YearsAtCompany]]&lt;3,"Early",IF(H_A[[#This Row],[YearsAtCompany]]&lt;7,"Mid","Long"))</f>
        <v>Mid</v>
      </c>
      <c r="AD699" t="str">
        <f>IF(H_A[[#This Row],[PercentSalaryHike]]&lt;13,"Low",IF(H_A[[#This Row],[PercentSalaryHike]]&lt;18,"Medium","High"))</f>
        <v>Medium</v>
      </c>
    </row>
    <row r="700" spans="1:30" x14ac:dyDescent="0.3">
      <c r="A700">
        <v>35</v>
      </c>
      <c r="B700">
        <v>975</v>
      </c>
      <c r="C700" t="s">
        <v>36</v>
      </c>
      <c r="D700" t="s">
        <v>31</v>
      </c>
      <c r="E700">
        <v>18</v>
      </c>
      <c r="F700">
        <v>3</v>
      </c>
      <c r="G700" t="s">
        <v>43</v>
      </c>
      <c r="H700">
        <v>3</v>
      </c>
      <c r="I700" t="s">
        <v>33</v>
      </c>
      <c r="J700">
        <v>3</v>
      </c>
      <c r="K700">
        <v>2</v>
      </c>
      <c r="L700" t="s">
        <v>34</v>
      </c>
      <c r="M700">
        <v>3</v>
      </c>
      <c r="N700" t="s">
        <v>40</v>
      </c>
      <c r="O700">
        <v>4601</v>
      </c>
      <c r="P700">
        <v>1</v>
      </c>
      <c r="Q700" t="s">
        <v>36</v>
      </c>
      <c r="R700">
        <v>2</v>
      </c>
      <c r="S700">
        <v>5</v>
      </c>
      <c r="T700">
        <v>3</v>
      </c>
      <c r="U700">
        <v>5</v>
      </c>
      <c r="V700">
        <v>2</v>
      </c>
      <c r="W700">
        <v>1</v>
      </c>
      <c r="X700">
        <v>0</v>
      </c>
      <c r="Y700">
        <v>16</v>
      </c>
      <c r="Z700">
        <f>IF(H_A[[#This Row],[Attrition]]="Yes",1,0)</f>
        <v>0</v>
      </c>
      <c r="AA700" t="str">
        <f>IF(H_A[[#This Row],[Age]]&lt;30,"Young",IF(H_A[[#This Row],[Age]]&lt;45,"Mid","Senior"))</f>
        <v>Mid</v>
      </c>
      <c r="AB700" t="str">
        <f>IF(H_A[[#This Row],[MonthlyIncome]]&lt;5000,"Low",IF(H_A[[#This Row],[MonthlyIncome]]&lt;10000,"Medium","High"))</f>
        <v>Low</v>
      </c>
      <c r="AC700" t="str">
        <f>IF(H_A[[#This Row],[YearsAtCompany]]&lt;3,"Early",IF(H_A[[#This Row],[YearsAtCompany]]&lt;7,"Mid","Long"))</f>
        <v>Mid</v>
      </c>
      <c r="AD700" t="str">
        <f>IF(H_A[[#This Row],[PercentSalaryHike]]&lt;13,"Low",IF(H_A[[#This Row],[PercentSalaryHike]]&lt;18,"Medium","High"))</f>
        <v>Medium</v>
      </c>
    </row>
    <row r="701" spans="1:30" x14ac:dyDescent="0.3">
      <c r="A701">
        <v>52</v>
      </c>
      <c r="B701">
        <v>976</v>
      </c>
      <c r="C701" t="s">
        <v>36</v>
      </c>
      <c r="D701" t="s">
        <v>37</v>
      </c>
      <c r="E701">
        <v>1</v>
      </c>
      <c r="F701">
        <v>2</v>
      </c>
      <c r="G701" t="s">
        <v>32</v>
      </c>
      <c r="H701">
        <v>4</v>
      </c>
      <c r="I701" t="s">
        <v>38</v>
      </c>
      <c r="J701">
        <v>3</v>
      </c>
      <c r="K701">
        <v>4</v>
      </c>
      <c r="L701" t="s">
        <v>47</v>
      </c>
      <c r="M701">
        <v>4</v>
      </c>
      <c r="N701" t="s">
        <v>40</v>
      </c>
      <c r="O701">
        <v>17099</v>
      </c>
      <c r="P701">
        <v>2</v>
      </c>
      <c r="Q701" t="s">
        <v>36</v>
      </c>
      <c r="R701">
        <v>2</v>
      </c>
      <c r="S701">
        <v>26</v>
      </c>
      <c r="T701">
        <v>2</v>
      </c>
      <c r="U701">
        <v>9</v>
      </c>
      <c r="V701">
        <v>8</v>
      </c>
      <c r="W701">
        <v>7</v>
      </c>
      <c r="X701">
        <v>8</v>
      </c>
      <c r="Y701">
        <v>15</v>
      </c>
      <c r="Z701">
        <f>IF(H_A[[#This Row],[Attrition]]="Yes",1,0)</f>
        <v>0</v>
      </c>
      <c r="AA701" t="str">
        <f>IF(H_A[[#This Row],[Age]]&lt;30,"Young",IF(H_A[[#This Row],[Age]]&lt;45,"Mid","Senior"))</f>
        <v>Senior</v>
      </c>
      <c r="AB701" t="str">
        <f>IF(H_A[[#This Row],[MonthlyIncome]]&lt;5000,"Low",IF(H_A[[#This Row],[MonthlyIncome]]&lt;10000,"Medium","High"))</f>
        <v>High</v>
      </c>
      <c r="AC701" t="str">
        <f>IF(H_A[[#This Row],[YearsAtCompany]]&lt;3,"Early",IF(H_A[[#This Row],[YearsAtCompany]]&lt;7,"Mid","Long"))</f>
        <v>Long</v>
      </c>
      <c r="AD701" t="str">
        <f>IF(H_A[[#This Row],[PercentSalaryHike]]&lt;13,"Low",IF(H_A[[#This Row],[PercentSalaryHike]]&lt;18,"Medium","High"))</f>
        <v>Medium</v>
      </c>
    </row>
    <row r="702" spans="1:30" x14ac:dyDescent="0.3">
      <c r="A702">
        <v>58</v>
      </c>
      <c r="B702">
        <v>977</v>
      </c>
      <c r="C702" t="s">
        <v>30</v>
      </c>
      <c r="D702" t="s">
        <v>37</v>
      </c>
      <c r="E702">
        <v>2</v>
      </c>
      <c r="F702">
        <v>3</v>
      </c>
      <c r="G702" t="s">
        <v>51</v>
      </c>
      <c r="H702">
        <v>4</v>
      </c>
      <c r="I702" t="s">
        <v>38</v>
      </c>
      <c r="J702">
        <v>3</v>
      </c>
      <c r="K702">
        <v>1</v>
      </c>
      <c r="L702" t="s">
        <v>39</v>
      </c>
      <c r="M702">
        <v>3</v>
      </c>
      <c r="N702" t="s">
        <v>35</v>
      </c>
      <c r="O702">
        <v>2479</v>
      </c>
      <c r="P702">
        <v>4</v>
      </c>
      <c r="Q702" t="s">
        <v>36</v>
      </c>
      <c r="R702">
        <v>1</v>
      </c>
      <c r="S702">
        <v>7</v>
      </c>
      <c r="T702">
        <v>3</v>
      </c>
      <c r="U702">
        <v>1</v>
      </c>
      <c r="V702">
        <v>0</v>
      </c>
      <c r="W702">
        <v>0</v>
      </c>
      <c r="X702">
        <v>0</v>
      </c>
      <c r="Y702">
        <v>24</v>
      </c>
      <c r="Z702">
        <f>IF(H_A[[#This Row],[Attrition]]="Yes",1,0)</f>
        <v>1</v>
      </c>
      <c r="AA702" t="str">
        <f>IF(H_A[[#This Row],[Age]]&lt;30,"Young",IF(H_A[[#This Row],[Age]]&lt;45,"Mid","Senior"))</f>
        <v>Senior</v>
      </c>
      <c r="AB702" t="str">
        <f>IF(H_A[[#This Row],[MonthlyIncome]]&lt;5000,"Low",IF(H_A[[#This Row],[MonthlyIncome]]&lt;10000,"Medium","High"))</f>
        <v>Low</v>
      </c>
      <c r="AC702" t="str">
        <f>IF(H_A[[#This Row],[YearsAtCompany]]&lt;3,"Early",IF(H_A[[#This Row],[YearsAtCompany]]&lt;7,"Mid","Long"))</f>
        <v>Early</v>
      </c>
      <c r="AD702" t="str">
        <f>IF(H_A[[#This Row],[PercentSalaryHike]]&lt;13,"Low",IF(H_A[[#This Row],[PercentSalaryHike]]&lt;18,"Medium","High"))</f>
        <v>High</v>
      </c>
    </row>
    <row r="703" spans="1:30" x14ac:dyDescent="0.3">
      <c r="A703">
        <v>53</v>
      </c>
      <c r="B703">
        <v>981</v>
      </c>
      <c r="C703" t="s">
        <v>36</v>
      </c>
      <c r="D703" t="s">
        <v>31</v>
      </c>
      <c r="E703">
        <v>2</v>
      </c>
      <c r="F703">
        <v>2</v>
      </c>
      <c r="G703" t="s">
        <v>43</v>
      </c>
      <c r="H703">
        <v>3</v>
      </c>
      <c r="I703" t="s">
        <v>38</v>
      </c>
      <c r="J703">
        <v>3</v>
      </c>
      <c r="K703">
        <v>4</v>
      </c>
      <c r="L703" t="s">
        <v>47</v>
      </c>
      <c r="M703">
        <v>3</v>
      </c>
      <c r="N703" t="s">
        <v>44</v>
      </c>
      <c r="O703">
        <v>14852</v>
      </c>
      <c r="P703">
        <v>6</v>
      </c>
      <c r="Q703" t="s">
        <v>36</v>
      </c>
      <c r="R703">
        <v>3</v>
      </c>
      <c r="S703">
        <v>22</v>
      </c>
      <c r="T703">
        <v>4</v>
      </c>
      <c r="U703">
        <v>17</v>
      </c>
      <c r="V703">
        <v>13</v>
      </c>
      <c r="W703">
        <v>15</v>
      </c>
      <c r="X703">
        <v>2</v>
      </c>
      <c r="Y703">
        <v>13</v>
      </c>
      <c r="Z703">
        <f>IF(H_A[[#This Row],[Attrition]]="Yes",1,0)</f>
        <v>0</v>
      </c>
      <c r="AA703" t="str">
        <f>IF(H_A[[#This Row],[Age]]&lt;30,"Young",IF(H_A[[#This Row],[Age]]&lt;45,"Mid","Senior"))</f>
        <v>Senior</v>
      </c>
      <c r="AB703" t="str">
        <f>IF(H_A[[#This Row],[MonthlyIncome]]&lt;5000,"Low",IF(H_A[[#This Row],[MonthlyIncome]]&lt;10000,"Medium","High"))</f>
        <v>High</v>
      </c>
      <c r="AC703" t="str">
        <f>IF(H_A[[#This Row],[YearsAtCompany]]&lt;3,"Early",IF(H_A[[#This Row],[YearsAtCompany]]&lt;7,"Mid","Long"))</f>
        <v>Long</v>
      </c>
      <c r="AD703" t="str">
        <f>IF(H_A[[#This Row],[PercentSalaryHike]]&lt;13,"Low",IF(H_A[[#This Row],[PercentSalaryHike]]&lt;18,"Medium","High"))</f>
        <v>Medium</v>
      </c>
    </row>
    <row r="704" spans="1:30" x14ac:dyDescent="0.3">
      <c r="A704">
        <v>30</v>
      </c>
      <c r="B704">
        <v>982</v>
      </c>
      <c r="C704" t="s">
        <v>36</v>
      </c>
      <c r="D704" t="s">
        <v>31</v>
      </c>
      <c r="E704">
        <v>8</v>
      </c>
      <c r="F704">
        <v>2</v>
      </c>
      <c r="G704" t="s">
        <v>41</v>
      </c>
      <c r="H704">
        <v>3</v>
      </c>
      <c r="I704" t="s">
        <v>38</v>
      </c>
      <c r="J704">
        <v>3</v>
      </c>
      <c r="K704">
        <v>3</v>
      </c>
      <c r="L704" t="s">
        <v>34</v>
      </c>
      <c r="M704">
        <v>3</v>
      </c>
      <c r="N704" t="s">
        <v>44</v>
      </c>
      <c r="O704">
        <v>7264</v>
      </c>
      <c r="P704">
        <v>5</v>
      </c>
      <c r="Q704" t="s">
        <v>36</v>
      </c>
      <c r="R704">
        <v>1</v>
      </c>
      <c r="S704">
        <v>10</v>
      </c>
      <c r="T704">
        <v>4</v>
      </c>
      <c r="U704">
        <v>8</v>
      </c>
      <c r="V704">
        <v>4</v>
      </c>
      <c r="W704">
        <v>7</v>
      </c>
      <c r="X704">
        <v>7</v>
      </c>
      <c r="Y704">
        <v>11</v>
      </c>
      <c r="Z704">
        <f>IF(H_A[[#This Row],[Attrition]]="Yes",1,0)</f>
        <v>0</v>
      </c>
      <c r="AA704" t="str">
        <f>IF(H_A[[#This Row],[Age]]&lt;30,"Young",IF(H_A[[#This Row],[Age]]&lt;45,"Mid","Senior"))</f>
        <v>Mid</v>
      </c>
      <c r="AB704" t="str">
        <f>IF(H_A[[#This Row],[MonthlyIncome]]&lt;5000,"Low",IF(H_A[[#This Row],[MonthlyIncome]]&lt;10000,"Medium","High"))</f>
        <v>Medium</v>
      </c>
      <c r="AC704" t="str">
        <f>IF(H_A[[#This Row],[YearsAtCompany]]&lt;3,"Early",IF(H_A[[#This Row],[YearsAtCompany]]&lt;7,"Mid","Long"))</f>
        <v>Long</v>
      </c>
      <c r="AD704" t="str">
        <f>IF(H_A[[#This Row],[PercentSalaryHike]]&lt;13,"Low",IF(H_A[[#This Row],[PercentSalaryHike]]&lt;18,"Medium","High"))</f>
        <v>Low</v>
      </c>
    </row>
    <row r="705" spans="1:30" x14ac:dyDescent="0.3">
      <c r="A705">
        <v>38</v>
      </c>
      <c r="B705">
        <v>983</v>
      </c>
      <c r="C705" t="s">
        <v>36</v>
      </c>
      <c r="D705" t="s">
        <v>31</v>
      </c>
      <c r="E705">
        <v>10</v>
      </c>
      <c r="F705">
        <v>3</v>
      </c>
      <c r="G705" t="s">
        <v>51</v>
      </c>
      <c r="H705">
        <v>3</v>
      </c>
      <c r="I705" t="s">
        <v>33</v>
      </c>
      <c r="J705">
        <v>3</v>
      </c>
      <c r="K705">
        <v>2</v>
      </c>
      <c r="L705" t="s">
        <v>34</v>
      </c>
      <c r="M705">
        <v>4</v>
      </c>
      <c r="N705" t="s">
        <v>35</v>
      </c>
      <c r="O705">
        <v>5666</v>
      </c>
      <c r="P705">
        <v>1</v>
      </c>
      <c r="Q705" t="s">
        <v>30</v>
      </c>
      <c r="R705">
        <v>2</v>
      </c>
      <c r="S705">
        <v>6</v>
      </c>
      <c r="T705">
        <v>3</v>
      </c>
      <c r="U705">
        <v>5</v>
      </c>
      <c r="V705">
        <v>3</v>
      </c>
      <c r="W705">
        <v>1</v>
      </c>
      <c r="X705">
        <v>3</v>
      </c>
      <c r="Y705">
        <v>13</v>
      </c>
      <c r="Z705">
        <f>IF(H_A[[#This Row],[Attrition]]="Yes",1,0)</f>
        <v>0</v>
      </c>
      <c r="AA705" t="str">
        <f>IF(H_A[[#This Row],[Age]]&lt;30,"Young",IF(H_A[[#This Row],[Age]]&lt;45,"Mid","Senior"))</f>
        <v>Mid</v>
      </c>
      <c r="AB705" t="str">
        <f>IF(H_A[[#This Row],[MonthlyIncome]]&lt;5000,"Low",IF(H_A[[#This Row],[MonthlyIncome]]&lt;10000,"Medium","High"))</f>
        <v>Medium</v>
      </c>
      <c r="AC705" t="str">
        <f>IF(H_A[[#This Row],[YearsAtCompany]]&lt;3,"Early",IF(H_A[[#This Row],[YearsAtCompany]]&lt;7,"Mid","Long"))</f>
        <v>Mid</v>
      </c>
      <c r="AD705" t="str">
        <f>IF(H_A[[#This Row],[PercentSalaryHike]]&lt;13,"Low",IF(H_A[[#This Row],[PercentSalaryHike]]&lt;18,"Medium","High"))</f>
        <v>Medium</v>
      </c>
    </row>
    <row r="706" spans="1:30" x14ac:dyDescent="0.3">
      <c r="A706">
        <v>35</v>
      </c>
      <c r="B706">
        <v>984</v>
      </c>
      <c r="C706" t="s">
        <v>36</v>
      </c>
      <c r="D706" t="s">
        <v>31</v>
      </c>
      <c r="E706">
        <v>3</v>
      </c>
      <c r="F706">
        <v>4</v>
      </c>
      <c r="G706" t="s">
        <v>32</v>
      </c>
      <c r="H706">
        <v>4</v>
      </c>
      <c r="I706" t="s">
        <v>38</v>
      </c>
      <c r="J706">
        <v>3</v>
      </c>
      <c r="K706">
        <v>3</v>
      </c>
      <c r="L706" t="s">
        <v>34</v>
      </c>
      <c r="M706">
        <v>4</v>
      </c>
      <c r="N706" t="s">
        <v>44</v>
      </c>
      <c r="O706">
        <v>7823</v>
      </c>
      <c r="P706">
        <v>6</v>
      </c>
      <c r="Q706" t="s">
        <v>36</v>
      </c>
      <c r="R706">
        <v>2</v>
      </c>
      <c r="S706">
        <v>12</v>
      </c>
      <c r="T706">
        <v>3</v>
      </c>
      <c r="U706">
        <v>10</v>
      </c>
      <c r="V706">
        <v>9</v>
      </c>
      <c r="W706">
        <v>0</v>
      </c>
      <c r="X706">
        <v>8</v>
      </c>
      <c r="Y706">
        <v>13</v>
      </c>
      <c r="Z706">
        <f>IF(H_A[[#This Row],[Attrition]]="Yes",1,0)</f>
        <v>0</v>
      </c>
      <c r="AA706" t="str">
        <f>IF(H_A[[#This Row],[Age]]&lt;30,"Young",IF(H_A[[#This Row],[Age]]&lt;45,"Mid","Senior"))</f>
        <v>Mid</v>
      </c>
      <c r="AB706" t="str">
        <f>IF(H_A[[#This Row],[MonthlyIncome]]&lt;5000,"Low",IF(H_A[[#This Row],[MonthlyIncome]]&lt;10000,"Medium","High"))</f>
        <v>Medium</v>
      </c>
      <c r="AC706" t="str">
        <f>IF(H_A[[#This Row],[YearsAtCompany]]&lt;3,"Early",IF(H_A[[#This Row],[YearsAtCompany]]&lt;7,"Mid","Long"))</f>
        <v>Long</v>
      </c>
      <c r="AD706" t="str">
        <f>IF(H_A[[#This Row],[PercentSalaryHike]]&lt;13,"Low",IF(H_A[[#This Row],[PercentSalaryHike]]&lt;18,"Medium","High"))</f>
        <v>Medium</v>
      </c>
    </row>
    <row r="707" spans="1:30" x14ac:dyDescent="0.3">
      <c r="A707">
        <v>39</v>
      </c>
      <c r="B707">
        <v>985</v>
      </c>
      <c r="C707" t="s">
        <v>36</v>
      </c>
      <c r="D707" t="s">
        <v>31</v>
      </c>
      <c r="E707">
        <v>2</v>
      </c>
      <c r="F707">
        <v>5</v>
      </c>
      <c r="G707" t="s">
        <v>32</v>
      </c>
      <c r="H707">
        <v>1</v>
      </c>
      <c r="I707" t="s">
        <v>38</v>
      </c>
      <c r="J707">
        <v>4</v>
      </c>
      <c r="K707">
        <v>3</v>
      </c>
      <c r="L707" t="s">
        <v>34</v>
      </c>
      <c r="M707">
        <v>3</v>
      </c>
      <c r="N707" t="s">
        <v>35</v>
      </c>
      <c r="O707">
        <v>7880</v>
      </c>
      <c r="P707">
        <v>0</v>
      </c>
      <c r="Q707" t="s">
        <v>36</v>
      </c>
      <c r="R707">
        <v>4</v>
      </c>
      <c r="S707">
        <v>9</v>
      </c>
      <c r="T707">
        <v>3</v>
      </c>
      <c r="U707">
        <v>8</v>
      </c>
      <c r="V707">
        <v>7</v>
      </c>
      <c r="W707">
        <v>0</v>
      </c>
      <c r="X707">
        <v>7</v>
      </c>
      <c r="Y707">
        <v>18</v>
      </c>
      <c r="Z707">
        <f>IF(H_A[[#This Row],[Attrition]]="Yes",1,0)</f>
        <v>0</v>
      </c>
      <c r="AA707" t="str">
        <f>IF(H_A[[#This Row],[Age]]&lt;30,"Young",IF(H_A[[#This Row],[Age]]&lt;45,"Mid","Senior"))</f>
        <v>Mid</v>
      </c>
      <c r="AB707" t="str">
        <f>IF(H_A[[#This Row],[MonthlyIncome]]&lt;5000,"Low",IF(H_A[[#This Row],[MonthlyIncome]]&lt;10000,"Medium","High"))</f>
        <v>Medium</v>
      </c>
      <c r="AC707" t="str">
        <f>IF(H_A[[#This Row],[YearsAtCompany]]&lt;3,"Early",IF(H_A[[#This Row],[YearsAtCompany]]&lt;7,"Mid","Long"))</f>
        <v>Long</v>
      </c>
      <c r="AD707" t="str">
        <f>IF(H_A[[#This Row],[PercentSalaryHike]]&lt;13,"Low",IF(H_A[[#This Row],[PercentSalaryHike]]&lt;18,"Medium","High"))</f>
        <v>High</v>
      </c>
    </row>
    <row r="708" spans="1:30" x14ac:dyDescent="0.3">
      <c r="A708">
        <v>40</v>
      </c>
      <c r="B708">
        <v>986</v>
      </c>
      <c r="C708" t="s">
        <v>30</v>
      </c>
      <c r="D708" t="s">
        <v>31</v>
      </c>
      <c r="E708">
        <v>24</v>
      </c>
      <c r="F708">
        <v>3</v>
      </c>
      <c r="G708" t="s">
        <v>32</v>
      </c>
      <c r="H708">
        <v>2</v>
      </c>
      <c r="I708" t="s">
        <v>33</v>
      </c>
      <c r="J708">
        <v>4</v>
      </c>
      <c r="K708">
        <v>4</v>
      </c>
      <c r="L708" t="s">
        <v>34</v>
      </c>
      <c r="M708">
        <v>2</v>
      </c>
      <c r="N708" t="s">
        <v>35</v>
      </c>
      <c r="O708">
        <v>13194</v>
      </c>
      <c r="P708">
        <v>4</v>
      </c>
      <c r="Q708" t="s">
        <v>30</v>
      </c>
      <c r="R708">
        <v>4</v>
      </c>
      <c r="S708">
        <v>22</v>
      </c>
      <c r="T708">
        <v>2</v>
      </c>
      <c r="U708">
        <v>1</v>
      </c>
      <c r="V708">
        <v>0</v>
      </c>
      <c r="W708">
        <v>0</v>
      </c>
      <c r="X708">
        <v>0</v>
      </c>
      <c r="Y708">
        <v>16</v>
      </c>
      <c r="Z708">
        <f>IF(H_A[[#This Row],[Attrition]]="Yes",1,0)</f>
        <v>1</v>
      </c>
      <c r="AA708" t="str">
        <f>IF(H_A[[#This Row],[Age]]&lt;30,"Young",IF(H_A[[#This Row],[Age]]&lt;45,"Mid","Senior"))</f>
        <v>Mid</v>
      </c>
      <c r="AB708" t="str">
        <f>IF(H_A[[#This Row],[MonthlyIncome]]&lt;5000,"Low",IF(H_A[[#This Row],[MonthlyIncome]]&lt;10000,"Medium","High"))</f>
        <v>High</v>
      </c>
      <c r="AC708" t="str">
        <f>IF(H_A[[#This Row],[YearsAtCompany]]&lt;3,"Early",IF(H_A[[#This Row],[YearsAtCompany]]&lt;7,"Mid","Long"))</f>
        <v>Early</v>
      </c>
      <c r="AD708" t="str">
        <f>IF(H_A[[#This Row],[PercentSalaryHike]]&lt;13,"Low",IF(H_A[[#This Row],[PercentSalaryHike]]&lt;18,"Medium","High"))</f>
        <v>Medium</v>
      </c>
    </row>
    <row r="709" spans="1:30" x14ac:dyDescent="0.3">
      <c r="A709">
        <v>47</v>
      </c>
      <c r="B709">
        <v>987</v>
      </c>
      <c r="C709" t="s">
        <v>36</v>
      </c>
      <c r="D709" t="s">
        <v>37</v>
      </c>
      <c r="E709">
        <v>16</v>
      </c>
      <c r="F709">
        <v>4</v>
      </c>
      <c r="G709" t="s">
        <v>43</v>
      </c>
      <c r="H709">
        <v>3</v>
      </c>
      <c r="I709" t="s">
        <v>38</v>
      </c>
      <c r="J709">
        <v>4</v>
      </c>
      <c r="K709">
        <v>2</v>
      </c>
      <c r="L709" t="s">
        <v>45</v>
      </c>
      <c r="M709">
        <v>3</v>
      </c>
      <c r="N709" t="s">
        <v>44</v>
      </c>
      <c r="O709">
        <v>5067</v>
      </c>
      <c r="P709">
        <v>1</v>
      </c>
      <c r="Q709" t="s">
        <v>30</v>
      </c>
      <c r="R709">
        <v>3</v>
      </c>
      <c r="S709">
        <v>20</v>
      </c>
      <c r="T709">
        <v>4</v>
      </c>
      <c r="U709">
        <v>19</v>
      </c>
      <c r="V709">
        <v>10</v>
      </c>
      <c r="W709">
        <v>2</v>
      </c>
      <c r="X709">
        <v>7</v>
      </c>
      <c r="Y709">
        <v>19</v>
      </c>
      <c r="Z709">
        <f>IF(H_A[[#This Row],[Attrition]]="Yes",1,0)</f>
        <v>0</v>
      </c>
      <c r="AA709" t="str">
        <f>IF(H_A[[#This Row],[Age]]&lt;30,"Young",IF(H_A[[#This Row],[Age]]&lt;45,"Mid","Senior"))</f>
        <v>Senior</v>
      </c>
      <c r="AB709" t="str">
        <f>IF(H_A[[#This Row],[MonthlyIncome]]&lt;5000,"Low",IF(H_A[[#This Row],[MonthlyIncome]]&lt;10000,"Medium","High"))</f>
        <v>Medium</v>
      </c>
      <c r="AC709" t="str">
        <f>IF(H_A[[#This Row],[YearsAtCompany]]&lt;3,"Early",IF(H_A[[#This Row],[YearsAtCompany]]&lt;7,"Mid","Long"))</f>
        <v>Long</v>
      </c>
      <c r="AD709" t="str">
        <f>IF(H_A[[#This Row],[PercentSalaryHike]]&lt;13,"Low",IF(H_A[[#This Row],[PercentSalaryHike]]&lt;18,"Medium","High"))</f>
        <v>High</v>
      </c>
    </row>
    <row r="710" spans="1:30" x14ac:dyDescent="0.3">
      <c r="A710">
        <v>36</v>
      </c>
      <c r="B710">
        <v>990</v>
      </c>
      <c r="C710" t="s">
        <v>36</v>
      </c>
      <c r="D710" t="s">
        <v>31</v>
      </c>
      <c r="E710">
        <v>8</v>
      </c>
      <c r="F710">
        <v>4</v>
      </c>
      <c r="G710" t="s">
        <v>51</v>
      </c>
      <c r="H710">
        <v>1</v>
      </c>
      <c r="I710" t="s">
        <v>38</v>
      </c>
      <c r="J710">
        <v>3</v>
      </c>
      <c r="K710">
        <v>2</v>
      </c>
      <c r="L710" t="s">
        <v>34</v>
      </c>
      <c r="M710">
        <v>4</v>
      </c>
      <c r="N710" t="s">
        <v>44</v>
      </c>
      <c r="O710">
        <v>5079</v>
      </c>
      <c r="P710">
        <v>4</v>
      </c>
      <c r="Q710" t="s">
        <v>36</v>
      </c>
      <c r="R710">
        <v>4</v>
      </c>
      <c r="S710">
        <v>12</v>
      </c>
      <c r="T710">
        <v>3</v>
      </c>
      <c r="U710">
        <v>7</v>
      </c>
      <c r="V710">
        <v>7</v>
      </c>
      <c r="W710">
        <v>0</v>
      </c>
      <c r="X710">
        <v>7</v>
      </c>
      <c r="Y710">
        <v>13</v>
      </c>
      <c r="Z710">
        <f>IF(H_A[[#This Row],[Attrition]]="Yes",1,0)</f>
        <v>0</v>
      </c>
      <c r="AA710" t="str">
        <f>IF(H_A[[#This Row],[Age]]&lt;30,"Young",IF(H_A[[#This Row],[Age]]&lt;45,"Mid","Senior"))</f>
        <v>Mid</v>
      </c>
      <c r="AB710" t="str">
        <f>IF(H_A[[#This Row],[MonthlyIncome]]&lt;5000,"Low",IF(H_A[[#This Row],[MonthlyIncome]]&lt;10000,"Medium","High"))</f>
        <v>Medium</v>
      </c>
      <c r="AC710" t="str">
        <f>IF(H_A[[#This Row],[YearsAtCompany]]&lt;3,"Early",IF(H_A[[#This Row],[YearsAtCompany]]&lt;7,"Mid","Long"))</f>
        <v>Long</v>
      </c>
      <c r="AD710" t="str">
        <f>IF(H_A[[#This Row],[PercentSalaryHike]]&lt;13,"Low",IF(H_A[[#This Row],[PercentSalaryHike]]&lt;18,"Medium","High"))</f>
        <v>Medium</v>
      </c>
    </row>
    <row r="711" spans="1:30" x14ac:dyDescent="0.3">
      <c r="A711">
        <v>31</v>
      </c>
      <c r="B711">
        <v>991</v>
      </c>
      <c r="C711" t="s">
        <v>30</v>
      </c>
      <c r="D711" t="s">
        <v>37</v>
      </c>
      <c r="E711">
        <v>9</v>
      </c>
      <c r="F711">
        <v>2</v>
      </c>
      <c r="G711" t="s">
        <v>43</v>
      </c>
      <c r="H711">
        <v>3</v>
      </c>
      <c r="I711" t="s">
        <v>38</v>
      </c>
      <c r="J711">
        <v>2</v>
      </c>
      <c r="K711">
        <v>1</v>
      </c>
      <c r="L711" t="s">
        <v>39</v>
      </c>
      <c r="M711">
        <v>1</v>
      </c>
      <c r="N711" t="s">
        <v>35</v>
      </c>
      <c r="O711">
        <v>2321</v>
      </c>
      <c r="P711">
        <v>0</v>
      </c>
      <c r="Q711" t="s">
        <v>30</v>
      </c>
      <c r="R711">
        <v>1</v>
      </c>
      <c r="S711">
        <v>4</v>
      </c>
      <c r="T711">
        <v>3</v>
      </c>
      <c r="U711">
        <v>3</v>
      </c>
      <c r="V711">
        <v>2</v>
      </c>
      <c r="W711">
        <v>1</v>
      </c>
      <c r="X711">
        <v>2</v>
      </c>
      <c r="Y711">
        <v>22</v>
      </c>
      <c r="Z711">
        <f>IF(H_A[[#This Row],[Attrition]]="Yes",1,0)</f>
        <v>1</v>
      </c>
      <c r="AA711" t="str">
        <f>IF(H_A[[#This Row],[Age]]&lt;30,"Young",IF(H_A[[#This Row],[Age]]&lt;45,"Mid","Senior"))</f>
        <v>Mid</v>
      </c>
      <c r="AB711" t="str">
        <f>IF(H_A[[#This Row],[MonthlyIncome]]&lt;5000,"Low",IF(H_A[[#This Row],[MonthlyIncome]]&lt;10000,"Medium","High"))</f>
        <v>Low</v>
      </c>
      <c r="AC711" t="str">
        <f>IF(H_A[[#This Row],[YearsAtCompany]]&lt;3,"Early",IF(H_A[[#This Row],[YearsAtCompany]]&lt;7,"Mid","Long"))</f>
        <v>Mid</v>
      </c>
      <c r="AD711" t="str">
        <f>IF(H_A[[#This Row],[PercentSalaryHike]]&lt;13,"Low",IF(H_A[[#This Row],[PercentSalaryHike]]&lt;18,"Medium","High"))</f>
        <v>High</v>
      </c>
    </row>
    <row r="712" spans="1:30" x14ac:dyDescent="0.3">
      <c r="A712">
        <v>33</v>
      </c>
      <c r="B712">
        <v>992</v>
      </c>
      <c r="C712" t="s">
        <v>36</v>
      </c>
      <c r="D712" t="s">
        <v>31</v>
      </c>
      <c r="E712">
        <v>17</v>
      </c>
      <c r="F712">
        <v>3</v>
      </c>
      <c r="G712" t="s">
        <v>32</v>
      </c>
      <c r="H712">
        <v>4</v>
      </c>
      <c r="I712" t="s">
        <v>38</v>
      </c>
      <c r="J712">
        <v>3</v>
      </c>
      <c r="K712">
        <v>4</v>
      </c>
      <c r="L712" t="s">
        <v>47</v>
      </c>
      <c r="M712">
        <v>3</v>
      </c>
      <c r="N712" t="s">
        <v>35</v>
      </c>
      <c r="O712">
        <v>17444</v>
      </c>
      <c r="P712">
        <v>1</v>
      </c>
      <c r="Q712" t="s">
        <v>36</v>
      </c>
      <c r="R712">
        <v>4</v>
      </c>
      <c r="S712">
        <v>10</v>
      </c>
      <c r="T712">
        <v>3</v>
      </c>
      <c r="U712">
        <v>10</v>
      </c>
      <c r="V712">
        <v>8</v>
      </c>
      <c r="W712">
        <v>6</v>
      </c>
      <c r="X712">
        <v>0</v>
      </c>
      <c r="Y712">
        <v>11</v>
      </c>
      <c r="Z712">
        <f>IF(H_A[[#This Row],[Attrition]]="Yes",1,0)</f>
        <v>0</v>
      </c>
      <c r="AA712" t="str">
        <f>IF(H_A[[#This Row],[Age]]&lt;30,"Young",IF(H_A[[#This Row],[Age]]&lt;45,"Mid","Senior"))</f>
        <v>Mid</v>
      </c>
      <c r="AB712" t="str">
        <f>IF(H_A[[#This Row],[MonthlyIncome]]&lt;5000,"Low",IF(H_A[[#This Row],[MonthlyIncome]]&lt;10000,"Medium","High"))</f>
        <v>High</v>
      </c>
      <c r="AC712" t="str">
        <f>IF(H_A[[#This Row],[YearsAtCompany]]&lt;3,"Early",IF(H_A[[#This Row],[YearsAtCompany]]&lt;7,"Mid","Long"))</f>
        <v>Long</v>
      </c>
      <c r="AD712" t="str">
        <f>IF(H_A[[#This Row],[PercentSalaryHike]]&lt;13,"Low",IF(H_A[[#This Row],[PercentSalaryHike]]&lt;18,"Medium","High"))</f>
        <v>Low</v>
      </c>
    </row>
    <row r="713" spans="1:30" x14ac:dyDescent="0.3">
      <c r="A713">
        <v>29</v>
      </c>
      <c r="B713">
        <v>994</v>
      </c>
      <c r="C713" t="s">
        <v>30</v>
      </c>
      <c r="D713" t="s">
        <v>37</v>
      </c>
      <c r="E713">
        <v>10</v>
      </c>
      <c r="F713">
        <v>3</v>
      </c>
      <c r="G713" t="s">
        <v>32</v>
      </c>
      <c r="H713">
        <v>4</v>
      </c>
      <c r="I713" t="s">
        <v>33</v>
      </c>
      <c r="J713">
        <v>2</v>
      </c>
      <c r="K713">
        <v>1</v>
      </c>
      <c r="L713" t="s">
        <v>39</v>
      </c>
      <c r="M713">
        <v>1</v>
      </c>
      <c r="N713" t="s">
        <v>35</v>
      </c>
      <c r="O713">
        <v>2404</v>
      </c>
      <c r="P713">
        <v>6</v>
      </c>
      <c r="Q713" t="s">
        <v>30</v>
      </c>
      <c r="R713">
        <v>3</v>
      </c>
      <c r="S713">
        <v>3</v>
      </c>
      <c r="T713">
        <v>3</v>
      </c>
      <c r="U713">
        <v>0</v>
      </c>
      <c r="V713">
        <v>0</v>
      </c>
      <c r="W713">
        <v>0</v>
      </c>
      <c r="X713">
        <v>0</v>
      </c>
      <c r="Y713">
        <v>20</v>
      </c>
      <c r="Z713">
        <f>IF(H_A[[#This Row],[Attrition]]="Yes",1,0)</f>
        <v>1</v>
      </c>
      <c r="AA713" t="str">
        <f>IF(H_A[[#This Row],[Age]]&lt;30,"Young",IF(H_A[[#This Row],[Age]]&lt;45,"Mid","Senior"))</f>
        <v>Young</v>
      </c>
      <c r="AB713" t="str">
        <f>IF(H_A[[#This Row],[MonthlyIncome]]&lt;5000,"Low",IF(H_A[[#This Row],[MonthlyIncome]]&lt;10000,"Medium","High"))</f>
        <v>Low</v>
      </c>
      <c r="AC713" t="str">
        <f>IF(H_A[[#This Row],[YearsAtCompany]]&lt;3,"Early",IF(H_A[[#This Row],[YearsAtCompany]]&lt;7,"Mid","Long"))</f>
        <v>Early</v>
      </c>
      <c r="AD713" t="str">
        <f>IF(H_A[[#This Row],[PercentSalaryHike]]&lt;13,"Low",IF(H_A[[#This Row],[PercentSalaryHike]]&lt;18,"Medium","High"))</f>
        <v>High</v>
      </c>
    </row>
    <row r="714" spans="1:30" x14ac:dyDescent="0.3">
      <c r="A714">
        <v>33</v>
      </c>
      <c r="B714">
        <v>995</v>
      </c>
      <c r="C714" t="s">
        <v>36</v>
      </c>
      <c r="D714" t="s">
        <v>37</v>
      </c>
      <c r="E714">
        <v>13</v>
      </c>
      <c r="F714">
        <v>1</v>
      </c>
      <c r="G714" t="s">
        <v>32</v>
      </c>
      <c r="H714">
        <v>2</v>
      </c>
      <c r="I714" t="s">
        <v>33</v>
      </c>
      <c r="J714">
        <v>3</v>
      </c>
      <c r="K714">
        <v>1</v>
      </c>
      <c r="L714" t="s">
        <v>39</v>
      </c>
      <c r="M714">
        <v>4</v>
      </c>
      <c r="N714" t="s">
        <v>35</v>
      </c>
      <c r="O714">
        <v>3452</v>
      </c>
      <c r="P714">
        <v>3</v>
      </c>
      <c r="Q714" t="s">
        <v>36</v>
      </c>
      <c r="R714">
        <v>1</v>
      </c>
      <c r="S714">
        <v>5</v>
      </c>
      <c r="T714">
        <v>3</v>
      </c>
      <c r="U714">
        <v>3</v>
      </c>
      <c r="V714">
        <v>2</v>
      </c>
      <c r="W714">
        <v>0</v>
      </c>
      <c r="X714">
        <v>2</v>
      </c>
      <c r="Y714">
        <v>18</v>
      </c>
      <c r="Z714">
        <f>IF(H_A[[#This Row],[Attrition]]="Yes",1,0)</f>
        <v>0</v>
      </c>
      <c r="AA714" t="str">
        <f>IF(H_A[[#This Row],[Age]]&lt;30,"Young",IF(H_A[[#This Row],[Age]]&lt;45,"Mid","Senior"))</f>
        <v>Mid</v>
      </c>
      <c r="AB714" t="str">
        <f>IF(H_A[[#This Row],[MonthlyIncome]]&lt;5000,"Low",IF(H_A[[#This Row],[MonthlyIncome]]&lt;10000,"Medium","High"))</f>
        <v>Low</v>
      </c>
      <c r="AC714" t="str">
        <f>IF(H_A[[#This Row],[YearsAtCompany]]&lt;3,"Early",IF(H_A[[#This Row],[YearsAtCompany]]&lt;7,"Mid","Long"))</f>
        <v>Mid</v>
      </c>
      <c r="AD714" t="str">
        <f>IF(H_A[[#This Row],[PercentSalaryHike]]&lt;13,"Low",IF(H_A[[#This Row],[PercentSalaryHike]]&lt;18,"Medium","High"))</f>
        <v>High</v>
      </c>
    </row>
    <row r="715" spans="1:30" x14ac:dyDescent="0.3">
      <c r="A715">
        <v>45</v>
      </c>
      <c r="B715">
        <v>996</v>
      </c>
      <c r="C715" t="s">
        <v>36</v>
      </c>
      <c r="D715" t="s">
        <v>37</v>
      </c>
      <c r="E715">
        <v>1</v>
      </c>
      <c r="F715">
        <v>4</v>
      </c>
      <c r="G715" t="s">
        <v>43</v>
      </c>
      <c r="H715">
        <v>4</v>
      </c>
      <c r="I715" t="s">
        <v>33</v>
      </c>
      <c r="J715">
        <v>3</v>
      </c>
      <c r="K715">
        <v>1</v>
      </c>
      <c r="L715" t="s">
        <v>42</v>
      </c>
      <c r="M715">
        <v>4</v>
      </c>
      <c r="N715" t="s">
        <v>44</v>
      </c>
      <c r="O715">
        <v>2270</v>
      </c>
      <c r="P715">
        <v>3</v>
      </c>
      <c r="Q715" t="s">
        <v>36</v>
      </c>
      <c r="R715">
        <v>4</v>
      </c>
      <c r="S715">
        <v>8</v>
      </c>
      <c r="T715">
        <v>3</v>
      </c>
      <c r="U715">
        <v>5</v>
      </c>
      <c r="V715">
        <v>3</v>
      </c>
      <c r="W715">
        <v>0</v>
      </c>
      <c r="X715">
        <v>2</v>
      </c>
      <c r="Y715">
        <v>14</v>
      </c>
      <c r="Z715">
        <f>IF(H_A[[#This Row],[Attrition]]="Yes",1,0)</f>
        <v>0</v>
      </c>
      <c r="AA715" t="str">
        <f>IF(H_A[[#This Row],[Age]]&lt;30,"Young",IF(H_A[[#This Row],[Age]]&lt;45,"Mid","Senior"))</f>
        <v>Senior</v>
      </c>
      <c r="AB715" t="str">
        <f>IF(H_A[[#This Row],[MonthlyIncome]]&lt;5000,"Low",IF(H_A[[#This Row],[MonthlyIncome]]&lt;10000,"Medium","High"))</f>
        <v>Low</v>
      </c>
      <c r="AC715" t="str">
        <f>IF(H_A[[#This Row],[YearsAtCompany]]&lt;3,"Early",IF(H_A[[#This Row],[YearsAtCompany]]&lt;7,"Mid","Long"))</f>
        <v>Mid</v>
      </c>
      <c r="AD715" t="str">
        <f>IF(H_A[[#This Row],[PercentSalaryHike]]&lt;13,"Low",IF(H_A[[#This Row],[PercentSalaryHike]]&lt;18,"Medium","High"))</f>
        <v>Medium</v>
      </c>
    </row>
    <row r="716" spans="1:30" x14ac:dyDescent="0.3">
      <c r="A716">
        <v>50</v>
      </c>
      <c r="B716">
        <v>997</v>
      </c>
      <c r="C716" t="s">
        <v>36</v>
      </c>
      <c r="D716" t="s">
        <v>37</v>
      </c>
      <c r="E716">
        <v>1</v>
      </c>
      <c r="F716">
        <v>2</v>
      </c>
      <c r="G716" t="s">
        <v>43</v>
      </c>
      <c r="H716">
        <v>4</v>
      </c>
      <c r="I716" t="s">
        <v>38</v>
      </c>
      <c r="J716">
        <v>3</v>
      </c>
      <c r="K716">
        <v>4</v>
      </c>
      <c r="L716" t="s">
        <v>49</v>
      </c>
      <c r="M716">
        <v>4</v>
      </c>
      <c r="N716" t="s">
        <v>44</v>
      </c>
      <c r="O716">
        <v>17399</v>
      </c>
      <c r="P716">
        <v>9</v>
      </c>
      <c r="Q716" t="s">
        <v>36</v>
      </c>
      <c r="R716">
        <v>3</v>
      </c>
      <c r="S716">
        <v>32</v>
      </c>
      <c r="T716">
        <v>2</v>
      </c>
      <c r="U716">
        <v>5</v>
      </c>
      <c r="V716">
        <v>4</v>
      </c>
      <c r="W716">
        <v>1</v>
      </c>
      <c r="X716">
        <v>3</v>
      </c>
      <c r="Y716">
        <v>22</v>
      </c>
      <c r="Z716">
        <f>IF(H_A[[#This Row],[Attrition]]="Yes",1,0)</f>
        <v>0</v>
      </c>
      <c r="AA716" t="str">
        <f>IF(H_A[[#This Row],[Age]]&lt;30,"Young",IF(H_A[[#This Row],[Age]]&lt;45,"Mid","Senior"))</f>
        <v>Senior</v>
      </c>
      <c r="AB716" t="str">
        <f>IF(H_A[[#This Row],[MonthlyIncome]]&lt;5000,"Low",IF(H_A[[#This Row],[MonthlyIncome]]&lt;10000,"Medium","High"))</f>
        <v>High</v>
      </c>
      <c r="AC716" t="str">
        <f>IF(H_A[[#This Row],[YearsAtCompany]]&lt;3,"Early",IF(H_A[[#This Row],[YearsAtCompany]]&lt;7,"Mid","Long"))</f>
        <v>Mid</v>
      </c>
      <c r="AD716" t="str">
        <f>IF(H_A[[#This Row],[PercentSalaryHike]]&lt;13,"Low",IF(H_A[[#This Row],[PercentSalaryHike]]&lt;18,"Medium","High"))</f>
        <v>High</v>
      </c>
    </row>
    <row r="717" spans="1:30" x14ac:dyDescent="0.3">
      <c r="A717">
        <v>33</v>
      </c>
      <c r="B717">
        <v>998</v>
      </c>
      <c r="C717" t="s">
        <v>36</v>
      </c>
      <c r="D717" t="s">
        <v>37</v>
      </c>
      <c r="E717">
        <v>1</v>
      </c>
      <c r="F717">
        <v>4</v>
      </c>
      <c r="G717" t="s">
        <v>41</v>
      </c>
      <c r="H717">
        <v>3</v>
      </c>
      <c r="I717" t="s">
        <v>33</v>
      </c>
      <c r="J717">
        <v>4</v>
      </c>
      <c r="K717">
        <v>2</v>
      </c>
      <c r="L717" t="s">
        <v>46</v>
      </c>
      <c r="M717">
        <v>2</v>
      </c>
      <c r="N717" t="s">
        <v>40</v>
      </c>
      <c r="O717">
        <v>5488</v>
      </c>
      <c r="P717">
        <v>1</v>
      </c>
      <c r="Q717" t="s">
        <v>30</v>
      </c>
      <c r="R717">
        <v>1</v>
      </c>
      <c r="S717">
        <v>6</v>
      </c>
      <c r="T717">
        <v>3</v>
      </c>
      <c r="U717">
        <v>6</v>
      </c>
      <c r="V717">
        <v>5</v>
      </c>
      <c r="W717">
        <v>1</v>
      </c>
      <c r="X717">
        <v>2</v>
      </c>
      <c r="Y717">
        <v>13</v>
      </c>
      <c r="Z717">
        <f>IF(H_A[[#This Row],[Attrition]]="Yes",1,0)</f>
        <v>0</v>
      </c>
      <c r="AA717" t="str">
        <f>IF(H_A[[#This Row],[Age]]&lt;30,"Young",IF(H_A[[#This Row],[Age]]&lt;45,"Mid","Senior"))</f>
        <v>Mid</v>
      </c>
      <c r="AB717" t="str">
        <f>IF(H_A[[#This Row],[MonthlyIncome]]&lt;5000,"Low",IF(H_A[[#This Row],[MonthlyIncome]]&lt;10000,"Medium","High"))</f>
        <v>Medium</v>
      </c>
      <c r="AC717" t="str">
        <f>IF(H_A[[#This Row],[YearsAtCompany]]&lt;3,"Early",IF(H_A[[#This Row],[YearsAtCompany]]&lt;7,"Mid","Long"))</f>
        <v>Mid</v>
      </c>
      <c r="AD717" t="str">
        <f>IF(H_A[[#This Row],[PercentSalaryHike]]&lt;13,"Low",IF(H_A[[#This Row],[PercentSalaryHike]]&lt;18,"Medium","High"))</f>
        <v>Medium</v>
      </c>
    </row>
    <row r="718" spans="1:30" x14ac:dyDescent="0.3">
      <c r="A718">
        <v>41</v>
      </c>
      <c r="B718">
        <v>999</v>
      </c>
      <c r="C718" t="s">
        <v>36</v>
      </c>
      <c r="D718" t="s">
        <v>37</v>
      </c>
      <c r="E718">
        <v>9</v>
      </c>
      <c r="F718">
        <v>3</v>
      </c>
      <c r="G718" t="s">
        <v>43</v>
      </c>
      <c r="H718">
        <v>1</v>
      </c>
      <c r="I718" t="s">
        <v>38</v>
      </c>
      <c r="J718">
        <v>3</v>
      </c>
      <c r="K718">
        <v>5</v>
      </c>
      <c r="L718" t="s">
        <v>49</v>
      </c>
      <c r="M718">
        <v>3</v>
      </c>
      <c r="N718" t="s">
        <v>44</v>
      </c>
      <c r="O718">
        <v>19419</v>
      </c>
      <c r="P718">
        <v>2</v>
      </c>
      <c r="Q718" t="s">
        <v>36</v>
      </c>
      <c r="R718">
        <v>2</v>
      </c>
      <c r="S718">
        <v>21</v>
      </c>
      <c r="T718">
        <v>4</v>
      </c>
      <c r="U718">
        <v>18</v>
      </c>
      <c r="V718">
        <v>16</v>
      </c>
      <c r="W718">
        <v>0</v>
      </c>
      <c r="X718">
        <v>11</v>
      </c>
      <c r="Y718">
        <v>17</v>
      </c>
      <c r="Z718">
        <f>IF(H_A[[#This Row],[Attrition]]="Yes",1,0)</f>
        <v>0</v>
      </c>
      <c r="AA718" t="str">
        <f>IF(H_A[[#This Row],[Age]]&lt;30,"Young",IF(H_A[[#This Row],[Age]]&lt;45,"Mid","Senior"))</f>
        <v>Mid</v>
      </c>
      <c r="AB718" t="str">
        <f>IF(H_A[[#This Row],[MonthlyIncome]]&lt;5000,"Low",IF(H_A[[#This Row],[MonthlyIncome]]&lt;10000,"Medium","High"))</f>
        <v>High</v>
      </c>
      <c r="AC718" t="str">
        <f>IF(H_A[[#This Row],[YearsAtCompany]]&lt;3,"Early",IF(H_A[[#This Row],[YearsAtCompany]]&lt;7,"Mid","Long"))</f>
        <v>Long</v>
      </c>
      <c r="AD718" t="str">
        <f>IF(H_A[[#This Row],[PercentSalaryHike]]&lt;13,"Low",IF(H_A[[#This Row],[PercentSalaryHike]]&lt;18,"Medium","High"))</f>
        <v>Medium</v>
      </c>
    </row>
    <row r="719" spans="1:30" x14ac:dyDescent="0.3">
      <c r="A719">
        <v>27</v>
      </c>
      <c r="B719">
        <v>1001</v>
      </c>
      <c r="C719" t="s">
        <v>36</v>
      </c>
      <c r="D719" t="s">
        <v>37</v>
      </c>
      <c r="E719">
        <v>16</v>
      </c>
      <c r="F719">
        <v>4</v>
      </c>
      <c r="G719" t="s">
        <v>51</v>
      </c>
      <c r="H719">
        <v>3</v>
      </c>
      <c r="I719" t="s">
        <v>33</v>
      </c>
      <c r="J719">
        <v>3</v>
      </c>
      <c r="K719">
        <v>1</v>
      </c>
      <c r="L719" t="s">
        <v>42</v>
      </c>
      <c r="M719">
        <v>2</v>
      </c>
      <c r="N719" t="s">
        <v>40</v>
      </c>
      <c r="O719">
        <v>2811</v>
      </c>
      <c r="P719">
        <v>9</v>
      </c>
      <c r="Q719" t="s">
        <v>36</v>
      </c>
      <c r="R719">
        <v>2</v>
      </c>
      <c r="S719">
        <v>4</v>
      </c>
      <c r="T719">
        <v>3</v>
      </c>
      <c r="U719">
        <v>2</v>
      </c>
      <c r="V719">
        <v>2</v>
      </c>
      <c r="W719">
        <v>2</v>
      </c>
      <c r="X719">
        <v>2</v>
      </c>
      <c r="Y719">
        <v>14</v>
      </c>
      <c r="Z719">
        <f>IF(H_A[[#This Row],[Attrition]]="Yes",1,0)</f>
        <v>0</v>
      </c>
      <c r="AA719" t="str">
        <f>IF(H_A[[#This Row],[Age]]&lt;30,"Young",IF(H_A[[#This Row],[Age]]&lt;45,"Mid","Senior"))</f>
        <v>Young</v>
      </c>
      <c r="AB719" t="str">
        <f>IF(H_A[[#This Row],[MonthlyIncome]]&lt;5000,"Low",IF(H_A[[#This Row],[MonthlyIncome]]&lt;10000,"Medium","High"))</f>
        <v>Low</v>
      </c>
      <c r="AC719" t="str">
        <f>IF(H_A[[#This Row],[YearsAtCompany]]&lt;3,"Early",IF(H_A[[#This Row],[YearsAtCompany]]&lt;7,"Mid","Long"))</f>
        <v>Early</v>
      </c>
      <c r="AD719" t="str">
        <f>IF(H_A[[#This Row],[PercentSalaryHike]]&lt;13,"Low",IF(H_A[[#This Row],[PercentSalaryHike]]&lt;18,"Medium","High"))</f>
        <v>Medium</v>
      </c>
    </row>
    <row r="720" spans="1:30" x14ac:dyDescent="0.3">
      <c r="A720">
        <v>45</v>
      </c>
      <c r="B720">
        <v>1002</v>
      </c>
      <c r="C720" t="s">
        <v>36</v>
      </c>
      <c r="D720" t="s">
        <v>37</v>
      </c>
      <c r="E720">
        <v>23</v>
      </c>
      <c r="F720">
        <v>2</v>
      </c>
      <c r="G720" t="s">
        <v>32</v>
      </c>
      <c r="H720">
        <v>4</v>
      </c>
      <c r="I720" t="s">
        <v>38</v>
      </c>
      <c r="J720">
        <v>3</v>
      </c>
      <c r="K720">
        <v>2</v>
      </c>
      <c r="L720" t="s">
        <v>42</v>
      </c>
      <c r="M720">
        <v>1</v>
      </c>
      <c r="N720" t="s">
        <v>40</v>
      </c>
      <c r="O720">
        <v>3633</v>
      </c>
      <c r="P720">
        <v>1</v>
      </c>
      <c r="Q720" t="s">
        <v>30</v>
      </c>
      <c r="R720">
        <v>3</v>
      </c>
      <c r="S720">
        <v>9</v>
      </c>
      <c r="T720">
        <v>3</v>
      </c>
      <c r="U720">
        <v>9</v>
      </c>
      <c r="V720">
        <v>8</v>
      </c>
      <c r="W720">
        <v>0</v>
      </c>
      <c r="X720">
        <v>8</v>
      </c>
      <c r="Y720">
        <v>15</v>
      </c>
      <c r="Z720">
        <f>IF(H_A[[#This Row],[Attrition]]="Yes",1,0)</f>
        <v>0</v>
      </c>
      <c r="AA720" t="str">
        <f>IF(H_A[[#This Row],[Age]]&lt;30,"Young",IF(H_A[[#This Row],[Age]]&lt;45,"Mid","Senior"))</f>
        <v>Senior</v>
      </c>
      <c r="AB720" t="str">
        <f>IF(H_A[[#This Row],[MonthlyIncome]]&lt;5000,"Low",IF(H_A[[#This Row],[MonthlyIncome]]&lt;10000,"Medium","High"))</f>
        <v>Low</v>
      </c>
      <c r="AC720" t="str">
        <f>IF(H_A[[#This Row],[YearsAtCompany]]&lt;3,"Early",IF(H_A[[#This Row],[YearsAtCompany]]&lt;7,"Mid","Long"))</f>
        <v>Long</v>
      </c>
      <c r="AD720" t="str">
        <f>IF(H_A[[#This Row],[PercentSalaryHike]]&lt;13,"Low",IF(H_A[[#This Row],[PercentSalaryHike]]&lt;18,"Medium","High"))</f>
        <v>Medium</v>
      </c>
    </row>
    <row r="721" spans="1:30" x14ac:dyDescent="0.3">
      <c r="A721">
        <v>47</v>
      </c>
      <c r="B721">
        <v>1003</v>
      </c>
      <c r="C721" t="s">
        <v>36</v>
      </c>
      <c r="D721" t="s">
        <v>31</v>
      </c>
      <c r="E721">
        <v>4</v>
      </c>
      <c r="F721">
        <v>2</v>
      </c>
      <c r="G721" t="s">
        <v>32</v>
      </c>
      <c r="H721">
        <v>4</v>
      </c>
      <c r="I721" t="s">
        <v>33</v>
      </c>
      <c r="J721">
        <v>3</v>
      </c>
      <c r="K721">
        <v>2</v>
      </c>
      <c r="L721" t="s">
        <v>34</v>
      </c>
      <c r="M721">
        <v>4</v>
      </c>
      <c r="N721" t="s">
        <v>35</v>
      </c>
      <c r="O721">
        <v>4163</v>
      </c>
      <c r="P721">
        <v>1</v>
      </c>
      <c r="Q721" t="s">
        <v>30</v>
      </c>
      <c r="R721">
        <v>3</v>
      </c>
      <c r="S721">
        <v>9</v>
      </c>
      <c r="T721">
        <v>3</v>
      </c>
      <c r="U721">
        <v>9</v>
      </c>
      <c r="V721">
        <v>0</v>
      </c>
      <c r="W721">
        <v>0</v>
      </c>
      <c r="X721">
        <v>7</v>
      </c>
      <c r="Y721">
        <v>17</v>
      </c>
      <c r="Z721">
        <f>IF(H_A[[#This Row],[Attrition]]="Yes",1,0)</f>
        <v>0</v>
      </c>
      <c r="AA721" t="str">
        <f>IF(H_A[[#This Row],[Age]]&lt;30,"Young",IF(H_A[[#This Row],[Age]]&lt;45,"Mid","Senior"))</f>
        <v>Senior</v>
      </c>
      <c r="AB721" t="str">
        <f>IF(H_A[[#This Row],[MonthlyIncome]]&lt;5000,"Low",IF(H_A[[#This Row],[MonthlyIncome]]&lt;10000,"Medium","High"))</f>
        <v>Low</v>
      </c>
      <c r="AC721" t="str">
        <f>IF(H_A[[#This Row],[YearsAtCompany]]&lt;3,"Early",IF(H_A[[#This Row],[YearsAtCompany]]&lt;7,"Mid","Long"))</f>
        <v>Long</v>
      </c>
      <c r="AD721" t="str">
        <f>IF(H_A[[#This Row],[PercentSalaryHike]]&lt;13,"Low",IF(H_A[[#This Row],[PercentSalaryHike]]&lt;18,"Medium","High"))</f>
        <v>Medium</v>
      </c>
    </row>
    <row r="722" spans="1:30" x14ac:dyDescent="0.3">
      <c r="A722">
        <v>30</v>
      </c>
      <c r="B722">
        <v>1004</v>
      </c>
      <c r="C722" t="s">
        <v>30</v>
      </c>
      <c r="D722" t="s">
        <v>37</v>
      </c>
      <c r="E722">
        <v>22</v>
      </c>
      <c r="F722">
        <v>3</v>
      </c>
      <c r="G722" t="s">
        <v>32</v>
      </c>
      <c r="H722">
        <v>1</v>
      </c>
      <c r="I722" t="s">
        <v>33</v>
      </c>
      <c r="J722">
        <v>3</v>
      </c>
      <c r="K722">
        <v>1</v>
      </c>
      <c r="L722" t="s">
        <v>39</v>
      </c>
      <c r="M722">
        <v>3</v>
      </c>
      <c r="N722" t="s">
        <v>40</v>
      </c>
      <c r="O722">
        <v>2132</v>
      </c>
      <c r="P722">
        <v>4</v>
      </c>
      <c r="Q722" t="s">
        <v>30</v>
      </c>
      <c r="R722">
        <v>2</v>
      </c>
      <c r="S722">
        <v>7</v>
      </c>
      <c r="T722">
        <v>3</v>
      </c>
      <c r="U722">
        <v>5</v>
      </c>
      <c r="V722">
        <v>2</v>
      </c>
      <c r="W722">
        <v>0</v>
      </c>
      <c r="X722">
        <v>1</v>
      </c>
      <c r="Y722">
        <v>11</v>
      </c>
      <c r="Z722">
        <f>IF(H_A[[#This Row],[Attrition]]="Yes",1,0)</f>
        <v>1</v>
      </c>
      <c r="AA722" t="str">
        <f>IF(H_A[[#This Row],[Age]]&lt;30,"Young",IF(H_A[[#This Row],[Age]]&lt;45,"Mid","Senior"))</f>
        <v>Mid</v>
      </c>
      <c r="AB722" t="str">
        <f>IF(H_A[[#This Row],[MonthlyIncome]]&lt;5000,"Low",IF(H_A[[#This Row],[MonthlyIncome]]&lt;10000,"Medium","High"))</f>
        <v>Low</v>
      </c>
      <c r="AC722" t="str">
        <f>IF(H_A[[#This Row],[YearsAtCompany]]&lt;3,"Early",IF(H_A[[#This Row],[YearsAtCompany]]&lt;7,"Mid","Long"))</f>
        <v>Mid</v>
      </c>
      <c r="AD722" t="str">
        <f>IF(H_A[[#This Row],[PercentSalaryHike]]&lt;13,"Low",IF(H_A[[#This Row],[PercentSalaryHike]]&lt;18,"Medium","High"))</f>
        <v>Low</v>
      </c>
    </row>
    <row r="723" spans="1:30" x14ac:dyDescent="0.3">
      <c r="A723">
        <v>50</v>
      </c>
      <c r="B723">
        <v>1005</v>
      </c>
      <c r="C723" t="s">
        <v>36</v>
      </c>
      <c r="D723" t="s">
        <v>37</v>
      </c>
      <c r="E723">
        <v>24</v>
      </c>
      <c r="F723">
        <v>3</v>
      </c>
      <c r="G723" t="s">
        <v>32</v>
      </c>
      <c r="H723">
        <v>4</v>
      </c>
      <c r="I723" t="s">
        <v>38</v>
      </c>
      <c r="J723">
        <v>3</v>
      </c>
      <c r="K723">
        <v>4</v>
      </c>
      <c r="L723" t="s">
        <v>45</v>
      </c>
      <c r="M723">
        <v>3</v>
      </c>
      <c r="N723" t="s">
        <v>40</v>
      </c>
      <c r="O723">
        <v>13973</v>
      </c>
      <c r="P723">
        <v>3</v>
      </c>
      <c r="Q723" t="s">
        <v>30</v>
      </c>
      <c r="R723">
        <v>4</v>
      </c>
      <c r="S723">
        <v>22</v>
      </c>
      <c r="T723">
        <v>3</v>
      </c>
      <c r="U723">
        <v>12</v>
      </c>
      <c r="V723">
        <v>11</v>
      </c>
      <c r="W723">
        <v>1</v>
      </c>
      <c r="X723">
        <v>5</v>
      </c>
      <c r="Y723">
        <v>18</v>
      </c>
      <c r="Z723">
        <f>IF(H_A[[#This Row],[Attrition]]="Yes",1,0)</f>
        <v>0</v>
      </c>
      <c r="AA723" t="str">
        <f>IF(H_A[[#This Row],[Age]]&lt;30,"Young",IF(H_A[[#This Row],[Age]]&lt;45,"Mid","Senior"))</f>
        <v>Senior</v>
      </c>
      <c r="AB723" t="str">
        <f>IF(H_A[[#This Row],[MonthlyIncome]]&lt;5000,"Low",IF(H_A[[#This Row],[MonthlyIncome]]&lt;10000,"Medium","High"))</f>
        <v>High</v>
      </c>
      <c r="AC723" t="str">
        <f>IF(H_A[[#This Row],[YearsAtCompany]]&lt;3,"Early",IF(H_A[[#This Row],[YearsAtCompany]]&lt;7,"Mid","Long"))</f>
        <v>Long</v>
      </c>
      <c r="AD723" t="str">
        <f>IF(H_A[[#This Row],[PercentSalaryHike]]&lt;13,"Low",IF(H_A[[#This Row],[PercentSalaryHike]]&lt;18,"Medium","High"))</f>
        <v>High</v>
      </c>
    </row>
    <row r="724" spans="1:30" x14ac:dyDescent="0.3">
      <c r="A724">
        <v>38</v>
      </c>
      <c r="B724">
        <v>1006</v>
      </c>
      <c r="C724" t="s">
        <v>36</v>
      </c>
      <c r="D724" t="s">
        <v>37</v>
      </c>
      <c r="E724">
        <v>10</v>
      </c>
      <c r="F724">
        <v>1</v>
      </c>
      <c r="G724" t="s">
        <v>43</v>
      </c>
      <c r="H724">
        <v>3</v>
      </c>
      <c r="I724" t="s">
        <v>38</v>
      </c>
      <c r="J724">
        <v>3</v>
      </c>
      <c r="K724">
        <v>1</v>
      </c>
      <c r="L724" t="s">
        <v>39</v>
      </c>
      <c r="M724">
        <v>3</v>
      </c>
      <c r="N724" t="s">
        <v>40</v>
      </c>
      <c r="O724">
        <v>2684</v>
      </c>
      <c r="P724">
        <v>0</v>
      </c>
      <c r="Q724" t="s">
        <v>36</v>
      </c>
      <c r="R724">
        <v>2</v>
      </c>
      <c r="S724">
        <v>3</v>
      </c>
      <c r="T724">
        <v>2</v>
      </c>
      <c r="U724">
        <v>2</v>
      </c>
      <c r="V724">
        <v>1</v>
      </c>
      <c r="W724">
        <v>0</v>
      </c>
      <c r="X724">
        <v>2</v>
      </c>
      <c r="Y724">
        <v>17</v>
      </c>
      <c r="Z724">
        <f>IF(H_A[[#This Row],[Attrition]]="Yes",1,0)</f>
        <v>0</v>
      </c>
      <c r="AA724" t="str">
        <f>IF(H_A[[#This Row],[Age]]&lt;30,"Young",IF(H_A[[#This Row],[Age]]&lt;45,"Mid","Senior"))</f>
        <v>Mid</v>
      </c>
      <c r="AB724" t="str">
        <f>IF(H_A[[#This Row],[MonthlyIncome]]&lt;5000,"Low",IF(H_A[[#This Row],[MonthlyIncome]]&lt;10000,"Medium","High"))</f>
        <v>Low</v>
      </c>
      <c r="AC724" t="str">
        <f>IF(H_A[[#This Row],[YearsAtCompany]]&lt;3,"Early",IF(H_A[[#This Row],[YearsAtCompany]]&lt;7,"Mid","Long"))</f>
        <v>Early</v>
      </c>
      <c r="AD724" t="str">
        <f>IF(H_A[[#This Row],[PercentSalaryHike]]&lt;13,"Low",IF(H_A[[#This Row],[PercentSalaryHike]]&lt;18,"Medium","High"))</f>
        <v>Medium</v>
      </c>
    </row>
    <row r="725" spans="1:30" x14ac:dyDescent="0.3">
      <c r="A725">
        <v>46</v>
      </c>
      <c r="B725">
        <v>1007</v>
      </c>
      <c r="C725" t="s">
        <v>36</v>
      </c>
      <c r="D725" t="s">
        <v>37</v>
      </c>
      <c r="E725">
        <v>7</v>
      </c>
      <c r="F725">
        <v>2</v>
      </c>
      <c r="G725" t="s">
        <v>43</v>
      </c>
      <c r="H725">
        <v>4</v>
      </c>
      <c r="I725" t="s">
        <v>38</v>
      </c>
      <c r="J725">
        <v>3</v>
      </c>
      <c r="K725">
        <v>3</v>
      </c>
      <c r="L725" t="s">
        <v>45</v>
      </c>
      <c r="M725">
        <v>3</v>
      </c>
      <c r="N725" t="s">
        <v>44</v>
      </c>
      <c r="O725">
        <v>10845</v>
      </c>
      <c r="P725">
        <v>6</v>
      </c>
      <c r="Q725" t="s">
        <v>36</v>
      </c>
      <c r="R725">
        <v>2</v>
      </c>
      <c r="S725">
        <v>13</v>
      </c>
      <c r="T725">
        <v>3</v>
      </c>
      <c r="U725">
        <v>8</v>
      </c>
      <c r="V725">
        <v>7</v>
      </c>
      <c r="W725">
        <v>0</v>
      </c>
      <c r="X725">
        <v>7</v>
      </c>
      <c r="Y725">
        <v>13</v>
      </c>
      <c r="Z725">
        <f>IF(H_A[[#This Row],[Attrition]]="Yes",1,0)</f>
        <v>0</v>
      </c>
      <c r="AA725" t="str">
        <f>IF(H_A[[#This Row],[Age]]&lt;30,"Young",IF(H_A[[#This Row],[Age]]&lt;45,"Mid","Senior"))</f>
        <v>Senior</v>
      </c>
      <c r="AB725" t="str">
        <f>IF(H_A[[#This Row],[MonthlyIncome]]&lt;5000,"Low",IF(H_A[[#This Row],[MonthlyIncome]]&lt;10000,"Medium","High"))</f>
        <v>High</v>
      </c>
      <c r="AC725" t="str">
        <f>IF(H_A[[#This Row],[YearsAtCompany]]&lt;3,"Early",IF(H_A[[#This Row],[YearsAtCompany]]&lt;7,"Mid","Long"))</f>
        <v>Long</v>
      </c>
      <c r="AD725" t="str">
        <f>IF(H_A[[#This Row],[PercentSalaryHike]]&lt;13,"Low",IF(H_A[[#This Row],[PercentSalaryHike]]&lt;18,"Medium","High"))</f>
        <v>Medium</v>
      </c>
    </row>
    <row r="726" spans="1:30" x14ac:dyDescent="0.3">
      <c r="A726">
        <v>24</v>
      </c>
      <c r="B726">
        <v>1009</v>
      </c>
      <c r="C726" t="s">
        <v>36</v>
      </c>
      <c r="D726" t="s">
        <v>37</v>
      </c>
      <c r="E726">
        <v>17</v>
      </c>
      <c r="F726">
        <v>1</v>
      </c>
      <c r="G726" t="s">
        <v>43</v>
      </c>
      <c r="H726">
        <v>4</v>
      </c>
      <c r="I726" t="s">
        <v>33</v>
      </c>
      <c r="J726">
        <v>2</v>
      </c>
      <c r="K726">
        <v>2</v>
      </c>
      <c r="L726" t="s">
        <v>45</v>
      </c>
      <c r="M726">
        <v>3</v>
      </c>
      <c r="N726" t="s">
        <v>44</v>
      </c>
      <c r="O726">
        <v>4377</v>
      </c>
      <c r="P726">
        <v>1</v>
      </c>
      <c r="Q726" t="s">
        <v>36</v>
      </c>
      <c r="R726">
        <v>2</v>
      </c>
      <c r="S726">
        <v>5</v>
      </c>
      <c r="T726">
        <v>3</v>
      </c>
      <c r="U726">
        <v>4</v>
      </c>
      <c r="V726">
        <v>2</v>
      </c>
      <c r="W726">
        <v>3</v>
      </c>
      <c r="X726">
        <v>2</v>
      </c>
      <c r="Y726">
        <v>15</v>
      </c>
      <c r="Z726">
        <f>IF(H_A[[#This Row],[Attrition]]="Yes",1,0)</f>
        <v>0</v>
      </c>
      <c r="AA726" t="str">
        <f>IF(H_A[[#This Row],[Age]]&lt;30,"Young",IF(H_A[[#This Row],[Age]]&lt;45,"Mid","Senior"))</f>
        <v>Young</v>
      </c>
      <c r="AB726" t="str">
        <f>IF(H_A[[#This Row],[MonthlyIncome]]&lt;5000,"Low",IF(H_A[[#This Row],[MonthlyIncome]]&lt;10000,"Medium","High"))</f>
        <v>Low</v>
      </c>
      <c r="AC726" t="str">
        <f>IF(H_A[[#This Row],[YearsAtCompany]]&lt;3,"Early",IF(H_A[[#This Row],[YearsAtCompany]]&lt;7,"Mid","Long"))</f>
        <v>Mid</v>
      </c>
      <c r="AD726" t="str">
        <f>IF(H_A[[#This Row],[PercentSalaryHike]]&lt;13,"Low",IF(H_A[[#This Row],[PercentSalaryHike]]&lt;18,"Medium","High"))</f>
        <v>Medium</v>
      </c>
    </row>
    <row r="727" spans="1:30" x14ac:dyDescent="0.3">
      <c r="A727">
        <v>35</v>
      </c>
      <c r="B727">
        <v>1010</v>
      </c>
      <c r="C727" t="s">
        <v>30</v>
      </c>
      <c r="D727" t="s">
        <v>37</v>
      </c>
      <c r="E727">
        <v>14</v>
      </c>
      <c r="F727">
        <v>4</v>
      </c>
      <c r="G727" t="s">
        <v>41</v>
      </c>
      <c r="H727">
        <v>3</v>
      </c>
      <c r="I727" t="s">
        <v>38</v>
      </c>
      <c r="J727">
        <v>2</v>
      </c>
      <c r="K727">
        <v>1</v>
      </c>
      <c r="L727" t="s">
        <v>42</v>
      </c>
      <c r="M727">
        <v>2</v>
      </c>
      <c r="N727" t="s">
        <v>44</v>
      </c>
      <c r="O727">
        <v>3743</v>
      </c>
      <c r="P727">
        <v>1</v>
      </c>
      <c r="Q727" t="s">
        <v>30</v>
      </c>
      <c r="R727">
        <v>4</v>
      </c>
      <c r="S727">
        <v>5</v>
      </c>
      <c r="T727">
        <v>1</v>
      </c>
      <c r="U727">
        <v>4</v>
      </c>
      <c r="V727">
        <v>2</v>
      </c>
      <c r="W727">
        <v>0</v>
      </c>
      <c r="X727">
        <v>2</v>
      </c>
      <c r="Y727">
        <v>24</v>
      </c>
      <c r="Z727">
        <f>IF(H_A[[#This Row],[Attrition]]="Yes",1,0)</f>
        <v>1</v>
      </c>
      <c r="AA727" t="str">
        <f>IF(H_A[[#This Row],[Age]]&lt;30,"Young",IF(H_A[[#This Row],[Age]]&lt;45,"Mid","Senior"))</f>
        <v>Mid</v>
      </c>
      <c r="AB727" t="str">
        <f>IF(H_A[[#This Row],[MonthlyIncome]]&lt;5000,"Low",IF(H_A[[#This Row],[MonthlyIncome]]&lt;10000,"Medium","High"))</f>
        <v>Low</v>
      </c>
      <c r="AC727" t="str">
        <f>IF(H_A[[#This Row],[YearsAtCompany]]&lt;3,"Early",IF(H_A[[#This Row],[YearsAtCompany]]&lt;7,"Mid","Long"))</f>
        <v>Mid</v>
      </c>
      <c r="AD727" t="str">
        <f>IF(H_A[[#This Row],[PercentSalaryHike]]&lt;13,"Low",IF(H_A[[#This Row],[PercentSalaryHike]]&lt;18,"Medium","High"))</f>
        <v>High</v>
      </c>
    </row>
    <row r="728" spans="1:30" x14ac:dyDescent="0.3">
      <c r="A728">
        <v>31</v>
      </c>
      <c r="B728">
        <v>1011</v>
      </c>
      <c r="C728" t="s">
        <v>36</v>
      </c>
      <c r="D728" t="s">
        <v>37</v>
      </c>
      <c r="E728">
        <v>1</v>
      </c>
      <c r="F728">
        <v>1</v>
      </c>
      <c r="G728" t="s">
        <v>32</v>
      </c>
      <c r="H728">
        <v>3</v>
      </c>
      <c r="I728" t="s">
        <v>33</v>
      </c>
      <c r="J728">
        <v>3</v>
      </c>
      <c r="K728">
        <v>2</v>
      </c>
      <c r="L728" t="s">
        <v>45</v>
      </c>
      <c r="M728">
        <v>1</v>
      </c>
      <c r="N728" t="s">
        <v>40</v>
      </c>
      <c r="O728">
        <v>4148</v>
      </c>
      <c r="P728">
        <v>1</v>
      </c>
      <c r="Q728" t="s">
        <v>36</v>
      </c>
      <c r="R728">
        <v>3</v>
      </c>
      <c r="S728">
        <v>4</v>
      </c>
      <c r="T728">
        <v>3</v>
      </c>
      <c r="U728">
        <v>4</v>
      </c>
      <c r="V728">
        <v>3</v>
      </c>
      <c r="W728">
        <v>0</v>
      </c>
      <c r="X728">
        <v>3</v>
      </c>
      <c r="Y728">
        <v>12</v>
      </c>
      <c r="Z728">
        <f>IF(H_A[[#This Row],[Attrition]]="Yes",1,0)</f>
        <v>0</v>
      </c>
      <c r="AA728" t="str">
        <f>IF(H_A[[#This Row],[Age]]&lt;30,"Young",IF(H_A[[#This Row],[Age]]&lt;45,"Mid","Senior"))</f>
        <v>Mid</v>
      </c>
      <c r="AB728" t="str">
        <f>IF(H_A[[#This Row],[MonthlyIncome]]&lt;5000,"Low",IF(H_A[[#This Row],[MonthlyIncome]]&lt;10000,"Medium","High"))</f>
        <v>Low</v>
      </c>
      <c r="AC728" t="str">
        <f>IF(H_A[[#This Row],[YearsAtCompany]]&lt;3,"Early",IF(H_A[[#This Row],[YearsAtCompany]]&lt;7,"Mid","Long"))</f>
        <v>Mid</v>
      </c>
      <c r="AD728" t="str">
        <f>IF(H_A[[#This Row],[PercentSalaryHike]]&lt;13,"Low",IF(H_A[[#This Row],[PercentSalaryHike]]&lt;18,"Medium","High"))</f>
        <v>Low</v>
      </c>
    </row>
    <row r="729" spans="1:30" x14ac:dyDescent="0.3">
      <c r="A729">
        <v>18</v>
      </c>
      <c r="B729">
        <v>1012</v>
      </c>
      <c r="C729" t="s">
        <v>36</v>
      </c>
      <c r="D729" t="s">
        <v>37</v>
      </c>
      <c r="E729">
        <v>5</v>
      </c>
      <c r="F729">
        <v>2</v>
      </c>
      <c r="G729" t="s">
        <v>32</v>
      </c>
      <c r="H729">
        <v>2</v>
      </c>
      <c r="I729" t="s">
        <v>38</v>
      </c>
      <c r="J729">
        <v>3</v>
      </c>
      <c r="K729">
        <v>1</v>
      </c>
      <c r="L729" t="s">
        <v>39</v>
      </c>
      <c r="M729">
        <v>4</v>
      </c>
      <c r="N729" t="s">
        <v>35</v>
      </c>
      <c r="O729">
        <v>1051</v>
      </c>
      <c r="P729">
        <v>1</v>
      </c>
      <c r="Q729" t="s">
        <v>36</v>
      </c>
      <c r="R729">
        <v>4</v>
      </c>
      <c r="S729">
        <v>0</v>
      </c>
      <c r="T729">
        <v>3</v>
      </c>
      <c r="U729">
        <v>0</v>
      </c>
      <c r="V729">
        <v>0</v>
      </c>
      <c r="W729">
        <v>0</v>
      </c>
      <c r="X729">
        <v>0</v>
      </c>
      <c r="Y729">
        <v>15</v>
      </c>
      <c r="Z729">
        <f>IF(H_A[[#This Row],[Attrition]]="Yes",1,0)</f>
        <v>0</v>
      </c>
      <c r="AA729" t="str">
        <f>IF(H_A[[#This Row],[Age]]&lt;30,"Young",IF(H_A[[#This Row],[Age]]&lt;45,"Mid","Senior"))</f>
        <v>Young</v>
      </c>
      <c r="AB729" t="str">
        <f>IF(H_A[[#This Row],[MonthlyIncome]]&lt;5000,"Low",IF(H_A[[#This Row],[MonthlyIncome]]&lt;10000,"Medium","High"))</f>
        <v>Low</v>
      </c>
      <c r="AC729" t="str">
        <f>IF(H_A[[#This Row],[YearsAtCompany]]&lt;3,"Early",IF(H_A[[#This Row],[YearsAtCompany]]&lt;7,"Mid","Long"))</f>
        <v>Early</v>
      </c>
      <c r="AD729" t="str">
        <f>IF(H_A[[#This Row],[PercentSalaryHike]]&lt;13,"Low",IF(H_A[[#This Row],[PercentSalaryHike]]&lt;18,"Medium","High"))</f>
        <v>Medium</v>
      </c>
    </row>
    <row r="730" spans="1:30" x14ac:dyDescent="0.3">
      <c r="A730">
        <v>54</v>
      </c>
      <c r="B730">
        <v>1013</v>
      </c>
      <c r="C730" t="s">
        <v>36</v>
      </c>
      <c r="D730" t="s">
        <v>37</v>
      </c>
      <c r="E730">
        <v>17</v>
      </c>
      <c r="F730">
        <v>3</v>
      </c>
      <c r="G730" t="s">
        <v>51</v>
      </c>
      <c r="H730">
        <v>3</v>
      </c>
      <c r="I730" t="s">
        <v>33</v>
      </c>
      <c r="J730">
        <v>3</v>
      </c>
      <c r="K730">
        <v>3</v>
      </c>
      <c r="L730" t="s">
        <v>45</v>
      </c>
      <c r="M730">
        <v>3</v>
      </c>
      <c r="N730" t="s">
        <v>40</v>
      </c>
      <c r="O730">
        <v>10739</v>
      </c>
      <c r="P730">
        <v>8</v>
      </c>
      <c r="Q730" t="s">
        <v>36</v>
      </c>
      <c r="R730">
        <v>3</v>
      </c>
      <c r="S730">
        <v>22</v>
      </c>
      <c r="T730">
        <v>3</v>
      </c>
      <c r="U730">
        <v>10</v>
      </c>
      <c r="V730">
        <v>7</v>
      </c>
      <c r="W730">
        <v>0</v>
      </c>
      <c r="X730">
        <v>8</v>
      </c>
      <c r="Y730">
        <v>11</v>
      </c>
      <c r="Z730">
        <f>IF(H_A[[#This Row],[Attrition]]="Yes",1,0)</f>
        <v>0</v>
      </c>
      <c r="AA730" t="str">
        <f>IF(H_A[[#This Row],[Age]]&lt;30,"Young",IF(H_A[[#This Row],[Age]]&lt;45,"Mid","Senior"))</f>
        <v>Senior</v>
      </c>
      <c r="AB730" t="str">
        <f>IF(H_A[[#This Row],[MonthlyIncome]]&lt;5000,"Low",IF(H_A[[#This Row],[MonthlyIncome]]&lt;10000,"Medium","High"))</f>
        <v>High</v>
      </c>
      <c r="AC730" t="str">
        <f>IF(H_A[[#This Row],[YearsAtCompany]]&lt;3,"Early",IF(H_A[[#This Row],[YearsAtCompany]]&lt;7,"Mid","Long"))</f>
        <v>Long</v>
      </c>
      <c r="AD730" t="str">
        <f>IF(H_A[[#This Row],[PercentSalaryHike]]&lt;13,"Low",IF(H_A[[#This Row],[PercentSalaryHike]]&lt;18,"Medium","High"))</f>
        <v>Low</v>
      </c>
    </row>
    <row r="731" spans="1:30" x14ac:dyDescent="0.3">
      <c r="A731">
        <v>35</v>
      </c>
      <c r="B731">
        <v>1014</v>
      </c>
      <c r="C731" t="s">
        <v>36</v>
      </c>
      <c r="D731" t="s">
        <v>37</v>
      </c>
      <c r="E731">
        <v>25</v>
      </c>
      <c r="F731">
        <v>4</v>
      </c>
      <c r="G731" t="s">
        <v>43</v>
      </c>
      <c r="H731">
        <v>3</v>
      </c>
      <c r="I731" t="s">
        <v>33</v>
      </c>
      <c r="J731">
        <v>3</v>
      </c>
      <c r="K731">
        <v>3</v>
      </c>
      <c r="L731" t="s">
        <v>46</v>
      </c>
      <c r="M731">
        <v>3</v>
      </c>
      <c r="N731" t="s">
        <v>44</v>
      </c>
      <c r="O731">
        <v>10388</v>
      </c>
      <c r="P731">
        <v>1</v>
      </c>
      <c r="Q731" t="s">
        <v>30</v>
      </c>
      <c r="R731">
        <v>3</v>
      </c>
      <c r="S731">
        <v>16</v>
      </c>
      <c r="T731">
        <v>2</v>
      </c>
      <c r="U731">
        <v>16</v>
      </c>
      <c r="V731">
        <v>10</v>
      </c>
      <c r="W731">
        <v>10</v>
      </c>
      <c r="X731">
        <v>1</v>
      </c>
      <c r="Y731">
        <v>11</v>
      </c>
      <c r="Z731">
        <f>IF(H_A[[#This Row],[Attrition]]="Yes",1,0)</f>
        <v>0</v>
      </c>
      <c r="AA731" t="str">
        <f>IF(H_A[[#This Row],[Age]]&lt;30,"Young",IF(H_A[[#This Row],[Age]]&lt;45,"Mid","Senior"))</f>
        <v>Mid</v>
      </c>
      <c r="AB731" t="str">
        <f>IF(H_A[[#This Row],[MonthlyIncome]]&lt;5000,"Low",IF(H_A[[#This Row],[MonthlyIncome]]&lt;10000,"Medium","High"))</f>
        <v>High</v>
      </c>
      <c r="AC731" t="str">
        <f>IF(H_A[[#This Row],[YearsAtCompany]]&lt;3,"Early",IF(H_A[[#This Row],[YearsAtCompany]]&lt;7,"Mid","Long"))</f>
        <v>Long</v>
      </c>
      <c r="AD731" t="str">
        <f>IF(H_A[[#This Row],[PercentSalaryHike]]&lt;13,"Low",IF(H_A[[#This Row],[PercentSalaryHike]]&lt;18,"Medium","High"))</f>
        <v>Low</v>
      </c>
    </row>
    <row r="732" spans="1:30" x14ac:dyDescent="0.3">
      <c r="A732">
        <v>30</v>
      </c>
      <c r="B732">
        <v>1015</v>
      </c>
      <c r="C732" t="s">
        <v>36</v>
      </c>
      <c r="D732" t="s">
        <v>37</v>
      </c>
      <c r="E732">
        <v>8</v>
      </c>
      <c r="F732">
        <v>2</v>
      </c>
      <c r="G732" t="s">
        <v>32</v>
      </c>
      <c r="H732">
        <v>2</v>
      </c>
      <c r="I732" t="s">
        <v>33</v>
      </c>
      <c r="J732">
        <v>4</v>
      </c>
      <c r="K732">
        <v>3</v>
      </c>
      <c r="L732" t="s">
        <v>49</v>
      </c>
      <c r="M732">
        <v>1</v>
      </c>
      <c r="N732" t="s">
        <v>40</v>
      </c>
      <c r="O732">
        <v>11416</v>
      </c>
      <c r="P732">
        <v>0</v>
      </c>
      <c r="Q732" t="s">
        <v>30</v>
      </c>
      <c r="R732">
        <v>3</v>
      </c>
      <c r="S732">
        <v>9</v>
      </c>
      <c r="T732">
        <v>2</v>
      </c>
      <c r="U732">
        <v>8</v>
      </c>
      <c r="V732">
        <v>7</v>
      </c>
      <c r="W732">
        <v>1</v>
      </c>
      <c r="X732">
        <v>7</v>
      </c>
      <c r="Y732">
        <v>12</v>
      </c>
      <c r="Z732">
        <f>IF(H_A[[#This Row],[Attrition]]="Yes",1,0)</f>
        <v>0</v>
      </c>
      <c r="AA732" t="str">
        <f>IF(H_A[[#This Row],[Age]]&lt;30,"Young",IF(H_A[[#This Row],[Age]]&lt;45,"Mid","Senior"))</f>
        <v>Mid</v>
      </c>
      <c r="AB732" t="str">
        <f>IF(H_A[[#This Row],[MonthlyIncome]]&lt;5000,"Low",IF(H_A[[#This Row],[MonthlyIncome]]&lt;10000,"Medium","High"))</f>
        <v>High</v>
      </c>
      <c r="AC732" t="str">
        <f>IF(H_A[[#This Row],[YearsAtCompany]]&lt;3,"Early",IF(H_A[[#This Row],[YearsAtCompany]]&lt;7,"Mid","Long"))</f>
        <v>Long</v>
      </c>
      <c r="AD732" t="str">
        <f>IF(H_A[[#This Row],[PercentSalaryHike]]&lt;13,"Low",IF(H_A[[#This Row],[PercentSalaryHike]]&lt;18,"Medium","High"))</f>
        <v>Low</v>
      </c>
    </row>
    <row r="733" spans="1:30" x14ac:dyDescent="0.3">
      <c r="A733">
        <v>20</v>
      </c>
      <c r="B733">
        <v>1016</v>
      </c>
      <c r="C733" t="s">
        <v>30</v>
      </c>
      <c r="D733" t="s">
        <v>37</v>
      </c>
      <c r="E733">
        <v>11</v>
      </c>
      <c r="F733">
        <v>3</v>
      </c>
      <c r="G733" t="s">
        <v>43</v>
      </c>
      <c r="H733">
        <v>4</v>
      </c>
      <c r="I733" t="s">
        <v>33</v>
      </c>
      <c r="J733">
        <v>2</v>
      </c>
      <c r="K733">
        <v>1</v>
      </c>
      <c r="L733" t="s">
        <v>39</v>
      </c>
      <c r="M733">
        <v>1</v>
      </c>
      <c r="N733" t="s">
        <v>35</v>
      </c>
      <c r="O733">
        <v>2600</v>
      </c>
      <c r="P733">
        <v>1</v>
      </c>
      <c r="Q733" t="s">
        <v>30</v>
      </c>
      <c r="R733">
        <v>1</v>
      </c>
      <c r="S733">
        <v>1</v>
      </c>
      <c r="T733">
        <v>3</v>
      </c>
      <c r="U733">
        <v>1</v>
      </c>
      <c r="V733">
        <v>0</v>
      </c>
      <c r="W733">
        <v>0</v>
      </c>
      <c r="X733">
        <v>0</v>
      </c>
      <c r="Y733">
        <v>15</v>
      </c>
      <c r="Z733">
        <f>IF(H_A[[#This Row],[Attrition]]="Yes",1,0)</f>
        <v>1</v>
      </c>
      <c r="AA733" t="str">
        <f>IF(H_A[[#This Row],[Age]]&lt;30,"Young",IF(H_A[[#This Row],[Age]]&lt;45,"Mid","Senior"))</f>
        <v>Young</v>
      </c>
      <c r="AB733" t="str">
        <f>IF(H_A[[#This Row],[MonthlyIncome]]&lt;5000,"Low",IF(H_A[[#This Row],[MonthlyIncome]]&lt;10000,"Medium","High"))</f>
        <v>Low</v>
      </c>
      <c r="AC733" t="str">
        <f>IF(H_A[[#This Row],[YearsAtCompany]]&lt;3,"Early",IF(H_A[[#This Row],[YearsAtCompany]]&lt;7,"Mid","Long"))</f>
        <v>Early</v>
      </c>
      <c r="AD733" t="str">
        <f>IF(H_A[[#This Row],[PercentSalaryHike]]&lt;13,"Low",IF(H_A[[#This Row],[PercentSalaryHike]]&lt;18,"Medium","High"))</f>
        <v>Medium</v>
      </c>
    </row>
    <row r="734" spans="1:30" x14ac:dyDescent="0.3">
      <c r="A734">
        <v>30</v>
      </c>
      <c r="B734">
        <v>1017</v>
      </c>
      <c r="C734" t="s">
        <v>30</v>
      </c>
      <c r="D734" t="s">
        <v>37</v>
      </c>
      <c r="E734">
        <v>5</v>
      </c>
      <c r="F734">
        <v>3</v>
      </c>
      <c r="G734" t="s">
        <v>43</v>
      </c>
      <c r="H734">
        <v>2</v>
      </c>
      <c r="I734" t="s">
        <v>33</v>
      </c>
      <c r="J734">
        <v>3</v>
      </c>
      <c r="K734">
        <v>1</v>
      </c>
      <c r="L734" t="s">
        <v>42</v>
      </c>
      <c r="M734">
        <v>2</v>
      </c>
      <c r="N734" t="s">
        <v>35</v>
      </c>
      <c r="O734">
        <v>2422</v>
      </c>
      <c r="P734">
        <v>0</v>
      </c>
      <c r="Q734" t="s">
        <v>36</v>
      </c>
      <c r="R734">
        <v>1</v>
      </c>
      <c r="S734">
        <v>4</v>
      </c>
      <c r="T734">
        <v>3</v>
      </c>
      <c r="U734">
        <v>3</v>
      </c>
      <c r="V734">
        <v>2</v>
      </c>
      <c r="W734">
        <v>1</v>
      </c>
      <c r="X734">
        <v>2</v>
      </c>
      <c r="Y734">
        <v>17</v>
      </c>
      <c r="Z734">
        <f>IF(H_A[[#This Row],[Attrition]]="Yes",1,0)</f>
        <v>1</v>
      </c>
      <c r="AA734" t="str">
        <f>IF(H_A[[#This Row],[Age]]&lt;30,"Young",IF(H_A[[#This Row],[Age]]&lt;45,"Mid","Senior"))</f>
        <v>Mid</v>
      </c>
      <c r="AB734" t="str">
        <f>IF(H_A[[#This Row],[MonthlyIncome]]&lt;5000,"Low",IF(H_A[[#This Row],[MonthlyIncome]]&lt;10000,"Medium","High"))</f>
        <v>Low</v>
      </c>
      <c r="AC734" t="str">
        <f>IF(H_A[[#This Row],[YearsAtCompany]]&lt;3,"Early",IF(H_A[[#This Row],[YearsAtCompany]]&lt;7,"Mid","Long"))</f>
        <v>Mid</v>
      </c>
      <c r="AD734" t="str">
        <f>IF(H_A[[#This Row],[PercentSalaryHike]]&lt;13,"Low",IF(H_A[[#This Row],[PercentSalaryHike]]&lt;18,"Medium","High"))</f>
        <v>Medium</v>
      </c>
    </row>
    <row r="735" spans="1:30" x14ac:dyDescent="0.3">
      <c r="A735">
        <v>26</v>
      </c>
      <c r="B735">
        <v>1018</v>
      </c>
      <c r="C735" t="s">
        <v>36</v>
      </c>
      <c r="D735" t="s">
        <v>37</v>
      </c>
      <c r="E735">
        <v>2</v>
      </c>
      <c r="F735">
        <v>2</v>
      </c>
      <c r="G735" t="s">
        <v>43</v>
      </c>
      <c r="H735">
        <v>4</v>
      </c>
      <c r="I735" t="s">
        <v>38</v>
      </c>
      <c r="J735">
        <v>4</v>
      </c>
      <c r="K735">
        <v>2</v>
      </c>
      <c r="L735" t="s">
        <v>45</v>
      </c>
      <c r="M735">
        <v>4</v>
      </c>
      <c r="N735" t="s">
        <v>40</v>
      </c>
      <c r="O735">
        <v>5472</v>
      </c>
      <c r="P735">
        <v>1</v>
      </c>
      <c r="Q735" t="s">
        <v>36</v>
      </c>
      <c r="R735">
        <v>2</v>
      </c>
      <c r="S735">
        <v>8</v>
      </c>
      <c r="T735">
        <v>3</v>
      </c>
      <c r="U735">
        <v>8</v>
      </c>
      <c r="V735">
        <v>7</v>
      </c>
      <c r="W735">
        <v>1</v>
      </c>
      <c r="X735">
        <v>3</v>
      </c>
      <c r="Y735">
        <v>12</v>
      </c>
      <c r="Z735">
        <f>IF(H_A[[#This Row],[Attrition]]="Yes",1,0)</f>
        <v>0</v>
      </c>
      <c r="AA735" t="str">
        <f>IF(H_A[[#This Row],[Age]]&lt;30,"Young",IF(H_A[[#This Row],[Age]]&lt;45,"Mid","Senior"))</f>
        <v>Young</v>
      </c>
      <c r="AB735" t="str">
        <f>IF(H_A[[#This Row],[MonthlyIncome]]&lt;5000,"Low",IF(H_A[[#This Row],[MonthlyIncome]]&lt;10000,"Medium","High"))</f>
        <v>Medium</v>
      </c>
      <c r="AC735" t="str">
        <f>IF(H_A[[#This Row],[YearsAtCompany]]&lt;3,"Early",IF(H_A[[#This Row],[YearsAtCompany]]&lt;7,"Mid","Long"))</f>
        <v>Long</v>
      </c>
      <c r="AD735" t="str">
        <f>IF(H_A[[#This Row],[PercentSalaryHike]]&lt;13,"Low",IF(H_A[[#This Row],[PercentSalaryHike]]&lt;18,"Medium","High"))</f>
        <v>Low</v>
      </c>
    </row>
    <row r="736" spans="1:30" x14ac:dyDescent="0.3">
      <c r="A736">
        <v>22</v>
      </c>
      <c r="B736">
        <v>1019</v>
      </c>
      <c r="C736" t="s">
        <v>36</v>
      </c>
      <c r="D736" t="s">
        <v>37</v>
      </c>
      <c r="E736">
        <v>8</v>
      </c>
      <c r="F736">
        <v>1</v>
      </c>
      <c r="G736" t="s">
        <v>32</v>
      </c>
      <c r="H736">
        <v>2</v>
      </c>
      <c r="I736" t="s">
        <v>38</v>
      </c>
      <c r="J736">
        <v>1</v>
      </c>
      <c r="K736">
        <v>1</v>
      </c>
      <c r="L736" t="s">
        <v>42</v>
      </c>
      <c r="M736">
        <v>1</v>
      </c>
      <c r="N736" t="s">
        <v>40</v>
      </c>
      <c r="O736">
        <v>2451</v>
      </c>
      <c r="P736">
        <v>1</v>
      </c>
      <c r="Q736" t="s">
        <v>36</v>
      </c>
      <c r="R736">
        <v>1</v>
      </c>
      <c r="S736">
        <v>4</v>
      </c>
      <c r="T736">
        <v>2</v>
      </c>
      <c r="U736">
        <v>4</v>
      </c>
      <c r="V736">
        <v>3</v>
      </c>
      <c r="W736">
        <v>1</v>
      </c>
      <c r="X736">
        <v>1</v>
      </c>
      <c r="Y736">
        <v>15</v>
      </c>
      <c r="Z736">
        <f>IF(H_A[[#This Row],[Attrition]]="Yes",1,0)</f>
        <v>0</v>
      </c>
      <c r="AA736" t="str">
        <f>IF(H_A[[#This Row],[Age]]&lt;30,"Young",IF(H_A[[#This Row],[Age]]&lt;45,"Mid","Senior"))</f>
        <v>Young</v>
      </c>
      <c r="AB736" t="str">
        <f>IF(H_A[[#This Row],[MonthlyIncome]]&lt;5000,"Low",IF(H_A[[#This Row],[MonthlyIncome]]&lt;10000,"Medium","High"))</f>
        <v>Low</v>
      </c>
      <c r="AC736" t="str">
        <f>IF(H_A[[#This Row],[YearsAtCompany]]&lt;3,"Early",IF(H_A[[#This Row],[YearsAtCompany]]&lt;7,"Mid","Long"))</f>
        <v>Mid</v>
      </c>
      <c r="AD736" t="str">
        <f>IF(H_A[[#This Row],[PercentSalaryHike]]&lt;13,"Low",IF(H_A[[#This Row],[PercentSalaryHike]]&lt;18,"Medium","High"))</f>
        <v>Medium</v>
      </c>
    </row>
    <row r="737" spans="1:30" x14ac:dyDescent="0.3">
      <c r="A737">
        <v>48</v>
      </c>
      <c r="B737">
        <v>1022</v>
      </c>
      <c r="C737" t="s">
        <v>36</v>
      </c>
      <c r="D737" t="s">
        <v>37</v>
      </c>
      <c r="E737">
        <v>6</v>
      </c>
      <c r="F737">
        <v>3</v>
      </c>
      <c r="G737" t="s">
        <v>32</v>
      </c>
      <c r="H737">
        <v>1</v>
      </c>
      <c r="I737" t="s">
        <v>38</v>
      </c>
      <c r="J737">
        <v>2</v>
      </c>
      <c r="K737">
        <v>2</v>
      </c>
      <c r="L737" t="s">
        <v>46</v>
      </c>
      <c r="M737">
        <v>3</v>
      </c>
      <c r="N737" t="s">
        <v>35</v>
      </c>
      <c r="O737">
        <v>4240</v>
      </c>
      <c r="P737">
        <v>2</v>
      </c>
      <c r="Q737" t="s">
        <v>36</v>
      </c>
      <c r="R737">
        <v>4</v>
      </c>
      <c r="S737">
        <v>19</v>
      </c>
      <c r="T737">
        <v>3</v>
      </c>
      <c r="U737">
        <v>2</v>
      </c>
      <c r="V737">
        <v>2</v>
      </c>
      <c r="W737">
        <v>2</v>
      </c>
      <c r="X737">
        <v>2</v>
      </c>
      <c r="Y737">
        <v>13</v>
      </c>
      <c r="Z737">
        <f>IF(H_A[[#This Row],[Attrition]]="Yes",1,0)</f>
        <v>0</v>
      </c>
      <c r="AA737" t="str">
        <f>IF(H_A[[#This Row],[Age]]&lt;30,"Young",IF(H_A[[#This Row],[Age]]&lt;45,"Mid","Senior"))</f>
        <v>Senior</v>
      </c>
      <c r="AB737" t="str">
        <f>IF(H_A[[#This Row],[MonthlyIncome]]&lt;5000,"Low",IF(H_A[[#This Row],[MonthlyIncome]]&lt;10000,"Medium","High"))</f>
        <v>Low</v>
      </c>
      <c r="AC737" t="str">
        <f>IF(H_A[[#This Row],[YearsAtCompany]]&lt;3,"Early",IF(H_A[[#This Row],[YearsAtCompany]]&lt;7,"Mid","Long"))</f>
        <v>Early</v>
      </c>
      <c r="AD737" t="str">
        <f>IF(H_A[[#This Row],[PercentSalaryHike]]&lt;13,"Low",IF(H_A[[#This Row],[PercentSalaryHike]]&lt;18,"Medium","High"))</f>
        <v>Medium</v>
      </c>
    </row>
    <row r="738" spans="1:30" x14ac:dyDescent="0.3">
      <c r="A738">
        <v>48</v>
      </c>
      <c r="B738">
        <v>1024</v>
      </c>
      <c r="C738" t="s">
        <v>36</v>
      </c>
      <c r="D738" t="s">
        <v>37</v>
      </c>
      <c r="E738">
        <v>4</v>
      </c>
      <c r="F738">
        <v>4</v>
      </c>
      <c r="G738" t="s">
        <v>32</v>
      </c>
      <c r="H738">
        <v>3</v>
      </c>
      <c r="I738" t="s">
        <v>38</v>
      </c>
      <c r="J738">
        <v>2</v>
      </c>
      <c r="K738">
        <v>3</v>
      </c>
      <c r="L738" t="s">
        <v>46</v>
      </c>
      <c r="M738">
        <v>3</v>
      </c>
      <c r="N738" t="s">
        <v>35</v>
      </c>
      <c r="O738">
        <v>10999</v>
      </c>
      <c r="P738">
        <v>7</v>
      </c>
      <c r="Q738" t="s">
        <v>36</v>
      </c>
      <c r="R738">
        <v>2</v>
      </c>
      <c r="S738">
        <v>27</v>
      </c>
      <c r="T738">
        <v>3</v>
      </c>
      <c r="U738">
        <v>15</v>
      </c>
      <c r="V738">
        <v>11</v>
      </c>
      <c r="W738">
        <v>4</v>
      </c>
      <c r="X738">
        <v>8</v>
      </c>
      <c r="Y738">
        <v>14</v>
      </c>
      <c r="Z738">
        <f>IF(H_A[[#This Row],[Attrition]]="Yes",1,0)</f>
        <v>0</v>
      </c>
      <c r="AA738" t="str">
        <f>IF(H_A[[#This Row],[Age]]&lt;30,"Young",IF(H_A[[#This Row],[Age]]&lt;45,"Mid","Senior"))</f>
        <v>Senior</v>
      </c>
      <c r="AB738" t="str">
        <f>IF(H_A[[#This Row],[MonthlyIncome]]&lt;5000,"Low",IF(H_A[[#This Row],[MonthlyIncome]]&lt;10000,"Medium","High"))</f>
        <v>High</v>
      </c>
      <c r="AC738" t="str">
        <f>IF(H_A[[#This Row],[YearsAtCompany]]&lt;3,"Early",IF(H_A[[#This Row],[YearsAtCompany]]&lt;7,"Mid","Long"))</f>
        <v>Long</v>
      </c>
      <c r="AD738" t="str">
        <f>IF(H_A[[#This Row],[PercentSalaryHike]]&lt;13,"Low",IF(H_A[[#This Row],[PercentSalaryHike]]&lt;18,"Medium","High"))</f>
        <v>Medium</v>
      </c>
    </row>
    <row r="739" spans="1:30" x14ac:dyDescent="0.3">
      <c r="A739">
        <v>41</v>
      </c>
      <c r="B739">
        <v>1025</v>
      </c>
      <c r="C739" t="s">
        <v>36</v>
      </c>
      <c r="D739" t="s">
        <v>37</v>
      </c>
      <c r="E739">
        <v>7</v>
      </c>
      <c r="F739">
        <v>2</v>
      </c>
      <c r="G739" t="s">
        <v>43</v>
      </c>
      <c r="H739">
        <v>4</v>
      </c>
      <c r="I739" t="s">
        <v>33</v>
      </c>
      <c r="J739">
        <v>3</v>
      </c>
      <c r="K739">
        <v>2</v>
      </c>
      <c r="L739" t="s">
        <v>45</v>
      </c>
      <c r="M739">
        <v>3</v>
      </c>
      <c r="N739" t="s">
        <v>35</v>
      </c>
      <c r="O739">
        <v>5003</v>
      </c>
      <c r="P739">
        <v>6</v>
      </c>
      <c r="Q739" t="s">
        <v>36</v>
      </c>
      <c r="R739">
        <v>2</v>
      </c>
      <c r="S739">
        <v>8</v>
      </c>
      <c r="T739">
        <v>3</v>
      </c>
      <c r="U739">
        <v>2</v>
      </c>
      <c r="V739">
        <v>2</v>
      </c>
      <c r="W739">
        <v>2</v>
      </c>
      <c r="X739">
        <v>1</v>
      </c>
      <c r="Y739">
        <v>14</v>
      </c>
      <c r="Z739">
        <f>IF(H_A[[#This Row],[Attrition]]="Yes",1,0)</f>
        <v>0</v>
      </c>
      <c r="AA739" t="str">
        <f>IF(H_A[[#This Row],[Age]]&lt;30,"Young",IF(H_A[[#This Row],[Age]]&lt;45,"Mid","Senior"))</f>
        <v>Mid</v>
      </c>
      <c r="AB739" t="str">
        <f>IF(H_A[[#This Row],[MonthlyIncome]]&lt;5000,"Low",IF(H_A[[#This Row],[MonthlyIncome]]&lt;10000,"Medium","High"))</f>
        <v>Medium</v>
      </c>
      <c r="AC739" t="str">
        <f>IF(H_A[[#This Row],[YearsAtCompany]]&lt;3,"Early",IF(H_A[[#This Row],[YearsAtCompany]]&lt;7,"Mid","Long"))</f>
        <v>Early</v>
      </c>
      <c r="AD739" t="str">
        <f>IF(H_A[[#This Row],[PercentSalaryHike]]&lt;13,"Low",IF(H_A[[#This Row],[PercentSalaryHike]]&lt;18,"Medium","High"))</f>
        <v>Medium</v>
      </c>
    </row>
    <row r="740" spans="1:30" x14ac:dyDescent="0.3">
      <c r="A740">
        <v>39</v>
      </c>
      <c r="B740">
        <v>1026</v>
      </c>
      <c r="C740" t="s">
        <v>36</v>
      </c>
      <c r="D740" t="s">
        <v>37</v>
      </c>
      <c r="E740">
        <v>1</v>
      </c>
      <c r="F740">
        <v>1</v>
      </c>
      <c r="G740" t="s">
        <v>32</v>
      </c>
      <c r="H740">
        <v>4</v>
      </c>
      <c r="I740" t="s">
        <v>33</v>
      </c>
      <c r="J740">
        <v>2</v>
      </c>
      <c r="K740">
        <v>4</v>
      </c>
      <c r="L740" t="s">
        <v>45</v>
      </c>
      <c r="M740">
        <v>4</v>
      </c>
      <c r="N740" t="s">
        <v>40</v>
      </c>
      <c r="O740">
        <v>12742</v>
      </c>
      <c r="P740">
        <v>1</v>
      </c>
      <c r="Q740" t="s">
        <v>36</v>
      </c>
      <c r="R740">
        <v>3</v>
      </c>
      <c r="S740">
        <v>21</v>
      </c>
      <c r="T740">
        <v>3</v>
      </c>
      <c r="U740">
        <v>21</v>
      </c>
      <c r="V740">
        <v>6</v>
      </c>
      <c r="W740">
        <v>11</v>
      </c>
      <c r="X740">
        <v>8</v>
      </c>
      <c r="Y740">
        <v>16</v>
      </c>
      <c r="Z740">
        <f>IF(H_A[[#This Row],[Attrition]]="Yes",1,0)</f>
        <v>0</v>
      </c>
      <c r="AA740" t="str">
        <f>IF(H_A[[#This Row],[Age]]&lt;30,"Young",IF(H_A[[#This Row],[Age]]&lt;45,"Mid","Senior"))</f>
        <v>Mid</v>
      </c>
      <c r="AB740" t="str">
        <f>IF(H_A[[#This Row],[MonthlyIncome]]&lt;5000,"Low",IF(H_A[[#This Row],[MonthlyIncome]]&lt;10000,"Medium","High"))</f>
        <v>High</v>
      </c>
      <c r="AC740" t="str">
        <f>IF(H_A[[#This Row],[YearsAtCompany]]&lt;3,"Early",IF(H_A[[#This Row],[YearsAtCompany]]&lt;7,"Mid","Long"))</f>
        <v>Long</v>
      </c>
      <c r="AD740" t="str">
        <f>IF(H_A[[#This Row],[PercentSalaryHike]]&lt;13,"Low",IF(H_A[[#This Row],[PercentSalaryHike]]&lt;18,"Medium","High"))</f>
        <v>Medium</v>
      </c>
    </row>
    <row r="741" spans="1:30" x14ac:dyDescent="0.3">
      <c r="A741">
        <v>27</v>
      </c>
      <c r="B741">
        <v>1027</v>
      </c>
      <c r="C741" t="s">
        <v>36</v>
      </c>
      <c r="D741" t="s">
        <v>37</v>
      </c>
      <c r="E741">
        <v>2</v>
      </c>
      <c r="F741">
        <v>4</v>
      </c>
      <c r="G741" t="s">
        <v>32</v>
      </c>
      <c r="H741">
        <v>1</v>
      </c>
      <c r="I741" t="s">
        <v>33</v>
      </c>
      <c r="J741">
        <v>3</v>
      </c>
      <c r="K741">
        <v>2</v>
      </c>
      <c r="L741" t="s">
        <v>45</v>
      </c>
      <c r="M741">
        <v>4</v>
      </c>
      <c r="N741" t="s">
        <v>40</v>
      </c>
      <c r="O741">
        <v>4227</v>
      </c>
      <c r="P741">
        <v>0</v>
      </c>
      <c r="Q741" t="s">
        <v>36</v>
      </c>
      <c r="R741">
        <v>2</v>
      </c>
      <c r="S741">
        <v>4</v>
      </c>
      <c r="T741">
        <v>3</v>
      </c>
      <c r="U741">
        <v>3</v>
      </c>
      <c r="V741">
        <v>2</v>
      </c>
      <c r="W741">
        <v>2</v>
      </c>
      <c r="X741">
        <v>2</v>
      </c>
      <c r="Y741">
        <v>18</v>
      </c>
      <c r="Z741">
        <f>IF(H_A[[#This Row],[Attrition]]="Yes",1,0)</f>
        <v>0</v>
      </c>
      <c r="AA741" t="str">
        <f>IF(H_A[[#This Row],[Age]]&lt;30,"Young",IF(H_A[[#This Row],[Age]]&lt;45,"Mid","Senior"))</f>
        <v>Young</v>
      </c>
      <c r="AB741" t="str">
        <f>IF(H_A[[#This Row],[MonthlyIncome]]&lt;5000,"Low",IF(H_A[[#This Row],[MonthlyIncome]]&lt;10000,"Medium","High"))</f>
        <v>Low</v>
      </c>
      <c r="AC741" t="str">
        <f>IF(H_A[[#This Row],[YearsAtCompany]]&lt;3,"Early",IF(H_A[[#This Row],[YearsAtCompany]]&lt;7,"Mid","Long"))</f>
        <v>Mid</v>
      </c>
      <c r="AD741" t="str">
        <f>IF(H_A[[#This Row],[PercentSalaryHike]]&lt;13,"Low",IF(H_A[[#This Row],[PercentSalaryHike]]&lt;18,"Medium","High"))</f>
        <v>High</v>
      </c>
    </row>
    <row r="742" spans="1:30" x14ac:dyDescent="0.3">
      <c r="A742">
        <v>35</v>
      </c>
      <c r="B742">
        <v>1028</v>
      </c>
      <c r="C742" t="s">
        <v>36</v>
      </c>
      <c r="D742" t="s">
        <v>37</v>
      </c>
      <c r="E742">
        <v>10</v>
      </c>
      <c r="F742">
        <v>3</v>
      </c>
      <c r="G742" t="s">
        <v>41</v>
      </c>
      <c r="H742">
        <v>2</v>
      </c>
      <c r="I742" t="s">
        <v>38</v>
      </c>
      <c r="J742">
        <v>3</v>
      </c>
      <c r="K742">
        <v>1</v>
      </c>
      <c r="L742" t="s">
        <v>42</v>
      </c>
      <c r="M742">
        <v>4</v>
      </c>
      <c r="N742" t="s">
        <v>44</v>
      </c>
      <c r="O742">
        <v>3917</v>
      </c>
      <c r="P742">
        <v>1</v>
      </c>
      <c r="Q742" t="s">
        <v>36</v>
      </c>
      <c r="R742">
        <v>1</v>
      </c>
      <c r="S742">
        <v>3</v>
      </c>
      <c r="T742">
        <v>2</v>
      </c>
      <c r="U742">
        <v>3</v>
      </c>
      <c r="V742">
        <v>2</v>
      </c>
      <c r="W742">
        <v>1</v>
      </c>
      <c r="X742">
        <v>2</v>
      </c>
      <c r="Y742">
        <v>20</v>
      </c>
      <c r="Z742">
        <f>IF(H_A[[#This Row],[Attrition]]="Yes",1,0)</f>
        <v>0</v>
      </c>
      <c r="AA742" t="str">
        <f>IF(H_A[[#This Row],[Age]]&lt;30,"Young",IF(H_A[[#This Row],[Age]]&lt;45,"Mid","Senior"))</f>
        <v>Mid</v>
      </c>
      <c r="AB742" t="str">
        <f>IF(H_A[[#This Row],[MonthlyIncome]]&lt;5000,"Low",IF(H_A[[#This Row],[MonthlyIncome]]&lt;10000,"Medium","High"))</f>
        <v>Low</v>
      </c>
      <c r="AC742" t="str">
        <f>IF(H_A[[#This Row],[YearsAtCompany]]&lt;3,"Early",IF(H_A[[#This Row],[YearsAtCompany]]&lt;7,"Mid","Long"))</f>
        <v>Mid</v>
      </c>
      <c r="AD742" t="str">
        <f>IF(H_A[[#This Row],[PercentSalaryHike]]&lt;13,"Low",IF(H_A[[#This Row],[PercentSalaryHike]]&lt;18,"Medium","High"))</f>
        <v>High</v>
      </c>
    </row>
    <row r="743" spans="1:30" x14ac:dyDescent="0.3">
      <c r="A743">
        <v>42</v>
      </c>
      <c r="B743">
        <v>1029</v>
      </c>
      <c r="C743" t="s">
        <v>36</v>
      </c>
      <c r="D743" t="s">
        <v>31</v>
      </c>
      <c r="E743">
        <v>5</v>
      </c>
      <c r="F743">
        <v>2</v>
      </c>
      <c r="G743" t="s">
        <v>50</v>
      </c>
      <c r="H743">
        <v>4</v>
      </c>
      <c r="I743" t="s">
        <v>38</v>
      </c>
      <c r="J743">
        <v>3</v>
      </c>
      <c r="K743">
        <v>5</v>
      </c>
      <c r="L743" t="s">
        <v>47</v>
      </c>
      <c r="M743">
        <v>3</v>
      </c>
      <c r="N743" t="s">
        <v>40</v>
      </c>
      <c r="O743">
        <v>18303</v>
      </c>
      <c r="P743">
        <v>6</v>
      </c>
      <c r="Q743" t="s">
        <v>36</v>
      </c>
      <c r="R743">
        <v>2</v>
      </c>
      <c r="S743">
        <v>21</v>
      </c>
      <c r="T743">
        <v>4</v>
      </c>
      <c r="U743">
        <v>1</v>
      </c>
      <c r="V743">
        <v>0</v>
      </c>
      <c r="W743">
        <v>0</v>
      </c>
      <c r="X743">
        <v>0</v>
      </c>
      <c r="Y743">
        <v>13</v>
      </c>
      <c r="Z743">
        <f>IF(H_A[[#This Row],[Attrition]]="Yes",1,0)</f>
        <v>0</v>
      </c>
      <c r="AA743" t="str">
        <f>IF(H_A[[#This Row],[Age]]&lt;30,"Young",IF(H_A[[#This Row],[Age]]&lt;45,"Mid","Senior"))</f>
        <v>Mid</v>
      </c>
      <c r="AB743" t="str">
        <f>IF(H_A[[#This Row],[MonthlyIncome]]&lt;5000,"Low",IF(H_A[[#This Row],[MonthlyIncome]]&lt;10000,"Medium","High"))</f>
        <v>High</v>
      </c>
      <c r="AC743" t="str">
        <f>IF(H_A[[#This Row],[YearsAtCompany]]&lt;3,"Early",IF(H_A[[#This Row],[YearsAtCompany]]&lt;7,"Mid","Long"))</f>
        <v>Early</v>
      </c>
      <c r="AD743" t="str">
        <f>IF(H_A[[#This Row],[PercentSalaryHike]]&lt;13,"Low",IF(H_A[[#This Row],[PercentSalaryHike]]&lt;18,"Medium","High"))</f>
        <v>Medium</v>
      </c>
    </row>
    <row r="744" spans="1:30" x14ac:dyDescent="0.3">
      <c r="A744">
        <v>50</v>
      </c>
      <c r="B744">
        <v>1030</v>
      </c>
      <c r="C744" t="s">
        <v>36</v>
      </c>
      <c r="D744" t="s">
        <v>37</v>
      </c>
      <c r="E744">
        <v>9</v>
      </c>
      <c r="F744">
        <v>3</v>
      </c>
      <c r="G744" t="s">
        <v>32</v>
      </c>
      <c r="H744">
        <v>1</v>
      </c>
      <c r="I744" t="s">
        <v>38</v>
      </c>
      <c r="J744">
        <v>3</v>
      </c>
      <c r="K744">
        <v>1</v>
      </c>
      <c r="L744" t="s">
        <v>42</v>
      </c>
      <c r="M744">
        <v>4</v>
      </c>
      <c r="N744" t="s">
        <v>40</v>
      </c>
      <c r="O744">
        <v>2380</v>
      </c>
      <c r="P744">
        <v>4</v>
      </c>
      <c r="Q744" t="s">
        <v>36</v>
      </c>
      <c r="R744">
        <v>2</v>
      </c>
      <c r="S744">
        <v>8</v>
      </c>
      <c r="T744">
        <v>3</v>
      </c>
      <c r="U744">
        <v>1</v>
      </c>
      <c r="V744">
        <v>0</v>
      </c>
      <c r="W744">
        <v>0</v>
      </c>
      <c r="X744">
        <v>0</v>
      </c>
      <c r="Y744">
        <v>18</v>
      </c>
      <c r="Z744">
        <f>IF(H_A[[#This Row],[Attrition]]="Yes",1,0)</f>
        <v>0</v>
      </c>
      <c r="AA744" t="str">
        <f>IF(H_A[[#This Row],[Age]]&lt;30,"Young",IF(H_A[[#This Row],[Age]]&lt;45,"Mid","Senior"))</f>
        <v>Senior</v>
      </c>
      <c r="AB744" t="str">
        <f>IF(H_A[[#This Row],[MonthlyIncome]]&lt;5000,"Low",IF(H_A[[#This Row],[MonthlyIncome]]&lt;10000,"Medium","High"))</f>
        <v>Low</v>
      </c>
      <c r="AC744" t="str">
        <f>IF(H_A[[#This Row],[YearsAtCompany]]&lt;3,"Early",IF(H_A[[#This Row],[YearsAtCompany]]&lt;7,"Mid","Long"))</f>
        <v>Early</v>
      </c>
      <c r="AD744" t="str">
        <f>IF(H_A[[#This Row],[PercentSalaryHike]]&lt;13,"Low",IF(H_A[[#This Row],[PercentSalaryHike]]&lt;18,"Medium","High"))</f>
        <v>High</v>
      </c>
    </row>
    <row r="745" spans="1:30" x14ac:dyDescent="0.3">
      <c r="A745">
        <v>59</v>
      </c>
      <c r="B745">
        <v>1032</v>
      </c>
      <c r="C745" t="s">
        <v>36</v>
      </c>
      <c r="D745" t="s">
        <v>37</v>
      </c>
      <c r="E745">
        <v>2</v>
      </c>
      <c r="F745">
        <v>3</v>
      </c>
      <c r="G745" t="s">
        <v>32</v>
      </c>
      <c r="H745">
        <v>3</v>
      </c>
      <c r="I745" t="s">
        <v>33</v>
      </c>
      <c r="J745">
        <v>2</v>
      </c>
      <c r="K745">
        <v>4</v>
      </c>
      <c r="L745" t="s">
        <v>45</v>
      </c>
      <c r="M745">
        <v>4</v>
      </c>
      <c r="N745" t="s">
        <v>35</v>
      </c>
      <c r="O745">
        <v>13726</v>
      </c>
      <c r="P745">
        <v>3</v>
      </c>
      <c r="Q745" t="s">
        <v>30</v>
      </c>
      <c r="R745">
        <v>1</v>
      </c>
      <c r="S745">
        <v>30</v>
      </c>
      <c r="T745">
        <v>3</v>
      </c>
      <c r="U745">
        <v>5</v>
      </c>
      <c r="V745">
        <v>3</v>
      </c>
      <c r="W745">
        <v>4</v>
      </c>
      <c r="X745">
        <v>3</v>
      </c>
      <c r="Y745">
        <v>13</v>
      </c>
      <c r="Z745">
        <f>IF(H_A[[#This Row],[Attrition]]="Yes",1,0)</f>
        <v>0</v>
      </c>
      <c r="AA745" t="str">
        <f>IF(H_A[[#This Row],[Age]]&lt;30,"Young",IF(H_A[[#This Row],[Age]]&lt;45,"Mid","Senior"))</f>
        <v>Senior</v>
      </c>
      <c r="AB745" t="str">
        <f>IF(H_A[[#This Row],[MonthlyIncome]]&lt;5000,"Low",IF(H_A[[#This Row],[MonthlyIncome]]&lt;10000,"Medium","High"))</f>
        <v>High</v>
      </c>
      <c r="AC745" t="str">
        <f>IF(H_A[[#This Row],[YearsAtCompany]]&lt;3,"Early",IF(H_A[[#This Row],[YearsAtCompany]]&lt;7,"Mid","Long"))</f>
        <v>Mid</v>
      </c>
      <c r="AD745" t="str">
        <f>IF(H_A[[#This Row],[PercentSalaryHike]]&lt;13,"Low",IF(H_A[[#This Row],[PercentSalaryHike]]&lt;18,"Medium","High"))</f>
        <v>Medium</v>
      </c>
    </row>
    <row r="746" spans="1:30" x14ac:dyDescent="0.3">
      <c r="A746">
        <v>37</v>
      </c>
      <c r="B746">
        <v>1033</v>
      </c>
      <c r="C746" t="s">
        <v>30</v>
      </c>
      <c r="D746" t="s">
        <v>37</v>
      </c>
      <c r="E746">
        <v>11</v>
      </c>
      <c r="F746">
        <v>2</v>
      </c>
      <c r="G746" t="s">
        <v>43</v>
      </c>
      <c r="H746">
        <v>1</v>
      </c>
      <c r="I746" t="s">
        <v>33</v>
      </c>
      <c r="J746">
        <v>1</v>
      </c>
      <c r="K746">
        <v>2</v>
      </c>
      <c r="L746" t="s">
        <v>46</v>
      </c>
      <c r="M746">
        <v>2</v>
      </c>
      <c r="N746" t="s">
        <v>40</v>
      </c>
      <c r="O746">
        <v>4777</v>
      </c>
      <c r="P746">
        <v>5</v>
      </c>
      <c r="Q746" t="s">
        <v>36</v>
      </c>
      <c r="R746">
        <v>1</v>
      </c>
      <c r="S746">
        <v>15</v>
      </c>
      <c r="T746">
        <v>1</v>
      </c>
      <c r="U746">
        <v>1</v>
      </c>
      <c r="V746">
        <v>0</v>
      </c>
      <c r="W746">
        <v>0</v>
      </c>
      <c r="X746">
        <v>0</v>
      </c>
      <c r="Y746">
        <v>15</v>
      </c>
      <c r="Z746">
        <f>IF(H_A[[#This Row],[Attrition]]="Yes",1,0)</f>
        <v>1</v>
      </c>
      <c r="AA746" t="str">
        <f>IF(H_A[[#This Row],[Age]]&lt;30,"Young",IF(H_A[[#This Row],[Age]]&lt;45,"Mid","Senior"))</f>
        <v>Mid</v>
      </c>
      <c r="AB746" t="str">
        <f>IF(H_A[[#This Row],[MonthlyIncome]]&lt;5000,"Low",IF(H_A[[#This Row],[MonthlyIncome]]&lt;10000,"Medium","High"))</f>
        <v>Low</v>
      </c>
      <c r="AC746" t="str">
        <f>IF(H_A[[#This Row],[YearsAtCompany]]&lt;3,"Early",IF(H_A[[#This Row],[YearsAtCompany]]&lt;7,"Mid","Long"))</f>
        <v>Early</v>
      </c>
      <c r="AD746" t="str">
        <f>IF(H_A[[#This Row],[PercentSalaryHike]]&lt;13,"Low",IF(H_A[[#This Row],[PercentSalaryHike]]&lt;18,"Medium","High"))</f>
        <v>Medium</v>
      </c>
    </row>
    <row r="747" spans="1:30" x14ac:dyDescent="0.3">
      <c r="A747">
        <v>55</v>
      </c>
      <c r="B747">
        <v>1034</v>
      </c>
      <c r="C747" t="s">
        <v>36</v>
      </c>
      <c r="D747" t="s">
        <v>37</v>
      </c>
      <c r="E747">
        <v>18</v>
      </c>
      <c r="F747">
        <v>4</v>
      </c>
      <c r="G747" t="s">
        <v>43</v>
      </c>
      <c r="H747">
        <v>3</v>
      </c>
      <c r="I747" t="s">
        <v>38</v>
      </c>
      <c r="J747">
        <v>3</v>
      </c>
      <c r="K747">
        <v>2</v>
      </c>
      <c r="L747" t="s">
        <v>46</v>
      </c>
      <c r="M747">
        <v>2</v>
      </c>
      <c r="N747" t="s">
        <v>40</v>
      </c>
      <c r="O747">
        <v>6385</v>
      </c>
      <c r="P747">
        <v>3</v>
      </c>
      <c r="Q747" t="s">
        <v>30</v>
      </c>
      <c r="R747">
        <v>4</v>
      </c>
      <c r="S747">
        <v>17</v>
      </c>
      <c r="T747">
        <v>3</v>
      </c>
      <c r="U747">
        <v>8</v>
      </c>
      <c r="V747">
        <v>7</v>
      </c>
      <c r="W747">
        <v>6</v>
      </c>
      <c r="X747">
        <v>7</v>
      </c>
      <c r="Y747">
        <v>14</v>
      </c>
      <c r="Z747">
        <f>IF(H_A[[#This Row],[Attrition]]="Yes",1,0)</f>
        <v>0</v>
      </c>
      <c r="AA747" t="str">
        <f>IF(H_A[[#This Row],[Age]]&lt;30,"Young",IF(H_A[[#This Row],[Age]]&lt;45,"Mid","Senior"))</f>
        <v>Senior</v>
      </c>
      <c r="AB747" t="str">
        <f>IF(H_A[[#This Row],[MonthlyIncome]]&lt;5000,"Low",IF(H_A[[#This Row],[MonthlyIncome]]&lt;10000,"Medium","High"))</f>
        <v>Medium</v>
      </c>
      <c r="AC747" t="str">
        <f>IF(H_A[[#This Row],[YearsAtCompany]]&lt;3,"Early",IF(H_A[[#This Row],[YearsAtCompany]]&lt;7,"Mid","Long"))</f>
        <v>Long</v>
      </c>
      <c r="AD747" t="str">
        <f>IF(H_A[[#This Row],[PercentSalaryHike]]&lt;13,"Low",IF(H_A[[#This Row],[PercentSalaryHike]]&lt;18,"Medium","High"))</f>
        <v>Medium</v>
      </c>
    </row>
    <row r="748" spans="1:30" x14ac:dyDescent="0.3">
      <c r="A748">
        <v>41</v>
      </c>
      <c r="B748">
        <v>1035</v>
      </c>
      <c r="C748" t="s">
        <v>36</v>
      </c>
      <c r="D748" t="s">
        <v>37</v>
      </c>
      <c r="E748">
        <v>7</v>
      </c>
      <c r="F748">
        <v>1</v>
      </c>
      <c r="G748" t="s">
        <v>32</v>
      </c>
      <c r="H748">
        <v>2</v>
      </c>
      <c r="I748" t="s">
        <v>33</v>
      </c>
      <c r="J748">
        <v>1</v>
      </c>
      <c r="K748">
        <v>5</v>
      </c>
      <c r="L748" t="s">
        <v>49</v>
      </c>
      <c r="M748">
        <v>3</v>
      </c>
      <c r="N748" t="s">
        <v>44</v>
      </c>
      <c r="O748">
        <v>19973</v>
      </c>
      <c r="P748">
        <v>1</v>
      </c>
      <c r="Q748" t="s">
        <v>36</v>
      </c>
      <c r="R748">
        <v>2</v>
      </c>
      <c r="S748">
        <v>21</v>
      </c>
      <c r="T748">
        <v>3</v>
      </c>
      <c r="U748">
        <v>21</v>
      </c>
      <c r="V748">
        <v>16</v>
      </c>
      <c r="W748">
        <v>5</v>
      </c>
      <c r="X748">
        <v>10</v>
      </c>
      <c r="Y748">
        <v>22</v>
      </c>
      <c r="Z748">
        <f>IF(H_A[[#This Row],[Attrition]]="Yes",1,0)</f>
        <v>0</v>
      </c>
      <c r="AA748" t="str">
        <f>IF(H_A[[#This Row],[Age]]&lt;30,"Young",IF(H_A[[#This Row],[Age]]&lt;45,"Mid","Senior"))</f>
        <v>Mid</v>
      </c>
      <c r="AB748" t="str">
        <f>IF(H_A[[#This Row],[MonthlyIncome]]&lt;5000,"Low",IF(H_A[[#This Row],[MonthlyIncome]]&lt;10000,"Medium","High"))</f>
        <v>High</v>
      </c>
      <c r="AC748" t="str">
        <f>IF(H_A[[#This Row],[YearsAtCompany]]&lt;3,"Early",IF(H_A[[#This Row],[YearsAtCompany]]&lt;7,"Mid","Long"))</f>
        <v>Long</v>
      </c>
      <c r="AD748" t="str">
        <f>IF(H_A[[#This Row],[PercentSalaryHike]]&lt;13,"Low",IF(H_A[[#This Row],[PercentSalaryHike]]&lt;18,"Medium","High"))</f>
        <v>High</v>
      </c>
    </row>
    <row r="749" spans="1:30" x14ac:dyDescent="0.3">
      <c r="A749">
        <v>38</v>
      </c>
      <c r="B749">
        <v>1036</v>
      </c>
      <c r="C749" t="s">
        <v>36</v>
      </c>
      <c r="D749" t="s">
        <v>31</v>
      </c>
      <c r="E749">
        <v>3</v>
      </c>
      <c r="F749">
        <v>4</v>
      </c>
      <c r="G749" t="s">
        <v>32</v>
      </c>
      <c r="H749">
        <v>2</v>
      </c>
      <c r="I749" t="s">
        <v>38</v>
      </c>
      <c r="J749">
        <v>3</v>
      </c>
      <c r="K749">
        <v>2</v>
      </c>
      <c r="L749" t="s">
        <v>34</v>
      </c>
      <c r="M749">
        <v>4</v>
      </c>
      <c r="N749" t="s">
        <v>35</v>
      </c>
      <c r="O749">
        <v>6861</v>
      </c>
      <c r="P749">
        <v>8</v>
      </c>
      <c r="Q749" t="s">
        <v>30</v>
      </c>
      <c r="R749">
        <v>3</v>
      </c>
      <c r="S749">
        <v>19</v>
      </c>
      <c r="T749">
        <v>3</v>
      </c>
      <c r="U749">
        <v>1</v>
      </c>
      <c r="V749">
        <v>0</v>
      </c>
      <c r="W749">
        <v>0</v>
      </c>
      <c r="X749">
        <v>0</v>
      </c>
      <c r="Y749">
        <v>12</v>
      </c>
      <c r="Z749">
        <f>IF(H_A[[#This Row],[Attrition]]="Yes",1,0)</f>
        <v>0</v>
      </c>
      <c r="AA749" t="str">
        <f>IF(H_A[[#This Row],[Age]]&lt;30,"Young",IF(H_A[[#This Row],[Age]]&lt;45,"Mid","Senior"))</f>
        <v>Mid</v>
      </c>
      <c r="AB749" t="str">
        <f>IF(H_A[[#This Row],[MonthlyIncome]]&lt;5000,"Low",IF(H_A[[#This Row],[MonthlyIncome]]&lt;10000,"Medium","High"))</f>
        <v>Medium</v>
      </c>
      <c r="AC749" t="str">
        <f>IF(H_A[[#This Row],[YearsAtCompany]]&lt;3,"Early",IF(H_A[[#This Row],[YearsAtCompany]]&lt;7,"Mid","Long"))</f>
        <v>Early</v>
      </c>
      <c r="AD749" t="str">
        <f>IF(H_A[[#This Row],[PercentSalaryHike]]&lt;13,"Low",IF(H_A[[#This Row],[PercentSalaryHike]]&lt;18,"Medium","High"))</f>
        <v>Low</v>
      </c>
    </row>
    <row r="750" spans="1:30" x14ac:dyDescent="0.3">
      <c r="A750">
        <v>26</v>
      </c>
      <c r="B750">
        <v>1037</v>
      </c>
      <c r="C750" t="s">
        <v>30</v>
      </c>
      <c r="D750" t="s">
        <v>31</v>
      </c>
      <c r="E750">
        <v>29</v>
      </c>
      <c r="F750">
        <v>2</v>
      </c>
      <c r="G750" t="s">
        <v>43</v>
      </c>
      <c r="H750">
        <v>2</v>
      </c>
      <c r="I750" t="s">
        <v>38</v>
      </c>
      <c r="J750">
        <v>1</v>
      </c>
      <c r="K750">
        <v>2</v>
      </c>
      <c r="L750" t="s">
        <v>34</v>
      </c>
      <c r="M750">
        <v>1</v>
      </c>
      <c r="N750" t="s">
        <v>35</v>
      </c>
      <c r="O750">
        <v>4969</v>
      </c>
      <c r="P750">
        <v>8</v>
      </c>
      <c r="Q750" t="s">
        <v>36</v>
      </c>
      <c r="R750">
        <v>4</v>
      </c>
      <c r="S750">
        <v>7</v>
      </c>
      <c r="T750">
        <v>3</v>
      </c>
      <c r="U750">
        <v>2</v>
      </c>
      <c r="V750">
        <v>2</v>
      </c>
      <c r="W750">
        <v>2</v>
      </c>
      <c r="X750">
        <v>2</v>
      </c>
      <c r="Y750">
        <v>18</v>
      </c>
      <c r="Z750">
        <f>IF(H_A[[#This Row],[Attrition]]="Yes",1,0)</f>
        <v>1</v>
      </c>
      <c r="AA750" t="str">
        <f>IF(H_A[[#This Row],[Age]]&lt;30,"Young",IF(H_A[[#This Row],[Age]]&lt;45,"Mid","Senior"))</f>
        <v>Young</v>
      </c>
      <c r="AB750" t="str">
        <f>IF(H_A[[#This Row],[MonthlyIncome]]&lt;5000,"Low",IF(H_A[[#This Row],[MonthlyIncome]]&lt;10000,"Medium","High"))</f>
        <v>Low</v>
      </c>
      <c r="AC750" t="str">
        <f>IF(H_A[[#This Row],[YearsAtCompany]]&lt;3,"Early",IF(H_A[[#This Row],[YearsAtCompany]]&lt;7,"Mid","Long"))</f>
        <v>Early</v>
      </c>
      <c r="AD750" t="str">
        <f>IF(H_A[[#This Row],[PercentSalaryHike]]&lt;13,"Low",IF(H_A[[#This Row],[PercentSalaryHike]]&lt;18,"Medium","High"))</f>
        <v>High</v>
      </c>
    </row>
    <row r="751" spans="1:30" x14ac:dyDescent="0.3">
      <c r="A751">
        <v>52</v>
      </c>
      <c r="B751">
        <v>1038</v>
      </c>
      <c r="C751" t="s">
        <v>30</v>
      </c>
      <c r="D751" t="s">
        <v>31</v>
      </c>
      <c r="E751">
        <v>2</v>
      </c>
      <c r="F751">
        <v>1</v>
      </c>
      <c r="G751" t="s">
        <v>50</v>
      </c>
      <c r="H751">
        <v>1</v>
      </c>
      <c r="I751" t="s">
        <v>33</v>
      </c>
      <c r="J751">
        <v>1</v>
      </c>
      <c r="K751">
        <v>5</v>
      </c>
      <c r="L751" t="s">
        <v>47</v>
      </c>
      <c r="M751">
        <v>4</v>
      </c>
      <c r="N751" t="s">
        <v>40</v>
      </c>
      <c r="O751">
        <v>19845</v>
      </c>
      <c r="P751">
        <v>1</v>
      </c>
      <c r="Q751" t="s">
        <v>36</v>
      </c>
      <c r="R751">
        <v>4</v>
      </c>
      <c r="S751">
        <v>33</v>
      </c>
      <c r="T751">
        <v>3</v>
      </c>
      <c r="U751">
        <v>32</v>
      </c>
      <c r="V751">
        <v>14</v>
      </c>
      <c r="W751">
        <v>6</v>
      </c>
      <c r="X751">
        <v>9</v>
      </c>
      <c r="Y751">
        <v>15</v>
      </c>
      <c r="Z751">
        <f>IF(H_A[[#This Row],[Attrition]]="Yes",1,0)</f>
        <v>1</v>
      </c>
      <c r="AA751" t="str">
        <f>IF(H_A[[#This Row],[Age]]&lt;30,"Young",IF(H_A[[#This Row],[Age]]&lt;45,"Mid","Senior"))</f>
        <v>Senior</v>
      </c>
      <c r="AB751" t="str">
        <f>IF(H_A[[#This Row],[MonthlyIncome]]&lt;5000,"Low",IF(H_A[[#This Row],[MonthlyIncome]]&lt;10000,"Medium","High"))</f>
        <v>High</v>
      </c>
      <c r="AC751" t="str">
        <f>IF(H_A[[#This Row],[YearsAtCompany]]&lt;3,"Early",IF(H_A[[#This Row],[YearsAtCompany]]&lt;7,"Mid","Long"))</f>
        <v>Long</v>
      </c>
      <c r="AD751" t="str">
        <f>IF(H_A[[#This Row],[PercentSalaryHike]]&lt;13,"Low",IF(H_A[[#This Row],[PercentSalaryHike]]&lt;18,"Medium","High"))</f>
        <v>Medium</v>
      </c>
    </row>
    <row r="752" spans="1:30" x14ac:dyDescent="0.3">
      <c r="A752">
        <v>44</v>
      </c>
      <c r="B752">
        <v>1039</v>
      </c>
      <c r="C752" t="s">
        <v>36</v>
      </c>
      <c r="D752" t="s">
        <v>31</v>
      </c>
      <c r="E752">
        <v>28</v>
      </c>
      <c r="F752">
        <v>3</v>
      </c>
      <c r="G752" t="s">
        <v>43</v>
      </c>
      <c r="H752">
        <v>4</v>
      </c>
      <c r="I752" t="s">
        <v>33</v>
      </c>
      <c r="J752">
        <v>4</v>
      </c>
      <c r="K752">
        <v>4</v>
      </c>
      <c r="L752" t="s">
        <v>34</v>
      </c>
      <c r="M752">
        <v>4</v>
      </c>
      <c r="N752" t="s">
        <v>40</v>
      </c>
      <c r="O752">
        <v>13320</v>
      </c>
      <c r="P752">
        <v>3</v>
      </c>
      <c r="Q752" t="s">
        <v>30</v>
      </c>
      <c r="R752">
        <v>3</v>
      </c>
      <c r="S752">
        <v>23</v>
      </c>
      <c r="T752">
        <v>3</v>
      </c>
      <c r="U752">
        <v>12</v>
      </c>
      <c r="V752">
        <v>11</v>
      </c>
      <c r="W752">
        <v>11</v>
      </c>
      <c r="X752">
        <v>11</v>
      </c>
      <c r="Y752">
        <v>18</v>
      </c>
      <c r="Z752">
        <f>IF(H_A[[#This Row],[Attrition]]="Yes",1,0)</f>
        <v>0</v>
      </c>
      <c r="AA752" t="str">
        <f>IF(H_A[[#This Row],[Age]]&lt;30,"Young",IF(H_A[[#This Row],[Age]]&lt;45,"Mid","Senior"))</f>
        <v>Mid</v>
      </c>
      <c r="AB752" t="str">
        <f>IF(H_A[[#This Row],[MonthlyIncome]]&lt;5000,"Low",IF(H_A[[#This Row],[MonthlyIncome]]&lt;10000,"Medium","High"))</f>
        <v>High</v>
      </c>
      <c r="AC752" t="str">
        <f>IF(H_A[[#This Row],[YearsAtCompany]]&lt;3,"Early",IF(H_A[[#This Row],[YearsAtCompany]]&lt;7,"Mid","Long"))</f>
        <v>Long</v>
      </c>
      <c r="AD752" t="str">
        <f>IF(H_A[[#This Row],[PercentSalaryHike]]&lt;13,"Low",IF(H_A[[#This Row],[PercentSalaryHike]]&lt;18,"Medium","High"))</f>
        <v>High</v>
      </c>
    </row>
    <row r="753" spans="1:30" x14ac:dyDescent="0.3">
      <c r="A753">
        <v>50</v>
      </c>
      <c r="B753">
        <v>1040</v>
      </c>
      <c r="C753" t="s">
        <v>36</v>
      </c>
      <c r="D753" t="s">
        <v>31</v>
      </c>
      <c r="E753">
        <v>1</v>
      </c>
      <c r="F753">
        <v>3</v>
      </c>
      <c r="G753" t="s">
        <v>32</v>
      </c>
      <c r="H753">
        <v>4</v>
      </c>
      <c r="I753" t="s">
        <v>33</v>
      </c>
      <c r="J753">
        <v>3</v>
      </c>
      <c r="K753">
        <v>2</v>
      </c>
      <c r="L753" t="s">
        <v>34</v>
      </c>
      <c r="M753">
        <v>3</v>
      </c>
      <c r="N753" t="s">
        <v>40</v>
      </c>
      <c r="O753">
        <v>6347</v>
      </c>
      <c r="P753">
        <v>0</v>
      </c>
      <c r="Q753" t="s">
        <v>36</v>
      </c>
      <c r="R753">
        <v>1</v>
      </c>
      <c r="S753">
        <v>19</v>
      </c>
      <c r="T753">
        <v>3</v>
      </c>
      <c r="U753">
        <v>18</v>
      </c>
      <c r="V753">
        <v>7</v>
      </c>
      <c r="W753">
        <v>0</v>
      </c>
      <c r="X753">
        <v>13</v>
      </c>
      <c r="Y753">
        <v>12</v>
      </c>
      <c r="Z753">
        <f>IF(H_A[[#This Row],[Attrition]]="Yes",1,0)</f>
        <v>0</v>
      </c>
      <c r="AA753" t="str">
        <f>IF(H_A[[#This Row],[Age]]&lt;30,"Young",IF(H_A[[#This Row],[Age]]&lt;45,"Mid","Senior"))</f>
        <v>Senior</v>
      </c>
      <c r="AB753" t="str">
        <f>IF(H_A[[#This Row],[MonthlyIncome]]&lt;5000,"Low",IF(H_A[[#This Row],[MonthlyIncome]]&lt;10000,"Medium","High"))</f>
        <v>Medium</v>
      </c>
      <c r="AC753" t="str">
        <f>IF(H_A[[#This Row],[YearsAtCompany]]&lt;3,"Early",IF(H_A[[#This Row],[YearsAtCompany]]&lt;7,"Mid","Long"))</f>
        <v>Long</v>
      </c>
      <c r="AD753" t="str">
        <f>IF(H_A[[#This Row],[PercentSalaryHike]]&lt;13,"Low",IF(H_A[[#This Row],[PercentSalaryHike]]&lt;18,"Medium","High"))</f>
        <v>Low</v>
      </c>
    </row>
    <row r="754" spans="1:30" x14ac:dyDescent="0.3">
      <c r="A754">
        <v>36</v>
      </c>
      <c r="B754">
        <v>1042</v>
      </c>
      <c r="C754" t="s">
        <v>30</v>
      </c>
      <c r="D754" t="s">
        <v>37</v>
      </c>
      <c r="E754">
        <v>16</v>
      </c>
      <c r="F754">
        <v>4</v>
      </c>
      <c r="G754" t="s">
        <v>32</v>
      </c>
      <c r="H754">
        <v>3</v>
      </c>
      <c r="I754" t="s">
        <v>33</v>
      </c>
      <c r="J754">
        <v>4</v>
      </c>
      <c r="K754">
        <v>1</v>
      </c>
      <c r="L754" t="s">
        <v>42</v>
      </c>
      <c r="M754">
        <v>1</v>
      </c>
      <c r="N754" t="s">
        <v>35</v>
      </c>
      <c r="O754">
        <v>2743</v>
      </c>
      <c r="P754">
        <v>1</v>
      </c>
      <c r="Q754" t="s">
        <v>36</v>
      </c>
      <c r="R754">
        <v>3</v>
      </c>
      <c r="S754">
        <v>18</v>
      </c>
      <c r="T754">
        <v>3</v>
      </c>
      <c r="U754">
        <v>17</v>
      </c>
      <c r="V754">
        <v>13</v>
      </c>
      <c r="W754">
        <v>15</v>
      </c>
      <c r="X754">
        <v>14</v>
      </c>
      <c r="Y754">
        <v>16</v>
      </c>
      <c r="Z754">
        <f>IF(H_A[[#This Row],[Attrition]]="Yes",1,0)</f>
        <v>1</v>
      </c>
      <c r="AA754" t="str">
        <f>IF(H_A[[#This Row],[Age]]&lt;30,"Young",IF(H_A[[#This Row],[Age]]&lt;45,"Mid","Senior"))</f>
        <v>Mid</v>
      </c>
      <c r="AB754" t="str">
        <f>IF(H_A[[#This Row],[MonthlyIncome]]&lt;5000,"Low",IF(H_A[[#This Row],[MonthlyIncome]]&lt;10000,"Medium","High"))</f>
        <v>Low</v>
      </c>
      <c r="AC754" t="str">
        <f>IF(H_A[[#This Row],[YearsAtCompany]]&lt;3,"Early",IF(H_A[[#This Row],[YearsAtCompany]]&lt;7,"Mid","Long"))</f>
        <v>Long</v>
      </c>
      <c r="AD754" t="str">
        <f>IF(H_A[[#This Row],[PercentSalaryHike]]&lt;13,"Low",IF(H_A[[#This Row],[PercentSalaryHike]]&lt;18,"Medium","High"))</f>
        <v>Medium</v>
      </c>
    </row>
    <row r="755" spans="1:30" x14ac:dyDescent="0.3">
      <c r="A755">
        <v>39</v>
      </c>
      <c r="B755">
        <v>1043</v>
      </c>
      <c r="C755" t="s">
        <v>36</v>
      </c>
      <c r="D755" t="s">
        <v>37</v>
      </c>
      <c r="E755">
        <v>22</v>
      </c>
      <c r="F755">
        <v>3</v>
      </c>
      <c r="G755" t="s">
        <v>43</v>
      </c>
      <c r="H755">
        <v>4</v>
      </c>
      <c r="I755" t="s">
        <v>33</v>
      </c>
      <c r="J755">
        <v>3</v>
      </c>
      <c r="K755">
        <v>3</v>
      </c>
      <c r="L755" t="s">
        <v>45</v>
      </c>
      <c r="M755">
        <v>1</v>
      </c>
      <c r="N755" t="s">
        <v>35</v>
      </c>
      <c r="O755">
        <v>10880</v>
      </c>
      <c r="P755">
        <v>1</v>
      </c>
      <c r="Q755" t="s">
        <v>30</v>
      </c>
      <c r="R755">
        <v>3</v>
      </c>
      <c r="S755">
        <v>21</v>
      </c>
      <c r="T755">
        <v>3</v>
      </c>
      <c r="U755">
        <v>21</v>
      </c>
      <c r="V755">
        <v>6</v>
      </c>
      <c r="W755">
        <v>2</v>
      </c>
      <c r="X755">
        <v>8</v>
      </c>
      <c r="Y755">
        <v>13</v>
      </c>
      <c r="Z755">
        <f>IF(H_A[[#This Row],[Attrition]]="Yes",1,0)</f>
        <v>0</v>
      </c>
      <c r="AA755" t="str">
        <f>IF(H_A[[#This Row],[Age]]&lt;30,"Young",IF(H_A[[#This Row],[Age]]&lt;45,"Mid","Senior"))</f>
        <v>Mid</v>
      </c>
      <c r="AB755" t="str">
        <f>IF(H_A[[#This Row],[MonthlyIncome]]&lt;5000,"Low",IF(H_A[[#This Row],[MonthlyIncome]]&lt;10000,"Medium","High"))</f>
        <v>High</v>
      </c>
      <c r="AC755" t="str">
        <f>IF(H_A[[#This Row],[YearsAtCompany]]&lt;3,"Early",IF(H_A[[#This Row],[YearsAtCompany]]&lt;7,"Mid","Long"))</f>
        <v>Long</v>
      </c>
      <c r="AD755" t="str">
        <f>IF(H_A[[#This Row],[PercentSalaryHike]]&lt;13,"Low",IF(H_A[[#This Row],[PercentSalaryHike]]&lt;18,"Medium","High"))</f>
        <v>Medium</v>
      </c>
    </row>
    <row r="756" spans="1:30" x14ac:dyDescent="0.3">
      <c r="A756">
        <v>33</v>
      </c>
      <c r="B756">
        <v>1044</v>
      </c>
      <c r="C756" t="s">
        <v>36</v>
      </c>
      <c r="D756" t="s">
        <v>31</v>
      </c>
      <c r="E756">
        <v>8</v>
      </c>
      <c r="F756">
        <v>1</v>
      </c>
      <c r="G756" t="s">
        <v>32</v>
      </c>
      <c r="H756">
        <v>2</v>
      </c>
      <c r="I756" t="s">
        <v>33</v>
      </c>
      <c r="J756">
        <v>2</v>
      </c>
      <c r="K756">
        <v>1</v>
      </c>
      <c r="L756" t="s">
        <v>48</v>
      </c>
      <c r="M756">
        <v>4</v>
      </c>
      <c r="N756" t="s">
        <v>35</v>
      </c>
      <c r="O756">
        <v>2342</v>
      </c>
      <c r="P756">
        <v>0</v>
      </c>
      <c r="Q756" t="s">
        <v>36</v>
      </c>
      <c r="R756">
        <v>4</v>
      </c>
      <c r="S756">
        <v>3</v>
      </c>
      <c r="T756">
        <v>2</v>
      </c>
      <c r="U756">
        <v>2</v>
      </c>
      <c r="V756">
        <v>2</v>
      </c>
      <c r="W756">
        <v>2</v>
      </c>
      <c r="X756">
        <v>2</v>
      </c>
      <c r="Y756">
        <v>19</v>
      </c>
      <c r="Z756">
        <f>IF(H_A[[#This Row],[Attrition]]="Yes",1,0)</f>
        <v>0</v>
      </c>
      <c r="AA756" t="str">
        <f>IF(H_A[[#This Row],[Age]]&lt;30,"Young",IF(H_A[[#This Row],[Age]]&lt;45,"Mid","Senior"))</f>
        <v>Mid</v>
      </c>
      <c r="AB756" t="str">
        <f>IF(H_A[[#This Row],[MonthlyIncome]]&lt;5000,"Low",IF(H_A[[#This Row],[MonthlyIncome]]&lt;10000,"Medium","High"))</f>
        <v>Low</v>
      </c>
      <c r="AC756" t="str">
        <f>IF(H_A[[#This Row],[YearsAtCompany]]&lt;3,"Early",IF(H_A[[#This Row],[YearsAtCompany]]&lt;7,"Mid","Long"))</f>
        <v>Early</v>
      </c>
      <c r="AD756" t="str">
        <f>IF(H_A[[#This Row],[PercentSalaryHike]]&lt;13,"Low",IF(H_A[[#This Row],[PercentSalaryHike]]&lt;18,"Medium","High"))</f>
        <v>High</v>
      </c>
    </row>
    <row r="757" spans="1:30" x14ac:dyDescent="0.3">
      <c r="A757">
        <v>45</v>
      </c>
      <c r="B757">
        <v>1045</v>
      </c>
      <c r="C757" t="s">
        <v>36</v>
      </c>
      <c r="D757" t="s">
        <v>31</v>
      </c>
      <c r="E757">
        <v>11</v>
      </c>
      <c r="F757">
        <v>2</v>
      </c>
      <c r="G757" t="s">
        <v>32</v>
      </c>
      <c r="H757">
        <v>4</v>
      </c>
      <c r="I757" t="s">
        <v>33</v>
      </c>
      <c r="J757">
        <v>3</v>
      </c>
      <c r="K757">
        <v>4</v>
      </c>
      <c r="L757" t="s">
        <v>47</v>
      </c>
      <c r="M757">
        <v>4</v>
      </c>
      <c r="N757" t="s">
        <v>40</v>
      </c>
      <c r="O757">
        <v>17650</v>
      </c>
      <c r="P757">
        <v>3</v>
      </c>
      <c r="Q757" t="s">
        <v>36</v>
      </c>
      <c r="R757">
        <v>2</v>
      </c>
      <c r="S757">
        <v>26</v>
      </c>
      <c r="T757">
        <v>4</v>
      </c>
      <c r="U757">
        <v>9</v>
      </c>
      <c r="V757">
        <v>3</v>
      </c>
      <c r="W757">
        <v>1</v>
      </c>
      <c r="X757">
        <v>1</v>
      </c>
      <c r="Y757">
        <v>13</v>
      </c>
      <c r="Z757">
        <f>IF(H_A[[#This Row],[Attrition]]="Yes",1,0)</f>
        <v>0</v>
      </c>
      <c r="AA757" t="str">
        <f>IF(H_A[[#This Row],[Age]]&lt;30,"Young",IF(H_A[[#This Row],[Age]]&lt;45,"Mid","Senior"))</f>
        <v>Senior</v>
      </c>
      <c r="AB757" t="str">
        <f>IF(H_A[[#This Row],[MonthlyIncome]]&lt;5000,"Low",IF(H_A[[#This Row],[MonthlyIncome]]&lt;10000,"Medium","High"))</f>
        <v>High</v>
      </c>
      <c r="AC757" t="str">
        <f>IF(H_A[[#This Row],[YearsAtCompany]]&lt;3,"Early",IF(H_A[[#This Row],[YearsAtCompany]]&lt;7,"Mid","Long"))</f>
        <v>Long</v>
      </c>
      <c r="AD757" t="str">
        <f>IF(H_A[[#This Row],[PercentSalaryHike]]&lt;13,"Low",IF(H_A[[#This Row],[PercentSalaryHike]]&lt;18,"Medium","High"))</f>
        <v>Medium</v>
      </c>
    </row>
    <row r="758" spans="1:30" x14ac:dyDescent="0.3">
      <c r="A758">
        <v>32</v>
      </c>
      <c r="B758">
        <v>1046</v>
      </c>
      <c r="C758" t="s">
        <v>36</v>
      </c>
      <c r="D758" t="s">
        <v>37</v>
      </c>
      <c r="E758">
        <v>29</v>
      </c>
      <c r="F758">
        <v>4</v>
      </c>
      <c r="G758" t="s">
        <v>43</v>
      </c>
      <c r="H758">
        <v>4</v>
      </c>
      <c r="I758" t="s">
        <v>33</v>
      </c>
      <c r="J758">
        <v>3</v>
      </c>
      <c r="K758">
        <v>1</v>
      </c>
      <c r="L758" t="s">
        <v>42</v>
      </c>
      <c r="M758">
        <v>3</v>
      </c>
      <c r="N758" t="s">
        <v>35</v>
      </c>
      <c r="O758">
        <v>4025</v>
      </c>
      <c r="P758">
        <v>9</v>
      </c>
      <c r="Q758" t="s">
        <v>36</v>
      </c>
      <c r="R758">
        <v>2</v>
      </c>
      <c r="S758">
        <v>10</v>
      </c>
      <c r="T758">
        <v>3</v>
      </c>
      <c r="U758">
        <v>8</v>
      </c>
      <c r="V758">
        <v>7</v>
      </c>
      <c r="W758">
        <v>7</v>
      </c>
      <c r="X758">
        <v>7</v>
      </c>
      <c r="Y758">
        <v>12</v>
      </c>
      <c r="Z758">
        <f>IF(H_A[[#This Row],[Attrition]]="Yes",1,0)</f>
        <v>0</v>
      </c>
      <c r="AA758" t="str">
        <f>IF(H_A[[#This Row],[Age]]&lt;30,"Young",IF(H_A[[#This Row],[Age]]&lt;45,"Mid","Senior"))</f>
        <v>Mid</v>
      </c>
      <c r="AB758" t="str">
        <f>IF(H_A[[#This Row],[MonthlyIncome]]&lt;5000,"Low",IF(H_A[[#This Row],[MonthlyIncome]]&lt;10000,"Medium","High"))</f>
        <v>Low</v>
      </c>
      <c r="AC758" t="str">
        <f>IF(H_A[[#This Row],[YearsAtCompany]]&lt;3,"Early",IF(H_A[[#This Row],[YearsAtCompany]]&lt;7,"Mid","Long"))</f>
        <v>Long</v>
      </c>
      <c r="AD758" t="str">
        <f>IF(H_A[[#This Row],[PercentSalaryHike]]&lt;13,"Low",IF(H_A[[#This Row],[PercentSalaryHike]]&lt;18,"Medium","High"))</f>
        <v>Low</v>
      </c>
    </row>
    <row r="759" spans="1:30" x14ac:dyDescent="0.3">
      <c r="A759">
        <v>34</v>
      </c>
      <c r="B759">
        <v>1047</v>
      </c>
      <c r="C759" t="s">
        <v>36</v>
      </c>
      <c r="D759" t="s">
        <v>31</v>
      </c>
      <c r="E759">
        <v>1</v>
      </c>
      <c r="F759">
        <v>4</v>
      </c>
      <c r="G759" t="s">
        <v>50</v>
      </c>
      <c r="H759">
        <v>2</v>
      </c>
      <c r="I759" t="s">
        <v>38</v>
      </c>
      <c r="J759">
        <v>4</v>
      </c>
      <c r="K759">
        <v>2</v>
      </c>
      <c r="L759" t="s">
        <v>34</v>
      </c>
      <c r="M759">
        <v>4</v>
      </c>
      <c r="N759" t="s">
        <v>44</v>
      </c>
      <c r="O759">
        <v>9725</v>
      </c>
      <c r="P759">
        <v>0</v>
      </c>
      <c r="Q759" t="s">
        <v>36</v>
      </c>
      <c r="R759">
        <v>4</v>
      </c>
      <c r="S759">
        <v>16</v>
      </c>
      <c r="T759">
        <v>2</v>
      </c>
      <c r="U759">
        <v>15</v>
      </c>
      <c r="V759">
        <v>1</v>
      </c>
      <c r="W759">
        <v>0</v>
      </c>
      <c r="X759">
        <v>9</v>
      </c>
      <c r="Y759">
        <v>11</v>
      </c>
      <c r="Z759">
        <f>IF(H_A[[#This Row],[Attrition]]="Yes",1,0)</f>
        <v>0</v>
      </c>
      <c r="AA759" t="str">
        <f>IF(H_A[[#This Row],[Age]]&lt;30,"Young",IF(H_A[[#This Row],[Age]]&lt;45,"Mid","Senior"))</f>
        <v>Mid</v>
      </c>
      <c r="AB759" t="str">
        <f>IF(H_A[[#This Row],[MonthlyIncome]]&lt;5000,"Low",IF(H_A[[#This Row],[MonthlyIncome]]&lt;10000,"Medium","High"))</f>
        <v>Medium</v>
      </c>
      <c r="AC759" t="str">
        <f>IF(H_A[[#This Row],[YearsAtCompany]]&lt;3,"Early",IF(H_A[[#This Row],[YearsAtCompany]]&lt;7,"Mid","Long"))</f>
        <v>Long</v>
      </c>
      <c r="AD759" t="str">
        <f>IF(H_A[[#This Row],[PercentSalaryHike]]&lt;13,"Low",IF(H_A[[#This Row],[PercentSalaryHike]]&lt;18,"Medium","High"))</f>
        <v>Low</v>
      </c>
    </row>
    <row r="760" spans="1:30" x14ac:dyDescent="0.3">
      <c r="A760">
        <v>59</v>
      </c>
      <c r="B760">
        <v>1048</v>
      </c>
      <c r="C760" t="s">
        <v>36</v>
      </c>
      <c r="D760" t="s">
        <v>31</v>
      </c>
      <c r="E760">
        <v>1</v>
      </c>
      <c r="F760">
        <v>2</v>
      </c>
      <c r="G760" t="s">
        <v>51</v>
      </c>
      <c r="H760">
        <v>2</v>
      </c>
      <c r="I760" t="s">
        <v>38</v>
      </c>
      <c r="J760">
        <v>3</v>
      </c>
      <c r="K760">
        <v>3</v>
      </c>
      <c r="L760" t="s">
        <v>47</v>
      </c>
      <c r="M760">
        <v>4</v>
      </c>
      <c r="N760" t="s">
        <v>40</v>
      </c>
      <c r="O760">
        <v>11904</v>
      </c>
      <c r="P760">
        <v>3</v>
      </c>
      <c r="Q760" t="s">
        <v>30</v>
      </c>
      <c r="R760">
        <v>3</v>
      </c>
      <c r="S760">
        <v>14</v>
      </c>
      <c r="T760">
        <v>1</v>
      </c>
      <c r="U760">
        <v>6</v>
      </c>
      <c r="V760">
        <v>4</v>
      </c>
      <c r="W760">
        <v>0</v>
      </c>
      <c r="X760">
        <v>4</v>
      </c>
      <c r="Y760">
        <v>14</v>
      </c>
      <c r="Z760">
        <f>IF(H_A[[#This Row],[Attrition]]="Yes",1,0)</f>
        <v>0</v>
      </c>
      <c r="AA760" t="str">
        <f>IF(H_A[[#This Row],[Age]]&lt;30,"Young",IF(H_A[[#This Row],[Age]]&lt;45,"Mid","Senior"))</f>
        <v>Senior</v>
      </c>
      <c r="AB760" t="str">
        <f>IF(H_A[[#This Row],[MonthlyIncome]]&lt;5000,"Low",IF(H_A[[#This Row],[MonthlyIncome]]&lt;10000,"Medium","High"))</f>
        <v>High</v>
      </c>
      <c r="AC760" t="str">
        <f>IF(H_A[[#This Row],[YearsAtCompany]]&lt;3,"Early",IF(H_A[[#This Row],[YearsAtCompany]]&lt;7,"Mid","Long"))</f>
        <v>Mid</v>
      </c>
      <c r="AD760" t="str">
        <f>IF(H_A[[#This Row],[PercentSalaryHike]]&lt;13,"Low",IF(H_A[[#This Row],[PercentSalaryHike]]&lt;18,"Medium","High"))</f>
        <v>Medium</v>
      </c>
    </row>
    <row r="761" spans="1:30" x14ac:dyDescent="0.3">
      <c r="A761">
        <v>45</v>
      </c>
      <c r="B761">
        <v>1049</v>
      </c>
      <c r="C761" t="s">
        <v>36</v>
      </c>
      <c r="D761" t="s">
        <v>52</v>
      </c>
      <c r="E761">
        <v>24</v>
      </c>
      <c r="F761">
        <v>4</v>
      </c>
      <c r="G761" t="s">
        <v>43</v>
      </c>
      <c r="H761">
        <v>2</v>
      </c>
      <c r="I761" t="s">
        <v>38</v>
      </c>
      <c r="J761">
        <v>3</v>
      </c>
      <c r="K761">
        <v>1</v>
      </c>
      <c r="L761" t="s">
        <v>52</v>
      </c>
      <c r="M761">
        <v>2</v>
      </c>
      <c r="N761" t="s">
        <v>35</v>
      </c>
      <c r="O761">
        <v>2177</v>
      </c>
      <c r="P761">
        <v>1</v>
      </c>
      <c r="Q761" t="s">
        <v>36</v>
      </c>
      <c r="R761">
        <v>1</v>
      </c>
      <c r="S761">
        <v>6</v>
      </c>
      <c r="T761">
        <v>3</v>
      </c>
      <c r="U761">
        <v>6</v>
      </c>
      <c r="V761">
        <v>3</v>
      </c>
      <c r="W761">
        <v>0</v>
      </c>
      <c r="X761">
        <v>4</v>
      </c>
      <c r="Y761">
        <v>16</v>
      </c>
      <c r="Z761">
        <f>IF(H_A[[#This Row],[Attrition]]="Yes",1,0)</f>
        <v>0</v>
      </c>
      <c r="AA761" t="str">
        <f>IF(H_A[[#This Row],[Age]]&lt;30,"Young",IF(H_A[[#This Row],[Age]]&lt;45,"Mid","Senior"))</f>
        <v>Senior</v>
      </c>
      <c r="AB761" t="str">
        <f>IF(H_A[[#This Row],[MonthlyIncome]]&lt;5000,"Low",IF(H_A[[#This Row],[MonthlyIncome]]&lt;10000,"Medium","High"))</f>
        <v>Low</v>
      </c>
      <c r="AC761" t="str">
        <f>IF(H_A[[#This Row],[YearsAtCompany]]&lt;3,"Early",IF(H_A[[#This Row],[YearsAtCompany]]&lt;7,"Mid","Long"))</f>
        <v>Mid</v>
      </c>
      <c r="AD761" t="str">
        <f>IF(H_A[[#This Row],[PercentSalaryHike]]&lt;13,"Low",IF(H_A[[#This Row],[PercentSalaryHike]]&lt;18,"Medium","High"))</f>
        <v>Medium</v>
      </c>
    </row>
    <row r="762" spans="1:30" x14ac:dyDescent="0.3">
      <c r="A762">
        <v>53</v>
      </c>
      <c r="B762">
        <v>1050</v>
      </c>
      <c r="C762" t="s">
        <v>36</v>
      </c>
      <c r="D762" t="s">
        <v>31</v>
      </c>
      <c r="E762">
        <v>2</v>
      </c>
      <c r="F762">
        <v>3</v>
      </c>
      <c r="G762" t="s">
        <v>50</v>
      </c>
      <c r="H762">
        <v>3</v>
      </c>
      <c r="I762" t="s">
        <v>33</v>
      </c>
      <c r="J762">
        <v>2</v>
      </c>
      <c r="K762">
        <v>3</v>
      </c>
      <c r="L762" t="s">
        <v>34</v>
      </c>
      <c r="M762">
        <v>2</v>
      </c>
      <c r="N762" t="s">
        <v>40</v>
      </c>
      <c r="O762">
        <v>7525</v>
      </c>
      <c r="P762">
        <v>2</v>
      </c>
      <c r="Q762" t="s">
        <v>36</v>
      </c>
      <c r="R762">
        <v>1</v>
      </c>
      <c r="S762">
        <v>30</v>
      </c>
      <c r="T762">
        <v>3</v>
      </c>
      <c r="U762">
        <v>15</v>
      </c>
      <c r="V762">
        <v>7</v>
      </c>
      <c r="W762">
        <v>6</v>
      </c>
      <c r="X762">
        <v>12</v>
      </c>
      <c r="Y762">
        <v>12</v>
      </c>
      <c r="Z762">
        <f>IF(H_A[[#This Row],[Attrition]]="Yes",1,0)</f>
        <v>0</v>
      </c>
      <c r="AA762" t="str">
        <f>IF(H_A[[#This Row],[Age]]&lt;30,"Young",IF(H_A[[#This Row],[Age]]&lt;45,"Mid","Senior"))</f>
        <v>Senior</v>
      </c>
      <c r="AB762" t="str">
        <f>IF(H_A[[#This Row],[MonthlyIncome]]&lt;5000,"Low",IF(H_A[[#This Row],[MonthlyIncome]]&lt;10000,"Medium","High"))</f>
        <v>Medium</v>
      </c>
      <c r="AC762" t="str">
        <f>IF(H_A[[#This Row],[YearsAtCompany]]&lt;3,"Early",IF(H_A[[#This Row],[YearsAtCompany]]&lt;7,"Mid","Long"))</f>
        <v>Long</v>
      </c>
      <c r="AD762" t="str">
        <f>IF(H_A[[#This Row],[PercentSalaryHike]]&lt;13,"Low",IF(H_A[[#This Row],[PercentSalaryHike]]&lt;18,"Medium","High"))</f>
        <v>Low</v>
      </c>
    </row>
    <row r="763" spans="1:30" x14ac:dyDescent="0.3">
      <c r="A763">
        <v>36</v>
      </c>
      <c r="B763">
        <v>1052</v>
      </c>
      <c r="C763" t="s">
        <v>30</v>
      </c>
      <c r="D763" t="s">
        <v>37</v>
      </c>
      <c r="E763">
        <v>15</v>
      </c>
      <c r="F763">
        <v>3</v>
      </c>
      <c r="G763" t="s">
        <v>41</v>
      </c>
      <c r="H763">
        <v>1</v>
      </c>
      <c r="I763" t="s">
        <v>38</v>
      </c>
      <c r="J763">
        <v>3</v>
      </c>
      <c r="K763">
        <v>2</v>
      </c>
      <c r="L763" t="s">
        <v>42</v>
      </c>
      <c r="M763">
        <v>3</v>
      </c>
      <c r="N763" t="s">
        <v>44</v>
      </c>
      <c r="O763">
        <v>4834</v>
      </c>
      <c r="P763">
        <v>7</v>
      </c>
      <c r="Q763" t="s">
        <v>36</v>
      </c>
      <c r="R763">
        <v>2</v>
      </c>
      <c r="S763">
        <v>9</v>
      </c>
      <c r="T763">
        <v>2</v>
      </c>
      <c r="U763">
        <v>1</v>
      </c>
      <c r="V763">
        <v>0</v>
      </c>
      <c r="W763">
        <v>0</v>
      </c>
      <c r="X763">
        <v>0</v>
      </c>
      <c r="Y763">
        <v>14</v>
      </c>
      <c r="Z763">
        <f>IF(H_A[[#This Row],[Attrition]]="Yes",1,0)</f>
        <v>1</v>
      </c>
      <c r="AA763" t="str">
        <f>IF(H_A[[#This Row],[Age]]&lt;30,"Young",IF(H_A[[#This Row],[Age]]&lt;45,"Mid","Senior"))</f>
        <v>Mid</v>
      </c>
      <c r="AB763" t="str">
        <f>IF(H_A[[#This Row],[MonthlyIncome]]&lt;5000,"Low",IF(H_A[[#This Row],[MonthlyIncome]]&lt;10000,"Medium","High"))</f>
        <v>Low</v>
      </c>
      <c r="AC763" t="str">
        <f>IF(H_A[[#This Row],[YearsAtCompany]]&lt;3,"Early",IF(H_A[[#This Row],[YearsAtCompany]]&lt;7,"Mid","Long"))</f>
        <v>Early</v>
      </c>
      <c r="AD763" t="str">
        <f>IF(H_A[[#This Row],[PercentSalaryHike]]&lt;13,"Low",IF(H_A[[#This Row],[PercentSalaryHike]]&lt;18,"Medium","High"))</f>
        <v>Medium</v>
      </c>
    </row>
    <row r="764" spans="1:30" x14ac:dyDescent="0.3">
      <c r="A764">
        <v>26</v>
      </c>
      <c r="B764">
        <v>1053</v>
      </c>
      <c r="C764" t="s">
        <v>30</v>
      </c>
      <c r="D764" t="s">
        <v>37</v>
      </c>
      <c r="E764">
        <v>2</v>
      </c>
      <c r="F764">
        <v>3</v>
      </c>
      <c r="G764" t="s">
        <v>32</v>
      </c>
      <c r="H764">
        <v>1</v>
      </c>
      <c r="I764" t="s">
        <v>38</v>
      </c>
      <c r="J764">
        <v>3</v>
      </c>
      <c r="K764">
        <v>1</v>
      </c>
      <c r="L764" t="s">
        <v>39</v>
      </c>
      <c r="M764">
        <v>1</v>
      </c>
      <c r="N764" t="s">
        <v>40</v>
      </c>
      <c r="O764">
        <v>2042</v>
      </c>
      <c r="P764">
        <v>6</v>
      </c>
      <c r="Q764" t="s">
        <v>30</v>
      </c>
      <c r="R764">
        <v>2</v>
      </c>
      <c r="S764">
        <v>6</v>
      </c>
      <c r="T764">
        <v>3</v>
      </c>
      <c r="U764">
        <v>3</v>
      </c>
      <c r="V764">
        <v>2</v>
      </c>
      <c r="W764">
        <v>1</v>
      </c>
      <c r="X764">
        <v>2</v>
      </c>
      <c r="Y764">
        <v>14</v>
      </c>
      <c r="Z764">
        <f>IF(H_A[[#This Row],[Attrition]]="Yes",1,0)</f>
        <v>1</v>
      </c>
      <c r="AA764" t="str">
        <f>IF(H_A[[#This Row],[Age]]&lt;30,"Young",IF(H_A[[#This Row],[Age]]&lt;45,"Mid","Senior"))</f>
        <v>Young</v>
      </c>
      <c r="AB764" t="str">
        <f>IF(H_A[[#This Row],[MonthlyIncome]]&lt;5000,"Low",IF(H_A[[#This Row],[MonthlyIncome]]&lt;10000,"Medium","High"))</f>
        <v>Low</v>
      </c>
      <c r="AC764" t="str">
        <f>IF(H_A[[#This Row],[YearsAtCompany]]&lt;3,"Early",IF(H_A[[#This Row],[YearsAtCompany]]&lt;7,"Mid","Long"))</f>
        <v>Mid</v>
      </c>
      <c r="AD764" t="str">
        <f>IF(H_A[[#This Row],[PercentSalaryHike]]&lt;13,"Low",IF(H_A[[#This Row],[PercentSalaryHike]]&lt;18,"Medium","High"))</f>
        <v>Medium</v>
      </c>
    </row>
    <row r="765" spans="1:30" x14ac:dyDescent="0.3">
      <c r="A765">
        <v>34</v>
      </c>
      <c r="B765">
        <v>1055</v>
      </c>
      <c r="C765" t="s">
        <v>36</v>
      </c>
      <c r="D765" t="s">
        <v>31</v>
      </c>
      <c r="E765">
        <v>10</v>
      </c>
      <c r="F765">
        <v>4</v>
      </c>
      <c r="G765" t="s">
        <v>32</v>
      </c>
      <c r="H765">
        <v>3</v>
      </c>
      <c r="I765" t="s">
        <v>33</v>
      </c>
      <c r="J765">
        <v>3</v>
      </c>
      <c r="K765">
        <v>1</v>
      </c>
      <c r="L765" t="s">
        <v>48</v>
      </c>
      <c r="M765">
        <v>3</v>
      </c>
      <c r="N765" t="s">
        <v>40</v>
      </c>
      <c r="O765">
        <v>2220</v>
      </c>
      <c r="P765">
        <v>1</v>
      </c>
      <c r="Q765" t="s">
        <v>30</v>
      </c>
      <c r="R765">
        <v>4</v>
      </c>
      <c r="S765">
        <v>1</v>
      </c>
      <c r="T765">
        <v>3</v>
      </c>
      <c r="U765">
        <v>1</v>
      </c>
      <c r="V765">
        <v>1</v>
      </c>
      <c r="W765">
        <v>0</v>
      </c>
      <c r="X765">
        <v>0</v>
      </c>
      <c r="Y765">
        <v>19</v>
      </c>
      <c r="Z765">
        <f>IF(H_A[[#This Row],[Attrition]]="Yes",1,0)</f>
        <v>0</v>
      </c>
      <c r="AA765" t="str">
        <f>IF(H_A[[#This Row],[Age]]&lt;30,"Young",IF(H_A[[#This Row],[Age]]&lt;45,"Mid","Senior"))</f>
        <v>Mid</v>
      </c>
      <c r="AB765" t="str">
        <f>IF(H_A[[#This Row],[MonthlyIncome]]&lt;5000,"Low",IF(H_A[[#This Row],[MonthlyIncome]]&lt;10000,"Medium","High"))</f>
        <v>Low</v>
      </c>
      <c r="AC765" t="str">
        <f>IF(H_A[[#This Row],[YearsAtCompany]]&lt;3,"Early",IF(H_A[[#This Row],[YearsAtCompany]]&lt;7,"Mid","Long"))</f>
        <v>Early</v>
      </c>
      <c r="AD765" t="str">
        <f>IF(H_A[[#This Row],[PercentSalaryHike]]&lt;13,"Low",IF(H_A[[#This Row],[PercentSalaryHike]]&lt;18,"Medium","High"))</f>
        <v>High</v>
      </c>
    </row>
    <row r="766" spans="1:30" x14ac:dyDescent="0.3">
      <c r="A766">
        <v>28</v>
      </c>
      <c r="B766">
        <v>1056</v>
      </c>
      <c r="C766" t="s">
        <v>36</v>
      </c>
      <c r="D766" t="s">
        <v>31</v>
      </c>
      <c r="E766">
        <v>10</v>
      </c>
      <c r="F766">
        <v>1</v>
      </c>
      <c r="G766" t="s">
        <v>43</v>
      </c>
      <c r="H766">
        <v>4</v>
      </c>
      <c r="I766" t="s">
        <v>38</v>
      </c>
      <c r="J766">
        <v>3</v>
      </c>
      <c r="K766">
        <v>1</v>
      </c>
      <c r="L766" t="s">
        <v>48</v>
      </c>
      <c r="M766">
        <v>2</v>
      </c>
      <c r="N766" t="s">
        <v>40</v>
      </c>
      <c r="O766">
        <v>1052</v>
      </c>
      <c r="P766">
        <v>1</v>
      </c>
      <c r="Q766" t="s">
        <v>36</v>
      </c>
      <c r="R766">
        <v>2</v>
      </c>
      <c r="S766">
        <v>1</v>
      </c>
      <c r="T766">
        <v>3</v>
      </c>
      <c r="U766">
        <v>1</v>
      </c>
      <c r="V766">
        <v>0</v>
      </c>
      <c r="W766">
        <v>0</v>
      </c>
      <c r="X766">
        <v>0</v>
      </c>
      <c r="Y766">
        <v>22</v>
      </c>
      <c r="Z766">
        <f>IF(H_A[[#This Row],[Attrition]]="Yes",1,0)</f>
        <v>0</v>
      </c>
      <c r="AA766" t="str">
        <f>IF(H_A[[#This Row],[Age]]&lt;30,"Young",IF(H_A[[#This Row],[Age]]&lt;45,"Mid","Senior"))</f>
        <v>Young</v>
      </c>
      <c r="AB766" t="str">
        <f>IF(H_A[[#This Row],[MonthlyIncome]]&lt;5000,"Low",IF(H_A[[#This Row],[MonthlyIncome]]&lt;10000,"Medium","High"))</f>
        <v>Low</v>
      </c>
      <c r="AC766" t="str">
        <f>IF(H_A[[#This Row],[YearsAtCompany]]&lt;3,"Early",IF(H_A[[#This Row],[YearsAtCompany]]&lt;7,"Mid","Long"))</f>
        <v>Early</v>
      </c>
      <c r="AD766" t="str">
        <f>IF(H_A[[#This Row],[PercentSalaryHike]]&lt;13,"Low",IF(H_A[[#This Row],[PercentSalaryHike]]&lt;18,"Medium","High"))</f>
        <v>High</v>
      </c>
    </row>
    <row r="767" spans="1:30" x14ac:dyDescent="0.3">
      <c r="A767">
        <v>38</v>
      </c>
      <c r="B767">
        <v>1060</v>
      </c>
      <c r="C767" t="s">
        <v>36</v>
      </c>
      <c r="D767" t="s">
        <v>37</v>
      </c>
      <c r="E767">
        <v>3</v>
      </c>
      <c r="F767">
        <v>4</v>
      </c>
      <c r="G767" t="s">
        <v>41</v>
      </c>
      <c r="H767">
        <v>3</v>
      </c>
      <c r="I767" t="s">
        <v>38</v>
      </c>
      <c r="J767">
        <v>3</v>
      </c>
      <c r="K767">
        <v>1</v>
      </c>
      <c r="L767" t="s">
        <v>39</v>
      </c>
      <c r="M767">
        <v>3</v>
      </c>
      <c r="N767" t="s">
        <v>40</v>
      </c>
      <c r="O767">
        <v>2821</v>
      </c>
      <c r="P767">
        <v>3</v>
      </c>
      <c r="Q767" t="s">
        <v>36</v>
      </c>
      <c r="R767">
        <v>1</v>
      </c>
      <c r="S767">
        <v>8</v>
      </c>
      <c r="T767">
        <v>3</v>
      </c>
      <c r="U767">
        <v>2</v>
      </c>
      <c r="V767">
        <v>2</v>
      </c>
      <c r="W767">
        <v>2</v>
      </c>
      <c r="X767">
        <v>2</v>
      </c>
      <c r="Y767">
        <v>16</v>
      </c>
      <c r="Z767">
        <f>IF(H_A[[#This Row],[Attrition]]="Yes",1,0)</f>
        <v>0</v>
      </c>
      <c r="AA767" t="str">
        <f>IF(H_A[[#This Row],[Age]]&lt;30,"Young",IF(H_A[[#This Row],[Age]]&lt;45,"Mid","Senior"))</f>
        <v>Mid</v>
      </c>
      <c r="AB767" t="str">
        <f>IF(H_A[[#This Row],[MonthlyIncome]]&lt;5000,"Low",IF(H_A[[#This Row],[MonthlyIncome]]&lt;10000,"Medium","High"))</f>
        <v>Low</v>
      </c>
      <c r="AC767" t="str">
        <f>IF(H_A[[#This Row],[YearsAtCompany]]&lt;3,"Early",IF(H_A[[#This Row],[YearsAtCompany]]&lt;7,"Mid","Long"))</f>
        <v>Early</v>
      </c>
      <c r="AD767" t="str">
        <f>IF(H_A[[#This Row],[PercentSalaryHike]]&lt;13,"Low",IF(H_A[[#This Row],[PercentSalaryHike]]&lt;18,"Medium","High"))</f>
        <v>Medium</v>
      </c>
    </row>
    <row r="768" spans="1:30" x14ac:dyDescent="0.3">
      <c r="A768">
        <v>50</v>
      </c>
      <c r="B768">
        <v>1061</v>
      </c>
      <c r="C768" t="s">
        <v>36</v>
      </c>
      <c r="D768" t="s">
        <v>37</v>
      </c>
      <c r="E768">
        <v>2</v>
      </c>
      <c r="F768">
        <v>4</v>
      </c>
      <c r="G768" t="s">
        <v>43</v>
      </c>
      <c r="H768">
        <v>2</v>
      </c>
      <c r="I768" t="s">
        <v>38</v>
      </c>
      <c r="J768">
        <v>3</v>
      </c>
      <c r="K768">
        <v>5</v>
      </c>
      <c r="L768" t="s">
        <v>49</v>
      </c>
      <c r="M768">
        <v>3</v>
      </c>
      <c r="N768" t="s">
        <v>40</v>
      </c>
      <c r="O768">
        <v>19237</v>
      </c>
      <c r="P768">
        <v>2</v>
      </c>
      <c r="Q768" t="s">
        <v>30</v>
      </c>
      <c r="R768">
        <v>4</v>
      </c>
      <c r="S768">
        <v>29</v>
      </c>
      <c r="T768">
        <v>2</v>
      </c>
      <c r="U768">
        <v>8</v>
      </c>
      <c r="V768">
        <v>1</v>
      </c>
      <c r="W768">
        <v>7</v>
      </c>
      <c r="X768">
        <v>7</v>
      </c>
      <c r="Y768">
        <v>11</v>
      </c>
      <c r="Z768">
        <f>IF(H_A[[#This Row],[Attrition]]="Yes",1,0)</f>
        <v>0</v>
      </c>
      <c r="AA768" t="str">
        <f>IF(H_A[[#This Row],[Age]]&lt;30,"Young",IF(H_A[[#This Row],[Age]]&lt;45,"Mid","Senior"))</f>
        <v>Senior</v>
      </c>
      <c r="AB768" t="str">
        <f>IF(H_A[[#This Row],[MonthlyIncome]]&lt;5000,"Low",IF(H_A[[#This Row],[MonthlyIncome]]&lt;10000,"Medium","High"))</f>
        <v>High</v>
      </c>
      <c r="AC768" t="str">
        <f>IF(H_A[[#This Row],[YearsAtCompany]]&lt;3,"Early",IF(H_A[[#This Row],[YearsAtCompany]]&lt;7,"Mid","Long"))</f>
        <v>Long</v>
      </c>
      <c r="AD768" t="str">
        <f>IF(H_A[[#This Row],[PercentSalaryHike]]&lt;13,"Low",IF(H_A[[#This Row],[PercentSalaryHike]]&lt;18,"Medium","High"))</f>
        <v>Low</v>
      </c>
    </row>
    <row r="769" spans="1:30" x14ac:dyDescent="0.3">
      <c r="A769">
        <v>37</v>
      </c>
      <c r="B769">
        <v>1062</v>
      </c>
      <c r="C769" t="s">
        <v>36</v>
      </c>
      <c r="D769" t="s">
        <v>37</v>
      </c>
      <c r="E769">
        <v>3</v>
      </c>
      <c r="F769">
        <v>3</v>
      </c>
      <c r="G769" t="s">
        <v>41</v>
      </c>
      <c r="H769">
        <v>4</v>
      </c>
      <c r="I769" t="s">
        <v>33</v>
      </c>
      <c r="J769">
        <v>3</v>
      </c>
      <c r="K769">
        <v>2</v>
      </c>
      <c r="L769" t="s">
        <v>46</v>
      </c>
      <c r="M769">
        <v>2</v>
      </c>
      <c r="N769" t="s">
        <v>35</v>
      </c>
      <c r="O769">
        <v>4107</v>
      </c>
      <c r="P769">
        <v>3</v>
      </c>
      <c r="Q769" t="s">
        <v>36</v>
      </c>
      <c r="R769">
        <v>1</v>
      </c>
      <c r="S769">
        <v>8</v>
      </c>
      <c r="T769">
        <v>2</v>
      </c>
      <c r="U769">
        <v>4</v>
      </c>
      <c r="V769">
        <v>3</v>
      </c>
      <c r="W769">
        <v>0</v>
      </c>
      <c r="X769">
        <v>1</v>
      </c>
      <c r="Y769">
        <v>15</v>
      </c>
      <c r="Z769">
        <f>IF(H_A[[#This Row],[Attrition]]="Yes",1,0)</f>
        <v>0</v>
      </c>
      <c r="AA769" t="str">
        <f>IF(H_A[[#This Row],[Age]]&lt;30,"Young",IF(H_A[[#This Row],[Age]]&lt;45,"Mid","Senior"))</f>
        <v>Mid</v>
      </c>
      <c r="AB769" t="str">
        <f>IF(H_A[[#This Row],[MonthlyIncome]]&lt;5000,"Low",IF(H_A[[#This Row],[MonthlyIncome]]&lt;10000,"Medium","High"))</f>
        <v>Low</v>
      </c>
      <c r="AC769" t="str">
        <f>IF(H_A[[#This Row],[YearsAtCompany]]&lt;3,"Early",IF(H_A[[#This Row],[YearsAtCompany]]&lt;7,"Mid","Long"))</f>
        <v>Mid</v>
      </c>
      <c r="AD769" t="str">
        <f>IF(H_A[[#This Row],[PercentSalaryHike]]&lt;13,"Low",IF(H_A[[#This Row],[PercentSalaryHike]]&lt;18,"Medium","High"))</f>
        <v>Medium</v>
      </c>
    </row>
    <row r="770" spans="1:30" x14ac:dyDescent="0.3">
      <c r="A770">
        <v>40</v>
      </c>
      <c r="B770">
        <v>1066</v>
      </c>
      <c r="C770" t="s">
        <v>36</v>
      </c>
      <c r="D770" t="s">
        <v>31</v>
      </c>
      <c r="E770">
        <v>26</v>
      </c>
      <c r="F770">
        <v>3</v>
      </c>
      <c r="G770" t="s">
        <v>50</v>
      </c>
      <c r="H770">
        <v>3</v>
      </c>
      <c r="I770" t="s">
        <v>38</v>
      </c>
      <c r="J770">
        <v>3</v>
      </c>
      <c r="K770">
        <v>2</v>
      </c>
      <c r="L770" t="s">
        <v>34</v>
      </c>
      <c r="M770">
        <v>1</v>
      </c>
      <c r="N770" t="s">
        <v>40</v>
      </c>
      <c r="O770">
        <v>8396</v>
      </c>
      <c r="P770">
        <v>1</v>
      </c>
      <c r="Q770" t="s">
        <v>36</v>
      </c>
      <c r="R770">
        <v>2</v>
      </c>
      <c r="S770">
        <v>8</v>
      </c>
      <c r="T770">
        <v>2</v>
      </c>
      <c r="U770">
        <v>7</v>
      </c>
      <c r="V770">
        <v>7</v>
      </c>
      <c r="W770">
        <v>7</v>
      </c>
      <c r="X770">
        <v>5</v>
      </c>
      <c r="Y770">
        <v>14</v>
      </c>
      <c r="Z770">
        <f>IF(H_A[[#This Row],[Attrition]]="Yes",1,0)</f>
        <v>0</v>
      </c>
      <c r="AA770" t="str">
        <f>IF(H_A[[#This Row],[Age]]&lt;30,"Young",IF(H_A[[#This Row],[Age]]&lt;45,"Mid","Senior"))</f>
        <v>Mid</v>
      </c>
      <c r="AB770" t="str">
        <f>IF(H_A[[#This Row],[MonthlyIncome]]&lt;5000,"Low",IF(H_A[[#This Row],[MonthlyIncome]]&lt;10000,"Medium","High"))</f>
        <v>Medium</v>
      </c>
      <c r="AC770" t="str">
        <f>IF(H_A[[#This Row],[YearsAtCompany]]&lt;3,"Early",IF(H_A[[#This Row],[YearsAtCompany]]&lt;7,"Mid","Long"))</f>
        <v>Long</v>
      </c>
      <c r="AD770" t="str">
        <f>IF(H_A[[#This Row],[PercentSalaryHike]]&lt;13,"Low",IF(H_A[[#This Row],[PercentSalaryHike]]&lt;18,"Medium","High"))</f>
        <v>Medium</v>
      </c>
    </row>
    <row r="771" spans="1:30" x14ac:dyDescent="0.3">
      <c r="A771">
        <v>26</v>
      </c>
      <c r="B771">
        <v>1068</v>
      </c>
      <c r="C771" t="s">
        <v>36</v>
      </c>
      <c r="D771" t="s">
        <v>37</v>
      </c>
      <c r="E771">
        <v>1</v>
      </c>
      <c r="F771">
        <v>1</v>
      </c>
      <c r="G771" t="s">
        <v>43</v>
      </c>
      <c r="H771">
        <v>1</v>
      </c>
      <c r="I771" t="s">
        <v>33</v>
      </c>
      <c r="J771">
        <v>2</v>
      </c>
      <c r="K771">
        <v>1</v>
      </c>
      <c r="L771" t="s">
        <v>39</v>
      </c>
      <c r="M771">
        <v>3</v>
      </c>
      <c r="N771" t="s">
        <v>44</v>
      </c>
      <c r="O771">
        <v>2007</v>
      </c>
      <c r="P771">
        <v>1</v>
      </c>
      <c r="Q771" t="s">
        <v>36</v>
      </c>
      <c r="R771">
        <v>3</v>
      </c>
      <c r="S771">
        <v>5</v>
      </c>
      <c r="T771">
        <v>3</v>
      </c>
      <c r="U771">
        <v>5</v>
      </c>
      <c r="V771">
        <v>3</v>
      </c>
      <c r="W771">
        <v>1</v>
      </c>
      <c r="X771">
        <v>3</v>
      </c>
      <c r="Y771">
        <v>13</v>
      </c>
      <c r="Z771">
        <f>IF(H_A[[#This Row],[Attrition]]="Yes",1,0)</f>
        <v>0</v>
      </c>
      <c r="AA771" t="str">
        <f>IF(H_A[[#This Row],[Age]]&lt;30,"Young",IF(H_A[[#This Row],[Age]]&lt;45,"Mid","Senior"))</f>
        <v>Young</v>
      </c>
      <c r="AB771" t="str">
        <f>IF(H_A[[#This Row],[MonthlyIncome]]&lt;5000,"Low",IF(H_A[[#This Row],[MonthlyIncome]]&lt;10000,"Medium","High"))</f>
        <v>Low</v>
      </c>
      <c r="AC771" t="str">
        <f>IF(H_A[[#This Row],[YearsAtCompany]]&lt;3,"Early",IF(H_A[[#This Row],[YearsAtCompany]]&lt;7,"Mid","Long"))</f>
        <v>Mid</v>
      </c>
      <c r="AD771" t="str">
        <f>IF(H_A[[#This Row],[PercentSalaryHike]]&lt;13,"Low",IF(H_A[[#This Row],[PercentSalaryHike]]&lt;18,"Medium","High"))</f>
        <v>Medium</v>
      </c>
    </row>
    <row r="772" spans="1:30" x14ac:dyDescent="0.3">
      <c r="A772">
        <v>46</v>
      </c>
      <c r="B772">
        <v>1069</v>
      </c>
      <c r="C772" t="s">
        <v>36</v>
      </c>
      <c r="D772" t="s">
        <v>37</v>
      </c>
      <c r="E772">
        <v>1</v>
      </c>
      <c r="F772">
        <v>4</v>
      </c>
      <c r="G772" t="s">
        <v>43</v>
      </c>
      <c r="H772">
        <v>4</v>
      </c>
      <c r="I772" t="s">
        <v>38</v>
      </c>
      <c r="J772">
        <v>3</v>
      </c>
      <c r="K772">
        <v>5</v>
      </c>
      <c r="L772" t="s">
        <v>49</v>
      </c>
      <c r="M772">
        <v>4</v>
      </c>
      <c r="N772" t="s">
        <v>44</v>
      </c>
      <c r="O772">
        <v>19627</v>
      </c>
      <c r="P772">
        <v>9</v>
      </c>
      <c r="Q772" t="s">
        <v>36</v>
      </c>
      <c r="R772">
        <v>4</v>
      </c>
      <c r="S772">
        <v>23</v>
      </c>
      <c r="T772">
        <v>3</v>
      </c>
      <c r="U772">
        <v>2</v>
      </c>
      <c r="V772">
        <v>2</v>
      </c>
      <c r="W772">
        <v>2</v>
      </c>
      <c r="X772">
        <v>2</v>
      </c>
      <c r="Y772">
        <v>17</v>
      </c>
      <c r="Z772">
        <f>IF(H_A[[#This Row],[Attrition]]="Yes",1,0)</f>
        <v>0</v>
      </c>
      <c r="AA772" t="str">
        <f>IF(H_A[[#This Row],[Age]]&lt;30,"Young",IF(H_A[[#This Row],[Age]]&lt;45,"Mid","Senior"))</f>
        <v>Senior</v>
      </c>
      <c r="AB772" t="str">
        <f>IF(H_A[[#This Row],[MonthlyIncome]]&lt;5000,"Low",IF(H_A[[#This Row],[MonthlyIncome]]&lt;10000,"Medium","High"))</f>
        <v>High</v>
      </c>
      <c r="AC772" t="str">
        <f>IF(H_A[[#This Row],[YearsAtCompany]]&lt;3,"Early",IF(H_A[[#This Row],[YearsAtCompany]]&lt;7,"Mid","Long"))</f>
        <v>Early</v>
      </c>
      <c r="AD772" t="str">
        <f>IF(H_A[[#This Row],[PercentSalaryHike]]&lt;13,"Low",IF(H_A[[#This Row],[PercentSalaryHike]]&lt;18,"Medium","High"))</f>
        <v>Medium</v>
      </c>
    </row>
    <row r="773" spans="1:30" x14ac:dyDescent="0.3">
      <c r="A773">
        <v>54</v>
      </c>
      <c r="B773">
        <v>1070</v>
      </c>
      <c r="C773" t="s">
        <v>36</v>
      </c>
      <c r="D773" t="s">
        <v>31</v>
      </c>
      <c r="E773">
        <v>2</v>
      </c>
      <c r="F773">
        <v>4</v>
      </c>
      <c r="G773" t="s">
        <v>32</v>
      </c>
      <c r="H773">
        <v>3</v>
      </c>
      <c r="I773" t="s">
        <v>33</v>
      </c>
      <c r="J773">
        <v>2</v>
      </c>
      <c r="K773">
        <v>3</v>
      </c>
      <c r="L773" t="s">
        <v>34</v>
      </c>
      <c r="M773">
        <v>3</v>
      </c>
      <c r="N773" t="s">
        <v>40</v>
      </c>
      <c r="O773">
        <v>10686</v>
      </c>
      <c r="P773">
        <v>6</v>
      </c>
      <c r="Q773" t="s">
        <v>36</v>
      </c>
      <c r="R773">
        <v>2</v>
      </c>
      <c r="S773">
        <v>13</v>
      </c>
      <c r="T773">
        <v>3</v>
      </c>
      <c r="U773">
        <v>9</v>
      </c>
      <c r="V773">
        <v>4</v>
      </c>
      <c r="W773">
        <v>7</v>
      </c>
      <c r="X773">
        <v>0</v>
      </c>
      <c r="Y773">
        <v>11</v>
      </c>
      <c r="Z773">
        <f>IF(H_A[[#This Row],[Attrition]]="Yes",1,0)</f>
        <v>0</v>
      </c>
      <c r="AA773" t="str">
        <f>IF(H_A[[#This Row],[Age]]&lt;30,"Young",IF(H_A[[#This Row],[Age]]&lt;45,"Mid","Senior"))</f>
        <v>Senior</v>
      </c>
      <c r="AB773" t="str">
        <f>IF(H_A[[#This Row],[MonthlyIncome]]&lt;5000,"Low",IF(H_A[[#This Row],[MonthlyIncome]]&lt;10000,"Medium","High"))</f>
        <v>High</v>
      </c>
      <c r="AC773" t="str">
        <f>IF(H_A[[#This Row],[YearsAtCompany]]&lt;3,"Early",IF(H_A[[#This Row],[YearsAtCompany]]&lt;7,"Mid","Long"))</f>
        <v>Long</v>
      </c>
      <c r="AD773" t="str">
        <f>IF(H_A[[#This Row],[PercentSalaryHike]]&lt;13,"Low",IF(H_A[[#This Row],[PercentSalaryHike]]&lt;18,"Medium","High"))</f>
        <v>Low</v>
      </c>
    </row>
    <row r="774" spans="1:30" x14ac:dyDescent="0.3">
      <c r="A774">
        <v>56</v>
      </c>
      <c r="B774">
        <v>1071</v>
      </c>
      <c r="C774" t="s">
        <v>36</v>
      </c>
      <c r="D774" t="s">
        <v>37</v>
      </c>
      <c r="E774">
        <v>9</v>
      </c>
      <c r="F774">
        <v>3</v>
      </c>
      <c r="G774" t="s">
        <v>43</v>
      </c>
      <c r="H774">
        <v>1</v>
      </c>
      <c r="I774" t="s">
        <v>33</v>
      </c>
      <c r="J774">
        <v>3</v>
      </c>
      <c r="K774">
        <v>1</v>
      </c>
      <c r="L774" t="s">
        <v>39</v>
      </c>
      <c r="M774">
        <v>3</v>
      </c>
      <c r="N774" t="s">
        <v>40</v>
      </c>
      <c r="O774">
        <v>2942</v>
      </c>
      <c r="P774">
        <v>2</v>
      </c>
      <c r="Q774" t="s">
        <v>36</v>
      </c>
      <c r="R774">
        <v>2</v>
      </c>
      <c r="S774">
        <v>18</v>
      </c>
      <c r="T774">
        <v>3</v>
      </c>
      <c r="U774">
        <v>5</v>
      </c>
      <c r="V774">
        <v>4</v>
      </c>
      <c r="W774">
        <v>0</v>
      </c>
      <c r="X774">
        <v>3</v>
      </c>
      <c r="Y774">
        <v>19</v>
      </c>
      <c r="Z774">
        <f>IF(H_A[[#This Row],[Attrition]]="Yes",1,0)</f>
        <v>0</v>
      </c>
      <c r="AA774" t="str">
        <f>IF(H_A[[#This Row],[Age]]&lt;30,"Young",IF(H_A[[#This Row],[Age]]&lt;45,"Mid","Senior"))</f>
        <v>Senior</v>
      </c>
      <c r="AB774" t="str">
        <f>IF(H_A[[#This Row],[MonthlyIncome]]&lt;5000,"Low",IF(H_A[[#This Row],[MonthlyIncome]]&lt;10000,"Medium","High"))</f>
        <v>Low</v>
      </c>
      <c r="AC774" t="str">
        <f>IF(H_A[[#This Row],[YearsAtCompany]]&lt;3,"Early",IF(H_A[[#This Row],[YearsAtCompany]]&lt;7,"Mid","Long"))</f>
        <v>Mid</v>
      </c>
      <c r="AD774" t="str">
        <f>IF(H_A[[#This Row],[PercentSalaryHike]]&lt;13,"Low",IF(H_A[[#This Row],[PercentSalaryHike]]&lt;18,"Medium","High"))</f>
        <v>High</v>
      </c>
    </row>
    <row r="775" spans="1:30" x14ac:dyDescent="0.3">
      <c r="A775">
        <v>36</v>
      </c>
      <c r="B775">
        <v>1073</v>
      </c>
      <c r="C775" t="s">
        <v>36</v>
      </c>
      <c r="D775" t="s">
        <v>37</v>
      </c>
      <c r="E775">
        <v>12</v>
      </c>
      <c r="F775">
        <v>5</v>
      </c>
      <c r="G775" t="s">
        <v>43</v>
      </c>
      <c r="H775">
        <v>4</v>
      </c>
      <c r="I775" t="s">
        <v>33</v>
      </c>
      <c r="J775">
        <v>2</v>
      </c>
      <c r="K775">
        <v>3</v>
      </c>
      <c r="L775" t="s">
        <v>45</v>
      </c>
      <c r="M775">
        <v>4</v>
      </c>
      <c r="N775" t="s">
        <v>35</v>
      </c>
      <c r="O775">
        <v>8858</v>
      </c>
      <c r="P775">
        <v>0</v>
      </c>
      <c r="Q775" t="s">
        <v>36</v>
      </c>
      <c r="R775">
        <v>2</v>
      </c>
      <c r="S775">
        <v>15</v>
      </c>
      <c r="T775">
        <v>2</v>
      </c>
      <c r="U775">
        <v>14</v>
      </c>
      <c r="V775">
        <v>8</v>
      </c>
      <c r="W775">
        <v>7</v>
      </c>
      <c r="X775">
        <v>8</v>
      </c>
      <c r="Y775">
        <v>11</v>
      </c>
      <c r="Z775">
        <f>IF(H_A[[#This Row],[Attrition]]="Yes",1,0)</f>
        <v>0</v>
      </c>
      <c r="AA775" t="str">
        <f>IF(H_A[[#This Row],[Age]]&lt;30,"Young",IF(H_A[[#This Row],[Age]]&lt;45,"Mid","Senior"))</f>
        <v>Mid</v>
      </c>
      <c r="AB775" t="str">
        <f>IF(H_A[[#This Row],[MonthlyIncome]]&lt;5000,"Low",IF(H_A[[#This Row],[MonthlyIncome]]&lt;10000,"Medium","High"))</f>
        <v>Medium</v>
      </c>
      <c r="AC775" t="str">
        <f>IF(H_A[[#This Row],[YearsAtCompany]]&lt;3,"Early",IF(H_A[[#This Row],[YearsAtCompany]]&lt;7,"Mid","Long"))</f>
        <v>Long</v>
      </c>
      <c r="AD775" t="str">
        <f>IF(H_A[[#This Row],[PercentSalaryHike]]&lt;13,"Low",IF(H_A[[#This Row],[PercentSalaryHike]]&lt;18,"Medium","High"))</f>
        <v>Low</v>
      </c>
    </row>
    <row r="776" spans="1:30" x14ac:dyDescent="0.3">
      <c r="A776">
        <v>55</v>
      </c>
      <c r="B776">
        <v>1074</v>
      </c>
      <c r="C776" t="s">
        <v>36</v>
      </c>
      <c r="D776" t="s">
        <v>37</v>
      </c>
      <c r="E776">
        <v>2</v>
      </c>
      <c r="F776">
        <v>1</v>
      </c>
      <c r="G776" t="s">
        <v>43</v>
      </c>
      <c r="H776">
        <v>3</v>
      </c>
      <c r="I776" t="s">
        <v>38</v>
      </c>
      <c r="J776">
        <v>2</v>
      </c>
      <c r="K776">
        <v>4</v>
      </c>
      <c r="L776" t="s">
        <v>47</v>
      </c>
      <c r="M776">
        <v>1</v>
      </c>
      <c r="N776" t="s">
        <v>35</v>
      </c>
      <c r="O776">
        <v>16756</v>
      </c>
      <c r="P776">
        <v>7</v>
      </c>
      <c r="Q776" t="s">
        <v>36</v>
      </c>
      <c r="R776">
        <v>2</v>
      </c>
      <c r="S776">
        <v>31</v>
      </c>
      <c r="T776">
        <v>4</v>
      </c>
      <c r="U776">
        <v>9</v>
      </c>
      <c r="V776">
        <v>7</v>
      </c>
      <c r="W776">
        <v>6</v>
      </c>
      <c r="X776">
        <v>2</v>
      </c>
      <c r="Y776">
        <v>15</v>
      </c>
      <c r="Z776">
        <f>IF(H_A[[#This Row],[Attrition]]="Yes",1,0)</f>
        <v>0</v>
      </c>
      <c r="AA776" t="str">
        <f>IF(H_A[[#This Row],[Age]]&lt;30,"Young",IF(H_A[[#This Row],[Age]]&lt;45,"Mid","Senior"))</f>
        <v>Senior</v>
      </c>
      <c r="AB776" t="str">
        <f>IF(H_A[[#This Row],[MonthlyIncome]]&lt;5000,"Low",IF(H_A[[#This Row],[MonthlyIncome]]&lt;10000,"Medium","High"))</f>
        <v>High</v>
      </c>
      <c r="AC776" t="str">
        <f>IF(H_A[[#This Row],[YearsAtCompany]]&lt;3,"Early",IF(H_A[[#This Row],[YearsAtCompany]]&lt;7,"Mid","Long"))</f>
        <v>Long</v>
      </c>
      <c r="AD776" t="str">
        <f>IF(H_A[[#This Row],[PercentSalaryHike]]&lt;13,"Low",IF(H_A[[#This Row],[PercentSalaryHike]]&lt;18,"Medium","High"))</f>
        <v>Medium</v>
      </c>
    </row>
    <row r="777" spans="1:30" x14ac:dyDescent="0.3">
      <c r="A777">
        <v>43</v>
      </c>
      <c r="B777">
        <v>1076</v>
      </c>
      <c r="C777" t="s">
        <v>36</v>
      </c>
      <c r="D777" t="s">
        <v>31</v>
      </c>
      <c r="E777">
        <v>25</v>
      </c>
      <c r="F777">
        <v>3</v>
      </c>
      <c r="G777" t="s">
        <v>43</v>
      </c>
      <c r="H777">
        <v>3</v>
      </c>
      <c r="I777" t="s">
        <v>38</v>
      </c>
      <c r="J777">
        <v>2</v>
      </c>
      <c r="K777">
        <v>3</v>
      </c>
      <c r="L777" t="s">
        <v>34</v>
      </c>
      <c r="M777">
        <v>4</v>
      </c>
      <c r="N777" t="s">
        <v>44</v>
      </c>
      <c r="O777">
        <v>10798</v>
      </c>
      <c r="P777">
        <v>5</v>
      </c>
      <c r="Q777" t="s">
        <v>36</v>
      </c>
      <c r="R777">
        <v>3</v>
      </c>
      <c r="S777">
        <v>18</v>
      </c>
      <c r="T777">
        <v>3</v>
      </c>
      <c r="U777">
        <v>1</v>
      </c>
      <c r="V777">
        <v>0</v>
      </c>
      <c r="W777">
        <v>0</v>
      </c>
      <c r="X777">
        <v>0</v>
      </c>
      <c r="Y777">
        <v>13</v>
      </c>
      <c r="Z777">
        <f>IF(H_A[[#This Row],[Attrition]]="Yes",1,0)</f>
        <v>0</v>
      </c>
      <c r="AA777" t="str">
        <f>IF(H_A[[#This Row],[Age]]&lt;30,"Young",IF(H_A[[#This Row],[Age]]&lt;45,"Mid","Senior"))</f>
        <v>Mid</v>
      </c>
      <c r="AB777" t="str">
        <f>IF(H_A[[#This Row],[MonthlyIncome]]&lt;5000,"Low",IF(H_A[[#This Row],[MonthlyIncome]]&lt;10000,"Medium","High"))</f>
        <v>High</v>
      </c>
      <c r="AC777" t="str">
        <f>IF(H_A[[#This Row],[YearsAtCompany]]&lt;3,"Early",IF(H_A[[#This Row],[YearsAtCompany]]&lt;7,"Mid","Long"))</f>
        <v>Early</v>
      </c>
      <c r="AD777" t="str">
        <f>IF(H_A[[#This Row],[PercentSalaryHike]]&lt;13,"Low",IF(H_A[[#This Row],[PercentSalaryHike]]&lt;18,"Medium","High"))</f>
        <v>Medium</v>
      </c>
    </row>
    <row r="778" spans="1:30" x14ac:dyDescent="0.3">
      <c r="A778">
        <v>20</v>
      </c>
      <c r="B778">
        <v>1077</v>
      </c>
      <c r="C778" t="s">
        <v>30</v>
      </c>
      <c r="D778" t="s">
        <v>31</v>
      </c>
      <c r="E778">
        <v>9</v>
      </c>
      <c r="F778">
        <v>3</v>
      </c>
      <c r="G778" t="s">
        <v>50</v>
      </c>
      <c r="H778">
        <v>4</v>
      </c>
      <c r="I778" t="s">
        <v>33</v>
      </c>
      <c r="J778">
        <v>3</v>
      </c>
      <c r="K778">
        <v>1</v>
      </c>
      <c r="L778" t="s">
        <v>48</v>
      </c>
      <c r="M778">
        <v>4</v>
      </c>
      <c r="N778" t="s">
        <v>35</v>
      </c>
      <c r="O778">
        <v>2323</v>
      </c>
      <c r="P778">
        <v>1</v>
      </c>
      <c r="Q778" t="s">
        <v>30</v>
      </c>
      <c r="R778">
        <v>2</v>
      </c>
      <c r="S778">
        <v>2</v>
      </c>
      <c r="T778">
        <v>3</v>
      </c>
      <c r="U778">
        <v>2</v>
      </c>
      <c r="V778">
        <v>2</v>
      </c>
      <c r="W778">
        <v>0</v>
      </c>
      <c r="X778">
        <v>2</v>
      </c>
      <c r="Y778">
        <v>14</v>
      </c>
      <c r="Z778">
        <f>IF(H_A[[#This Row],[Attrition]]="Yes",1,0)</f>
        <v>1</v>
      </c>
      <c r="AA778" t="str">
        <f>IF(H_A[[#This Row],[Age]]&lt;30,"Young",IF(H_A[[#This Row],[Age]]&lt;45,"Mid","Senior"))</f>
        <v>Young</v>
      </c>
      <c r="AB778" t="str">
        <f>IF(H_A[[#This Row],[MonthlyIncome]]&lt;5000,"Low",IF(H_A[[#This Row],[MonthlyIncome]]&lt;10000,"Medium","High"))</f>
        <v>Low</v>
      </c>
      <c r="AC778" t="str">
        <f>IF(H_A[[#This Row],[YearsAtCompany]]&lt;3,"Early",IF(H_A[[#This Row],[YearsAtCompany]]&lt;7,"Mid","Long"))</f>
        <v>Early</v>
      </c>
      <c r="AD778" t="str">
        <f>IF(H_A[[#This Row],[PercentSalaryHike]]&lt;13,"Low",IF(H_A[[#This Row],[PercentSalaryHike]]&lt;18,"Medium","High"))</f>
        <v>Medium</v>
      </c>
    </row>
    <row r="779" spans="1:30" x14ac:dyDescent="0.3">
      <c r="A779">
        <v>21</v>
      </c>
      <c r="B779">
        <v>1079</v>
      </c>
      <c r="C779" t="s">
        <v>30</v>
      </c>
      <c r="D779" t="s">
        <v>37</v>
      </c>
      <c r="E779">
        <v>10</v>
      </c>
      <c r="F779">
        <v>3</v>
      </c>
      <c r="G779" t="s">
        <v>32</v>
      </c>
      <c r="H779">
        <v>3</v>
      </c>
      <c r="I779" t="s">
        <v>33</v>
      </c>
      <c r="J779">
        <v>2</v>
      </c>
      <c r="K779">
        <v>1</v>
      </c>
      <c r="L779" t="s">
        <v>42</v>
      </c>
      <c r="M779">
        <v>1</v>
      </c>
      <c r="N779" t="s">
        <v>35</v>
      </c>
      <c r="O779">
        <v>1416</v>
      </c>
      <c r="P779">
        <v>1</v>
      </c>
      <c r="Q779" t="s">
        <v>36</v>
      </c>
      <c r="R779">
        <v>1</v>
      </c>
      <c r="S779">
        <v>1</v>
      </c>
      <c r="T779">
        <v>2</v>
      </c>
      <c r="U779">
        <v>1</v>
      </c>
      <c r="V779">
        <v>0</v>
      </c>
      <c r="W779">
        <v>1</v>
      </c>
      <c r="X779">
        <v>0</v>
      </c>
      <c r="Y779">
        <v>13</v>
      </c>
      <c r="Z779">
        <f>IF(H_A[[#This Row],[Attrition]]="Yes",1,0)</f>
        <v>1</v>
      </c>
      <c r="AA779" t="str">
        <f>IF(H_A[[#This Row],[Age]]&lt;30,"Young",IF(H_A[[#This Row],[Age]]&lt;45,"Mid","Senior"))</f>
        <v>Young</v>
      </c>
      <c r="AB779" t="str">
        <f>IF(H_A[[#This Row],[MonthlyIncome]]&lt;5000,"Low",IF(H_A[[#This Row],[MonthlyIncome]]&lt;10000,"Medium","High"))</f>
        <v>Low</v>
      </c>
      <c r="AC779" t="str">
        <f>IF(H_A[[#This Row],[YearsAtCompany]]&lt;3,"Early",IF(H_A[[#This Row],[YearsAtCompany]]&lt;7,"Mid","Long"))</f>
        <v>Early</v>
      </c>
      <c r="AD779" t="str">
        <f>IF(H_A[[#This Row],[PercentSalaryHike]]&lt;13,"Low",IF(H_A[[#This Row],[PercentSalaryHike]]&lt;18,"Medium","High"))</f>
        <v>Medium</v>
      </c>
    </row>
    <row r="780" spans="1:30" x14ac:dyDescent="0.3">
      <c r="A780">
        <v>46</v>
      </c>
      <c r="B780">
        <v>1080</v>
      </c>
      <c r="C780" t="s">
        <v>36</v>
      </c>
      <c r="D780" t="s">
        <v>37</v>
      </c>
      <c r="E780">
        <v>8</v>
      </c>
      <c r="F780">
        <v>4</v>
      </c>
      <c r="G780" t="s">
        <v>32</v>
      </c>
      <c r="H780">
        <v>4</v>
      </c>
      <c r="I780" t="s">
        <v>33</v>
      </c>
      <c r="J780">
        <v>2</v>
      </c>
      <c r="K780">
        <v>2</v>
      </c>
      <c r="L780" t="s">
        <v>39</v>
      </c>
      <c r="M780">
        <v>1</v>
      </c>
      <c r="N780" t="s">
        <v>44</v>
      </c>
      <c r="O780">
        <v>4615</v>
      </c>
      <c r="P780">
        <v>8</v>
      </c>
      <c r="Q780" t="s">
        <v>30</v>
      </c>
      <c r="R780">
        <v>1</v>
      </c>
      <c r="S780">
        <v>19</v>
      </c>
      <c r="T780">
        <v>3</v>
      </c>
      <c r="U780">
        <v>16</v>
      </c>
      <c r="V780">
        <v>13</v>
      </c>
      <c r="W780">
        <v>1</v>
      </c>
      <c r="X780">
        <v>7</v>
      </c>
      <c r="Y780">
        <v>23</v>
      </c>
      <c r="Z780">
        <f>IF(H_A[[#This Row],[Attrition]]="Yes",1,0)</f>
        <v>0</v>
      </c>
      <c r="AA780" t="str">
        <f>IF(H_A[[#This Row],[Age]]&lt;30,"Young",IF(H_A[[#This Row],[Age]]&lt;45,"Mid","Senior"))</f>
        <v>Senior</v>
      </c>
      <c r="AB780" t="str">
        <f>IF(H_A[[#This Row],[MonthlyIncome]]&lt;5000,"Low",IF(H_A[[#This Row],[MonthlyIncome]]&lt;10000,"Medium","High"))</f>
        <v>Low</v>
      </c>
      <c r="AC780" t="str">
        <f>IF(H_A[[#This Row],[YearsAtCompany]]&lt;3,"Early",IF(H_A[[#This Row],[YearsAtCompany]]&lt;7,"Mid","Long"))</f>
        <v>Long</v>
      </c>
      <c r="AD780" t="str">
        <f>IF(H_A[[#This Row],[PercentSalaryHike]]&lt;13,"Low",IF(H_A[[#This Row],[PercentSalaryHike]]&lt;18,"Medium","High"))</f>
        <v>High</v>
      </c>
    </row>
    <row r="781" spans="1:30" x14ac:dyDescent="0.3">
      <c r="A781">
        <v>51</v>
      </c>
      <c r="B781">
        <v>1081</v>
      </c>
      <c r="C781" t="s">
        <v>30</v>
      </c>
      <c r="D781" t="s">
        <v>37</v>
      </c>
      <c r="E781">
        <v>4</v>
      </c>
      <c r="F781">
        <v>4</v>
      </c>
      <c r="G781" t="s">
        <v>32</v>
      </c>
      <c r="H781">
        <v>1</v>
      </c>
      <c r="I781" t="s">
        <v>38</v>
      </c>
      <c r="J781">
        <v>3</v>
      </c>
      <c r="K781">
        <v>1</v>
      </c>
      <c r="L781" t="s">
        <v>39</v>
      </c>
      <c r="M781">
        <v>3</v>
      </c>
      <c r="N781" t="s">
        <v>40</v>
      </c>
      <c r="O781">
        <v>2461</v>
      </c>
      <c r="P781">
        <v>9</v>
      </c>
      <c r="Q781" t="s">
        <v>30</v>
      </c>
      <c r="R781">
        <v>3</v>
      </c>
      <c r="S781">
        <v>18</v>
      </c>
      <c r="T781">
        <v>4</v>
      </c>
      <c r="U781">
        <v>10</v>
      </c>
      <c r="V781">
        <v>0</v>
      </c>
      <c r="W781">
        <v>2</v>
      </c>
      <c r="X781">
        <v>7</v>
      </c>
      <c r="Y781">
        <v>12</v>
      </c>
      <c r="Z781">
        <f>IF(H_A[[#This Row],[Attrition]]="Yes",1,0)</f>
        <v>1</v>
      </c>
      <c r="AA781" t="str">
        <f>IF(H_A[[#This Row],[Age]]&lt;30,"Young",IF(H_A[[#This Row],[Age]]&lt;45,"Mid","Senior"))</f>
        <v>Senior</v>
      </c>
      <c r="AB781" t="str">
        <f>IF(H_A[[#This Row],[MonthlyIncome]]&lt;5000,"Low",IF(H_A[[#This Row],[MonthlyIncome]]&lt;10000,"Medium","High"))</f>
        <v>Low</v>
      </c>
      <c r="AC781" t="str">
        <f>IF(H_A[[#This Row],[YearsAtCompany]]&lt;3,"Early",IF(H_A[[#This Row],[YearsAtCompany]]&lt;7,"Mid","Long"))</f>
        <v>Long</v>
      </c>
      <c r="AD781" t="str">
        <f>IF(H_A[[#This Row],[PercentSalaryHike]]&lt;13,"Low",IF(H_A[[#This Row],[PercentSalaryHike]]&lt;18,"Medium","High"))</f>
        <v>Low</v>
      </c>
    </row>
    <row r="782" spans="1:30" x14ac:dyDescent="0.3">
      <c r="A782">
        <v>28</v>
      </c>
      <c r="B782">
        <v>1082</v>
      </c>
      <c r="C782" t="s">
        <v>30</v>
      </c>
      <c r="D782" t="s">
        <v>37</v>
      </c>
      <c r="E782">
        <v>24</v>
      </c>
      <c r="F782">
        <v>2</v>
      </c>
      <c r="G782" t="s">
        <v>51</v>
      </c>
      <c r="H782">
        <v>2</v>
      </c>
      <c r="I782" t="s">
        <v>38</v>
      </c>
      <c r="J782">
        <v>2</v>
      </c>
      <c r="K782">
        <v>3</v>
      </c>
      <c r="L782" t="s">
        <v>46</v>
      </c>
      <c r="M782">
        <v>1</v>
      </c>
      <c r="N782" t="s">
        <v>35</v>
      </c>
      <c r="O782">
        <v>8722</v>
      </c>
      <c r="P782">
        <v>1</v>
      </c>
      <c r="Q782" t="s">
        <v>36</v>
      </c>
      <c r="R782">
        <v>1</v>
      </c>
      <c r="S782">
        <v>10</v>
      </c>
      <c r="T782">
        <v>2</v>
      </c>
      <c r="U782">
        <v>10</v>
      </c>
      <c r="V782">
        <v>7</v>
      </c>
      <c r="W782">
        <v>1</v>
      </c>
      <c r="X782">
        <v>9</v>
      </c>
      <c r="Y782">
        <v>12</v>
      </c>
      <c r="Z782">
        <f>IF(H_A[[#This Row],[Attrition]]="Yes",1,0)</f>
        <v>1</v>
      </c>
      <c r="AA782" t="str">
        <f>IF(H_A[[#This Row],[Age]]&lt;30,"Young",IF(H_A[[#This Row],[Age]]&lt;45,"Mid","Senior"))</f>
        <v>Young</v>
      </c>
      <c r="AB782" t="str">
        <f>IF(H_A[[#This Row],[MonthlyIncome]]&lt;5000,"Low",IF(H_A[[#This Row],[MonthlyIncome]]&lt;10000,"Medium","High"))</f>
        <v>Medium</v>
      </c>
      <c r="AC782" t="str">
        <f>IF(H_A[[#This Row],[YearsAtCompany]]&lt;3,"Early",IF(H_A[[#This Row],[YearsAtCompany]]&lt;7,"Mid","Long"))</f>
        <v>Long</v>
      </c>
      <c r="AD782" t="str">
        <f>IF(H_A[[#This Row],[PercentSalaryHike]]&lt;13,"Low",IF(H_A[[#This Row],[PercentSalaryHike]]&lt;18,"Medium","High"))</f>
        <v>Low</v>
      </c>
    </row>
    <row r="783" spans="1:30" x14ac:dyDescent="0.3">
      <c r="A783">
        <v>26</v>
      </c>
      <c r="B783">
        <v>1083</v>
      </c>
      <c r="C783" t="s">
        <v>36</v>
      </c>
      <c r="D783" t="s">
        <v>37</v>
      </c>
      <c r="E783">
        <v>1</v>
      </c>
      <c r="F783">
        <v>2</v>
      </c>
      <c r="G783" t="s">
        <v>43</v>
      </c>
      <c r="H783">
        <v>1</v>
      </c>
      <c r="I783" t="s">
        <v>38</v>
      </c>
      <c r="J783">
        <v>2</v>
      </c>
      <c r="K783">
        <v>1</v>
      </c>
      <c r="L783" t="s">
        <v>42</v>
      </c>
      <c r="M783">
        <v>1</v>
      </c>
      <c r="N783" t="s">
        <v>40</v>
      </c>
      <c r="O783">
        <v>3955</v>
      </c>
      <c r="P783">
        <v>1</v>
      </c>
      <c r="Q783" t="s">
        <v>36</v>
      </c>
      <c r="R783">
        <v>1</v>
      </c>
      <c r="S783">
        <v>6</v>
      </c>
      <c r="T783">
        <v>3</v>
      </c>
      <c r="U783">
        <v>5</v>
      </c>
      <c r="V783">
        <v>3</v>
      </c>
      <c r="W783">
        <v>1</v>
      </c>
      <c r="X783">
        <v>3</v>
      </c>
      <c r="Y783">
        <v>16</v>
      </c>
      <c r="Z783">
        <f>IF(H_A[[#This Row],[Attrition]]="Yes",1,0)</f>
        <v>0</v>
      </c>
      <c r="AA783" t="str">
        <f>IF(H_A[[#This Row],[Age]]&lt;30,"Young",IF(H_A[[#This Row],[Age]]&lt;45,"Mid","Senior"))</f>
        <v>Young</v>
      </c>
      <c r="AB783" t="str">
        <f>IF(H_A[[#This Row],[MonthlyIncome]]&lt;5000,"Low",IF(H_A[[#This Row],[MonthlyIncome]]&lt;10000,"Medium","High"))</f>
        <v>Low</v>
      </c>
      <c r="AC783" t="str">
        <f>IF(H_A[[#This Row],[YearsAtCompany]]&lt;3,"Early",IF(H_A[[#This Row],[YearsAtCompany]]&lt;7,"Mid","Long"))</f>
        <v>Mid</v>
      </c>
      <c r="AD783" t="str">
        <f>IF(H_A[[#This Row],[PercentSalaryHike]]&lt;13,"Low",IF(H_A[[#This Row],[PercentSalaryHike]]&lt;18,"Medium","High"))</f>
        <v>Medium</v>
      </c>
    </row>
    <row r="784" spans="1:30" x14ac:dyDescent="0.3">
      <c r="A784">
        <v>30</v>
      </c>
      <c r="B784">
        <v>1084</v>
      </c>
      <c r="C784" t="s">
        <v>36</v>
      </c>
      <c r="D784" t="s">
        <v>37</v>
      </c>
      <c r="E784">
        <v>20</v>
      </c>
      <c r="F784">
        <v>3</v>
      </c>
      <c r="G784" t="s">
        <v>41</v>
      </c>
      <c r="H784">
        <v>3</v>
      </c>
      <c r="I784" t="s">
        <v>38</v>
      </c>
      <c r="J784">
        <v>3</v>
      </c>
      <c r="K784">
        <v>2</v>
      </c>
      <c r="L784" t="s">
        <v>45</v>
      </c>
      <c r="M784">
        <v>1</v>
      </c>
      <c r="N784" t="s">
        <v>40</v>
      </c>
      <c r="O784">
        <v>9957</v>
      </c>
      <c r="P784">
        <v>0</v>
      </c>
      <c r="Q784" t="s">
        <v>36</v>
      </c>
      <c r="R784">
        <v>3</v>
      </c>
      <c r="S784">
        <v>7</v>
      </c>
      <c r="T784">
        <v>2</v>
      </c>
      <c r="U784">
        <v>6</v>
      </c>
      <c r="V784">
        <v>2</v>
      </c>
      <c r="W784">
        <v>0</v>
      </c>
      <c r="X784">
        <v>2</v>
      </c>
      <c r="Y784">
        <v>15</v>
      </c>
      <c r="Z784">
        <f>IF(H_A[[#This Row],[Attrition]]="Yes",1,0)</f>
        <v>0</v>
      </c>
      <c r="AA784" t="str">
        <f>IF(H_A[[#This Row],[Age]]&lt;30,"Young",IF(H_A[[#This Row],[Age]]&lt;45,"Mid","Senior"))</f>
        <v>Mid</v>
      </c>
      <c r="AB784" t="str">
        <f>IF(H_A[[#This Row],[MonthlyIncome]]&lt;5000,"Low",IF(H_A[[#This Row],[MonthlyIncome]]&lt;10000,"Medium","High"))</f>
        <v>Medium</v>
      </c>
      <c r="AC784" t="str">
        <f>IF(H_A[[#This Row],[YearsAtCompany]]&lt;3,"Early",IF(H_A[[#This Row],[YearsAtCompany]]&lt;7,"Mid","Long"))</f>
        <v>Mid</v>
      </c>
      <c r="AD784" t="str">
        <f>IF(H_A[[#This Row],[PercentSalaryHike]]&lt;13,"Low",IF(H_A[[#This Row],[PercentSalaryHike]]&lt;18,"Medium","High"))</f>
        <v>Medium</v>
      </c>
    </row>
    <row r="785" spans="1:30" x14ac:dyDescent="0.3">
      <c r="A785">
        <v>41</v>
      </c>
      <c r="B785">
        <v>1085</v>
      </c>
      <c r="C785" t="s">
        <v>36</v>
      </c>
      <c r="D785" t="s">
        <v>37</v>
      </c>
      <c r="E785">
        <v>7</v>
      </c>
      <c r="F785">
        <v>2</v>
      </c>
      <c r="G785" t="s">
        <v>51</v>
      </c>
      <c r="H785">
        <v>2</v>
      </c>
      <c r="I785" t="s">
        <v>33</v>
      </c>
      <c r="J785">
        <v>4</v>
      </c>
      <c r="K785">
        <v>1</v>
      </c>
      <c r="L785" t="s">
        <v>39</v>
      </c>
      <c r="M785">
        <v>3</v>
      </c>
      <c r="N785" t="s">
        <v>40</v>
      </c>
      <c r="O785">
        <v>3376</v>
      </c>
      <c r="P785">
        <v>1</v>
      </c>
      <c r="Q785" t="s">
        <v>36</v>
      </c>
      <c r="R785">
        <v>3</v>
      </c>
      <c r="S785">
        <v>10</v>
      </c>
      <c r="T785">
        <v>3</v>
      </c>
      <c r="U785">
        <v>10</v>
      </c>
      <c r="V785">
        <v>6</v>
      </c>
      <c r="W785">
        <v>0</v>
      </c>
      <c r="X785">
        <v>8</v>
      </c>
      <c r="Y785">
        <v>13</v>
      </c>
      <c r="Z785">
        <f>IF(H_A[[#This Row],[Attrition]]="Yes",1,0)</f>
        <v>0</v>
      </c>
      <c r="AA785" t="str">
        <f>IF(H_A[[#This Row],[Age]]&lt;30,"Young",IF(H_A[[#This Row],[Age]]&lt;45,"Mid","Senior"))</f>
        <v>Mid</v>
      </c>
      <c r="AB785" t="str">
        <f>IF(H_A[[#This Row],[MonthlyIncome]]&lt;5000,"Low",IF(H_A[[#This Row],[MonthlyIncome]]&lt;10000,"Medium","High"))</f>
        <v>Low</v>
      </c>
      <c r="AC785" t="str">
        <f>IF(H_A[[#This Row],[YearsAtCompany]]&lt;3,"Early",IF(H_A[[#This Row],[YearsAtCompany]]&lt;7,"Mid","Long"))</f>
        <v>Long</v>
      </c>
      <c r="AD785" t="str">
        <f>IF(H_A[[#This Row],[PercentSalaryHike]]&lt;13,"Low",IF(H_A[[#This Row],[PercentSalaryHike]]&lt;18,"Medium","High"))</f>
        <v>Medium</v>
      </c>
    </row>
    <row r="786" spans="1:30" x14ac:dyDescent="0.3">
      <c r="A786">
        <v>38</v>
      </c>
      <c r="B786">
        <v>1088</v>
      </c>
      <c r="C786" t="s">
        <v>36</v>
      </c>
      <c r="D786" t="s">
        <v>37</v>
      </c>
      <c r="E786">
        <v>17</v>
      </c>
      <c r="F786">
        <v>1</v>
      </c>
      <c r="G786" t="s">
        <v>32</v>
      </c>
      <c r="H786">
        <v>3</v>
      </c>
      <c r="I786" t="s">
        <v>33</v>
      </c>
      <c r="J786">
        <v>2</v>
      </c>
      <c r="K786">
        <v>3</v>
      </c>
      <c r="L786" t="s">
        <v>46</v>
      </c>
      <c r="M786">
        <v>3</v>
      </c>
      <c r="N786" t="s">
        <v>40</v>
      </c>
      <c r="O786">
        <v>8823</v>
      </c>
      <c r="P786">
        <v>0</v>
      </c>
      <c r="Q786" t="s">
        <v>36</v>
      </c>
      <c r="R786">
        <v>1</v>
      </c>
      <c r="S786">
        <v>20</v>
      </c>
      <c r="T786">
        <v>2</v>
      </c>
      <c r="U786">
        <v>19</v>
      </c>
      <c r="V786">
        <v>9</v>
      </c>
      <c r="W786">
        <v>1</v>
      </c>
      <c r="X786">
        <v>9</v>
      </c>
      <c r="Y786">
        <v>18</v>
      </c>
      <c r="Z786">
        <f>IF(H_A[[#This Row],[Attrition]]="Yes",1,0)</f>
        <v>0</v>
      </c>
      <c r="AA786" t="str">
        <f>IF(H_A[[#This Row],[Age]]&lt;30,"Young",IF(H_A[[#This Row],[Age]]&lt;45,"Mid","Senior"))</f>
        <v>Mid</v>
      </c>
      <c r="AB786" t="str">
        <f>IF(H_A[[#This Row],[MonthlyIncome]]&lt;5000,"Low",IF(H_A[[#This Row],[MonthlyIncome]]&lt;10000,"Medium","High"))</f>
        <v>Medium</v>
      </c>
      <c r="AC786" t="str">
        <f>IF(H_A[[#This Row],[YearsAtCompany]]&lt;3,"Early",IF(H_A[[#This Row],[YearsAtCompany]]&lt;7,"Mid","Long"))</f>
        <v>Long</v>
      </c>
      <c r="AD786" t="str">
        <f>IF(H_A[[#This Row],[PercentSalaryHike]]&lt;13,"Low",IF(H_A[[#This Row],[PercentSalaryHike]]&lt;18,"Medium","High"))</f>
        <v>High</v>
      </c>
    </row>
    <row r="787" spans="1:30" x14ac:dyDescent="0.3">
      <c r="A787">
        <v>40</v>
      </c>
      <c r="B787">
        <v>1092</v>
      </c>
      <c r="C787" t="s">
        <v>36</v>
      </c>
      <c r="D787" t="s">
        <v>37</v>
      </c>
      <c r="E787">
        <v>20</v>
      </c>
      <c r="F787">
        <v>4</v>
      </c>
      <c r="G787" t="s">
        <v>51</v>
      </c>
      <c r="H787">
        <v>1</v>
      </c>
      <c r="I787" t="s">
        <v>38</v>
      </c>
      <c r="J787">
        <v>3</v>
      </c>
      <c r="K787">
        <v>3</v>
      </c>
      <c r="L787" t="s">
        <v>46</v>
      </c>
      <c r="M787">
        <v>4</v>
      </c>
      <c r="N787" t="s">
        <v>40</v>
      </c>
      <c r="O787">
        <v>10322</v>
      </c>
      <c r="P787">
        <v>4</v>
      </c>
      <c r="Q787" t="s">
        <v>36</v>
      </c>
      <c r="R787">
        <v>4</v>
      </c>
      <c r="S787">
        <v>14</v>
      </c>
      <c r="T787">
        <v>3</v>
      </c>
      <c r="U787">
        <v>11</v>
      </c>
      <c r="V787">
        <v>10</v>
      </c>
      <c r="W787">
        <v>11</v>
      </c>
      <c r="X787">
        <v>1</v>
      </c>
      <c r="Y787">
        <v>20</v>
      </c>
      <c r="Z787">
        <f>IF(H_A[[#This Row],[Attrition]]="Yes",1,0)</f>
        <v>0</v>
      </c>
      <c r="AA787" t="str">
        <f>IF(H_A[[#This Row],[Age]]&lt;30,"Young",IF(H_A[[#This Row],[Age]]&lt;45,"Mid","Senior"))</f>
        <v>Mid</v>
      </c>
      <c r="AB787" t="str">
        <f>IF(H_A[[#This Row],[MonthlyIncome]]&lt;5000,"Low",IF(H_A[[#This Row],[MonthlyIncome]]&lt;10000,"Medium","High"))</f>
        <v>High</v>
      </c>
      <c r="AC787" t="str">
        <f>IF(H_A[[#This Row],[YearsAtCompany]]&lt;3,"Early",IF(H_A[[#This Row],[YearsAtCompany]]&lt;7,"Mid","Long"))</f>
        <v>Long</v>
      </c>
      <c r="AD787" t="str">
        <f>IF(H_A[[#This Row],[PercentSalaryHike]]&lt;13,"Low",IF(H_A[[#This Row],[PercentSalaryHike]]&lt;18,"Medium","High"))</f>
        <v>High</v>
      </c>
    </row>
    <row r="788" spans="1:30" x14ac:dyDescent="0.3">
      <c r="A788">
        <v>27</v>
      </c>
      <c r="B788">
        <v>1094</v>
      </c>
      <c r="C788" t="s">
        <v>36</v>
      </c>
      <c r="D788" t="s">
        <v>37</v>
      </c>
      <c r="E788">
        <v>8</v>
      </c>
      <c r="F788">
        <v>5</v>
      </c>
      <c r="G788" t="s">
        <v>32</v>
      </c>
      <c r="H788">
        <v>1</v>
      </c>
      <c r="I788" t="s">
        <v>38</v>
      </c>
      <c r="J788">
        <v>1</v>
      </c>
      <c r="K788">
        <v>1</v>
      </c>
      <c r="L788" t="s">
        <v>42</v>
      </c>
      <c r="M788">
        <v>3</v>
      </c>
      <c r="N788" t="s">
        <v>40</v>
      </c>
      <c r="O788">
        <v>4621</v>
      </c>
      <c r="P788">
        <v>1</v>
      </c>
      <c r="Q788" t="s">
        <v>36</v>
      </c>
      <c r="R788">
        <v>4</v>
      </c>
      <c r="S788">
        <v>3</v>
      </c>
      <c r="T788">
        <v>3</v>
      </c>
      <c r="U788">
        <v>3</v>
      </c>
      <c r="V788">
        <v>2</v>
      </c>
      <c r="W788">
        <v>1</v>
      </c>
      <c r="X788">
        <v>2</v>
      </c>
      <c r="Y788">
        <v>19</v>
      </c>
      <c r="Z788">
        <f>IF(H_A[[#This Row],[Attrition]]="Yes",1,0)</f>
        <v>0</v>
      </c>
      <c r="AA788" t="str">
        <f>IF(H_A[[#This Row],[Age]]&lt;30,"Young",IF(H_A[[#This Row],[Age]]&lt;45,"Mid","Senior"))</f>
        <v>Young</v>
      </c>
      <c r="AB788" t="str">
        <f>IF(H_A[[#This Row],[MonthlyIncome]]&lt;5000,"Low",IF(H_A[[#This Row],[MonthlyIncome]]&lt;10000,"Medium","High"))</f>
        <v>Low</v>
      </c>
      <c r="AC788" t="str">
        <f>IF(H_A[[#This Row],[YearsAtCompany]]&lt;3,"Early",IF(H_A[[#This Row],[YearsAtCompany]]&lt;7,"Mid","Long"))</f>
        <v>Mid</v>
      </c>
      <c r="AD788" t="str">
        <f>IF(H_A[[#This Row],[PercentSalaryHike]]&lt;13,"Low",IF(H_A[[#This Row],[PercentSalaryHike]]&lt;18,"Medium","High"))</f>
        <v>High</v>
      </c>
    </row>
    <row r="789" spans="1:30" x14ac:dyDescent="0.3">
      <c r="A789">
        <v>55</v>
      </c>
      <c r="B789">
        <v>1096</v>
      </c>
      <c r="C789" t="s">
        <v>36</v>
      </c>
      <c r="D789" t="s">
        <v>37</v>
      </c>
      <c r="E789">
        <v>2</v>
      </c>
      <c r="F789">
        <v>1</v>
      </c>
      <c r="G789" t="s">
        <v>32</v>
      </c>
      <c r="H789">
        <v>4</v>
      </c>
      <c r="I789" t="s">
        <v>38</v>
      </c>
      <c r="J789">
        <v>3</v>
      </c>
      <c r="K789">
        <v>3</v>
      </c>
      <c r="L789" t="s">
        <v>45</v>
      </c>
      <c r="M789">
        <v>2</v>
      </c>
      <c r="N789" t="s">
        <v>40</v>
      </c>
      <c r="O789">
        <v>10976</v>
      </c>
      <c r="P789">
        <v>3</v>
      </c>
      <c r="Q789" t="s">
        <v>36</v>
      </c>
      <c r="R789">
        <v>2</v>
      </c>
      <c r="S789">
        <v>23</v>
      </c>
      <c r="T789">
        <v>3</v>
      </c>
      <c r="U789">
        <v>3</v>
      </c>
      <c r="V789">
        <v>2</v>
      </c>
      <c r="W789">
        <v>1</v>
      </c>
      <c r="X789">
        <v>2</v>
      </c>
      <c r="Y789">
        <v>18</v>
      </c>
      <c r="Z789">
        <f>IF(H_A[[#This Row],[Attrition]]="Yes",1,0)</f>
        <v>0</v>
      </c>
      <c r="AA789" t="str">
        <f>IF(H_A[[#This Row],[Age]]&lt;30,"Young",IF(H_A[[#This Row],[Age]]&lt;45,"Mid","Senior"))</f>
        <v>Senior</v>
      </c>
      <c r="AB789" t="str">
        <f>IF(H_A[[#This Row],[MonthlyIncome]]&lt;5000,"Low",IF(H_A[[#This Row],[MonthlyIncome]]&lt;10000,"Medium","High"))</f>
        <v>High</v>
      </c>
      <c r="AC789" t="str">
        <f>IF(H_A[[#This Row],[YearsAtCompany]]&lt;3,"Early",IF(H_A[[#This Row],[YearsAtCompany]]&lt;7,"Mid","Long"))</f>
        <v>Mid</v>
      </c>
      <c r="AD789" t="str">
        <f>IF(H_A[[#This Row],[PercentSalaryHike]]&lt;13,"Low",IF(H_A[[#This Row],[PercentSalaryHike]]&lt;18,"Medium","High"))</f>
        <v>High</v>
      </c>
    </row>
    <row r="790" spans="1:30" x14ac:dyDescent="0.3">
      <c r="A790">
        <v>28</v>
      </c>
      <c r="B790">
        <v>1097</v>
      </c>
      <c r="C790" t="s">
        <v>36</v>
      </c>
      <c r="D790" t="s">
        <v>37</v>
      </c>
      <c r="E790">
        <v>10</v>
      </c>
      <c r="F790">
        <v>3</v>
      </c>
      <c r="G790" t="s">
        <v>41</v>
      </c>
      <c r="H790">
        <v>3</v>
      </c>
      <c r="I790" t="s">
        <v>33</v>
      </c>
      <c r="J790">
        <v>3</v>
      </c>
      <c r="K790">
        <v>2</v>
      </c>
      <c r="L790" t="s">
        <v>39</v>
      </c>
      <c r="M790">
        <v>3</v>
      </c>
      <c r="N790" t="s">
        <v>35</v>
      </c>
      <c r="O790">
        <v>3660</v>
      </c>
      <c r="P790">
        <v>3</v>
      </c>
      <c r="Q790" t="s">
        <v>36</v>
      </c>
      <c r="R790">
        <v>4</v>
      </c>
      <c r="S790">
        <v>10</v>
      </c>
      <c r="T790">
        <v>4</v>
      </c>
      <c r="U790">
        <v>8</v>
      </c>
      <c r="V790">
        <v>7</v>
      </c>
      <c r="W790">
        <v>1</v>
      </c>
      <c r="X790">
        <v>7</v>
      </c>
      <c r="Y790">
        <v>13</v>
      </c>
      <c r="Z790">
        <f>IF(H_A[[#This Row],[Attrition]]="Yes",1,0)</f>
        <v>0</v>
      </c>
      <c r="AA790" t="str">
        <f>IF(H_A[[#This Row],[Age]]&lt;30,"Young",IF(H_A[[#This Row],[Age]]&lt;45,"Mid","Senior"))</f>
        <v>Young</v>
      </c>
      <c r="AB790" t="str">
        <f>IF(H_A[[#This Row],[MonthlyIncome]]&lt;5000,"Low",IF(H_A[[#This Row],[MonthlyIncome]]&lt;10000,"Medium","High"))</f>
        <v>Low</v>
      </c>
      <c r="AC790" t="str">
        <f>IF(H_A[[#This Row],[YearsAtCompany]]&lt;3,"Early",IF(H_A[[#This Row],[YearsAtCompany]]&lt;7,"Mid","Long"))</f>
        <v>Long</v>
      </c>
      <c r="AD790" t="str">
        <f>IF(H_A[[#This Row],[PercentSalaryHike]]&lt;13,"Low",IF(H_A[[#This Row],[PercentSalaryHike]]&lt;18,"Medium","High"))</f>
        <v>Medium</v>
      </c>
    </row>
    <row r="791" spans="1:30" x14ac:dyDescent="0.3">
      <c r="A791">
        <v>44</v>
      </c>
      <c r="B791">
        <v>1098</v>
      </c>
      <c r="C791" t="s">
        <v>30</v>
      </c>
      <c r="D791" t="s">
        <v>52</v>
      </c>
      <c r="E791">
        <v>1</v>
      </c>
      <c r="F791">
        <v>2</v>
      </c>
      <c r="G791" t="s">
        <v>43</v>
      </c>
      <c r="H791">
        <v>2</v>
      </c>
      <c r="I791" t="s">
        <v>38</v>
      </c>
      <c r="J791">
        <v>2</v>
      </c>
      <c r="K791">
        <v>3</v>
      </c>
      <c r="L791" t="s">
        <v>52</v>
      </c>
      <c r="M791">
        <v>1</v>
      </c>
      <c r="N791" t="s">
        <v>40</v>
      </c>
      <c r="O791">
        <v>10482</v>
      </c>
      <c r="P791">
        <v>9</v>
      </c>
      <c r="Q791" t="s">
        <v>36</v>
      </c>
      <c r="R791">
        <v>4</v>
      </c>
      <c r="S791">
        <v>24</v>
      </c>
      <c r="T791">
        <v>3</v>
      </c>
      <c r="U791">
        <v>20</v>
      </c>
      <c r="V791">
        <v>6</v>
      </c>
      <c r="W791">
        <v>3</v>
      </c>
      <c r="X791">
        <v>6</v>
      </c>
      <c r="Y791">
        <v>14</v>
      </c>
      <c r="Z791">
        <f>IF(H_A[[#This Row],[Attrition]]="Yes",1,0)</f>
        <v>1</v>
      </c>
      <c r="AA791" t="str">
        <f>IF(H_A[[#This Row],[Age]]&lt;30,"Young",IF(H_A[[#This Row],[Age]]&lt;45,"Mid","Senior"))</f>
        <v>Mid</v>
      </c>
      <c r="AB791" t="str">
        <f>IF(H_A[[#This Row],[MonthlyIncome]]&lt;5000,"Low",IF(H_A[[#This Row],[MonthlyIncome]]&lt;10000,"Medium","High"))</f>
        <v>High</v>
      </c>
      <c r="AC791" t="str">
        <f>IF(H_A[[#This Row],[YearsAtCompany]]&lt;3,"Early",IF(H_A[[#This Row],[YearsAtCompany]]&lt;7,"Mid","Long"))</f>
        <v>Long</v>
      </c>
      <c r="AD791" t="str">
        <f>IF(H_A[[#This Row],[PercentSalaryHike]]&lt;13,"Low",IF(H_A[[#This Row],[PercentSalaryHike]]&lt;18,"Medium","High"))</f>
        <v>Medium</v>
      </c>
    </row>
    <row r="792" spans="1:30" x14ac:dyDescent="0.3">
      <c r="A792">
        <v>33</v>
      </c>
      <c r="B792">
        <v>1099</v>
      </c>
      <c r="C792" t="s">
        <v>36</v>
      </c>
      <c r="D792" t="s">
        <v>37</v>
      </c>
      <c r="E792">
        <v>5</v>
      </c>
      <c r="F792">
        <v>3</v>
      </c>
      <c r="G792" t="s">
        <v>32</v>
      </c>
      <c r="H792">
        <v>4</v>
      </c>
      <c r="I792" t="s">
        <v>38</v>
      </c>
      <c r="J792">
        <v>2</v>
      </c>
      <c r="K792">
        <v>3</v>
      </c>
      <c r="L792" t="s">
        <v>46</v>
      </c>
      <c r="M792">
        <v>4</v>
      </c>
      <c r="N792" t="s">
        <v>44</v>
      </c>
      <c r="O792">
        <v>7119</v>
      </c>
      <c r="P792">
        <v>4</v>
      </c>
      <c r="Q792" t="s">
        <v>36</v>
      </c>
      <c r="R792">
        <v>3</v>
      </c>
      <c r="S792">
        <v>9</v>
      </c>
      <c r="T792">
        <v>3</v>
      </c>
      <c r="U792">
        <v>3</v>
      </c>
      <c r="V792">
        <v>2</v>
      </c>
      <c r="W792">
        <v>1</v>
      </c>
      <c r="X792">
        <v>2</v>
      </c>
      <c r="Y792">
        <v>15</v>
      </c>
      <c r="Z792">
        <f>IF(H_A[[#This Row],[Attrition]]="Yes",1,0)</f>
        <v>0</v>
      </c>
      <c r="AA792" t="str">
        <f>IF(H_A[[#This Row],[Age]]&lt;30,"Young",IF(H_A[[#This Row],[Age]]&lt;45,"Mid","Senior"))</f>
        <v>Mid</v>
      </c>
      <c r="AB792" t="str">
        <f>IF(H_A[[#This Row],[MonthlyIncome]]&lt;5000,"Low",IF(H_A[[#This Row],[MonthlyIncome]]&lt;10000,"Medium","High"))</f>
        <v>Medium</v>
      </c>
      <c r="AC792" t="str">
        <f>IF(H_A[[#This Row],[YearsAtCompany]]&lt;3,"Early",IF(H_A[[#This Row],[YearsAtCompany]]&lt;7,"Mid","Long"))</f>
        <v>Mid</v>
      </c>
      <c r="AD792" t="str">
        <f>IF(H_A[[#This Row],[PercentSalaryHike]]&lt;13,"Low",IF(H_A[[#This Row],[PercentSalaryHike]]&lt;18,"Medium","High"))</f>
        <v>Medium</v>
      </c>
    </row>
    <row r="793" spans="1:30" x14ac:dyDescent="0.3">
      <c r="A793">
        <v>35</v>
      </c>
      <c r="B793">
        <v>1100</v>
      </c>
      <c r="C793" t="s">
        <v>30</v>
      </c>
      <c r="D793" t="s">
        <v>31</v>
      </c>
      <c r="E793">
        <v>4</v>
      </c>
      <c r="F793">
        <v>3</v>
      </c>
      <c r="G793" t="s">
        <v>51</v>
      </c>
      <c r="H793">
        <v>4</v>
      </c>
      <c r="I793" t="s">
        <v>38</v>
      </c>
      <c r="J793">
        <v>3</v>
      </c>
      <c r="K793">
        <v>3</v>
      </c>
      <c r="L793" t="s">
        <v>34</v>
      </c>
      <c r="M793">
        <v>1</v>
      </c>
      <c r="N793" t="s">
        <v>35</v>
      </c>
      <c r="O793">
        <v>9582</v>
      </c>
      <c r="P793">
        <v>0</v>
      </c>
      <c r="Q793" t="s">
        <v>30</v>
      </c>
      <c r="R793">
        <v>1</v>
      </c>
      <c r="S793">
        <v>9</v>
      </c>
      <c r="T793">
        <v>3</v>
      </c>
      <c r="U793">
        <v>8</v>
      </c>
      <c r="V793">
        <v>7</v>
      </c>
      <c r="W793">
        <v>4</v>
      </c>
      <c r="X793">
        <v>7</v>
      </c>
      <c r="Y793">
        <v>22</v>
      </c>
      <c r="Z793">
        <f>IF(H_A[[#This Row],[Attrition]]="Yes",1,0)</f>
        <v>1</v>
      </c>
      <c r="AA793" t="str">
        <f>IF(H_A[[#This Row],[Age]]&lt;30,"Young",IF(H_A[[#This Row],[Age]]&lt;45,"Mid","Senior"))</f>
        <v>Mid</v>
      </c>
      <c r="AB793" t="str">
        <f>IF(H_A[[#This Row],[MonthlyIncome]]&lt;5000,"Low",IF(H_A[[#This Row],[MonthlyIncome]]&lt;10000,"Medium","High"))</f>
        <v>Medium</v>
      </c>
      <c r="AC793" t="str">
        <f>IF(H_A[[#This Row],[YearsAtCompany]]&lt;3,"Early",IF(H_A[[#This Row],[YearsAtCompany]]&lt;7,"Mid","Long"))</f>
        <v>Long</v>
      </c>
      <c r="AD793" t="str">
        <f>IF(H_A[[#This Row],[PercentSalaryHike]]&lt;13,"Low",IF(H_A[[#This Row],[PercentSalaryHike]]&lt;18,"Medium","High"))</f>
        <v>High</v>
      </c>
    </row>
    <row r="794" spans="1:30" x14ac:dyDescent="0.3">
      <c r="A794">
        <v>33</v>
      </c>
      <c r="B794">
        <v>1101</v>
      </c>
      <c r="C794" t="s">
        <v>30</v>
      </c>
      <c r="D794" t="s">
        <v>37</v>
      </c>
      <c r="E794">
        <v>29</v>
      </c>
      <c r="F794">
        <v>4</v>
      </c>
      <c r="G794" t="s">
        <v>43</v>
      </c>
      <c r="H794">
        <v>1</v>
      </c>
      <c r="I794" t="s">
        <v>33</v>
      </c>
      <c r="J794">
        <v>2</v>
      </c>
      <c r="K794">
        <v>2</v>
      </c>
      <c r="L794" t="s">
        <v>39</v>
      </c>
      <c r="M794">
        <v>3</v>
      </c>
      <c r="N794" t="s">
        <v>35</v>
      </c>
      <c r="O794">
        <v>4508</v>
      </c>
      <c r="P794">
        <v>1</v>
      </c>
      <c r="Q794" t="s">
        <v>36</v>
      </c>
      <c r="R794">
        <v>2</v>
      </c>
      <c r="S794">
        <v>14</v>
      </c>
      <c r="T794">
        <v>3</v>
      </c>
      <c r="U794">
        <v>13</v>
      </c>
      <c r="V794">
        <v>7</v>
      </c>
      <c r="W794">
        <v>3</v>
      </c>
      <c r="X794">
        <v>8</v>
      </c>
      <c r="Y794">
        <v>22</v>
      </c>
      <c r="Z794">
        <f>IF(H_A[[#This Row],[Attrition]]="Yes",1,0)</f>
        <v>1</v>
      </c>
      <c r="AA794" t="str">
        <f>IF(H_A[[#This Row],[Age]]&lt;30,"Young",IF(H_A[[#This Row],[Age]]&lt;45,"Mid","Senior"))</f>
        <v>Mid</v>
      </c>
      <c r="AB794" t="str">
        <f>IF(H_A[[#This Row],[MonthlyIncome]]&lt;5000,"Low",IF(H_A[[#This Row],[MonthlyIncome]]&lt;10000,"Medium","High"))</f>
        <v>Low</v>
      </c>
      <c r="AC794" t="str">
        <f>IF(H_A[[#This Row],[YearsAtCompany]]&lt;3,"Early",IF(H_A[[#This Row],[YearsAtCompany]]&lt;7,"Mid","Long"))</f>
        <v>Long</v>
      </c>
      <c r="AD794" t="str">
        <f>IF(H_A[[#This Row],[PercentSalaryHike]]&lt;13,"Low",IF(H_A[[#This Row],[PercentSalaryHike]]&lt;18,"Medium","High"))</f>
        <v>High</v>
      </c>
    </row>
    <row r="795" spans="1:30" x14ac:dyDescent="0.3">
      <c r="A795">
        <v>28</v>
      </c>
      <c r="B795">
        <v>1102</v>
      </c>
      <c r="C795" t="s">
        <v>36</v>
      </c>
      <c r="D795" t="s">
        <v>37</v>
      </c>
      <c r="E795">
        <v>15</v>
      </c>
      <c r="F795">
        <v>2</v>
      </c>
      <c r="G795" t="s">
        <v>32</v>
      </c>
      <c r="H795">
        <v>1</v>
      </c>
      <c r="I795" t="s">
        <v>38</v>
      </c>
      <c r="J795">
        <v>3</v>
      </c>
      <c r="K795">
        <v>1</v>
      </c>
      <c r="L795" t="s">
        <v>42</v>
      </c>
      <c r="M795">
        <v>3</v>
      </c>
      <c r="N795" t="s">
        <v>44</v>
      </c>
      <c r="O795">
        <v>2207</v>
      </c>
      <c r="P795">
        <v>1</v>
      </c>
      <c r="Q795" t="s">
        <v>36</v>
      </c>
      <c r="R795">
        <v>4</v>
      </c>
      <c r="S795">
        <v>4</v>
      </c>
      <c r="T795">
        <v>2</v>
      </c>
      <c r="U795">
        <v>4</v>
      </c>
      <c r="V795">
        <v>2</v>
      </c>
      <c r="W795">
        <v>2</v>
      </c>
      <c r="X795">
        <v>2</v>
      </c>
      <c r="Y795">
        <v>16</v>
      </c>
      <c r="Z795">
        <f>IF(H_A[[#This Row],[Attrition]]="Yes",1,0)</f>
        <v>0</v>
      </c>
      <c r="AA795" t="str">
        <f>IF(H_A[[#This Row],[Age]]&lt;30,"Young",IF(H_A[[#This Row],[Age]]&lt;45,"Mid","Senior"))</f>
        <v>Young</v>
      </c>
      <c r="AB795" t="str">
        <f>IF(H_A[[#This Row],[MonthlyIncome]]&lt;5000,"Low",IF(H_A[[#This Row],[MonthlyIncome]]&lt;10000,"Medium","High"))</f>
        <v>Low</v>
      </c>
      <c r="AC795" t="str">
        <f>IF(H_A[[#This Row],[YearsAtCompany]]&lt;3,"Early",IF(H_A[[#This Row],[YearsAtCompany]]&lt;7,"Mid","Long"))</f>
        <v>Mid</v>
      </c>
      <c r="AD795" t="str">
        <f>IF(H_A[[#This Row],[PercentSalaryHike]]&lt;13,"Low",IF(H_A[[#This Row],[PercentSalaryHike]]&lt;18,"Medium","High"))</f>
        <v>Medium</v>
      </c>
    </row>
    <row r="796" spans="1:30" x14ac:dyDescent="0.3">
      <c r="A796">
        <v>34</v>
      </c>
      <c r="B796">
        <v>1103</v>
      </c>
      <c r="C796" t="s">
        <v>36</v>
      </c>
      <c r="D796" t="s">
        <v>37</v>
      </c>
      <c r="E796">
        <v>3</v>
      </c>
      <c r="F796">
        <v>1</v>
      </c>
      <c r="G796" t="s">
        <v>32</v>
      </c>
      <c r="H796">
        <v>1</v>
      </c>
      <c r="I796" t="s">
        <v>38</v>
      </c>
      <c r="J796">
        <v>3</v>
      </c>
      <c r="K796">
        <v>2</v>
      </c>
      <c r="L796" t="s">
        <v>46</v>
      </c>
      <c r="M796">
        <v>4</v>
      </c>
      <c r="N796" t="s">
        <v>35</v>
      </c>
      <c r="O796">
        <v>7756</v>
      </c>
      <c r="P796">
        <v>0</v>
      </c>
      <c r="Q796" t="s">
        <v>36</v>
      </c>
      <c r="R796">
        <v>3</v>
      </c>
      <c r="S796">
        <v>7</v>
      </c>
      <c r="T796">
        <v>2</v>
      </c>
      <c r="U796">
        <v>6</v>
      </c>
      <c r="V796">
        <v>2</v>
      </c>
      <c r="W796">
        <v>0</v>
      </c>
      <c r="X796">
        <v>4</v>
      </c>
      <c r="Y796">
        <v>17</v>
      </c>
      <c r="Z796">
        <f>IF(H_A[[#This Row],[Attrition]]="Yes",1,0)</f>
        <v>0</v>
      </c>
      <c r="AA796" t="str">
        <f>IF(H_A[[#This Row],[Age]]&lt;30,"Young",IF(H_A[[#This Row],[Age]]&lt;45,"Mid","Senior"))</f>
        <v>Mid</v>
      </c>
      <c r="AB796" t="str">
        <f>IF(H_A[[#This Row],[MonthlyIncome]]&lt;5000,"Low",IF(H_A[[#This Row],[MonthlyIncome]]&lt;10000,"Medium","High"))</f>
        <v>Medium</v>
      </c>
      <c r="AC796" t="str">
        <f>IF(H_A[[#This Row],[YearsAtCompany]]&lt;3,"Early",IF(H_A[[#This Row],[YearsAtCompany]]&lt;7,"Mid","Long"))</f>
        <v>Mid</v>
      </c>
      <c r="AD796" t="str">
        <f>IF(H_A[[#This Row],[PercentSalaryHike]]&lt;13,"Low",IF(H_A[[#This Row],[PercentSalaryHike]]&lt;18,"Medium","High"))</f>
        <v>Medium</v>
      </c>
    </row>
    <row r="797" spans="1:30" x14ac:dyDescent="0.3">
      <c r="A797">
        <v>37</v>
      </c>
      <c r="B797">
        <v>1105</v>
      </c>
      <c r="C797" t="s">
        <v>36</v>
      </c>
      <c r="D797" t="s">
        <v>31</v>
      </c>
      <c r="E797">
        <v>10</v>
      </c>
      <c r="F797">
        <v>4</v>
      </c>
      <c r="G797" t="s">
        <v>32</v>
      </c>
      <c r="H797">
        <v>4</v>
      </c>
      <c r="I797" t="s">
        <v>33</v>
      </c>
      <c r="J797">
        <v>2</v>
      </c>
      <c r="K797">
        <v>2</v>
      </c>
      <c r="L797" t="s">
        <v>34</v>
      </c>
      <c r="M797">
        <v>4</v>
      </c>
      <c r="N797" t="s">
        <v>44</v>
      </c>
      <c r="O797">
        <v>6694</v>
      </c>
      <c r="P797">
        <v>2</v>
      </c>
      <c r="Q797" t="s">
        <v>30</v>
      </c>
      <c r="R797">
        <v>3</v>
      </c>
      <c r="S797">
        <v>8</v>
      </c>
      <c r="T797">
        <v>3</v>
      </c>
      <c r="U797">
        <v>1</v>
      </c>
      <c r="V797">
        <v>0</v>
      </c>
      <c r="W797">
        <v>0</v>
      </c>
      <c r="X797">
        <v>0</v>
      </c>
      <c r="Y797">
        <v>14</v>
      </c>
      <c r="Z797">
        <f>IF(H_A[[#This Row],[Attrition]]="Yes",1,0)</f>
        <v>0</v>
      </c>
      <c r="AA797" t="str">
        <f>IF(H_A[[#This Row],[Age]]&lt;30,"Young",IF(H_A[[#This Row],[Age]]&lt;45,"Mid","Senior"))</f>
        <v>Mid</v>
      </c>
      <c r="AB797" t="str">
        <f>IF(H_A[[#This Row],[MonthlyIncome]]&lt;5000,"Low",IF(H_A[[#This Row],[MonthlyIncome]]&lt;10000,"Medium","High"))</f>
        <v>Medium</v>
      </c>
      <c r="AC797" t="str">
        <f>IF(H_A[[#This Row],[YearsAtCompany]]&lt;3,"Early",IF(H_A[[#This Row],[YearsAtCompany]]&lt;7,"Mid","Long"))</f>
        <v>Early</v>
      </c>
      <c r="AD797" t="str">
        <f>IF(H_A[[#This Row],[PercentSalaryHike]]&lt;13,"Low",IF(H_A[[#This Row],[PercentSalaryHike]]&lt;18,"Medium","High"))</f>
        <v>Medium</v>
      </c>
    </row>
    <row r="798" spans="1:30" x14ac:dyDescent="0.3">
      <c r="A798">
        <v>25</v>
      </c>
      <c r="B798">
        <v>1106</v>
      </c>
      <c r="C798" t="s">
        <v>30</v>
      </c>
      <c r="D798" t="s">
        <v>37</v>
      </c>
      <c r="E798">
        <v>4</v>
      </c>
      <c r="F798">
        <v>1</v>
      </c>
      <c r="G798" t="s">
        <v>51</v>
      </c>
      <c r="H798">
        <v>4</v>
      </c>
      <c r="I798" t="s">
        <v>38</v>
      </c>
      <c r="J798">
        <v>3</v>
      </c>
      <c r="K798">
        <v>1</v>
      </c>
      <c r="L798" t="s">
        <v>42</v>
      </c>
      <c r="M798">
        <v>4</v>
      </c>
      <c r="N798" t="s">
        <v>40</v>
      </c>
      <c r="O798">
        <v>3691</v>
      </c>
      <c r="P798">
        <v>1</v>
      </c>
      <c r="Q798" t="s">
        <v>30</v>
      </c>
      <c r="R798">
        <v>2</v>
      </c>
      <c r="S798">
        <v>7</v>
      </c>
      <c r="T798">
        <v>4</v>
      </c>
      <c r="U798">
        <v>7</v>
      </c>
      <c r="V798">
        <v>7</v>
      </c>
      <c r="W798">
        <v>5</v>
      </c>
      <c r="X798">
        <v>6</v>
      </c>
      <c r="Y798">
        <v>15</v>
      </c>
      <c r="Z798">
        <f>IF(H_A[[#This Row],[Attrition]]="Yes",1,0)</f>
        <v>1</v>
      </c>
      <c r="AA798" t="str">
        <f>IF(H_A[[#This Row],[Age]]&lt;30,"Young",IF(H_A[[#This Row],[Age]]&lt;45,"Mid","Senior"))</f>
        <v>Young</v>
      </c>
      <c r="AB798" t="str">
        <f>IF(H_A[[#This Row],[MonthlyIncome]]&lt;5000,"Low",IF(H_A[[#This Row],[MonthlyIncome]]&lt;10000,"Medium","High"))</f>
        <v>Low</v>
      </c>
      <c r="AC798" t="str">
        <f>IF(H_A[[#This Row],[YearsAtCompany]]&lt;3,"Early",IF(H_A[[#This Row],[YearsAtCompany]]&lt;7,"Mid","Long"))</f>
        <v>Long</v>
      </c>
      <c r="AD798" t="str">
        <f>IF(H_A[[#This Row],[PercentSalaryHike]]&lt;13,"Low",IF(H_A[[#This Row],[PercentSalaryHike]]&lt;18,"Medium","High"))</f>
        <v>Medium</v>
      </c>
    </row>
    <row r="799" spans="1:30" x14ac:dyDescent="0.3">
      <c r="A799">
        <v>26</v>
      </c>
      <c r="B799">
        <v>1107</v>
      </c>
      <c r="C799" t="s">
        <v>30</v>
      </c>
      <c r="D799" t="s">
        <v>37</v>
      </c>
      <c r="E799">
        <v>21</v>
      </c>
      <c r="F799">
        <v>3</v>
      </c>
      <c r="G799" t="s">
        <v>43</v>
      </c>
      <c r="H799">
        <v>1</v>
      </c>
      <c r="I799" t="s">
        <v>38</v>
      </c>
      <c r="J799">
        <v>3</v>
      </c>
      <c r="K799">
        <v>1</v>
      </c>
      <c r="L799" t="s">
        <v>42</v>
      </c>
      <c r="M799">
        <v>3</v>
      </c>
      <c r="N799" t="s">
        <v>44</v>
      </c>
      <c r="O799">
        <v>2377</v>
      </c>
      <c r="P799">
        <v>1</v>
      </c>
      <c r="Q799" t="s">
        <v>36</v>
      </c>
      <c r="R799">
        <v>3</v>
      </c>
      <c r="S799">
        <v>1</v>
      </c>
      <c r="T799">
        <v>2</v>
      </c>
      <c r="U799">
        <v>1</v>
      </c>
      <c r="V799">
        <v>1</v>
      </c>
      <c r="W799">
        <v>0</v>
      </c>
      <c r="X799">
        <v>0</v>
      </c>
      <c r="Y799">
        <v>20</v>
      </c>
      <c r="Z799">
        <f>IF(H_A[[#This Row],[Attrition]]="Yes",1,0)</f>
        <v>1</v>
      </c>
      <c r="AA799" t="str">
        <f>IF(H_A[[#This Row],[Age]]&lt;30,"Young",IF(H_A[[#This Row],[Age]]&lt;45,"Mid","Senior"))</f>
        <v>Young</v>
      </c>
      <c r="AB799" t="str">
        <f>IF(H_A[[#This Row],[MonthlyIncome]]&lt;5000,"Low",IF(H_A[[#This Row],[MonthlyIncome]]&lt;10000,"Medium","High"))</f>
        <v>Low</v>
      </c>
      <c r="AC799" t="str">
        <f>IF(H_A[[#This Row],[YearsAtCompany]]&lt;3,"Early",IF(H_A[[#This Row],[YearsAtCompany]]&lt;7,"Mid","Long"))</f>
        <v>Early</v>
      </c>
      <c r="AD799" t="str">
        <f>IF(H_A[[#This Row],[PercentSalaryHike]]&lt;13,"Low",IF(H_A[[#This Row],[PercentSalaryHike]]&lt;18,"Medium","High"))</f>
        <v>High</v>
      </c>
    </row>
    <row r="800" spans="1:30" x14ac:dyDescent="0.3">
      <c r="A800">
        <v>33</v>
      </c>
      <c r="B800">
        <v>1108</v>
      </c>
      <c r="C800" t="s">
        <v>30</v>
      </c>
      <c r="D800" t="s">
        <v>37</v>
      </c>
      <c r="E800">
        <v>25</v>
      </c>
      <c r="F800">
        <v>3</v>
      </c>
      <c r="G800" t="s">
        <v>43</v>
      </c>
      <c r="H800">
        <v>1</v>
      </c>
      <c r="I800" t="s">
        <v>38</v>
      </c>
      <c r="J800">
        <v>2</v>
      </c>
      <c r="K800">
        <v>1</v>
      </c>
      <c r="L800" t="s">
        <v>39</v>
      </c>
      <c r="M800">
        <v>2</v>
      </c>
      <c r="N800" t="s">
        <v>35</v>
      </c>
      <c r="O800">
        <v>2313</v>
      </c>
      <c r="P800">
        <v>4</v>
      </c>
      <c r="Q800" t="s">
        <v>30</v>
      </c>
      <c r="R800">
        <v>2</v>
      </c>
      <c r="S800">
        <v>5</v>
      </c>
      <c r="T800">
        <v>3</v>
      </c>
      <c r="U800">
        <v>2</v>
      </c>
      <c r="V800">
        <v>2</v>
      </c>
      <c r="W800">
        <v>2</v>
      </c>
      <c r="X800">
        <v>2</v>
      </c>
      <c r="Y800">
        <v>20</v>
      </c>
      <c r="Z800">
        <f>IF(H_A[[#This Row],[Attrition]]="Yes",1,0)</f>
        <v>1</v>
      </c>
      <c r="AA800" t="str">
        <f>IF(H_A[[#This Row],[Age]]&lt;30,"Young",IF(H_A[[#This Row],[Age]]&lt;45,"Mid","Senior"))</f>
        <v>Mid</v>
      </c>
      <c r="AB800" t="str">
        <f>IF(H_A[[#This Row],[MonthlyIncome]]&lt;5000,"Low",IF(H_A[[#This Row],[MonthlyIncome]]&lt;10000,"Medium","High"))</f>
        <v>Low</v>
      </c>
      <c r="AC800" t="str">
        <f>IF(H_A[[#This Row],[YearsAtCompany]]&lt;3,"Early",IF(H_A[[#This Row],[YearsAtCompany]]&lt;7,"Mid","Long"))</f>
        <v>Early</v>
      </c>
      <c r="AD800" t="str">
        <f>IF(H_A[[#This Row],[PercentSalaryHike]]&lt;13,"Low",IF(H_A[[#This Row],[PercentSalaryHike]]&lt;18,"Medium","High"))</f>
        <v>High</v>
      </c>
    </row>
    <row r="801" spans="1:30" x14ac:dyDescent="0.3">
      <c r="A801">
        <v>42</v>
      </c>
      <c r="B801">
        <v>1109</v>
      </c>
      <c r="C801" t="s">
        <v>36</v>
      </c>
      <c r="D801" t="s">
        <v>37</v>
      </c>
      <c r="E801">
        <v>2</v>
      </c>
      <c r="F801">
        <v>2</v>
      </c>
      <c r="G801" t="s">
        <v>43</v>
      </c>
      <c r="H801">
        <v>4</v>
      </c>
      <c r="I801" t="s">
        <v>38</v>
      </c>
      <c r="J801">
        <v>3</v>
      </c>
      <c r="K801">
        <v>4</v>
      </c>
      <c r="L801" t="s">
        <v>47</v>
      </c>
      <c r="M801">
        <v>1</v>
      </c>
      <c r="N801" t="s">
        <v>40</v>
      </c>
      <c r="O801">
        <v>17665</v>
      </c>
      <c r="P801">
        <v>0</v>
      </c>
      <c r="Q801" t="s">
        <v>36</v>
      </c>
      <c r="R801">
        <v>4</v>
      </c>
      <c r="S801">
        <v>23</v>
      </c>
      <c r="T801">
        <v>3</v>
      </c>
      <c r="U801">
        <v>22</v>
      </c>
      <c r="V801">
        <v>6</v>
      </c>
      <c r="W801">
        <v>13</v>
      </c>
      <c r="X801">
        <v>7</v>
      </c>
      <c r="Y801">
        <v>17</v>
      </c>
      <c r="Z801">
        <f>IF(H_A[[#This Row],[Attrition]]="Yes",1,0)</f>
        <v>0</v>
      </c>
      <c r="AA801" t="str">
        <f>IF(H_A[[#This Row],[Age]]&lt;30,"Young",IF(H_A[[#This Row],[Age]]&lt;45,"Mid","Senior"))</f>
        <v>Mid</v>
      </c>
      <c r="AB801" t="str">
        <f>IF(H_A[[#This Row],[MonthlyIncome]]&lt;5000,"Low",IF(H_A[[#This Row],[MonthlyIncome]]&lt;10000,"Medium","High"))</f>
        <v>High</v>
      </c>
      <c r="AC801" t="str">
        <f>IF(H_A[[#This Row],[YearsAtCompany]]&lt;3,"Early",IF(H_A[[#This Row],[YearsAtCompany]]&lt;7,"Mid","Long"))</f>
        <v>Long</v>
      </c>
      <c r="AD801" t="str">
        <f>IF(H_A[[#This Row],[PercentSalaryHike]]&lt;13,"Low",IF(H_A[[#This Row],[PercentSalaryHike]]&lt;18,"Medium","High"))</f>
        <v>Medium</v>
      </c>
    </row>
    <row r="802" spans="1:30" x14ac:dyDescent="0.3">
      <c r="A802">
        <v>28</v>
      </c>
      <c r="B802">
        <v>1111</v>
      </c>
      <c r="C802" t="s">
        <v>30</v>
      </c>
      <c r="D802" t="s">
        <v>37</v>
      </c>
      <c r="E802">
        <v>1</v>
      </c>
      <c r="F802">
        <v>3</v>
      </c>
      <c r="G802" t="s">
        <v>43</v>
      </c>
      <c r="H802">
        <v>1</v>
      </c>
      <c r="I802" t="s">
        <v>38</v>
      </c>
      <c r="J802">
        <v>2</v>
      </c>
      <c r="K802">
        <v>1</v>
      </c>
      <c r="L802" t="s">
        <v>42</v>
      </c>
      <c r="M802">
        <v>2</v>
      </c>
      <c r="N802" t="s">
        <v>44</v>
      </c>
      <c r="O802">
        <v>2596</v>
      </c>
      <c r="P802">
        <v>1</v>
      </c>
      <c r="Q802" t="s">
        <v>36</v>
      </c>
      <c r="R802">
        <v>1</v>
      </c>
      <c r="S802">
        <v>1</v>
      </c>
      <c r="T802">
        <v>3</v>
      </c>
      <c r="U802">
        <v>1</v>
      </c>
      <c r="V802">
        <v>0</v>
      </c>
      <c r="W802">
        <v>0</v>
      </c>
      <c r="X802">
        <v>0</v>
      </c>
      <c r="Y802">
        <v>15</v>
      </c>
      <c r="Z802">
        <f>IF(H_A[[#This Row],[Attrition]]="Yes",1,0)</f>
        <v>1</v>
      </c>
      <c r="AA802" t="str">
        <f>IF(H_A[[#This Row],[Age]]&lt;30,"Young",IF(H_A[[#This Row],[Age]]&lt;45,"Mid","Senior"))</f>
        <v>Young</v>
      </c>
      <c r="AB802" t="str">
        <f>IF(H_A[[#This Row],[MonthlyIncome]]&lt;5000,"Low",IF(H_A[[#This Row],[MonthlyIncome]]&lt;10000,"Medium","High"))</f>
        <v>Low</v>
      </c>
      <c r="AC802" t="str">
        <f>IF(H_A[[#This Row],[YearsAtCompany]]&lt;3,"Early",IF(H_A[[#This Row],[YearsAtCompany]]&lt;7,"Mid","Long"))</f>
        <v>Early</v>
      </c>
      <c r="AD802" t="str">
        <f>IF(H_A[[#This Row],[PercentSalaryHike]]&lt;13,"Low",IF(H_A[[#This Row],[PercentSalaryHike]]&lt;18,"Medium","High"))</f>
        <v>Medium</v>
      </c>
    </row>
    <row r="803" spans="1:30" x14ac:dyDescent="0.3">
      <c r="A803">
        <v>50</v>
      </c>
      <c r="B803">
        <v>1113</v>
      </c>
      <c r="C803" t="s">
        <v>30</v>
      </c>
      <c r="D803" t="s">
        <v>31</v>
      </c>
      <c r="E803">
        <v>1</v>
      </c>
      <c r="F803">
        <v>4</v>
      </c>
      <c r="G803" t="s">
        <v>41</v>
      </c>
      <c r="H803">
        <v>4</v>
      </c>
      <c r="I803" t="s">
        <v>38</v>
      </c>
      <c r="J803">
        <v>3</v>
      </c>
      <c r="K803">
        <v>2</v>
      </c>
      <c r="L803" t="s">
        <v>34</v>
      </c>
      <c r="M803">
        <v>3</v>
      </c>
      <c r="N803" t="s">
        <v>35</v>
      </c>
      <c r="O803">
        <v>4728</v>
      </c>
      <c r="P803">
        <v>3</v>
      </c>
      <c r="Q803" t="s">
        <v>30</v>
      </c>
      <c r="R803">
        <v>4</v>
      </c>
      <c r="S803">
        <v>5</v>
      </c>
      <c r="T803">
        <v>3</v>
      </c>
      <c r="U803">
        <v>0</v>
      </c>
      <c r="V803">
        <v>0</v>
      </c>
      <c r="W803">
        <v>0</v>
      </c>
      <c r="X803">
        <v>0</v>
      </c>
      <c r="Y803">
        <v>14</v>
      </c>
      <c r="Z803">
        <f>IF(H_A[[#This Row],[Attrition]]="Yes",1,0)</f>
        <v>1</v>
      </c>
      <c r="AA803" t="str">
        <f>IF(H_A[[#This Row],[Age]]&lt;30,"Young",IF(H_A[[#This Row],[Age]]&lt;45,"Mid","Senior"))</f>
        <v>Senior</v>
      </c>
      <c r="AB803" t="str">
        <f>IF(H_A[[#This Row],[MonthlyIncome]]&lt;5000,"Low",IF(H_A[[#This Row],[MonthlyIncome]]&lt;10000,"Medium","High"))</f>
        <v>Low</v>
      </c>
      <c r="AC803" t="str">
        <f>IF(H_A[[#This Row],[YearsAtCompany]]&lt;3,"Early",IF(H_A[[#This Row],[YearsAtCompany]]&lt;7,"Mid","Long"))</f>
        <v>Early</v>
      </c>
      <c r="AD803" t="str">
        <f>IF(H_A[[#This Row],[PercentSalaryHike]]&lt;13,"Low",IF(H_A[[#This Row],[PercentSalaryHike]]&lt;18,"Medium","High"))</f>
        <v>Medium</v>
      </c>
    </row>
    <row r="804" spans="1:30" x14ac:dyDescent="0.3">
      <c r="A804">
        <v>33</v>
      </c>
      <c r="B804">
        <v>1114</v>
      </c>
      <c r="C804" t="s">
        <v>36</v>
      </c>
      <c r="D804" t="s">
        <v>31</v>
      </c>
      <c r="E804">
        <v>7</v>
      </c>
      <c r="F804">
        <v>3</v>
      </c>
      <c r="G804" t="s">
        <v>32</v>
      </c>
      <c r="H804">
        <v>4</v>
      </c>
      <c r="I804" t="s">
        <v>33</v>
      </c>
      <c r="J804">
        <v>3</v>
      </c>
      <c r="K804">
        <v>2</v>
      </c>
      <c r="L804" t="s">
        <v>34</v>
      </c>
      <c r="M804">
        <v>2</v>
      </c>
      <c r="N804" t="s">
        <v>40</v>
      </c>
      <c r="O804">
        <v>4302</v>
      </c>
      <c r="P804">
        <v>0</v>
      </c>
      <c r="Q804" t="s">
        <v>36</v>
      </c>
      <c r="R804">
        <v>3</v>
      </c>
      <c r="S804">
        <v>4</v>
      </c>
      <c r="T804">
        <v>3</v>
      </c>
      <c r="U804">
        <v>3</v>
      </c>
      <c r="V804">
        <v>2</v>
      </c>
      <c r="W804">
        <v>0</v>
      </c>
      <c r="X804">
        <v>2</v>
      </c>
      <c r="Y804">
        <v>17</v>
      </c>
      <c r="Z804">
        <f>IF(H_A[[#This Row],[Attrition]]="Yes",1,0)</f>
        <v>0</v>
      </c>
      <c r="AA804" t="str">
        <f>IF(H_A[[#This Row],[Age]]&lt;30,"Young",IF(H_A[[#This Row],[Age]]&lt;45,"Mid","Senior"))</f>
        <v>Mid</v>
      </c>
      <c r="AB804" t="str">
        <f>IF(H_A[[#This Row],[MonthlyIncome]]&lt;5000,"Low",IF(H_A[[#This Row],[MonthlyIncome]]&lt;10000,"Medium","High"))</f>
        <v>Low</v>
      </c>
      <c r="AC804" t="str">
        <f>IF(H_A[[#This Row],[YearsAtCompany]]&lt;3,"Early",IF(H_A[[#This Row],[YearsAtCompany]]&lt;7,"Mid","Long"))</f>
        <v>Mid</v>
      </c>
      <c r="AD804" t="str">
        <f>IF(H_A[[#This Row],[PercentSalaryHike]]&lt;13,"Low",IF(H_A[[#This Row],[PercentSalaryHike]]&lt;18,"Medium","High"))</f>
        <v>Medium</v>
      </c>
    </row>
    <row r="805" spans="1:30" x14ac:dyDescent="0.3">
      <c r="A805">
        <v>34</v>
      </c>
      <c r="B805">
        <v>1115</v>
      </c>
      <c r="C805" t="s">
        <v>36</v>
      </c>
      <c r="D805" t="s">
        <v>37</v>
      </c>
      <c r="E805">
        <v>3</v>
      </c>
      <c r="F805">
        <v>4</v>
      </c>
      <c r="G805" t="s">
        <v>32</v>
      </c>
      <c r="H805">
        <v>3</v>
      </c>
      <c r="I805" t="s">
        <v>38</v>
      </c>
      <c r="J805">
        <v>2</v>
      </c>
      <c r="K805">
        <v>1</v>
      </c>
      <c r="L805" t="s">
        <v>39</v>
      </c>
      <c r="M805">
        <v>4</v>
      </c>
      <c r="N805" t="s">
        <v>40</v>
      </c>
      <c r="O805">
        <v>2979</v>
      </c>
      <c r="P805">
        <v>3</v>
      </c>
      <c r="Q805" t="s">
        <v>36</v>
      </c>
      <c r="R805">
        <v>4</v>
      </c>
      <c r="S805">
        <v>6</v>
      </c>
      <c r="T805">
        <v>3</v>
      </c>
      <c r="U805">
        <v>0</v>
      </c>
      <c r="V805">
        <v>0</v>
      </c>
      <c r="W805">
        <v>0</v>
      </c>
      <c r="X805">
        <v>0</v>
      </c>
      <c r="Y805">
        <v>17</v>
      </c>
      <c r="Z805">
        <f>IF(H_A[[#This Row],[Attrition]]="Yes",1,0)</f>
        <v>0</v>
      </c>
      <c r="AA805" t="str">
        <f>IF(H_A[[#This Row],[Age]]&lt;30,"Young",IF(H_A[[#This Row],[Age]]&lt;45,"Mid","Senior"))</f>
        <v>Mid</v>
      </c>
      <c r="AB805" t="str">
        <f>IF(H_A[[#This Row],[MonthlyIncome]]&lt;5000,"Low",IF(H_A[[#This Row],[MonthlyIncome]]&lt;10000,"Medium","High"))</f>
        <v>Low</v>
      </c>
      <c r="AC805" t="str">
        <f>IF(H_A[[#This Row],[YearsAtCompany]]&lt;3,"Early",IF(H_A[[#This Row],[YearsAtCompany]]&lt;7,"Mid","Long"))</f>
        <v>Early</v>
      </c>
      <c r="AD805" t="str">
        <f>IF(H_A[[#This Row],[PercentSalaryHike]]&lt;13,"Low",IF(H_A[[#This Row],[PercentSalaryHike]]&lt;18,"Medium","High"))</f>
        <v>Medium</v>
      </c>
    </row>
    <row r="806" spans="1:30" x14ac:dyDescent="0.3">
      <c r="A806">
        <v>48</v>
      </c>
      <c r="B806">
        <v>1116</v>
      </c>
      <c r="C806" t="s">
        <v>36</v>
      </c>
      <c r="D806" t="s">
        <v>37</v>
      </c>
      <c r="E806">
        <v>1</v>
      </c>
      <c r="F806">
        <v>4</v>
      </c>
      <c r="G806" t="s">
        <v>43</v>
      </c>
      <c r="H806">
        <v>1</v>
      </c>
      <c r="I806" t="s">
        <v>38</v>
      </c>
      <c r="J806">
        <v>4</v>
      </c>
      <c r="K806">
        <v>4</v>
      </c>
      <c r="L806" t="s">
        <v>47</v>
      </c>
      <c r="M806">
        <v>4</v>
      </c>
      <c r="N806" t="s">
        <v>35</v>
      </c>
      <c r="O806">
        <v>16885</v>
      </c>
      <c r="P806">
        <v>2</v>
      </c>
      <c r="Q806" t="s">
        <v>36</v>
      </c>
      <c r="R806">
        <v>3</v>
      </c>
      <c r="S806">
        <v>27</v>
      </c>
      <c r="T806">
        <v>2</v>
      </c>
      <c r="U806">
        <v>5</v>
      </c>
      <c r="V806">
        <v>4</v>
      </c>
      <c r="W806">
        <v>2</v>
      </c>
      <c r="X806">
        <v>1</v>
      </c>
      <c r="Y806">
        <v>22</v>
      </c>
      <c r="Z806">
        <f>IF(H_A[[#This Row],[Attrition]]="Yes",1,0)</f>
        <v>0</v>
      </c>
      <c r="AA806" t="str">
        <f>IF(H_A[[#This Row],[Age]]&lt;30,"Young",IF(H_A[[#This Row],[Age]]&lt;45,"Mid","Senior"))</f>
        <v>Senior</v>
      </c>
      <c r="AB806" t="str">
        <f>IF(H_A[[#This Row],[MonthlyIncome]]&lt;5000,"Low",IF(H_A[[#This Row],[MonthlyIncome]]&lt;10000,"Medium","High"))</f>
        <v>High</v>
      </c>
      <c r="AC806" t="str">
        <f>IF(H_A[[#This Row],[YearsAtCompany]]&lt;3,"Early",IF(H_A[[#This Row],[YearsAtCompany]]&lt;7,"Mid","Long"))</f>
        <v>Mid</v>
      </c>
      <c r="AD806" t="str">
        <f>IF(H_A[[#This Row],[PercentSalaryHike]]&lt;13,"Low",IF(H_A[[#This Row],[PercentSalaryHike]]&lt;18,"Medium","High"))</f>
        <v>High</v>
      </c>
    </row>
    <row r="807" spans="1:30" x14ac:dyDescent="0.3">
      <c r="A807">
        <v>45</v>
      </c>
      <c r="B807">
        <v>1117</v>
      </c>
      <c r="C807" t="s">
        <v>36</v>
      </c>
      <c r="D807" t="s">
        <v>31</v>
      </c>
      <c r="E807">
        <v>9</v>
      </c>
      <c r="F807">
        <v>4</v>
      </c>
      <c r="G807" t="s">
        <v>32</v>
      </c>
      <c r="H807">
        <v>2</v>
      </c>
      <c r="I807" t="s">
        <v>33</v>
      </c>
      <c r="J807">
        <v>2</v>
      </c>
      <c r="K807">
        <v>2</v>
      </c>
      <c r="L807" t="s">
        <v>34</v>
      </c>
      <c r="M807">
        <v>3</v>
      </c>
      <c r="N807" t="s">
        <v>40</v>
      </c>
      <c r="O807">
        <v>5593</v>
      </c>
      <c r="P807">
        <v>1</v>
      </c>
      <c r="Q807" t="s">
        <v>36</v>
      </c>
      <c r="R807">
        <v>4</v>
      </c>
      <c r="S807">
        <v>15</v>
      </c>
      <c r="T807">
        <v>3</v>
      </c>
      <c r="U807">
        <v>15</v>
      </c>
      <c r="V807">
        <v>10</v>
      </c>
      <c r="W807">
        <v>4</v>
      </c>
      <c r="X807">
        <v>12</v>
      </c>
      <c r="Y807">
        <v>13</v>
      </c>
      <c r="Z807">
        <f>IF(H_A[[#This Row],[Attrition]]="Yes",1,0)</f>
        <v>0</v>
      </c>
      <c r="AA807" t="str">
        <f>IF(H_A[[#This Row],[Age]]&lt;30,"Young",IF(H_A[[#This Row],[Age]]&lt;45,"Mid","Senior"))</f>
        <v>Senior</v>
      </c>
      <c r="AB807" t="str">
        <f>IF(H_A[[#This Row],[MonthlyIncome]]&lt;5000,"Low",IF(H_A[[#This Row],[MonthlyIncome]]&lt;10000,"Medium","High"))</f>
        <v>Medium</v>
      </c>
      <c r="AC807" t="str">
        <f>IF(H_A[[#This Row],[YearsAtCompany]]&lt;3,"Early",IF(H_A[[#This Row],[YearsAtCompany]]&lt;7,"Mid","Long"))</f>
        <v>Long</v>
      </c>
      <c r="AD807" t="str">
        <f>IF(H_A[[#This Row],[PercentSalaryHike]]&lt;13,"Low",IF(H_A[[#This Row],[PercentSalaryHike]]&lt;18,"Medium","High"))</f>
        <v>Medium</v>
      </c>
    </row>
    <row r="808" spans="1:30" x14ac:dyDescent="0.3">
      <c r="A808">
        <v>52</v>
      </c>
      <c r="B808">
        <v>1118</v>
      </c>
      <c r="C808" t="s">
        <v>36</v>
      </c>
      <c r="D808" t="s">
        <v>37</v>
      </c>
      <c r="E808">
        <v>7</v>
      </c>
      <c r="F808">
        <v>4</v>
      </c>
      <c r="G808" t="s">
        <v>32</v>
      </c>
      <c r="H808">
        <v>2</v>
      </c>
      <c r="I808" t="s">
        <v>38</v>
      </c>
      <c r="J808">
        <v>3</v>
      </c>
      <c r="K808">
        <v>3</v>
      </c>
      <c r="L808" t="s">
        <v>46</v>
      </c>
      <c r="M808">
        <v>2</v>
      </c>
      <c r="N808" t="s">
        <v>35</v>
      </c>
      <c r="O808">
        <v>10445</v>
      </c>
      <c r="P808">
        <v>7</v>
      </c>
      <c r="Q808" t="s">
        <v>36</v>
      </c>
      <c r="R808">
        <v>4</v>
      </c>
      <c r="S808">
        <v>18</v>
      </c>
      <c r="T808">
        <v>3</v>
      </c>
      <c r="U808">
        <v>8</v>
      </c>
      <c r="V808">
        <v>6</v>
      </c>
      <c r="W808">
        <v>4</v>
      </c>
      <c r="X808">
        <v>0</v>
      </c>
      <c r="Y808">
        <v>19</v>
      </c>
      <c r="Z808">
        <f>IF(H_A[[#This Row],[Attrition]]="Yes",1,0)</f>
        <v>0</v>
      </c>
      <c r="AA808" t="str">
        <f>IF(H_A[[#This Row],[Age]]&lt;30,"Young",IF(H_A[[#This Row],[Age]]&lt;45,"Mid","Senior"))</f>
        <v>Senior</v>
      </c>
      <c r="AB808" t="str">
        <f>IF(H_A[[#This Row],[MonthlyIncome]]&lt;5000,"Low",IF(H_A[[#This Row],[MonthlyIncome]]&lt;10000,"Medium","High"))</f>
        <v>High</v>
      </c>
      <c r="AC808" t="str">
        <f>IF(H_A[[#This Row],[YearsAtCompany]]&lt;3,"Early",IF(H_A[[#This Row],[YearsAtCompany]]&lt;7,"Mid","Long"))</f>
        <v>Long</v>
      </c>
      <c r="AD808" t="str">
        <f>IF(H_A[[#This Row],[PercentSalaryHike]]&lt;13,"Low",IF(H_A[[#This Row],[PercentSalaryHike]]&lt;18,"Medium","High"))</f>
        <v>High</v>
      </c>
    </row>
    <row r="809" spans="1:30" x14ac:dyDescent="0.3">
      <c r="A809">
        <v>38</v>
      </c>
      <c r="B809">
        <v>1119</v>
      </c>
      <c r="C809" t="s">
        <v>36</v>
      </c>
      <c r="D809" t="s">
        <v>31</v>
      </c>
      <c r="E809">
        <v>10</v>
      </c>
      <c r="F809">
        <v>4</v>
      </c>
      <c r="G809" t="s">
        <v>50</v>
      </c>
      <c r="H809">
        <v>3</v>
      </c>
      <c r="I809" t="s">
        <v>38</v>
      </c>
      <c r="J809">
        <v>2</v>
      </c>
      <c r="K809">
        <v>3</v>
      </c>
      <c r="L809" t="s">
        <v>34</v>
      </c>
      <c r="M809">
        <v>3</v>
      </c>
      <c r="N809" t="s">
        <v>44</v>
      </c>
      <c r="O809">
        <v>8740</v>
      </c>
      <c r="P809">
        <v>0</v>
      </c>
      <c r="Q809" t="s">
        <v>30</v>
      </c>
      <c r="R809">
        <v>2</v>
      </c>
      <c r="S809">
        <v>9</v>
      </c>
      <c r="T809">
        <v>3</v>
      </c>
      <c r="U809">
        <v>8</v>
      </c>
      <c r="V809">
        <v>7</v>
      </c>
      <c r="W809">
        <v>2</v>
      </c>
      <c r="X809">
        <v>7</v>
      </c>
      <c r="Y809">
        <v>14</v>
      </c>
      <c r="Z809">
        <f>IF(H_A[[#This Row],[Attrition]]="Yes",1,0)</f>
        <v>0</v>
      </c>
      <c r="AA809" t="str">
        <f>IF(H_A[[#This Row],[Age]]&lt;30,"Young",IF(H_A[[#This Row],[Age]]&lt;45,"Mid","Senior"))</f>
        <v>Mid</v>
      </c>
      <c r="AB809" t="str">
        <f>IF(H_A[[#This Row],[MonthlyIncome]]&lt;5000,"Low",IF(H_A[[#This Row],[MonthlyIncome]]&lt;10000,"Medium","High"))</f>
        <v>Medium</v>
      </c>
      <c r="AC809" t="str">
        <f>IF(H_A[[#This Row],[YearsAtCompany]]&lt;3,"Early",IF(H_A[[#This Row],[YearsAtCompany]]&lt;7,"Mid","Long"))</f>
        <v>Long</v>
      </c>
      <c r="AD809" t="str">
        <f>IF(H_A[[#This Row],[PercentSalaryHike]]&lt;13,"Low",IF(H_A[[#This Row],[PercentSalaryHike]]&lt;18,"Medium","High"))</f>
        <v>Medium</v>
      </c>
    </row>
    <row r="810" spans="1:30" x14ac:dyDescent="0.3">
      <c r="A810">
        <v>29</v>
      </c>
      <c r="B810">
        <v>1120</v>
      </c>
      <c r="C810" t="s">
        <v>36</v>
      </c>
      <c r="D810" t="s">
        <v>37</v>
      </c>
      <c r="E810">
        <v>28</v>
      </c>
      <c r="F810">
        <v>4</v>
      </c>
      <c r="G810" t="s">
        <v>32</v>
      </c>
      <c r="H810">
        <v>3</v>
      </c>
      <c r="I810" t="s">
        <v>33</v>
      </c>
      <c r="J810">
        <v>3</v>
      </c>
      <c r="K810">
        <v>1</v>
      </c>
      <c r="L810" t="s">
        <v>39</v>
      </c>
      <c r="M810">
        <v>4</v>
      </c>
      <c r="N810" t="s">
        <v>44</v>
      </c>
      <c r="O810">
        <v>2514</v>
      </c>
      <c r="P810">
        <v>4</v>
      </c>
      <c r="Q810" t="s">
        <v>36</v>
      </c>
      <c r="R810">
        <v>1</v>
      </c>
      <c r="S810">
        <v>11</v>
      </c>
      <c r="T810">
        <v>3</v>
      </c>
      <c r="U810">
        <v>7</v>
      </c>
      <c r="V810">
        <v>5</v>
      </c>
      <c r="W810">
        <v>1</v>
      </c>
      <c r="X810">
        <v>7</v>
      </c>
      <c r="Y810">
        <v>22</v>
      </c>
      <c r="Z810">
        <f>IF(H_A[[#This Row],[Attrition]]="Yes",1,0)</f>
        <v>0</v>
      </c>
      <c r="AA810" t="str">
        <f>IF(H_A[[#This Row],[Age]]&lt;30,"Young",IF(H_A[[#This Row],[Age]]&lt;45,"Mid","Senior"))</f>
        <v>Young</v>
      </c>
      <c r="AB810" t="str">
        <f>IF(H_A[[#This Row],[MonthlyIncome]]&lt;5000,"Low",IF(H_A[[#This Row],[MonthlyIncome]]&lt;10000,"Medium","High"))</f>
        <v>Low</v>
      </c>
      <c r="AC810" t="str">
        <f>IF(H_A[[#This Row],[YearsAtCompany]]&lt;3,"Early",IF(H_A[[#This Row],[YearsAtCompany]]&lt;7,"Mid","Long"))</f>
        <v>Long</v>
      </c>
      <c r="AD810" t="str">
        <f>IF(H_A[[#This Row],[PercentSalaryHike]]&lt;13,"Low",IF(H_A[[#This Row],[PercentSalaryHike]]&lt;18,"Medium","High"))</f>
        <v>High</v>
      </c>
    </row>
    <row r="811" spans="1:30" x14ac:dyDescent="0.3">
      <c r="A811">
        <v>28</v>
      </c>
      <c r="B811">
        <v>1121</v>
      </c>
      <c r="C811" t="s">
        <v>36</v>
      </c>
      <c r="D811" t="s">
        <v>37</v>
      </c>
      <c r="E811">
        <v>3</v>
      </c>
      <c r="F811">
        <v>3</v>
      </c>
      <c r="G811" t="s">
        <v>43</v>
      </c>
      <c r="H811">
        <v>4</v>
      </c>
      <c r="I811" t="s">
        <v>33</v>
      </c>
      <c r="J811">
        <v>3</v>
      </c>
      <c r="K811">
        <v>3</v>
      </c>
      <c r="L811" t="s">
        <v>45</v>
      </c>
      <c r="M811">
        <v>2</v>
      </c>
      <c r="N811" t="s">
        <v>44</v>
      </c>
      <c r="O811">
        <v>7655</v>
      </c>
      <c r="P811">
        <v>0</v>
      </c>
      <c r="Q811" t="s">
        <v>36</v>
      </c>
      <c r="R811">
        <v>2</v>
      </c>
      <c r="S811">
        <v>10</v>
      </c>
      <c r="T811">
        <v>2</v>
      </c>
      <c r="U811">
        <v>9</v>
      </c>
      <c r="V811">
        <v>7</v>
      </c>
      <c r="W811">
        <v>1</v>
      </c>
      <c r="X811">
        <v>7</v>
      </c>
      <c r="Y811">
        <v>17</v>
      </c>
      <c r="Z811">
        <f>IF(H_A[[#This Row],[Attrition]]="Yes",1,0)</f>
        <v>0</v>
      </c>
      <c r="AA811" t="str">
        <f>IF(H_A[[#This Row],[Age]]&lt;30,"Young",IF(H_A[[#This Row],[Age]]&lt;45,"Mid","Senior"))</f>
        <v>Young</v>
      </c>
      <c r="AB811" t="str">
        <f>IF(H_A[[#This Row],[MonthlyIncome]]&lt;5000,"Low",IF(H_A[[#This Row],[MonthlyIncome]]&lt;10000,"Medium","High"))</f>
        <v>Medium</v>
      </c>
      <c r="AC811" t="str">
        <f>IF(H_A[[#This Row],[YearsAtCompany]]&lt;3,"Early",IF(H_A[[#This Row],[YearsAtCompany]]&lt;7,"Mid","Long"))</f>
        <v>Long</v>
      </c>
      <c r="AD811" t="str">
        <f>IF(H_A[[#This Row],[PercentSalaryHike]]&lt;13,"Low",IF(H_A[[#This Row],[PercentSalaryHike]]&lt;18,"Medium","High"))</f>
        <v>Medium</v>
      </c>
    </row>
    <row r="812" spans="1:30" x14ac:dyDescent="0.3">
      <c r="A812">
        <v>46</v>
      </c>
      <c r="B812">
        <v>1124</v>
      </c>
      <c r="C812" t="s">
        <v>36</v>
      </c>
      <c r="D812" t="s">
        <v>31</v>
      </c>
      <c r="E812">
        <v>3</v>
      </c>
      <c r="F812">
        <v>1</v>
      </c>
      <c r="G812" t="s">
        <v>50</v>
      </c>
      <c r="H812">
        <v>1</v>
      </c>
      <c r="I812" t="s">
        <v>38</v>
      </c>
      <c r="J812">
        <v>3</v>
      </c>
      <c r="K812">
        <v>4</v>
      </c>
      <c r="L812" t="s">
        <v>47</v>
      </c>
      <c r="M812">
        <v>3</v>
      </c>
      <c r="N812" t="s">
        <v>40</v>
      </c>
      <c r="O812">
        <v>17465</v>
      </c>
      <c r="P812">
        <v>3</v>
      </c>
      <c r="Q812" t="s">
        <v>36</v>
      </c>
      <c r="R812">
        <v>4</v>
      </c>
      <c r="S812">
        <v>23</v>
      </c>
      <c r="T812">
        <v>3</v>
      </c>
      <c r="U812">
        <v>12</v>
      </c>
      <c r="V812">
        <v>9</v>
      </c>
      <c r="W812">
        <v>4</v>
      </c>
      <c r="X812">
        <v>9</v>
      </c>
      <c r="Y812">
        <v>12</v>
      </c>
      <c r="Z812">
        <f>IF(H_A[[#This Row],[Attrition]]="Yes",1,0)</f>
        <v>0</v>
      </c>
      <c r="AA812" t="str">
        <f>IF(H_A[[#This Row],[Age]]&lt;30,"Young",IF(H_A[[#This Row],[Age]]&lt;45,"Mid","Senior"))</f>
        <v>Senior</v>
      </c>
      <c r="AB812" t="str">
        <f>IF(H_A[[#This Row],[MonthlyIncome]]&lt;5000,"Low",IF(H_A[[#This Row],[MonthlyIncome]]&lt;10000,"Medium","High"))</f>
        <v>High</v>
      </c>
      <c r="AC812" t="str">
        <f>IF(H_A[[#This Row],[YearsAtCompany]]&lt;3,"Early",IF(H_A[[#This Row],[YearsAtCompany]]&lt;7,"Mid","Long"))</f>
        <v>Long</v>
      </c>
      <c r="AD812" t="str">
        <f>IF(H_A[[#This Row],[PercentSalaryHike]]&lt;13,"Low",IF(H_A[[#This Row],[PercentSalaryHike]]&lt;18,"Medium","High"))</f>
        <v>Low</v>
      </c>
    </row>
    <row r="813" spans="1:30" x14ac:dyDescent="0.3">
      <c r="A813">
        <v>38</v>
      </c>
      <c r="B813">
        <v>1125</v>
      </c>
      <c r="C813" t="s">
        <v>36</v>
      </c>
      <c r="D813" t="s">
        <v>31</v>
      </c>
      <c r="E813">
        <v>2</v>
      </c>
      <c r="F813">
        <v>2</v>
      </c>
      <c r="G813" t="s">
        <v>50</v>
      </c>
      <c r="H813">
        <v>4</v>
      </c>
      <c r="I813" t="s">
        <v>38</v>
      </c>
      <c r="J813">
        <v>3</v>
      </c>
      <c r="K813">
        <v>3</v>
      </c>
      <c r="L813" t="s">
        <v>34</v>
      </c>
      <c r="M813">
        <v>2</v>
      </c>
      <c r="N813" t="s">
        <v>35</v>
      </c>
      <c r="O813">
        <v>7351</v>
      </c>
      <c r="P813">
        <v>7</v>
      </c>
      <c r="Q813" t="s">
        <v>36</v>
      </c>
      <c r="R813">
        <v>3</v>
      </c>
      <c r="S813">
        <v>10</v>
      </c>
      <c r="T813">
        <v>3</v>
      </c>
      <c r="U813">
        <v>1</v>
      </c>
      <c r="V813">
        <v>0</v>
      </c>
      <c r="W813">
        <v>0</v>
      </c>
      <c r="X813">
        <v>0</v>
      </c>
      <c r="Y813">
        <v>16</v>
      </c>
      <c r="Z813">
        <f>IF(H_A[[#This Row],[Attrition]]="Yes",1,0)</f>
        <v>0</v>
      </c>
      <c r="AA813" t="str">
        <f>IF(H_A[[#This Row],[Age]]&lt;30,"Young",IF(H_A[[#This Row],[Age]]&lt;45,"Mid","Senior"))</f>
        <v>Mid</v>
      </c>
      <c r="AB813" t="str">
        <f>IF(H_A[[#This Row],[MonthlyIncome]]&lt;5000,"Low",IF(H_A[[#This Row],[MonthlyIncome]]&lt;10000,"Medium","High"))</f>
        <v>Medium</v>
      </c>
      <c r="AC813" t="str">
        <f>IF(H_A[[#This Row],[YearsAtCompany]]&lt;3,"Early",IF(H_A[[#This Row],[YearsAtCompany]]&lt;7,"Mid","Long"))</f>
        <v>Early</v>
      </c>
      <c r="AD813" t="str">
        <f>IF(H_A[[#This Row],[PercentSalaryHike]]&lt;13,"Low",IF(H_A[[#This Row],[PercentSalaryHike]]&lt;18,"Medium","High"))</f>
        <v>Medium</v>
      </c>
    </row>
    <row r="814" spans="1:30" x14ac:dyDescent="0.3">
      <c r="A814">
        <v>43</v>
      </c>
      <c r="B814">
        <v>1126</v>
      </c>
      <c r="C814" t="s">
        <v>36</v>
      </c>
      <c r="D814" t="s">
        <v>37</v>
      </c>
      <c r="E814">
        <v>27</v>
      </c>
      <c r="F814">
        <v>3</v>
      </c>
      <c r="G814" t="s">
        <v>32</v>
      </c>
      <c r="H814">
        <v>3</v>
      </c>
      <c r="I814" t="s">
        <v>33</v>
      </c>
      <c r="J814">
        <v>3</v>
      </c>
      <c r="K814">
        <v>3</v>
      </c>
      <c r="L814" t="s">
        <v>45</v>
      </c>
      <c r="M814">
        <v>1</v>
      </c>
      <c r="N814" t="s">
        <v>40</v>
      </c>
      <c r="O814">
        <v>10820</v>
      </c>
      <c r="P814">
        <v>8</v>
      </c>
      <c r="Q814" t="s">
        <v>36</v>
      </c>
      <c r="R814">
        <v>3</v>
      </c>
      <c r="S814">
        <v>18</v>
      </c>
      <c r="T814">
        <v>3</v>
      </c>
      <c r="U814">
        <v>8</v>
      </c>
      <c r="V814">
        <v>7</v>
      </c>
      <c r="W814">
        <v>0</v>
      </c>
      <c r="X814">
        <v>1</v>
      </c>
      <c r="Y814">
        <v>11</v>
      </c>
      <c r="Z814">
        <f>IF(H_A[[#This Row],[Attrition]]="Yes",1,0)</f>
        <v>0</v>
      </c>
      <c r="AA814" t="str">
        <f>IF(H_A[[#This Row],[Age]]&lt;30,"Young",IF(H_A[[#This Row],[Age]]&lt;45,"Mid","Senior"))</f>
        <v>Mid</v>
      </c>
      <c r="AB814" t="str">
        <f>IF(H_A[[#This Row],[MonthlyIncome]]&lt;5000,"Low",IF(H_A[[#This Row],[MonthlyIncome]]&lt;10000,"Medium","High"))</f>
        <v>High</v>
      </c>
      <c r="AC814" t="str">
        <f>IF(H_A[[#This Row],[YearsAtCompany]]&lt;3,"Early",IF(H_A[[#This Row],[YearsAtCompany]]&lt;7,"Mid","Long"))</f>
        <v>Long</v>
      </c>
      <c r="AD814" t="str">
        <f>IF(H_A[[#This Row],[PercentSalaryHike]]&lt;13,"Low",IF(H_A[[#This Row],[PercentSalaryHike]]&lt;18,"Medium","High"))</f>
        <v>Low</v>
      </c>
    </row>
    <row r="815" spans="1:30" x14ac:dyDescent="0.3">
      <c r="A815">
        <v>39</v>
      </c>
      <c r="B815">
        <v>1127</v>
      </c>
      <c r="C815" t="s">
        <v>30</v>
      </c>
      <c r="D815" t="s">
        <v>37</v>
      </c>
      <c r="E815">
        <v>2</v>
      </c>
      <c r="F815">
        <v>3</v>
      </c>
      <c r="G815" t="s">
        <v>32</v>
      </c>
      <c r="H815">
        <v>1</v>
      </c>
      <c r="I815" t="s">
        <v>38</v>
      </c>
      <c r="J815">
        <v>3</v>
      </c>
      <c r="K815">
        <v>4</v>
      </c>
      <c r="L815" t="s">
        <v>46</v>
      </c>
      <c r="M815">
        <v>4</v>
      </c>
      <c r="N815" t="s">
        <v>44</v>
      </c>
      <c r="O815">
        <v>12169</v>
      </c>
      <c r="P815">
        <v>7</v>
      </c>
      <c r="Q815" t="s">
        <v>36</v>
      </c>
      <c r="R815">
        <v>4</v>
      </c>
      <c r="S815">
        <v>21</v>
      </c>
      <c r="T815">
        <v>3</v>
      </c>
      <c r="U815">
        <v>18</v>
      </c>
      <c r="V815">
        <v>7</v>
      </c>
      <c r="W815">
        <v>11</v>
      </c>
      <c r="X815">
        <v>5</v>
      </c>
      <c r="Y815">
        <v>11</v>
      </c>
      <c r="Z815">
        <f>IF(H_A[[#This Row],[Attrition]]="Yes",1,0)</f>
        <v>1</v>
      </c>
      <c r="AA815" t="str">
        <f>IF(H_A[[#This Row],[Age]]&lt;30,"Young",IF(H_A[[#This Row],[Age]]&lt;45,"Mid","Senior"))</f>
        <v>Mid</v>
      </c>
      <c r="AB815" t="str">
        <f>IF(H_A[[#This Row],[MonthlyIncome]]&lt;5000,"Low",IF(H_A[[#This Row],[MonthlyIncome]]&lt;10000,"Medium","High"))</f>
        <v>High</v>
      </c>
      <c r="AC815" t="str">
        <f>IF(H_A[[#This Row],[YearsAtCompany]]&lt;3,"Early",IF(H_A[[#This Row],[YearsAtCompany]]&lt;7,"Mid","Long"))</f>
        <v>Long</v>
      </c>
      <c r="AD815" t="str">
        <f>IF(H_A[[#This Row],[PercentSalaryHike]]&lt;13,"Low",IF(H_A[[#This Row],[PercentSalaryHike]]&lt;18,"Medium","High"))</f>
        <v>Low</v>
      </c>
    </row>
    <row r="816" spans="1:30" x14ac:dyDescent="0.3">
      <c r="A816">
        <v>40</v>
      </c>
      <c r="B816">
        <v>1128</v>
      </c>
      <c r="C816" t="s">
        <v>36</v>
      </c>
      <c r="D816" t="s">
        <v>37</v>
      </c>
      <c r="E816">
        <v>14</v>
      </c>
      <c r="F816">
        <v>3</v>
      </c>
      <c r="G816" t="s">
        <v>43</v>
      </c>
      <c r="H816">
        <v>3</v>
      </c>
      <c r="I816" t="s">
        <v>38</v>
      </c>
      <c r="J816">
        <v>2</v>
      </c>
      <c r="K816">
        <v>5</v>
      </c>
      <c r="L816" t="s">
        <v>49</v>
      </c>
      <c r="M816">
        <v>3</v>
      </c>
      <c r="N816" t="s">
        <v>35</v>
      </c>
      <c r="O816">
        <v>19626</v>
      </c>
      <c r="P816">
        <v>1</v>
      </c>
      <c r="Q816" t="s">
        <v>36</v>
      </c>
      <c r="R816">
        <v>1</v>
      </c>
      <c r="S816">
        <v>21</v>
      </c>
      <c r="T816">
        <v>4</v>
      </c>
      <c r="U816">
        <v>20</v>
      </c>
      <c r="V816">
        <v>7</v>
      </c>
      <c r="W816">
        <v>4</v>
      </c>
      <c r="X816">
        <v>9</v>
      </c>
      <c r="Y816">
        <v>14</v>
      </c>
      <c r="Z816">
        <f>IF(H_A[[#This Row],[Attrition]]="Yes",1,0)</f>
        <v>0</v>
      </c>
      <c r="AA816" t="str">
        <f>IF(H_A[[#This Row],[Age]]&lt;30,"Young",IF(H_A[[#This Row],[Age]]&lt;45,"Mid","Senior"))</f>
        <v>Mid</v>
      </c>
      <c r="AB816" t="str">
        <f>IF(H_A[[#This Row],[MonthlyIncome]]&lt;5000,"Low",IF(H_A[[#This Row],[MonthlyIncome]]&lt;10000,"Medium","High"))</f>
        <v>High</v>
      </c>
      <c r="AC816" t="str">
        <f>IF(H_A[[#This Row],[YearsAtCompany]]&lt;3,"Early",IF(H_A[[#This Row],[YearsAtCompany]]&lt;7,"Mid","Long"))</f>
        <v>Long</v>
      </c>
      <c r="AD816" t="str">
        <f>IF(H_A[[#This Row],[PercentSalaryHike]]&lt;13,"Low",IF(H_A[[#This Row],[PercentSalaryHike]]&lt;18,"Medium","High"))</f>
        <v>Medium</v>
      </c>
    </row>
    <row r="817" spans="1:30" x14ac:dyDescent="0.3">
      <c r="A817">
        <v>21</v>
      </c>
      <c r="B817">
        <v>1131</v>
      </c>
      <c r="C817" t="s">
        <v>36</v>
      </c>
      <c r="D817" t="s">
        <v>37</v>
      </c>
      <c r="E817">
        <v>1</v>
      </c>
      <c r="F817">
        <v>1</v>
      </c>
      <c r="G817" t="s">
        <v>51</v>
      </c>
      <c r="H817">
        <v>4</v>
      </c>
      <c r="I817" t="s">
        <v>33</v>
      </c>
      <c r="J817">
        <v>2</v>
      </c>
      <c r="K817">
        <v>1</v>
      </c>
      <c r="L817" t="s">
        <v>39</v>
      </c>
      <c r="M817">
        <v>2</v>
      </c>
      <c r="N817" t="s">
        <v>35</v>
      </c>
      <c r="O817">
        <v>2070</v>
      </c>
      <c r="P817">
        <v>1</v>
      </c>
      <c r="Q817" t="s">
        <v>30</v>
      </c>
      <c r="R817">
        <v>3</v>
      </c>
      <c r="S817">
        <v>2</v>
      </c>
      <c r="T817">
        <v>4</v>
      </c>
      <c r="U817">
        <v>2</v>
      </c>
      <c r="V817">
        <v>2</v>
      </c>
      <c r="W817">
        <v>2</v>
      </c>
      <c r="X817">
        <v>2</v>
      </c>
      <c r="Y817">
        <v>11</v>
      </c>
      <c r="Z817">
        <f>IF(H_A[[#This Row],[Attrition]]="Yes",1,0)</f>
        <v>0</v>
      </c>
      <c r="AA817" t="str">
        <f>IF(H_A[[#This Row],[Age]]&lt;30,"Young",IF(H_A[[#This Row],[Age]]&lt;45,"Mid","Senior"))</f>
        <v>Young</v>
      </c>
      <c r="AB817" t="str">
        <f>IF(H_A[[#This Row],[MonthlyIncome]]&lt;5000,"Low",IF(H_A[[#This Row],[MonthlyIncome]]&lt;10000,"Medium","High"))</f>
        <v>Low</v>
      </c>
      <c r="AC817" t="str">
        <f>IF(H_A[[#This Row],[YearsAtCompany]]&lt;3,"Early",IF(H_A[[#This Row],[YearsAtCompany]]&lt;7,"Mid","Long"))</f>
        <v>Early</v>
      </c>
      <c r="AD817" t="str">
        <f>IF(H_A[[#This Row],[PercentSalaryHike]]&lt;13,"Low",IF(H_A[[#This Row],[PercentSalaryHike]]&lt;18,"Medium","High"))</f>
        <v>Low</v>
      </c>
    </row>
    <row r="818" spans="1:30" x14ac:dyDescent="0.3">
      <c r="A818">
        <v>39</v>
      </c>
      <c r="B818">
        <v>1132</v>
      </c>
      <c r="C818" t="s">
        <v>36</v>
      </c>
      <c r="D818" t="s">
        <v>37</v>
      </c>
      <c r="E818">
        <v>9</v>
      </c>
      <c r="F818">
        <v>3</v>
      </c>
      <c r="G818" t="s">
        <v>32</v>
      </c>
      <c r="H818">
        <v>3</v>
      </c>
      <c r="I818" t="s">
        <v>38</v>
      </c>
      <c r="J818">
        <v>3</v>
      </c>
      <c r="K818">
        <v>2</v>
      </c>
      <c r="L818" t="s">
        <v>42</v>
      </c>
      <c r="M818">
        <v>2</v>
      </c>
      <c r="N818" t="s">
        <v>35</v>
      </c>
      <c r="O818">
        <v>6782</v>
      </c>
      <c r="P818">
        <v>9</v>
      </c>
      <c r="Q818" t="s">
        <v>36</v>
      </c>
      <c r="R818">
        <v>3</v>
      </c>
      <c r="S818">
        <v>9</v>
      </c>
      <c r="T818">
        <v>2</v>
      </c>
      <c r="U818">
        <v>5</v>
      </c>
      <c r="V818">
        <v>4</v>
      </c>
      <c r="W818">
        <v>0</v>
      </c>
      <c r="X818">
        <v>3</v>
      </c>
      <c r="Y818">
        <v>15</v>
      </c>
      <c r="Z818">
        <f>IF(H_A[[#This Row],[Attrition]]="Yes",1,0)</f>
        <v>0</v>
      </c>
      <c r="AA818" t="str">
        <f>IF(H_A[[#This Row],[Age]]&lt;30,"Young",IF(H_A[[#This Row],[Age]]&lt;45,"Mid","Senior"))</f>
        <v>Mid</v>
      </c>
      <c r="AB818" t="str">
        <f>IF(H_A[[#This Row],[MonthlyIncome]]&lt;5000,"Low",IF(H_A[[#This Row],[MonthlyIncome]]&lt;10000,"Medium","High"))</f>
        <v>Medium</v>
      </c>
      <c r="AC818" t="str">
        <f>IF(H_A[[#This Row],[YearsAtCompany]]&lt;3,"Early",IF(H_A[[#This Row],[YearsAtCompany]]&lt;7,"Mid","Long"))</f>
        <v>Mid</v>
      </c>
      <c r="AD818" t="str">
        <f>IF(H_A[[#This Row],[PercentSalaryHike]]&lt;13,"Low",IF(H_A[[#This Row],[PercentSalaryHike]]&lt;18,"Medium","High"))</f>
        <v>Medium</v>
      </c>
    </row>
    <row r="819" spans="1:30" x14ac:dyDescent="0.3">
      <c r="A819">
        <v>36</v>
      </c>
      <c r="B819">
        <v>1133</v>
      </c>
      <c r="C819" t="s">
        <v>36</v>
      </c>
      <c r="D819" t="s">
        <v>37</v>
      </c>
      <c r="E819">
        <v>18</v>
      </c>
      <c r="F819">
        <v>4</v>
      </c>
      <c r="G819" t="s">
        <v>32</v>
      </c>
      <c r="H819">
        <v>1</v>
      </c>
      <c r="I819" t="s">
        <v>38</v>
      </c>
      <c r="J819">
        <v>3</v>
      </c>
      <c r="K819">
        <v>2</v>
      </c>
      <c r="L819" t="s">
        <v>45</v>
      </c>
      <c r="M819">
        <v>4</v>
      </c>
      <c r="N819" t="s">
        <v>35</v>
      </c>
      <c r="O819">
        <v>7779</v>
      </c>
      <c r="P819">
        <v>2</v>
      </c>
      <c r="Q819" t="s">
        <v>36</v>
      </c>
      <c r="R819">
        <v>1</v>
      </c>
      <c r="S819">
        <v>18</v>
      </c>
      <c r="T819">
        <v>3</v>
      </c>
      <c r="U819">
        <v>11</v>
      </c>
      <c r="V819">
        <v>9</v>
      </c>
      <c r="W819">
        <v>0</v>
      </c>
      <c r="X819">
        <v>9</v>
      </c>
      <c r="Y819">
        <v>20</v>
      </c>
      <c r="Z819">
        <f>IF(H_A[[#This Row],[Attrition]]="Yes",1,0)</f>
        <v>0</v>
      </c>
      <c r="AA819" t="str">
        <f>IF(H_A[[#This Row],[Age]]&lt;30,"Young",IF(H_A[[#This Row],[Age]]&lt;45,"Mid","Senior"))</f>
        <v>Mid</v>
      </c>
      <c r="AB819" t="str">
        <f>IF(H_A[[#This Row],[MonthlyIncome]]&lt;5000,"Low",IF(H_A[[#This Row],[MonthlyIncome]]&lt;10000,"Medium","High"))</f>
        <v>Medium</v>
      </c>
      <c r="AC819" t="str">
        <f>IF(H_A[[#This Row],[YearsAtCompany]]&lt;3,"Early",IF(H_A[[#This Row],[YearsAtCompany]]&lt;7,"Mid","Long"))</f>
        <v>Long</v>
      </c>
      <c r="AD819" t="str">
        <f>IF(H_A[[#This Row],[PercentSalaryHike]]&lt;13,"Low",IF(H_A[[#This Row],[PercentSalaryHike]]&lt;18,"Medium","High"))</f>
        <v>High</v>
      </c>
    </row>
    <row r="820" spans="1:30" x14ac:dyDescent="0.3">
      <c r="A820">
        <v>31</v>
      </c>
      <c r="B820">
        <v>1135</v>
      </c>
      <c r="C820" t="s">
        <v>36</v>
      </c>
      <c r="D820" t="s">
        <v>31</v>
      </c>
      <c r="E820">
        <v>20</v>
      </c>
      <c r="F820">
        <v>3</v>
      </c>
      <c r="G820" t="s">
        <v>32</v>
      </c>
      <c r="H820">
        <v>3</v>
      </c>
      <c r="I820" t="s">
        <v>38</v>
      </c>
      <c r="J820">
        <v>4</v>
      </c>
      <c r="K820">
        <v>1</v>
      </c>
      <c r="L820" t="s">
        <v>48</v>
      </c>
      <c r="M820">
        <v>4</v>
      </c>
      <c r="N820" t="s">
        <v>40</v>
      </c>
      <c r="O820">
        <v>2791</v>
      </c>
      <c r="P820">
        <v>0</v>
      </c>
      <c r="Q820" t="s">
        <v>36</v>
      </c>
      <c r="R820">
        <v>1</v>
      </c>
      <c r="S820">
        <v>3</v>
      </c>
      <c r="T820">
        <v>3</v>
      </c>
      <c r="U820">
        <v>2</v>
      </c>
      <c r="V820">
        <v>2</v>
      </c>
      <c r="W820">
        <v>2</v>
      </c>
      <c r="X820">
        <v>2</v>
      </c>
      <c r="Y820">
        <v>12</v>
      </c>
      <c r="Z820">
        <f>IF(H_A[[#This Row],[Attrition]]="Yes",1,0)</f>
        <v>0</v>
      </c>
      <c r="AA820" t="str">
        <f>IF(H_A[[#This Row],[Age]]&lt;30,"Young",IF(H_A[[#This Row],[Age]]&lt;45,"Mid","Senior"))</f>
        <v>Mid</v>
      </c>
      <c r="AB820" t="str">
        <f>IF(H_A[[#This Row],[MonthlyIncome]]&lt;5000,"Low",IF(H_A[[#This Row],[MonthlyIncome]]&lt;10000,"Medium","High"))</f>
        <v>Low</v>
      </c>
      <c r="AC820" t="str">
        <f>IF(H_A[[#This Row],[YearsAtCompany]]&lt;3,"Early",IF(H_A[[#This Row],[YearsAtCompany]]&lt;7,"Mid","Long"))</f>
        <v>Early</v>
      </c>
      <c r="AD820" t="str">
        <f>IF(H_A[[#This Row],[PercentSalaryHike]]&lt;13,"Low",IF(H_A[[#This Row],[PercentSalaryHike]]&lt;18,"Medium","High"))</f>
        <v>Low</v>
      </c>
    </row>
    <row r="821" spans="1:30" x14ac:dyDescent="0.3">
      <c r="A821">
        <v>28</v>
      </c>
      <c r="B821">
        <v>1136</v>
      </c>
      <c r="C821" t="s">
        <v>36</v>
      </c>
      <c r="D821" t="s">
        <v>37</v>
      </c>
      <c r="E821">
        <v>2</v>
      </c>
      <c r="F821">
        <v>1</v>
      </c>
      <c r="G821" t="s">
        <v>32</v>
      </c>
      <c r="H821">
        <v>1</v>
      </c>
      <c r="I821" t="s">
        <v>38</v>
      </c>
      <c r="J821">
        <v>2</v>
      </c>
      <c r="K821">
        <v>1</v>
      </c>
      <c r="L821" t="s">
        <v>39</v>
      </c>
      <c r="M821">
        <v>2</v>
      </c>
      <c r="N821" t="s">
        <v>40</v>
      </c>
      <c r="O821">
        <v>3201</v>
      </c>
      <c r="P821">
        <v>0</v>
      </c>
      <c r="Q821" t="s">
        <v>36</v>
      </c>
      <c r="R821">
        <v>1</v>
      </c>
      <c r="S821">
        <v>6</v>
      </c>
      <c r="T821">
        <v>1</v>
      </c>
      <c r="U821">
        <v>5</v>
      </c>
      <c r="V821">
        <v>3</v>
      </c>
      <c r="W821">
        <v>0</v>
      </c>
      <c r="X821">
        <v>4</v>
      </c>
      <c r="Y821">
        <v>17</v>
      </c>
      <c r="Z821">
        <f>IF(H_A[[#This Row],[Attrition]]="Yes",1,0)</f>
        <v>0</v>
      </c>
      <c r="AA821" t="str">
        <f>IF(H_A[[#This Row],[Age]]&lt;30,"Young",IF(H_A[[#This Row],[Age]]&lt;45,"Mid","Senior"))</f>
        <v>Young</v>
      </c>
      <c r="AB821" t="str">
        <f>IF(H_A[[#This Row],[MonthlyIncome]]&lt;5000,"Low",IF(H_A[[#This Row],[MonthlyIncome]]&lt;10000,"Medium","High"))</f>
        <v>Low</v>
      </c>
      <c r="AC821" t="str">
        <f>IF(H_A[[#This Row],[YearsAtCompany]]&lt;3,"Early",IF(H_A[[#This Row],[YearsAtCompany]]&lt;7,"Mid","Long"))</f>
        <v>Mid</v>
      </c>
      <c r="AD821" t="str">
        <f>IF(H_A[[#This Row],[PercentSalaryHike]]&lt;13,"Low",IF(H_A[[#This Row],[PercentSalaryHike]]&lt;18,"Medium","High"))</f>
        <v>Medium</v>
      </c>
    </row>
    <row r="822" spans="1:30" x14ac:dyDescent="0.3">
      <c r="A822">
        <v>35</v>
      </c>
      <c r="B822">
        <v>1137</v>
      </c>
      <c r="C822" t="s">
        <v>36</v>
      </c>
      <c r="D822" t="s">
        <v>31</v>
      </c>
      <c r="E822">
        <v>11</v>
      </c>
      <c r="F822">
        <v>2</v>
      </c>
      <c r="G822" t="s">
        <v>50</v>
      </c>
      <c r="H822">
        <v>4</v>
      </c>
      <c r="I822" t="s">
        <v>38</v>
      </c>
      <c r="J822">
        <v>3</v>
      </c>
      <c r="K822">
        <v>2</v>
      </c>
      <c r="L822" t="s">
        <v>34</v>
      </c>
      <c r="M822">
        <v>4</v>
      </c>
      <c r="N822" t="s">
        <v>44</v>
      </c>
      <c r="O822">
        <v>4968</v>
      </c>
      <c r="P822">
        <v>1</v>
      </c>
      <c r="Q822" t="s">
        <v>36</v>
      </c>
      <c r="R822">
        <v>4</v>
      </c>
      <c r="S822">
        <v>5</v>
      </c>
      <c r="T822">
        <v>3</v>
      </c>
      <c r="U822">
        <v>5</v>
      </c>
      <c r="V822">
        <v>2</v>
      </c>
      <c r="W822">
        <v>0</v>
      </c>
      <c r="X822">
        <v>2</v>
      </c>
      <c r="Y822">
        <v>11</v>
      </c>
      <c r="Z822">
        <f>IF(H_A[[#This Row],[Attrition]]="Yes",1,0)</f>
        <v>0</v>
      </c>
      <c r="AA822" t="str">
        <f>IF(H_A[[#This Row],[Age]]&lt;30,"Young",IF(H_A[[#This Row],[Age]]&lt;45,"Mid","Senior"))</f>
        <v>Mid</v>
      </c>
      <c r="AB822" t="str">
        <f>IF(H_A[[#This Row],[MonthlyIncome]]&lt;5000,"Low",IF(H_A[[#This Row],[MonthlyIncome]]&lt;10000,"Medium","High"))</f>
        <v>Low</v>
      </c>
      <c r="AC822" t="str">
        <f>IF(H_A[[#This Row],[YearsAtCompany]]&lt;3,"Early",IF(H_A[[#This Row],[YearsAtCompany]]&lt;7,"Mid","Long"))</f>
        <v>Mid</v>
      </c>
      <c r="AD822" t="str">
        <f>IF(H_A[[#This Row],[PercentSalaryHike]]&lt;13,"Low",IF(H_A[[#This Row],[PercentSalaryHike]]&lt;18,"Medium","High"))</f>
        <v>Low</v>
      </c>
    </row>
    <row r="823" spans="1:30" x14ac:dyDescent="0.3">
      <c r="A823">
        <v>49</v>
      </c>
      <c r="B823">
        <v>1138</v>
      </c>
      <c r="C823" t="s">
        <v>36</v>
      </c>
      <c r="D823" t="s">
        <v>31</v>
      </c>
      <c r="E823">
        <v>8</v>
      </c>
      <c r="F823">
        <v>4</v>
      </c>
      <c r="G823" t="s">
        <v>51</v>
      </c>
      <c r="H823">
        <v>4</v>
      </c>
      <c r="I823" t="s">
        <v>38</v>
      </c>
      <c r="J823">
        <v>2</v>
      </c>
      <c r="K823">
        <v>4</v>
      </c>
      <c r="L823" t="s">
        <v>34</v>
      </c>
      <c r="M823">
        <v>2</v>
      </c>
      <c r="N823" t="s">
        <v>40</v>
      </c>
      <c r="O823">
        <v>13120</v>
      </c>
      <c r="P823">
        <v>6</v>
      </c>
      <c r="Q823" t="s">
        <v>36</v>
      </c>
      <c r="R823">
        <v>2</v>
      </c>
      <c r="S823">
        <v>22</v>
      </c>
      <c r="T823">
        <v>3</v>
      </c>
      <c r="U823">
        <v>9</v>
      </c>
      <c r="V823">
        <v>8</v>
      </c>
      <c r="W823">
        <v>2</v>
      </c>
      <c r="X823">
        <v>3</v>
      </c>
      <c r="Y823">
        <v>17</v>
      </c>
      <c r="Z823">
        <f>IF(H_A[[#This Row],[Attrition]]="Yes",1,0)</f>
        <v>0</v>
      </c>
      <c r="AA823" t="str">
        <f>IF(H_A[[#This Row],[Age]]&lt;30,"Young",IF(H_A[[#This Row],[Age]]&lt;45,"Mid","Senior"))</f>
        <v>Senior</v>
      </c>
      <c r="AB823" t="str">
        <f>IF(H_A[[#This Row],[MonthlyIncome]]&lt;5000,"Low",IF(H_A[[#This Row],[MonthlyIncome]]&lt;10000,"Medium","High"))</f>
        <v>High</v>
      </c>
      <c r="AC823" t="str">
        <f>IF(H_A[[#This Row],[YearsAtCompany]]&lt;3,"Early",IF(H_A[[#This Row],[YearsAtCompany]]&lt;7,"Mid","Long"))</f>
        <v>Long</v>
      </c>
      <c r="AD823" t="str">
        <f>IF(H_A[[#This Row],[PercentSalaryHike]]&lt;13,"Low",IF(H_A[[#This Row],[PercentSalaryHike]]&lt;18,"Medium","High"))</f>
        <v>Medium</v>
      </c>
    </row>
    <row r="824" spans="1:30" x14ac:dyDescent="0.3">
      <c r="A824">
        <v>34</v>
      </c>
      <c r="B824">
        <v>1140</v>
      </c>
      <c r="C824" t="s">
        <v>36</v>
      </c>
      <c r="D824" t="s">
        <v>37</v>
      </c>
      <c r="E824">
        <v>2</v>
      </c>
      <c r="F824">
        <v>2</v>
      </c>
      <c r="G824" t="s">
        <v>32</v>
      </c>
      <c r="H824">
        <v>4</v>
      </c>
      <c r="I824" t="s">
        <v>38</v>
      </c>
      <c r="J824">
        <v>3</v>
      </c>
      <c r="K824">
        <v>2</v>
      </c>
      <c r="L824" t="s">
        <v>45</v>
      </c>
      <c r="M824">
        <v>3</v>
      </c>
      <c r="N824" t="s">
        <v>35</v>
      </c>
      <c r="O824">
        <v>4033</v>
      </c>
      <c r="P824">
        <v>2</v>
      </c>
      <c r="Q824" t="s">
        <v>36</v>
      </c>
      <c r="R824">
        <v>4</v>
      </c>
      <c r="S824">
        <v>5</v>
      </c>
      <c r="T824">
        <v>2</v>
      </c>
      <c r="U824">
        <v>3</v>
      </c>
      <c r="V824">
        <v>2</v>
      </c>
      <c r="W824">
        <v>0</v>
      </c>
      <c r="X824">
        <v>2</v>
      </c>
      <c r="Y824">
        <v>11</v>
      </c>
      <c r="Z824">
        <f>IF(H_A[[#This Row],[Attrition]]="Yes",1,0)</f>
        <v>0</v>
      </c>
      <c r="AA824" t="str">
        <f>IF(H_A[[#This Row],[Age]]&lt;30,"Young",IF(H_A[[#This Row],[Age]]&lt;45,"Mid","Senior"))</f>
        <v>Mid</v>
      </c>
      <c r="AB824" t="str">
        <f>IF(H_A[[#This Row],[MonthlyIncome]]&lt;5000,"Low",IF(H_A[[#This Row],[MonthlyIncome]]&lt;10000,"Medium","High"))</f>
        <v>Low</v>
      </c>
      <c r="AC824" t="str">
        <f>IF(H_A[[#This Row],[YearsAtCompany]]&lt;3,"Early",IF(H_A[[#This Row],[YearsAtCompany]]&lt;7,"Mid","Long"))</f>
        <v>Mid</v>
      </c>
      <c r="AD824" t="str">
        <f>IF(H_A[[#This Row],[PercentSalaryHike]]&lt;13,"Low",IF(H_A[[#This Row],[PercentSalaryHike]]&lt;18,"Medium","High"))</f>
        <v>Low</v>
      </c>
    </row>
    <row r="825" spans="1:30" x14ac:dyDescent="0.3">
      <c r="A825">
        <v>29</v>
      </c>
      <c r="B825">
        <v>1143</v>
      </c>
      <c r="C825" t="s">
        <v>36</v>
      </c>
      <c r="D825" t="s">
        <v>37</v>
      </c>
      <c r="E825">
        <v>10</v>
      </c>
      <c r="F825">
        <v>3</v>
      </c>
      <c r="G825" t="s">
        <v>32</v>
      </c>
      <c r="H825">
        <v>4</v>
      </c>
      <c r="I825" t="s">
        <v>33</v>
      </c>
      <c r="J825">
        <v>3</v>
      </c>
      <c r="K825">
        <v>1</v>
      </c>
      <c r="L825" t="s">
        <v>39</v>
      </c>
      <c r="M825">
        <v>2</v>
      </c>
      <c r="N825" t="s">
        <v>44</v>
      </c>
      <c r="O825">
        <v>3291</v>
      </c>
      <c r="P825">
        <v>0</v>
      </c>
      <c r="Q825" t="s">
        <v>36</v>
      </c>
      <c r="R825">
        <v>4</v>
      </c>
      <c r="S825">
        <v>8</v>
      </c>
      <c r="T825">
        <v>2</v>
      </c>
      <c r="U825">
        <v>7</v>
      </c>
      <c r="V825">
        <v>5</v>
      </c>
      <c r="W825">
        <v>1</v>
      </c>
      <c r="X825">
        <v>1</v>
      </c>
      <c r="Y825">
        <v>14</v>
      </c>
      <c r="Z825">
        <f>IF(H_A[[#This Row],[Attrition]]="Yes",1,0)</f>
        <v>0</v>
      </c>
      <c r="AA825" t="str">
        <f>IF(H_A[[#This Row],[Age]]&lt;30,"Young",IF(H_A[[#This Row],[Age]]&lt;45,"Mid","Senior"))</f>
        <v>Young</v>
      </c>
      <c r="AB825" t="str">
        <f>IF(H_A[[#This Row],[MonthlyIncome]]&lt;5000,"Low",IF(H_A[[#This Row],[MonthlyIncome]]&lt;10000,"Medium","High"))</f>
        <v>Low</v>
      </c>
      <c r="AC825" t="str">
        <f>IF(H_A[[#This Row],[YearsAtCompany]]&lt;3,"Early",IF(H_A[[#This Row],[YearsAtCompany]]&lt;7,"Mid","Long"))</f>
        <v>Long</v>
      </c>
      <c r="AD825" t="str">
        <f>IF(H_A[[#This Row],[PercentSalaryHike]]&lt;13,"Low",IF(H_A[[#This Row],[PercentSalaryHike]]&lt;18,"Medium","High"))</f>
        <v>Medium</v>
      </c>
    </row>
    <row r="826" spans="1:30" x14ac:dyDescent="0.3">
      <c r="A826">
        <v>42</v>
      </c>
      <c r="B826">
        <v>1148</v>
      </c>
      <c r="C826" t="s">
        <v>36</v>
      </c>
      <c r="D826" t="s">
        <v>37</v>
      </c>
      <c r="E826">
        <v>29</v>
      </c>
      <c r="F826">
        <v>3</v>
      </c>
      <c r="G826" t="s">
        <v>43</v>
      </c>
      <c r="H826">
        <v>2</v>
      </c>
      <c r="I826" t="s">
        <v>38</v>
      </c>
      <c r="J826">
        <v>1</v>
      </c>
      <c r="K826">
        <v>2</v>
      </c>
      <c r="L826" t="s">
        <v>42</v>
      </c>
      <c r="M826">
        <v>4</v>
      </c>
      <c r="N826" t="s">
        <v>35</v>
      </c>
      <c r="O826">
        <v>4272</v>
      </c>
      <c r="P826">
        <v>4</v>
      </c>
      <c r="Q826" t="s">
        <v>36</v>
      </c>
      <c r="R826">
        <v>1</v>
      </c>
      <c r="S826">
        <v>16</v>
      </c>
      <c r="T826">
        <v>3</v>
      </c>
      <c r="U826">
        <v>1</v>
      </c>
      <c r="V826">
        <v>0</v>
      </c>
      <c r="W826">
        <v>0</v>
      </c>
      <c r="X826">
        <v>0</v>
      </c>
      <c r="Y826">
        <v>19</v>
      </c>
      <c r="Z826">
        <f>IF(H_A[[#This Row],[Attrition]]="Yes",1,0)</f>
        <v>0</v>
      </c>
      <c r="AA826" t="str">
        <f>IF(H_A[[#This Row],[Age]]&lt;30,"Young",IF(H_A[[#This Row],[Age]]&lt;45,"Mid","Senior"))</f>
        <v>Mid</v>
      </c>
      <c r="AB826" t="str">
        <f>IF(H_A[[#This Row],[MonthlyIncome]]&lt;5000,"Low",IF(H_A[[#This Row],[MonthlyIncome]]&lt;10000,"Medium","High"))</f>
        <v>Low</v>
      </c>
      <c r="AC826" t="str">
        <f>IF(H_A[[#This Row],[YearsAtCompany]]&lt;3,"Early",IF(H_A[[#This Row],[YearsAtCompany]]&lt;7,"Mid","Long"))</f>
        <v>Early</v>
      </c>
      <c r="AD826" t="str">
        <f>IF(H_A[[#This Row],[PercentSalaryHike]]&lt;13,"Low",IF(H_A[[#This Row],[PercentSalaryHike]]&lt;18,"Medium","High"))</f>
        <v>High</v>
      </c>
    </row>
    <row r="827" spans="1:30" x14ac:dyDescent="0.3">
      <c r="A827">
        <v>29</v>
      </c>
      <c r="B827">
        <v>1150</v>
      </c>
      <c r="C827" t="s">
        <v>36</v>
      </c>
      <c r="D827" t="s">
        <v>37</v>
      </c>
      <c r="E827">
        <v>8</v>
      </c>
      <c r="F827">
        <v>1</v>
      </c>
      <c r="G827" t="s">
        <v>43</v>
      </c>
      <c r="H827">
        <v>2</v>
      </c>
      <c r="I827" t="s">
        <v>38</v>
      </c>
      <c r="J827">
        <v>2</v>
      </c>
      <c r="K827">
        <v>2</v>
      </c>
      <c r="L827" t="s">
        <v>45</v>
      </c>
      <c r="M827">
        <v>4</v>
      </c>
      <c r="N827" t="s">
        <v>40</v>
      </c>
      <c r="O827">
        <v>5056</v>
      </c>
      <c r="P827">
        <v>1</v>
      </c>
      <c r="Q827" t="s">
        <v>30</v>
      </c>
      <c r="R827">
        <v>3</v>
      </c>
      <c r="S827">
        <v>10</v>
      </c>
      <c r="T827">
        <v>2</v>
      </c>
      <c r="U827">
        <v>10</v>
      </c>
      <c r="V827">
        <v>7</v>
      </c>
      <c r="W827">
        <v>1</v>
      </c>
      <c r="X827">
        <v>2</v>
      </c>
      <c r="Y827">
        <v>15</v>
      </c>
      <c r="Z827">
        <f>IF(H_A[[#This Row],[Attrition]]="Yes",1,0)</f>
        <v>0</v>
      </c>
      <c r="AA827" t="str">
        <f>IF(H_A[[#This Row],[Age]]&lt;30,"Young",IF(H_A[[#This Row],[Age]]&lt;45,"Mid","Senior"))</f>
        <v>Young</v>
      </c>
      <c r="AB827" t="str">
        <f>IF(H_A[[#This Row],[MonthlyIncome]]&lt;5000,"Low",IF(H_A[[#This Row],[MonthlyIncome]]&lt;10000,"Medium","High"))</f>
        <v>Medium</v>
      </c>
      <c r="AC827" t="str">
        <f>IF(H_A[[#This Row],[YearsAtCompany]]&lt;3,"Early",IF(H_A[[#This Row],[YearsAtCompany]]&lt;7,"Mid","Long"))</f>
        <v>Long</v>
      </c>
      <c r="AD827" t="str">
        <f>IF(H_A[[#This Row],[PercentSalaryHike]]&lt;13,"Low",IF(H_A[[#This Row],[PercentSalaryHike]]&lt;18,"Medium","High"))</f>
        <v>Medium</v>
      </c>
    </row>
    <row r="828" spans="1:30" x14ac:dyDescent="0.3">
      <c r="A828">
        <v>38</v>
      </c>
      <c r="B828">
        <v>1152</v>
      </c>
      <c r="C828" t="s">
        <v>36</v>
      </c>
      <c r="D828" t="s">
        <v>52</v>
      </c>
      <c r="E828">
        <v>1</v>
      </c>
      <c r="F828">
        <v>3</v>
      </c>
      <c r="G828" t="s">
        <v>52</v>
      </c>
      <c r="H828">
        <v>3</v>
      </c>
      <c r="I828" t="s">
        <v>38</v>
      </c>
      <c r="J828">
        <v>4</v>
      </c>
      <c r="K828">
        <v>1</v>
      </c>
      <c r="L828" t="s">
        <v>52</v>
      </c>
      <c r="M828">
        <v>3</v>
      </c>
      <c r="N828" t="s">
        <v>40</v>
      </c>
      <c r="O828">
        <v>2844</v>
      </c>
      <c r="P828">
        <v>1</v>
      </c>
      <c r="Q828" t="s">
        <v>36</v>
      </c>
      <c r="R828">
        <v>4</v>
      </c>
      <c r="S828">
        <v>7</v>
      </c>
      <c r="T828">
        <v>4</v>
      </c>
      <c r="U828">
        <v>7</v>
      </c>
      <c r="V828">
        <v>6</v>
      </c>
      <c r="W828">
        <v>5</v>
      </c>
      <c r="X828">
        <v>0</v>
      </c>
      <c r="Y828">
        <v>13</v>
      </c>
      <c r="Z828">
        <f>IF(H_A[[#This Row],[Attrition]]="Yes",1,0)</f>
        <v>0</v>
      </c>
      <c r="AA828" t="str">
        <f>IF(H_A[[#This Row],[Age]]&lt;30,"Young",IF(H_A[[#This Row],[Age]]&lt;45,"Mid","Senior"))</f>
        <v>Mid</v>
      </c>
      <c r="AB828" t="str">
        <f>IF(H_A[[#This Row],[MonthlyIncome]]&lt;5000,"Low",IF(H_A[[#This Row],[MonthlyIncome]]&lt;10000,"Medium","High"))</f>
        <v>Low</v>
      </c>
      <c r="AC828" t="str">
        <f>IF(H_A[[#This Row],[YearsAtCompany]]&lt;3,"Early",IF(H_A[[#This Row],[YearsAtCompany]]&lt;7,"Mid","Long"))</f>
        <v>Long</v>
      </c>
      <c r="AD828" t="str">
        <f>IF(H_A[[#This Row],[PercentSalaryHike]]&lt;13,"Low",IF(H_A[[#This Row],[PercentSalaryHike]]&lt;18,"Medium","High"))</f>
        <v>Medium</v>
      </c>
    </row>
    <row r="829" spans="1:30" x14ac:dyDescent="0.3">
      <c r="A829">
        <v>28</v>
      </c>
      <c r="B829">
        <v>1154</v>
      </c>
      <c r="C829" t="s">
        <v>36</v>
      </c>
      <c r="D829" t="s">
        <v>37</v>
      </c>
      <c r="E829">
        <v>6</v>
      </c>
      <c r="F829">
        <v>3</v>
      </c>
      <c r="G829" t="s">
        <v>32</v>
      </c>
      <c r="H829">
        <v>3</v>
      </c>
      <c r="I829" t="s">
        <v>38</v>
      </c>
      <c r="J829">
        <v>2</v>
      </c>
      <c r="K829">
        <v>1</v>
      </c>
      <c r="L829" t="s">
        <v>39</v>
      </c>
      <c r="M829">
        <v>3</v>
      </c>
      <c r="N829" t="s">
        <v>44</v>
      </c>
      <c r="O829">
        <v>2703</v>
      </c>
      <c r="P829">
        <v>1</v>
      </c>
      <c r="Q829" t="s">
        <v>30</v>
      </c>
      <c r="R829">
        <v>4</v>
      </c>
      <c r="S829">
        <v>3</v>
      </c>
      <c r="T829">
        <v>3</v>
      </c>
      <c r="U829">
        <v>3</v>
      </c>
      <c r="V829">
        <v>1</v>
      </c>
      <c r="W829">
        <v>0</v>
      </c>
      <c r="X829">
        <v>2</v>
      </c>
      <c r="Y829">
        <v>14</v>
      </c>
      <c r="Z829">
        <f>IF(H_A[[#This Row],[Attrition]]="Yes",1,0)</f>
        <v>0</v>
      </c>
      <c r="AA829" t="str">
        <f>IF(H_A[[#This Row],[Age]]&lt;30,"Young",IF(H_A[[#This Row],[Age]]&lt;45,"Mid","Senior"))</f>
        <v>Young</v>
      </c>
      <c r="AB829" t="str">
        <f>IF(H_A[[#This Row],[MonthlyIncome]]&lt;5000,"Low",IF(H_A[[#This Row],[MonthlyIncome]]&lt;10000,"Medium","High"))</f>
        <v>Low</v>
      </c>
      <c r="AC829" t="str">
        <f>IF(H_A[[#This Row],[YearsAtCompany]]&lt;3,"Early",IF(H_A[[#This Row],[YearsAtCompany]]&lt;7,"Mid","Long"))</f>
        <v>Mid</v>
      </c>
      <c r="AD829" t="str">
        <f>IF(H_A[[#This Row],[PercentSalaryHike]]&lt;13,"Low",IF(H_A[[#This Row],[PercentSalaryHike]]&lt;18,"Medium","High"))</f>
        <v>Medium</v>
      </c>
    </row>
    <row r="830" spans="1:30" x14ac:dyDescent="0.3">
      <c r="A830">
        <v>18</v>
      </c>
      <c r="B830">
        <v>1156</v>
      </c>
      <c r="C830" t="s">
        <v>30</v>
      </c>
      <c r="D830" t="s">
        <v>37</v>
      </c>
      <c r="E830">
        <v>8</v>
      </c>
      <c r="F830">
        <v>1</v>
      </c>
      <c r="G830" t="s">
        <v>43</v>
      </c>
      <c r="H830">
        <v>3</v>
      </c>
      <c r="I830" t="s">
        <v>38</v>
      </c>
      <c r="J830">
        <v>3</v>
      </c>
      <c r="K830">
        <v>1</v>
      </c>
      <c r="L830" t="s">
        <v>42</v>
      </c>
      <c r="M830">
        <v>3</v>
      </c>
      <c r="N830" t="s">
        <v>35</v>
      </c>
      <c r="O830">
        <v>1904</v>
      </c>
      <c r="P830">
        <v>1</v>
      </c>
      <c r="Q830" t="s">
        <v>36</v>
      </c>
      <c r="R830">
        <v>4</v>
      </c>
      <c r="S830">
        <v>0</v>
      </c>
      <c r="T830">
        <v>3</v>
      </c>
      <c r="U830">
        <v>0</v>
      </c>
      <c r="V830">
        <v>0</v>
      </c>
      <c r="W830">
        <v>0</v>
      </c>
      <c r="X830">
        <v>0</v>
      </c>
      <c r="Y830">
        <v>12</v>
      </c>
      <c r="Z830">
        <f>IF(H_A[[#This Row],[Attrition]]="Yes",1,0)</f>
        <v>1</v>
      </c>
      <c r="AA830" t="str">
        <f>IF(H_A[[#This Row],[Age]]&lt;30,"Young",IF(H_A[[#This Row],[Age]]&lt;45,"Mid","Senior"))</f>
        <v>Young</v>
      </c>
      <c r="AB830" t="str">
        <f>IF(H_A[[#This Row],[MonthlyIncome]]&lt;5000,"Low",IF(H_A[[#This Row],[MonthlyIncome]]&lt;10000,"Medium","High"))</f>
        <v>Low</v>
      </c>
      <c r="AC830" t="str">
        <f>IF(H_A[[#This Row],[YearsAtCompany]]&lt;3,"Early",IF(H_A[[#This Row],[YearsAtCompany]]&lt;7,"Mid","Long"))</f>
        <v>Early</v>
      </c>
      <c r="AD830" t="str">
        <f>IF(H_A[[#This Row],[PercentSalaryHike]]&lt;13,"Low",IF(H_A[[#This Row],[PercentSalaryHike]]&lt;18,"Medium","High"))</f>
        <v>Low</v>
      </c>
    </row>
    <row r="831" spans="1:30" x14ac:dyDescent="0.3">
      <c r="A831">
        <v>33</v>
      </c>
      <c r="B831">
        <v>1157</v>
      </c>
      <c r="C831" t="s">
        <v>30</v>
      </c>
      <c r="D831" t="s">
        <v>31</v>
      </c>
      <c r="E831">
        <v>9</v>
      </c>
      <c r="F831">
        <v>4</v>
      </c>
      <c r="G831" t="s">
        <v>50</v>
      </c>
      <c r="H831">
        <v>1</v>
      </c>
      <c r="I831" t="s">
        <v>33</v>
      </c>
      <c r="J831">
        <v>3</v>
      </c>
      <c r="K831">
        <v>2</v>
      </c>
      <c r="L831" t="s">
        <v>34</v>
      </c>
      <c r="M831">
        <v>1</v>
      </c>
      <c r="N831" t="s">
        <v>35</v>
      </c>
      <c r="O831">
        <v>8224</v>
      </c>
      <c r="P831">
        <v>0</v>
      </c>
      <c r="Q831" t="s">
        <v>30</v>
      </c>
      <c r="R831">
        <v>1</v>
      </c>
      <c r="S831">
        <v>6</v>
      </c>
      <c r="T831">
        <v>3</v>
      </c>
      <c r="U831">
        <v>5</v>
      </c>
      <c r="V831">
        <v>2</v>
      </c>
      <c r="W831">
        <v>0</v>
      </c>
      <c r="X831">
        <v>3</v>
      </c>
      <c r="Y831">
        <v>17</v>
      </c>
      <c r="Z831">
        <f>IF(H_A[[#This Row],[Attrition]]="Yes",1,0)</f>
        <v>1</v>
      </c>
      <c r="AA831" t="str">
        <f>IF(H_A[[#This Row],[Age]]&lt;30,"Young",IF(H_A[[#This Row],[Age]]&lt;45,"Mid","Senior"))</f>
        <v>Mid</v>
      </c>
      <c r="AB831" t="str">
        <f>IF(H_A[[#This Row],[MonthlyIncome]]&lt;5000,"Low",IF(H_A[[#This Row],[MonthlyIncome]]&lt;10000,"Medium","High"))</f>
        <v>Medium</v>
      </c>
      <c r="AC831" t="str">
        <f>IF(H_A[[#This Row],[YearsAtCompany]]&lt;3,"Early",IF(H_A[[#This Row],[YearsAtCompany]]&lt;7,"Mid","Long"))</f>
        <v>Mid</v>
      </c>
      <c r="AD831" t="str">
        <f>IF(H_A[[#This Row],[PercentSalaryHike]]&lt;13,"Low",IF(H_A[[#This Row],[PercentSalaryHike]]&lt;18,"Medium","High"))</f>
        <v>Medium</v>
      </c>
    </row>
    <row r="832" spans="1:30" x14ac:dyDescent="0.3">
      <c r="A832">
        <v>41</v>
      </c>
      <c r="B832">
        <v>1158</v>
      </c>
      <c r="C832" t="s">
        <v>36</v>
      </c>
      <c r="D832" t="s">
        <v>37</v>
      </c>
      <c r="E832">
        <v>12</v>
      </c>
      <c r="F832">
        <v>4</v>
      </c>
      <c r="G832" t="s">
        <v>32</v>
      </c>
      <c r="H832">
        <v>2</v>
      </c>
      <c r="I832" t="s">
        <v>38</v>
      </c>
      <c r="J832">
        <v>3</v>
      </c>
      <c r="K832">
        <v>1</v>
      </c>
      <c r="L832" t="s">
        <v>42</v>
      </c>
      <c r="M832">
        <v>4</v>
      </c>
      <c r="N832" t="s">
        <v>40</v>
      </c>
      <c r="O832">
        <v>4766</v>
      </c>
      <c r="P832">
        <v>3</v>
      </c>
      <c r="Q832" t="s">
        <v>30</v>
      </c>
      <c r="R832">
        <v>1</v>
      </c>
      <c r="S832">
        <v>6</v>
      </c>
      <c r="T832">
        <v>3</v>
      </c>
      <c r="U832">
        <v>1</v>
      </c>
      <c r="V832">
        <v>0</v>
      </c>
      <c r="W832">
        <v>0</v>
      </c>
      <c r="X832">
        <v>0</v>
      </c>
      <c r="Y832">
        <v>11</v>
      </c>
      <c r="Z832">
        <f>IF(H_A[[#This Row],[Attrition]]="Yes",1,0)</f>
        <v>0</v>
      </c>
      <c r="AA832" t="str">
        <f>IF(H_A[[#This Row],[Age]]&lt;30,"Young",IF(H_A[[#This Row],[Age]]&lt;45,"Mid","Senior"))</f>
        <v>Mid</v>
      </c>
      <c r="AB832" t="str">
        <f>IF(H_A[[#This Row],[MonthlyIncome]]&lt;5000,"Low",IF(H_A[[#This Row],[MonthlyIncome]]&lt;10000,"Medium","High"))</f>
        <v>Low</v>
      </c>
      <c r="AC832" t="str">
        <f>IF(H_A[[#This Row],[YearsAtCompany]]&lt;3,"Early",IF(H_A[[#This Row],[YearsAtCompany]]&lt;7,"Mid","Long"))</f>
        <v>Early</v>
      </c>
      <c r="AD832" t="str">
        <f>IF(H_A[[#This Row],[PercentSalaryHike]]&lt;13,"Low",IF(H_A[[#This Row],[PercentSalaryHike]]&lt;18,"Medium","High"))</f>
        <v>Low</v>
      </c>
    </row>
    <row r="833" spans="1:30" x14ac:dyDescent="0.3">
      <c r="A833">
        <v>31</v>
      </c>
      <c r="B833">
        <v>1160</v>
      </c>
      <c r="C833" t="s">
        <v>30</v>
      </c>
      <c r="D833" t="s">
        <v>37</v>
      </c>
      <c r="E833">
        <v>15</v>
      </c>
      <c r="F833">
        <v>3</v>
      </c>
      <c r="G833" t="s">
        <v>43</v>
      </c>
      <c r="H833">
        <v>3</v>
      </c>
      <c r="I833" t="s">
        <v>38</v>
      </c>
      <c r="J833">
        <v>3</v>
      </c>
      <c r="K833">
        <v>1</v>
      </c>
      <c r="L833" t="s">
        <v>42</v>
      </c>
      <c r="M833">
        <v>3</v>
      </c>
      <c r="N833" t="s">
        <v>40</v>
      </c>
      <c r="O833">
        <v>2610</v>
      </c>
      <c r="P833">
        <v>1</v>
      </c>
      <c r="Q833" t="s">
        <v>36</v>
      </c>
      <c r="R833">
        <v>3</v>
      </c>
      <c r="S833">
        <v>2</v>
      </c>
      <c r="T833">
        <v>2</v>
      </c>
      <c r="U833">
        <v>2</v>
      </c>
      <c r="V833">
        <v>2</v>
      </c>
      <c r="W833">
        <v>2</v>
      </c>
      <c r="X833">
        <v>2</v>
      </c>
      <c r="Y833">
        <v>12</v>
      </c>
      <c r="Z833">
        <f>IF(H_A[[#This Row],[Attrition]]="Yes",1,0)</f>
        <v>1</v>
      </c>
      <c r="AA833" t="str">
        <f>IF(H_A[[#This Row],[Age]]&lt;30,"Young",IF(H_A[[#This Row],[Age]]&lt;45,"Mid","Senior"))</f>
        <v>Mid</v>
      </c>
      <c r="AB833" t="str">
        <f>IF(H_A[[#This Row],[MonthlyIncome]]&lt;5000,"Low",IF(H_A[[#This Row],[MonthlyIncome]]&lt;10000,"Medium","High"))</f>
        <v>Low</v>
      </c>
      <c r="AC833" t="str">
        <f>IF(H_A[[#This Row],[YearsAtCompany]]&lt;3,"Early",IF(H_A[[#This Row],[YearsAtCompany]]&lt;7,"Mid","Long"))</f>
        <v>Early</v>
      </c>
      <c r="AD833" t="str">
        <f>IF(H_A[[#This Row],[PercentSalaryHike]]&lt;13,"Low",IF(H_A[[#This Row],[PercentSalaryHike]]&lt;18,"Medium","High"))</f>
        <v>Low</v>
      </c>
    </row>
    <row r="834" spans="1:30" x14ac:dyDescent="0.3">
      <c r="A834">
        <v>37</v>
      </c>
      <c r="B834">
        <v>1161</v>
      </c>
      <c r="C834" t="s">
        <v>36</v>
      </c>
      <c r="D834" t="s">
        <v>37</v>
      </c>
      <c r="E834">
        <v>25</v>
      </c>
      <c r="F834">
        <v>2</v>
      </c>
      <c r="G834" t="s">
        <v>43</v>
      </c>
      <c r="H834">
        <v>3</v>
      </c>
      <c r="I834" t="s">
        <v>33</v>
      </c>
      <c r="J834">
        <v>2</v>
      </c>
      <c r="K834">
        <v>2</v>
      </c>
      <c r="L834" t="s">
        <v>46</v>
      </c>
      <c r="M834">
        <v>4</v>
      </c>
      <c r="N834" t="s">
        <v>44</v>
      </c>
      <c r="O834">
        <v>5731</v>
      </c>
      <c r="P834">
        <v>7</v>
      </c>
      <c r="Q834" t="s">
        <v>36</v>
      </c>
      <c r="R834">
        <v>3</v>
      </c>
      <c r="S834">
        <v>9</v>
      </c>
      <c r="T834">
        <v>3</v>
      </c>
      <c r="U834">
        <v>6</v>
      </c>
      <c r="V834">
        <v>2</v>
      </c>
      <c r="W834">
        <v>1</v>
      </c>
      <c r="X834">
        <v>3</v>
      </c>
      <c r="Y834">
        <v>13</v>
      </c>
      <c r="Z834">
        <f>IF(H_A[[#This Row],[Attrition]]="Yes",1,0)</f>
        <v>0</v>
      </c>
      <c r="AA834" t="str">
        <f>IF(H_A[[#This Row],[Age]]&lt;30,"Young",IF(H_A[[#This Row],[Age]]&lt;45,"Mid","Senior"))</f>
        <v>Mid</v>
      </c>
      <c r="AB834" t="str">
        <f>IF(H_A[[#This Row],[MonthlyIncome]]&lt;5000,"Low",IF(H_A[[#This Row],[MonthlyIncome]]&lt;10000,"Medium","High"))</f>
        <v>Medium</v>
      </c>
      <c r="AC834" t="str">
        <f>IF(H_A[[#This Row],[YearsAtCompany]]&lt;3,"Early",IF(H_A[[#This Row],[YearsAtCompany]]&lt;7,"Mid","Long"))</f>
        <v>Mid</v>
      </c>
      <c r="AD834" t="str">
        <f>IF(H_A[[#This Row],[PercentSalaryHike]]&lt;13,"Low",IF(H_A[[#This Row],[PercentSalaryHike]]&lt;18,"Medium","High"))</f>
        <v>Medium</v>
      </c>
    </row>
    <row r="835" spans="1:30" x14ac:dyDescent="0.3">
      <c r="A835">
        <v>27</v>
      </c>
      <c r="B835">
        <v>1162</v>
      </c>
      <c r="C835" t="s">
        <v>36</v>
      </c>
      <c r="D835" t="s">
        <v>37</v>
      </c>
      <c r="E835">
        <v>6</v>
      </c>
      <c r="F835">
        <v>3</v>
      </c>
      <c r="G835" t="s">
        <v>32</v>
      </c>
      <c r="H835">
        <v>4</v>
      </c>
      <c r="I835" t="s">
        <v>38</v>
      </c>
      <c r="J835">
        <v>2</v>
      </c>
      <c r="K835">
        <v>1</v>
      </c>
      <c r="L835" t="s">
        <v>39</v>
      </c>
      <c r="M835">
        <v>3</v>
      </c>
      <c r="N835" t="s">
        <v>40</v>
      </c>
      <c r="O835">
        <v>2539</v>
      </c>
      <c r="P835">
        <v>1</v>
      </c>
      <c r="Q835" t="s">
        <v>36</v>
      </c>
      <c r="R835">
        <v>3</v>
      </c>
      <c r="S835">
        <v>4</v>
      </c>
      <c r="T835">
        <v>3</v>
      </c>
      <c r="U835">
        <v>4</v>
      </c>
      <c r="V835">
        <v>2</v>
      </c>
      <c r="W835">
        <v>2</v>
      </c>
      <c r="X835">
        <v>2</v>
      </c>
      <c r="Y835">
        <v>13</v>
      </c>
      <c r="Z835">
        <f>IF(H_A[[#This Row],[Attrition]]="Yes",1,0)</f>
        <v>0</v>
      </c>
      <c r="AA835" t="str">
        <f>IF(H_A[[#This Row],[Age]]&lt;30,"Young",IF(H_A[[#This Row],[Age]]&lt;45,"Mid","Senior"))</f>
        <v>Young</v>
      </c>
      <c r="AB835" t="str">
        <f>IF(H_A[[#This Row],[MonthlyIncome]]&lt;5000,"Low",IF(H_A[[#This Row],[MonthlyIncome]]&lt;10000,"Medium","High"))</f>
        <v>Low</v>
      </c>
      <c r="AC835" t="str">
        <f>IF(H_A[[#This Row],[YearsAtCompany]]&lt;3,"Early",IF(H_A[[#This Row],[YearsAtCompany]]&lt;7,"Mid","Long"))</f>
        <v>Mid</v>
      </c>
      <c r="AD835" t="str">
        <f>IF(H_A[[#This Row],[PercentSalaryHike]]&lt;13,"Low",IF(H_A[[#This Row],[PercentSalaryHike]]&lt;18,"Medium","High"))</f>
        <v>Medium</v>
      </c>
    </row>
    <row r="836" spans="1:30" x14ac:dyDescent="0.3">
      <c r="A836">
        <v>34</v>
      </c>
      <c r="B836">
        <v>1163</v>
      </c>
      <c r="C836" t="s">
        <v>36</v>
      </c>
      <c r="D836" t="s">
        <v>31</v>
      </c>
      <c r="E836">
        <v>9</v>
      </c>
      <c r="F836">
        <v>1</v>
      </c>
      <c r="G836" t="s">
        <v>32</v>
      </c>
      <c r="H836">
        <v>2</v>
      </c>
      <c r="I836" t="s">
        <v>33</v>
      </c>
      <c r="J836">
        <v>3</v>
      </c>
      <c r="K836">
        <v>2</v>
      </c>
      <c r="L836" t="s">
        <v>34</v>
      </c>
      <c r="M836">
        <v>3</v>
      </c>
      <c r="N836" t="s">
        <v>40</v>
      </c>
      <c r="O836">
        <v>5714</v>
      </c>
      <c r="P836">
        <v>1</v>
      </c>
      <c r="Q836" t="s">
        <v>36</v>
      </c>
      <c r="R836">
        <v>1</v>
      </c>
      <c r="S836">
        <v>6</v>
      </c>
      <c r="T836">
        <v>2</v>
      </c>
      <c r="U836">
        <v>6</v>
      </c>
      <c r="V836">
        <v>5</v>
      </c>
      <c r="W836">
        <v>1</v>
      </c>
      <c r="X836">
        <v>3</v>
      </c>
      <c r="Y836">
        <v>20</v>
      </c>
      <c r="Z836">
        <f>IF(H_A[[#This Row],[Attrition]]="Yes",1,0)</f>
        <v>0</v>
      </c>
      <c r="AA836" t="str">
        <f>IF(H_A[[#This Row],[Age]]&lt;30,"Young",IF(H_A[[#This Row],[Age]]&lt;45,"Mid","Senior"))</f>
        <v>Mid</v>
      </c>
      <c r="AB836" t="str">
        <f>IF(H_A[[#This Row],[MonthlyIncome]]&lt;5000,"Low",IF(H_A[[#This Row],[MonthlyIncome]]&lt;10000,"Medium","High"))</f>
        <v>Medium</v>
      </c>
      <c r="AC836" t="str">
        <f>IF(H_A[[#This Row],[YearsAtCompany]]&lt;3,"Early",IF(H_A[[#This Row],[YearsAtCompany]]&lt;7,"Mid","Long"))</f>
        <v>Mid</v>
      </c>
      <c r="AD836" t="str">
        <f>IF(H_A[[#This Row],[PercentSalaryHike]]&lt;13,"Low",IF(H_A[[#This Row],[PercentSalaryHike]]&lt;18,"Medium","High"))</f>
        <v>High</v>
      </c>
    </row>
    <row r="837" spans="1:30" x14ac:dyDescent="0.3">
      <c r="A837">
        <v>35</v>
      </c>
      <c r="B837">
        <v>1164</v>
      </c>
      <c r="C837" t="s">
        <v>36</v>
      </c>
      <c r="D837" t="s">
        <v>52</v>
      </c>
      <c r="E837">
        <v>8</v>
      </c>
      <c r="F837">
        <v>4</v>
      </c>
      <c r="G837" t="s">
        <v>51</v>
      </c>
      <c r="H837">
        <v>3</v>
      </c>
      <c r="I837" t="s">
        <v>38</v>
      </c>
      <c r="J837">
        <v>3</v>
      </c>
      <c r="K837">
        <v>1</v>
      </c>
      <c r="L837" t="s">
        <v>52</v>
      </c>
      <c r="M837">
        <v>3</v>
      </c>
      <c r="N837" t="s">
        <v>35</v>
      </c>
      <c r="O837">
        <v>4323</v>
      </c>
      <c r="P837">
        <v>1</v>
      </c>
      <c r="Q837" t="s">
        <v>36</v>
      </c>
      <c r="R837">
        <v>2</v>
      </c>
      <c r="S837">
        <v>6</v>
      </c>
      <c r="T837">
        <v>1</v>
      </c>
      <c r="U837">
        <v>5</v>
      </c>
      <c r="V837">
        <v>4</v>
      </c>
      <c r="W837">
        <v>1</v>
      </c>
      <c r="X837">
        <v>4</v>
      </c>
      <c r="Y837">
        <v>17</v>
      </c>
      <c r="Z837">
        <f>IF(H_A[[#This Row],[Attrition]]="Yes",1,0)</f>
        <v>0</v>
      </c>
      <c r="AA837" t="str">
        <f>IF(H_A[[#This Row],[Age]]&lt;30,"Young",IF(H_A[[#This Row],[Age]]&lt;45,"Mid","Senior"))</f>
        <v>Mid</v>
      </c>
      <c r="AB837" t="str">
        <f>IF(H_A[[#This Row],[MonthlyIncome]]&lt;5000,"Low",IF(H_A[[#This Row],[MonthlyIncome]]&lt;10000,"Medium","High"))</f>
        <v>Low</v>
      </c>
      <c r="AC837" t="str">
        <f>IF(H_A[[#This Row],[YearsAtCompany]]&lt;3,"Early",IF(H_A[[#This Row],[YearsAtCompany]]&lt;7,"Mid","Long"))</f>
        <v>Mid</v>
      </c>
      <c r="AD837" t="str">
        <f>IF(H_A[[#This Row],[PercentSalaryHike]]&lt;13,"Low",IF(H_A[[#This Row],[PercentSalaryHike]]&lt;18,"Medium","High"))</f>
        <v>Medium</v>
      </c>
    </row>
    <row r="838" spans="1:30" x14ac:dyDescent="0.3">
      <c r="A838">
        <v>29</v>
      </c>
      <c r="B838">
        <v>1165</v>
      </c>
      <c r="C838" t="s">
        <v>30</v>
      </c>
      <c r="D838" t="s">
        <v>31</v>
      </c>
      <c r="E838">
        <v>23</v>
      </c>
      <c r="F838">
        <v>1</v>
      </c>
      <c r="G838" t="s">
        <v>32</v>
      </c>
      <c r="H838">
        <v>4</v>
      </c>
      <c r="I838" t="s">
        <v>33</v>
      </c>
      <c r="J838">
        <v>2</v>
      </c>
      <c r="K838">
        <v>3</v>
      </c>
      <c r="L838" t="s">
        <v>34</v>
      </c>
      <c r="M838">
        <v>1</v>
      </c>
      <c r="N838" t="s">
        <v>40</v>
      </c>
      <c r="O838">
        <v>7336</v>
      </c>
      <c r="P838">
        <v>1</v>
      </c>
      <c r="Q838" t="s">
        <v>36</v>
      </c>
      <c r="R838">
        <v>1</v>
      </c>
      <c r="S838">
        <v>11</v>
      </c>
      <c r="T838">
        <v>1</v>
      </c>
      <c r="U838">
        <v>11</v>
      </c>
      <c r="V838">
        <v>8</v>
      </c>
      <c r="W838">
        <v>3</v>
      </c>
      <c r="X838">
        <v>10</v>
      </c>
      <c r="Y838">
        <v>13</v>
      </c>
      <c r="Z838">
        <f>IF(H_A[[#This Row],[Attrition]]="Yes",1,0)</f>
        <v>1</v>
      </c>
      <c r="AA838" t="str">
        <f>IF(H_A[[#This Row],[Age]]&lt;30,"Young",IF(H_A[[#This Row],[Age]]&lt;45,"Mid","Senior"))</f>
        <v>Young</v>
      </c>
      <c r="AB838" t="str">
        <f>IF(H_A[[#This Row],[MonthlyIncome]]&lt;5000,"Low",IF(H_A[[#This Row],[MonthlyIncome]]&lt;10000,"Medium","High"))</f>
        <v>Medium</v>
      </c>
      <c r="AC838" t="str">
        <f>IF(H_A[[#This Row],[YearsAtCompany]]&lt;3,"Early",IF(H_A[[#This Row],[YearsAtCompany]]&lt;7,"Mid","Long"))</f>
        <v>Long</v>
      </c>
      <c r="AD838" t="str">
        <f>IF(H_A[[#This Row],[PercentSalaryHike]]&lt;13,"Low",IF(H_A[[#This Row],[PercentSalaryHike]]&lt;18,"Medium","High"))</f>
        <v>Medium</v>
      </c>
    </row>
    <row r="839" spans="1:30" x14ac:dyDescent="0.3">
      <c r="A839">
        <v>40</v>
      </c>
      <c r="B839">
        <v>1166</v>
      </c>
      <c r="C839" t="s">
        <v>36</v>
      </c>
      <c r="D839" t="s">
        <v>37</v>
      </c>
      <c r="E839">
        <v>9</v>
      </c>
      <c r="F839">
        <v>4</v>
      </c>
      <c r="G839" t="s">
        <v>43</v>
      </c>
      <c r="H839">
        <v>2</v>
      </c>
      <c r="I839" t="s">
        <v>33</v>
      </c>
      <c r="J839">
        <v>3</v>
      </c>
      <c r="K839">
        <v>3</v>
      </c>
      <c r="L839" t="s">
        <v>49</v>
      </c>
      <c r="M839">
        <v>3</v>
      </c>
      <c r="N839" t="s">
        <v>35</v>
      </c>
      <c r="O839">
        <v>13499</v>
      </c>
      <c r="P839">
        <v>9</v>
      </c>
      <c r="Q839" t="s">
        <v>36</v>
      </c>
      <c r="R839">
        <v>3</v>
      </c>
      <c r="S839">
        <v>20</v>
      </c>
      <c r="T839">
        <v>2</v>
      </c>
      <c r="U839">
        <v>18</v>
      </c>
      <c r="V839">
        <v>7</v>
      </c>
      <c r="W839">
        <v>2</v>
      </c>
      <c r="X839">
        <v>13</v>
      </c>
      <c r="Y839">
        <v>17</v>
      </c>
      <c r="Z839">
        <f>IF(H_A[[#This Row],[Attrition]]="Yes",1,0)</f>
        <v>0</v>
      </c>
      <c r="AA839" t="str">
        <f>IF(H_A[[#This Row],[Age]]&lt;30,"Young",IF(H_A[[#This Row],[Age]]&lt;45,"Mid","Senior"))</f>
        <v>Mid</v>
      </c>
      <c r="AB839" t="str">
        <f>IF(H_A[[#This Row],[MonthlyIncome]]&lt;5000,"Low",IF(H_A[[#This Row],[MonthlyIncome]]&lt;10000,"Medium","High"))</f>
        <v>High</v>
      </c>
      <c r="AC839" t="str">
        <f>IF(H_A[[#This Row],[YearsAtCompany]]&lt;3,"Early",IF(H_A[[#This Row],[YearsAtCompany]]&lt;7,"Mid","Long"))</f>
        <v>Long</v>
      </c>
      <c r="AD839" t="str">
        <f>IF(H_A[[#This Row],[PercentSalaryHike]]&lt;13,"Low",IF(H_A[[#This Row],[PercentSalaryHike]]&lt;18,"Medium","High"))</f>
        <v>Medium</v>
      </c>
    </row>
    <row r="840" spans="1:30" x14ac:dyDescent="0.3">
      <c r="A840">
        <v>42</v>
      </c>
      <c r="B840">
        <v>1167</v>
      </c>
      <c r="C840" t="s">
        <v>30</v>
      </c>
      <c r="D840" t="s">
        <v>31</v>
      </c>
      <c r="E840">
        <v>12</v>
      </c>
      <c r="F840">
        <v>3</v>
      </c>
      <c r="G840" t="s">
        <v>32</v>
      </c>
      <c r="H840">
        <v>3</v>
      </c>
      <c r="I840" t="s">
        <v>38</v>
      </c>
      <c r="J840">
        <v>3</v>
      </c>
      <c r="K840">
        <v>4</v>
      </c>
      <c r="L840" t="s">
        <v>34</v>
      </c>
      <c r="M840">
        <v>1</v>
      </c>
      <c r="N840" t="s">
        <v>35</v>
      </c>
      <c r="O840">
        <v>13758</v>
      </c>
      <c r="P840">
        <v>0</v>
      </c>
      <c r="Q840" t="s">
        <v>30</v>
      </c>
      <c r="R840">
        <v>2</v>
      </c>
      <c r="S840">
        <v>22</v>
      </c>
      <c r="T840">
        <v>2</v>
      </c>
      <c r="U840">
        <v>21</v>
      </c>
      <c r="V840">
        <v>9</v>
      </c>
      <c r="W840">
        <v>13</v>
      </c>
      <c r="X840">
        <v>14</v>
      </c>
      <c r="Y840">
        <v>12</v>
      </c>
      <c r="Z840">
        <f>IF(H_A[[#This Row],[Attrition]]="Yes",1,0)</f>
        <v>1</v>
      </c>
      <c r="AA840" t="str">
        <f>IF(H_A[[#This Row],[Age]]&lt;30,"Young",IF(H_A[[#This Row],[Age]]&lt;45,"Mid","Senior"))</f>
        <v>Mid</v>
      </c>
      <c r="AB840" t="str">
        <f>IF(H_A[[#This Row],[MonthlyIncome]]&lt;5000,"Low",IF(H_A[[#This Row],[MonthlyIncome]]&lt;10000,"Medium","High"))</f>
        <v>High</v>
      </c>
      <c r="AC840" t="str">
        <f>IF(H_A[[#This Row],[YearsAtCompany]]&lt;3,"Early",IF(H_A[[#This Row],[YearsAtCompany]]&lt;7,"Mid","Long"))</f>
        <v>Long</v>
      </c>
      <c r="AD840" t="str">
        <f>IF(H_A[[#This Row],[PercentSalaryHike]]&lt;13,"Low",IF(H_A[[#This Row],[PercentSalaryHike]]&lt;18,"Medium","High"))</f>
        <v>Low</v>
      </c>
    </row>
    <row r="841" spans="1:30" x14ac:dyDescent="0.3">
      <c r="A841">
        <v>42</v>
      </c>
      <c r="B841">
        <v>1171</v>
      </c>
      <c r="C841" t="s">
        <v>36</v>
      </c>
      <c r="D841" t="s">
        <v>31</v>
      </c>
      <c r="E841">
        <v>4</v>
      </c>
      <c r="F841">
        <v>4</v>
      </c>
      <c r="G841" t="s">
        <v>50</v>
      </c>
      <c r="H841">
        <v>2</v>
      </c>
      <c r="I841" t="s">
        <v>38</v>
      </c>
      <c r="J841">
        <v>3</v>
      </c>
      <c r="K841">
        <v>2</v>
      </c>
      <c r="L841" t="s">
        <v>34</v>
      </c>
      <c r="M841">
        <v>1</v>
      </c>
      <c r="N841" t="s">
        <v>35</v>
      </c>
      <c r="O841">
        <v>5155</v>
      </c>
      <c r="P841">
        <v>7</v>
      </c>
      <c r="Q841" t="s">
        <v>36</v>
      </c>
      <c r="R841">
        <v>4</v>
      </c>
      <c r="S841">
        <v>9</v>
      </c>
      <c r="T841">
        <v>4</v>
      </c>
      <c r="U841">
        <v>6</v>
      </c>
      <c r="V841">
        <v>4</v>
      </c>
      <c r="W841">
        <v>1</v>
      </c>
      <c r="X841">
        <v>5</v>
      </c>
      <c r="Y841">
        <v>13</v>
      </c>
      <c r="Z841">
        <f>IF(H_A[[#This Row],[Attrition]]="Yes",1,0)</f>
        <v>0</v>
      </c>
      <c r="AA841" t="str">
        <f>IF(H_A[[#This Row],[Age]]&lt;30,"Young",IF(H_A[[#This Row],[Age]]&lt;45,"Mid","Senior"))</f>
        <v>Mid</v>
      </c>
      <c r="AB841" t="str">
        <f>IF(H_A[[#This Row],[MonthlyIncome]]&lt;5000,"Low",IF(H_A[[#This Row],[MonthlyIncome]]&lt;10000,"Medium","High"))</f>
        <v>Medium</v>
      </c>
      <c r="AC841" t="str">
        <f>IF(H_A[[#This Row],[YearsAtCompany]]&lt;3,"Early",IF(H_A[[#This Row],[YearsAtCompany]]&lt;7,"Mid","Long"))</f>
        <v>Mid</v>
      </c>
      <c r="AD841" t="str">
        <f>IF(H_A[[#This Row],[PercentSalaryHike]]&lt;13,"Low",IF(H_A[[#This Row],[PercentSalaryHike]]&lt;18,"Medium","High"))</f>
        <v>Medium</v>
      </c>
    </row>
    <row r="842" spans="1:30" x14ac:dyDescent="0.3">
      <c r="A842">
        <v>35</v>
      </c>
      <c r="B842">
        <v>1172</v>
      </c>
      <c r="C842" t="s">
        <v>36</v>
      </c>
      <c r="D842" t="s">
        <v>37</v>
      </c>
      <c r="E842">
        <v>1</v>
      </c>
      <c r="F842">
        <v>4</v>
      </c>
      <c r="G842" t="s">
        <v>43</v>
      </c>
      <c r="H842">
        <v>4</v>
      </c>
      <c r="I842" t="s">
        <v>38</v>
      </c>
      <c r="J842">
        <v>2</v>
      </c>
      <c r="K842">
        <v>1</v>
      </c>
      <c r="L842" t="s">
        <v>42</v>
      </c>
      <c r="M842">
        <v>3</v>
      </c>
      <c r="N842" t="s">
        <v>40</v>
      </c>
      <c r="O842">
        <v>2258</v>
      </c>
      <c r="P842">
        <v>6</v>
      </c>
      <c r="Q842" t="s">
        <v>36</v>
      </c>
      <c r="R842">
        <v>2</v>
      </c>
      <c r="S842">
        <v>10</v>
      </c>
      <c r="T842">
        <v>3</v>
      </c>
      <c r="U842">
        <v>8</v>
      </c>
      <c r="V842">
        <v>0</v>
      </c>
      <c r="W842">
        <v>1</v>
      </c>
      <c r="X842">
        <v>7</v>
      </c>
      <c r="Y842">
        <v>12</v>
      </c>
      <c r="Z842">
        <f>IF(H_A[[#This Row],[Attrition]]="Yes",1,0)</f>
        <v>0</v>
      </c>
      <c r="AA842" t="str">
        <f>IF(H_A[[#This Row],[Age]]&lt;30,"Young",IF(H_A[[#This Row],[Age]]&lt;45,"Mid","Senior"))</f>
        <v>Mid</v>
      </c>
      <c r="AB842" t="str">
        <f>IF(H_A[[#This Row],[MonthlyIncome]]&lt;5000,"Low",IF(H_A[[#This Row],[MonthlyIncome]]&lt;10000,"Medium","High"))</f>
        <v>Low</v>
      </c>
      <c r="AC842" t="str">
        <f>IF(H_A[[#This Row],[YearsAtCompany]]&lt;3,"Early",IF(H_A[[#This Row],[YearsAtCompany]]&lt;7,"Mid","Long"))</f>
        <v>Long</v>
      </c>
      <c r="AD842" t="str">
        <f>IF(H_A[[#This Row],[PercentSalaryHike]]&lt;13,"Low",IF(H_A[[#This Row],[PercentSalaryHike]]&lt;18,"Medium","High"))</f>
        <v>Low</v>
      </c>
    </row>
    <row r="843" spans="1:30" x14ac:dyDescent="0.3">
      <c r="A843">
        <v>24</v>
      </c>
      <c r="B843">
        <v>1173</v>
      </c>
      <c r="C843" t="s">
        <v>36</v>
      </c>
      <c r="D843" t="s">
        <v>37</v>
      </c>
      <c r="E843">
        <v>24</v>
      </c>
      <c r="F843">
        <v>3</v>
      </c>
      <c r="G843" t="s">
        <v>43</v>
      </c>
      <c r="H843">
        <v>4</v>
      </c>
      <c r="I843" t="s">
        <v>38</v>
      </c>
      <c r="J843">
        <v>3</v>
      </c>
      <c r="K843">
        <v>1</v>
      </c>
      <c r="L843" t="s">
        <v>42</v>
      </c>
      <c r="M843">
        <v>2</v>
      </c>
      <c r="N843" t="s">
        <v>35</v>
      </c>
      <c r="O843">
        <v>3597</v>
      </c>
      <c r="P843">
        <v>8</v>
      </c>
      <c r="Q843" t="s">
        <v>36</v>
      </c>
      <c r="R843">
        <v>4</v>
      </c>
      <c r="S843">
        <v>6</v>
      </c>
      <c r="T843">
        <v>3</v>
      </c>
      <c r="U843">
        <v>4</v>
      </c>
      <c r="V843">
        <v>3</v>
      </c>
      <c r="W843">
        <v>1</v>
      </c>
      <c r="X843">
        <v>2</v>
      </c>
      <c r="Y843">
        <v>22</v>
      </c>
      <c r="Z843">
        <f>IF(H_A[[#This Row],[Attrition]]="Yes",1,0)</f>
        <v>0</v>
      </c>
      <c r="AA843" t="str">
        <f>IF(H_A[[#This Row],[Age]]&lt;30,"Young",IF(H_A[[#This Row],[Age]]&lt;45,"Mid","Senior"))</f>
        <v>Young</v>
      </c>
      <c r="AB843" t="str">
        <f>IF(H_A[[#This Row],[MonthlyIncome]]&lt;5000,"Low",IF(H_A[[#This Row],[MonthlyIncome]]&lt;10000,"Medium","High"))</f>
        <v>Low</v>
      </c>
      <c r="AC843" t="str">
        <f>IF(H_A[[#This Row],[YearsAtCompany]]&lt;3,"Early",IF(H_A[[#This Row],[YearsAtCompany]]&lt;7,"Mid","Long"))</f>
        <v>Mid</v>
      </c>
      <c r="AD843" t="str">
        <f>IF(H_A[[#This Row],[PercentSalaryHike]]&lt;13,"Low",IF(H_A[[#This Row],[PercentSalaryHike]]&lt;18,"Medium","High"))</f>
        <v>High</v>
      </c>
    </row>
    <row r="844" spans="1:30" x14ac:dyDescent="0.3">
      <c r="A844">
        <v>28</v>
      </c>
      <c r="B844">
        <v>1175</v>
      </c>
      <c r="C844" t="s">
        <v>30</v>
      </c>
      <c r="D844" t="s">
        <v>37</v>
      </c>
      <c r="E844">
        <v>12</v>
      </c>
      <c r="F844">
        <v>1</v>
      </c>
      <c r="G844" t="s">
        <v>32</v>
      </c>
      <c r="H844">
        <v>3</v>
      </c>
      <c r="I844" t="s">
        <v>33</v>
      </c>
      <c r="J844">
        <v>3</v>
      </c>
      <c r="K844">
        <v>1</v>
      </c>
      <c r="L844" t="s">
        <v>42</v>
      </c>
      <c r="M844">
        <v>4</v>
      </c>
      <c r="N844" t="s">
        <v>40</v>
      </c>
      <c r="O844">
        <v>2515</v>
      </c>
      <c r="P844">
        <v>1</v>
      </c>
      <c r="Q844" t="s">
        <v>30</v>
      </c>
      <c r="R844">
        <v>4</v>
      </c>
      <c r="S844">
        <v>1</v>
      </c>
      <c r="T844">
        <v>2</v>
      </c>
      <c r="U844">
        <v>1</v>
      </c>
      <c r="V844">
        <v>1</v>
      </c>
      <c r="W844">
        <v>0</v>
      </c>
      <c r="X844">
        <v>0</v>
      </c>
      <c r="Y844">
        <v>11</v>
      </c>
      <c r="Z844">
        <f>IF(H_A[[#This Row],[Attrition]]="Yes",1,0)</f>
        <v>1</v>
      </c>
      <c r="AA844" t="str">
        <f>IF(H_A[[#This Row],[Age]]&lt;30,"Young",IF(H_A[[#This Row],[Age]]&lt;45,"Mid","Senior"))</f>
        <v>Young</v>
      </c>
      <c r="AB844" t="str">
        <f>IF(H_A[[#This Row],[MonthlyIncome]]&lt;5000,"Low",IF(H_A[[#This Row],[MonthlyIncome]]&lt;10000,"Medium","High"))</f>
        <v>Low</v>
      </c>
      <c r="AC844" t="str">
        <f>IF(H_A[[#This Row],[YearsAtCompany]]&lt;3,"Early",IF(H_A[[#This Row],[YearsAtCompany]]&lt;7,"Mid","Long"))</f>
        <v>Early</v>
      </c>
      <c r="AD844" t="str">
        <f>IF(H_A[[#This Row],[PercentSalaryHike]]&lt;13,"Low",IF(H_A[[#This Row],[PercentSalaryHike]]&lt;18,"Medium","High"))</f>
        <v>Low</v>
      </c>
    </row>
    <row r="845" spans="1:30" x14ac:dyDescent="0.3">
      <c r="A845">
        <v>26</v>
      </c>
      <c r="B845">
        <v>1177</v>
      </c>
      <c r="C845" t="s">
        <v>36</v>
      </c>
      <c r="D845" t="s">
        <v>37</v>
      </c>
      <c r="E845">
        <v>3</v>
      </c>
      <c r="F845">
        <v>4</v>
      </c>
      <c r="G845" t="s">
        <v>43</v>
      </c>
      <c r="H845">
        <v>1</v>
      </c>
      <c r="I845" t="s">
        <v>38</v>
      </c>
      <c r="J845">
        <v>4</v>
      </c>
      <c r="K845">
        <v>1</v>
      </c>
      <c r="L845" t="s">
        <v>42</v>
      </c>
      <c r="M845">
        <v>4</v>
      </c>
      <c r="N845" t="s">
        <v>40</v>
      </c>
      <c r="O845">
        <v>4420</v>
      </c>
      <c r="P845">
        <v>1</v>
      </c>
      <c r="Q845" t="s">
        <v>36</v>
      </c>
      <c r="R845">
        <v>2</v>
      </c>
      <c r="S845">
        <v>8</v>
      </c>
      <c r="T845">
        <v>3</v>
      </c>
      <c r="U845">
        <v>8</v>
      </c>
      <c r="V845">
        <v>7</v>
      </c>
      <c r="W845">
        <v>0</v>
      </c>
      <c r="X845">
        <v>7</v>
      </c>
      <c r="Y845">
        <v>22</v>
      </c>
      <c r="Z845">
        <f>IF(H_A[[#This Row],[Attrition]]="Yes",1,0)</f>
        <v>0</v>
      </c>
      <c r="AA845" t="str">
        <f>IF(H_A[[#This Row],[Age]]&lt;30,"Young",IF(H_A[[#This Row],[Age]]&lt;45,"Mid","Senior"))</f>
        <v>Young</v>
      </c>
      <c r="AB845" t="str">
        <f>IF(H_A[[#This Row],[MonthlyIncome]]&lt;5000,"Low",IF(H_A[[#This Row],[MonthlyIncome]]&lt;10000,"Medium","High"))</f>
        <v>Low</v>
      </c>
      <c r="AC845" t="str">
        <f>IF(H_A[[#This Row],[YearsAtCompany]]&lt;3,"Early",IF(H_A[[#This Row],[YearsAtCompany]]&lt;7,"Mid","Long"))</f>
        <v>Long</v>
      </c>
      <c r="AD845" t="str">
        <f>IF(H_A[[#This Row],[PercentSalaryHike]]&lt;13,"Low",IF(H_A[[#This Row],[PercentSalaryHike]]&lt;18,"Medium","High"))</f>
        <v>High</v>
      </c>
    </row>
    <row r="846" spans="1:30" x14ac:dyDescent="0.3">
      <c r="A846">
        <v>30</v>
      </c>
      <c r="B846">
        <v>1179</v>
      </c>
      <c r="C846" t="s">
        <v>36</v>
      </c>
      <c r="D846" t="s">
        <v>31</v>
      </c>
      <c r="E846">
        <v>10</v>
      </c>
      <c r="F846">
        <v>3</v>
      </c>
      <c r="G846" t="s">
        <v>50</v>
      </c>
      <c r="H846">
        <v>3</v>
      </c>
      <c r="I846" t="s">
        <v>38</v>
      </c>
      <c r="J846">
        <v>2</v>
      </c>
      <c r="K846">
        <v>2</v>
      </c>
      <c r="L846" t="s">
        <v>34</v>
      </c>
      <c r="M846">
        <v>3</v>
      </c>
      <c r="N846" t="s">
        <v>40</v>
      </c>
      <c r="O846">
        <v>6578</v>
      </c>
      <c r="P846">
        <v>1</v>
      </c>
      <c r="Q846" t="s">
        <v>36</v>
      </c>
      <c r="R846">
        <v>1</v>
      </c>
      <c r="S846">
        <v>10</v>
      </c>
      <c r="T846">
        <v>3</v>
      </c>
      <c r="U846">
        <v>10</v>
      </c>
      <c r="V846">
        <v>3</v>
      </c>
      <c r="W846">
        <v>1</v>
      </c>
      <c r="X846">
        <v>4</v>
      </c>
      <c r="Y846">
        <v>18</v>
      </c>
      <c r="Z846">
        <f>IF(H_A[[#This Row],[Attrition]]="Yes",1,0)</f>
        <v>0</v>
      </c>
      <c r="AA846" t="str">
        <f>IF(H_A[[#This Row],[Age]]&lt;30,"Young",IF(H_A[[#This Row],[Age]]&lt;45,"Mid","Senior"))</f>
        <v>Mid</v>
      </c>
      <c r="AB846" t="str">
        <f>IF(H_A[[#This Row],[MonthlyIncome]]&lt;5000,"Low",IF(H_A[[#This Row],[MonthlyIncome]]&lt;10000,"Medium","High"))</f>
        <v>Medium</v>
      </c>
      <c r="AC846" t="str">
        <f>IF(H_A[[#This Row],[YearsAtCompany]]&lt;3,"Early",IF(H_A[[#This Row],[YearsAtCompany]]&lt;7,"Mid","Long"))</f>
        <v>Long</v>
      </c>
      <c r="AD846" t="str">
        <f>IF(H_A[[#This Row],[PercentSalaryHike]]&lt;13,"Low",IF(H_A[[#This Row],[PercentSalaryHike]]&lt;18,"Medium","High"))</f>
        <v>High</v>
      </c>
    </row>
    <row r="847" spans="1:30" x14ac:dyDescent="0.3">
      <c r="A847">
        <v>40</v>
      </c>
      <c r="B847">
        <v>1180</v>
      </c>
      <c r="C847" t="s">
        <v>36</v>
      </c>
      <c r="D847" t="s">
        <v>37</v>
      </c>
      <c r="E847">
        <v>26</v>
      </c>
      <c r="F847">
        <v>2</v>
      </c>
      <c r="G847" t="s">
        <v>43</v>
      </c>
      <c r="H847">
        <v>3</v>
      </c>
      <c r="I847" t="s">
        <v>33</v>
      </c>
      <c r="J847">
        <v>2</v>
      </c>
      <c r="K847">
        <v>2</v>
      </c>
      <c r="L847" t="s">
        <v>39</v>
      </c>
      <c r="M847">
        <v>4</v>
      </c>
      <c r="N847" t="s">
        <v>40</v>
      </c>
      <c r="O847">
        <v>4422</v>
      </c>
      <c r="P847">
        <v>3</v>
      </c>
      <c r="Q847" t="s">
        <v>30</v>
      </c>
      <c r="R847">
        <v>4</v>
      </c>
      <c r="S847">
        <v>16</v>
      </c>
      <c r="T847">
        <v>1</v>
      </c>
      <c r="U847">
        <v>1</v>
      </c>
      <c r="V847">
        <v>1</v>
      </c>
      <c r="W847">
        <v>0</v>
      </c>
      <c r="X847">
        <v>0</v>
      </c>
      <c r="Y847">
        <v>13</v>
      </c>
      <c r="Z847">
        <f>IF(H_A[[#This Row],[Attrition]]="Yes",1,0)</f>
        <v>0</v>
      </c>
      <c r="AA847" t="str">
        <f>IF(H_A[[#This Row],[Age]]&lt;30,"Young",IF(H_A[[#This Row],[Age]]&lt;45,"Mid","Senior"))</f>
        <v>Mid</v>
      </c>
      <c r="AB847" t="str">
        <f>IF(H_A[[#This Row],[MonthlyIncome]]&lt;5000,"Low",IF(H_A[[#This Row],[MonthlyIncome]]&lt;10000,"Medium","High"))</f>
        <v>Low</v>
      </c>
      <c r="AC847" t="str">
        <f>IF(H_A[[#This Row],[YearsAtCompany]]&lt;3,"Early",IF(H_A[[#This Row],[YearsAtCompany]]&lt;7,"Mid","Long"))</f>
        <v>Early</v>
      </c>
      <c r="AD847" t="str">
        <f>IF(H_A[[#This Row],[PercentSalaryHike]]&lt;13,"Low",IF(H_A[[#This Row],[PercentSalaryHike]]&lt;18,"Medium","High"))</f>
        <v>Medium</v>
      </c>
    </row>
    <row r="848" spans="1:30" x14ac:dyDescent="0.3">
      <c r="A848">
        <v>35</v>
      </c>
      <c r="B848">
        <v>1182</v>
      </c>
      <c r="C848" t="s">
        <v>36</v>
      </c>
      <c r="D848" t="s">
        <v>37</v>
      </c>
      <c r="E848">
        <v>2</v>
      </c>
      <c r="F848">
        <v>3</v>
      </c>
      <c r="G848" t="s">
        <v>32</v>
      </c>
      <c r="H848">
        <v>3</v>
      </c>
      <c r="I848" t="s">
        <v>38</v>
      </c>
      <c r="J848">
        <v>2</v>
      </c>
      <c r="K848">
        <v>3</v>
      </c>
      <c r="L848" t="s">
        <v>45</v>
      </c>
      <c r="M848">
        <v>2</v>
      </c>
      <c r="N848" t="s">
        <v>44</v>
      </c>
      <c r="O848">
        <v>10274</v>
      </c>
      <c r="P848">
        <v>2</v>
      </c>
      <c r="Q848" t="s">
        <v>36</v>
      </c>
      <c r="R848">
        <v>2</v>
      </c>
      <c r="S848">
        <v>15</v>
      </c>
      <c r="T848">
        <v>4</v>
      </c>
      <c r="U848">
        <v>7</v>
      </c>
      <c r="V848">
        <v>7</v>
      </c>
      <c r="W848">
        <v>6</v>
      </c>
      <c r="X848">
        <v>4</v>
      </c>
      <c r="Y848">
        <v>18</v>
      </c>
      <c r="Z848">
        <f>IF(H_A[[#This Row],[Attrition]]="Yes",1,0)</f>
        <v>0</v>
      </c>
      <c r="AA848" t="str">
        <f>IF(H_A[[#This Row],[Age]]&lt;30,"Young",IF(H_A[[#This Row],[Age]]&lt;45,"Mid","Senior"))</f>
        <v>Mid</v>
      </c>
      <c r="AB848" t="str">
        <f>IF(H_A[[#This Row],[MonthlyIncome]]&lt;5000,"Low",IF(H_A[[#This Row],[MonthlyIncome]]&lt;10000,"Medium","High"))</f>
        <v>High</v>
      </c>
      <c r="AC848" t="str">
        <f>IF(H_A[[#This Row],[YearsAtCompany]]&lt;3,"Early",IF(H_A[[#This Row],[YearsAtCompany]]&lt;7,"Mid","Long"))</f>
        <v>Long</v>
      </c>
      <c r="AD848" t="str">
        <f>IF(H_A[[#This Row],[PercentSalaryHike]]&lt;13,"Low",IF(H_A[[#This Row],[PercentSalaryHike]]&lt;18,"Medium","High"))</f>
        <v>High</v>
      </c>
    </row>
    <row r="849" spans="1:30" x14ac:dyDescent="0.3">
      <c r="A849">
        <v>34</v>
      </c>
      <c r="B849">
        <v>1184</v>
      </c>
      <c r="C849" t="s">
        <v>36</v>
      </c>
      <c r="D849" t="s">
        <v>37</v>
      </c>
      <c r="E849">
        <v>1</v>
      </c>
      <c r="F849">
        <v>3</v>
      </c>
      <c r="G849" t="s">
        <v>43</v>
      </c>
      <c r="H849">
        <v>4</v>
      </c>
      <c r="I849" t="s">
        <v>38</v>
      </c>
      <c r="J849">
        <v>2</v>
      </c>
      <c r="K849">
        <v>2</v>
      </c>
      <c r="L849" t="s">
        <v>46</v>
      </c>
      <c r="M849">
        <v>1</v>
      </c>
      <c r="N849" t="s">
        <v>35</v>
      </c>
      <c r="O849">
        <v>5343</v>
      </c>
      <c r="P849">
        <v>0</v>
      </c>
      <c r="Q849" t="s">
        <v>36</v>
      </c>
      <c r="R849">
        <v>3</v>
      </c>
      <c r="S849">
        <v>14</v>
      </c>
      <c r="T849">
        <v>3</v>
      </c>
      <c r="U849">
        <v>13</v>
      </c>
      <c r="V849">
        <v>9</v>
      </c>
      <c r="W849">
        <v>4</v>
      </c>
      <c r="X849">
        <v>9</v>
      </c>
      <c r="Y849">
        <v>20</v>
      </c>
      <c r="Z849">
        <f>IF(H_A[[#This Row],[Attrition]]="Yes",1,0)</f>
        <v>0</v>
      </c>
      <c r="AA849" t="str">
        <f>IF(H_A[[#This Row],[Age]]&lt;30,"Young",IF(H_A[[#This Row],[Age]]&lt;45,"Mid","Senior"))</f>
        <v>Mid</v>
      </c>
      <c r="AB849" t="str">
        <f>IF(H_A[[#This Row],[MonthlyIncome]]&lt;5000,"Low",IF(H_A[[#This Row],[MonthlyIncome]]&lt;10000,"Medium","High"))</f>
        <v>Medium</v>
      </c>
      <c r="AC849" t="str">
        <f>IF(H_A[[#This Row],[YearsAtCompany]]&lt;3,"Early",IF(H_A[[#This Row],[YearsAtCompany]]&lt;7,"Mid","Long"))</f>
        <v>Long</v>
      </c>
      <c r="AD849" t="str">
        <f>IF(H_A[[#This Row],[PercentSalaryHike]]&lt;13,"Low",IF(H_A[[#This Row],[PercentSalaryHike]]&lt;18,"Medium","High"))</f>
        <v>High</v>
      </c>
    </row>
    <row r="850" spans="1:30" x14ac:dyDescent="0.3">
      <c r="A850">
        <v>35</v>
      </c>
      <c r="B850">
        <v>1185</v>
      </c>
      <c r="C850" t="s">
        <v>36</v>
      </c>
      <c r="D850" t="s">
        <v>37</v>
      </c>
      <c r="E850">
        <v>4</v>
      </c>
      <c r="F850">
        <v>4</v>
      </c>
      <c r="G850" t="s">
        <v>41</v>
      </c>
      <c r="H850">
        <v>4</v>
      </c>
      <c r="I850" t="s">
        <v>38</v>
      </c>
      <c r="J850">
        <v>2</v>
      </c>
      <c r="K850">
        <v>1</v>
      </c>
      <c r="L850" t="s">
        <v>42</v>
      </c>
      <c r="M850">
        <v>4</v>
      </c>
      <c r="N850" t="s">
        <v>40</v>
      </c>
      <c r="O850">
        <v>2376</v>
      </c>
      <c r="P850">
        <v>1</v>
      </c>
      <c r="Q850" t="s">
        <v>36</v>
      </c>
      <c r="R850">
        <v>2</v>
      </c>
      <c r="S850">
        <v>2</v>
      </c>
      <c r="T850">
        <v>4</v>
      </c>
      <c r="U850">
        <v>2</v>
      </c>
      <c r="V850">
        <v>2</v>
      </c>
      <c r="W850">
        <v>2</v>
      </c>
      <c r="X850">
        <v>2</v>
      </c>
      <c r="Y850">
        <v>13</v>
      </c>
      <c r="Z850">
        <f>IF(H_A[[#This Row],[Attrition]]="Yes",1,0)</f>
        <v>0</v>
      </c>
      <c r="AA850" t="str">
        <f>IF(H_A[[#This Row],[Age]]&lt;30,"Young",IF(H_A[[#This Row],[Age]]&lt;45,"Mid","Senior"))</f>
        <v>Mid</v>
      </c>
      <c r="AB850" t="str">
        <f>IF(H_A[[#This Row],[MonthlyIncome]]&lt;5000,"Low",IF(H_A[[#This Row],[MonthlyIncome]]&lt;10000,"Medium","High"))</f>
        <v>Low</v>
      </c>
      <c r="AC850" t="str">
        <f>IF(H_A[[#This Row],[YearsAtCompany]]&lt;3,"Early",IF(H_A[[#This Row],[YearsAtCompany]]&lt;7,"Mid","Long"))</f>
        <v>Early</v>
      </c>
      <c r="AD850" t="str">
        <f>IF(H_A[[#This Row],[PercentSalaryHike]]&lt;13,"Low",IF(H_A[[#This Row],[PercentSalaryHike]]&lt;18,"Medium","High"))</f>
        <v>Medium</v>
      </c>
    </row>
    <row r="851" spans="1:30" x14ac:dyDescent="0.3">
      <c r="A851">
        <v>43</v>
      </c>
      <c r="B851">
        <v>1188</v>
      </c>
      <c r="C851" t="s">
        <v>30</v>
      </c>
      <c r="D851" t="s">
        <v>31</v>
      </c>
      <c r="E851">
        <v>9</v>
      </c>
      <c r="F851">
        <v>3</v>
      </c>
      <c r="G851" t="s">
        <v>50</v>
      </c>
      <c r="H851">
        <v>1</v>
      </c>
      <c r="I851" t="s">
        <v>33</v>
      </c>
      <c r="J851">
        <v>1</v>
      </c>
      <c r="K851">
        <v>2</v>
      </c>
      <c r="L851" t="s">
        <v>34</v>
      </c>
      <c r="M851">
        <v>3</v>
      </c>
      <c r="N851" t="s">
        <v>35</v>
      </c>
      <c r="O851">
        <v>5346</v>
      </c>
      <c r="P851">
        <v>8</v>
      </c>
      <c r="Q851" t="s">
        <v>36</v>
      </c>
      <c r="R851">
        <v>2</v>
      </c>
      <c r="S851">
        <v>7</v>
      </c>
      <c r="T851">
        <v>2</v>
      </c>
      <c r="U851">
        <v>4</v>
      </c>
      <c r="V851">
        <v>3</v>
      </c>
      <c r="W851">
        <v>1</v>
      </c>
      <c r="X851">
        <v>3</v>
      </c>
      <c r="Y851">
        <v>13</v>
      </c>
      <c r="Z851">
        <f>IF(H_A[[#This Row],[Attrition]]="Yes",1,0)</f>
        <v>1</v>
      </c>
      <c r="AA851" t="str">
        <f>IF(H_A[[#This Row],[Age]]&lt;30,"Young",IF(H_A[[#This Row],[Age]]&lt;45,"Mid","Senior"))</f>
        <v>Mid</v>
      </c>
      <c r="AB851" t="str">
        <f>IF(H_A[[#This Row],[MonthlyIncome]]&lt;5000,"Low",IF(H_A[[#This Row],[MonthlyIncome]]&lt;10000,"Medium","High"))</f>
        <v>Medium</v>
      </c>
      <c r="AC851" t="str">
        <f>IF(H_A[[#This Row],[YearsAtCompany]]&lt;3,"Early",IF(H_A[[#This Row],[YearsAtCompany]]&lt;7,"Mid","Long"))</f>
        <v>Mid</v>
      </c>
      <c r="AD851" t="str">
        <f>IF(H_A[[#This Row],[PercentSalaryHike]]&lt;13,"Low",IF(H_A[[#This Row],[PercentSalaryHike]]&lt;18,"Medium","High"))</f>
        <v>Medium</v>
      </c>
    </row>
    <row r="852" spans="1:30" x14ac:dyDescent="0.3">
      <c r="A852">
        <v>32</v>
      </c>
      <c r="B852">
        <v>1190</v>
      </c>
      <c r="C852" t="s">
        <v>36</v>
      </c>
      <c r="D852" t="s">
        <v>31</v>
      </c>
      <c r="E852">
        <v>2</v>
      </c>
      <c r="F852">
        <v>1</v>
      </c>
      <c r="G852" t="s">
        <v>32</v>
      </c>
      <c r="H852">
        <v>3</v>
      </c>
      <c r="I852" t="s">
        <v>33</v>
      </c>
      <c r="J852">
        <v>3</v>
      </c>
      <c r="K852">
        <v>1</v>
      </c>
      <c r="L852" t="s">
        <v>48</v>
      </c>
      <c r="M852">
        <v>1</v>
      </c>
      <c r="N852" t="s">
        <v>44</v>
      </c>
      <c r="O852">
        <v>2827</v>
      </c>
      <c r="P852">
        <v>1</v>
      </c>
      <c r="Q852" t="s">
        <v>36</v>
      </c>
      <c r="R852">
        <v>3</v>
      </c>
      <c r="S852">
        <v>1</v>
      </c>
      <c r="T852">
        <v>3</v>
      </c>
      <c r="U852">
        <v>1</v>
      </c>
      <c r="V852">
        <v>0</v>
      </c>
      <c r="W852">
        <v>0</v>
      </c>
      <c r="X852">
        <v>0</v>
      </c>
      <c r="Y852">
        <v>12</v>
      </c>
      <c r="Z852">
        <f>IF(H_A[[#This Row],[Attrition]]="Yes",1,0)</f>
        <v>0</v>
      </c>
      <c r="AA852" t="str">
        <f>IF(H_A[[#This Row],[Age]]&lt;30,"Young",IF(H_A[[#This Row],[Age]]&lt;45,"Mid","Senior"))</f>
        <v>Mid</v>
      </c>
      <c r="AB852" t="str">
        <f>IF(H_A[[#This Row],[MonthlyIncome]]&lt;5000,"Low",IF(H_A[[#This Row],[MonthlyIncome]]&lt;10000,"Medium","High"))</f>
        <v>Low</v>
      </c>
      <c r="AC852" t="str">
        <f>IF(H_A[[#This Row],[YearsAtCompany]]&lt;3,"Early",IF(H_A[[#This Row],[YearsAtCompany]]&lt;7,"Mid","Long"))</f>
        <v>Early</v>
      </c>
      <c r="AD852" t="str">
        <f>IF(H_A[[#This Row],[PercentSalaryHike]]&lt;13,"Low",IF(H_A[[#This Row],[PercentSalaryHike]]&lt;18,"Medium","High"))</f>
        <v>Low</v>
      </c>
    </row>
    <row r="853" spans="1:30" x14ac:dyDescent="0.3">
      <c r="A853">
        <v>56</v>
      </c>
      <c r="B853">
        <v>1191</v>
      </c>
      <c r="C853" t="s">
        <v>36</v>
      </c>
      <c r="D853" t="s">
        <v>37</v>
      </c>
      <c r="E853">
        <v>4</v>
      </c>
      <c r="F853">
        <v>4</v>
      </c>
      <c r="G853" t="s">
        <v>51</v>
      </c>
      <c r="H853">
        <v>4</v>
      </c>
      <c r="I853" t="s">
        <v>33</v>
      </c>
      <c r="J853">
        <v>3</v>
      </c>
      <c r="K853">
        <v>5</v>
      </c>
      <c r="L853" t="s">
        <v>47</v>
      </c>
      <c r="M853">
        <v>1</v>
      </c>
      <c r="N853" t="s">
        <v>44</v>
      </c>
      <c r="O853">
        <v>19943</v>
      </c>
      <c r="P853">
        <v>4</v>
      </c>
      <c r="Q853" t="s">
        <v>36</v>
      </c>
      <c r="R853">
        <v>4</v>
      </c>
      <c r="S853">
        <v>28</v>
      </c>
      <c r="T853">
        <v>3</v>
      </c>
      <c r="U853">
        <v>5</v>
      </c>
      <c r="V853">
        <v>2</v>
      </c>
      <c r="W853">
        <v>4</v>
      </c>
      <c r="X853">
        <v>2</v>
      </c>
      <c r="Y853">
        <v>13</v>
      </c>
      <c r="Z853">
        <f>IF(H_A[[#This Row],[Attrition]]="Yes",1,0)</f>
        <v>0</v>
      </c>
      <c r="AA853" t="str">
        <f>IF(H_A[[#This Row],[Age]]&lt;30,"Young",IF(H_A[[#This Row],[Age]]&lt;45,"Mid","Senior"))</f>
        <v>Senior</v>
      </c>
      <c r="AB853" t="str">
        <f>IF(H_A[[#This Row],[MonthlyIncome]]&lt;5000,"Low",IF(H_A[[#This Row],[MonthlyIncome]]&lt;10000,"Medium","High"))</f>
        <v>High</v>
      </c>
      <c r="AC853" t="str">
        <f>IF(H_A[[#This Row],[YearsAtCompany]]&lt;3,"Early",IF(H_A[[#This Row],[YearsAtCompany]]&lt;7,"Mid","Long"))</f>
        <v>Mid</v>
      </c>
      <c r="AD853" t="str">
        <f>IF(H_A[[#This Row],[PercentSalaryHike]]&lt;13,"Low",IF(H_A[[#This Row],[PercentSalaryHike]]&lt;18,"Medium","High"))</f>
        <v>Medium</v>
      </c>
    </row>
    <row r="854" spans="1:30" x14ac:dyDescent="0.3">
      <c r="A854">
        <v>29</v>
      </c>
      <c r="B854">
        <v>1192</v>
      </c>
      <c r="C854" t="s">
        <v>36</v>
      </c>
      <c r="D854" t="s">
        <v>37</v>
      </c>
      <c r="E854">
        <v>6</v>
      </c>
      <c r="F854">
        <v>1</v>
      </c>
      <c r="G854" t="s">
        <v>43</v>
      </c>
      <c r="H854">
        <v>2</v>
      </c>
      <c r="I854" t="s">
        <v>33</v>
      </c>
      <c r="J854">
        <v>3</v>
      </c>
      <c r="K854">
        <v>1</v>
      </c>
      <c r="L854" t="s">
        <v>42</v>
      </c>
      <c r="M854">
        <v>4</v>
      </c>
      <c r="N854" t="s">
        <v>40</v>
      </c>
      <c r="O854">
        <v>3131</v>
      </c>
      <c r="P854">
        <v>1</v>
      </c>
      <c r="Q854" t="s">
        <v>36</v>
      </c>
      <c r="R854">
        <v>1</v>
      </c>
      <c r="S854">
        <v>10</v>
      </c>
      <c r="T854">
        <v>3</v>
      </c>
      <c r="U854">
        <v>10</v>
      </c>
      <c r="V854">
        <v>8</v>
      </c>
      <c r="W854">
        <v>0</v>
      </c>
      <c r="X854">
        <v>8</v>
      </c>
      <c r="Y854">
        <v>13</v>
      </c>
      <c r="Z854">
        <f>IF(H_A[[#This Row],[Attrition]]="Yes",1,0)</f>
        <v>0</v>
      </c>
      <c r="AA854" t="str">
        <f>IF(H_A[[#This Row],[Age]]&lt;30,"Young",IF(H_A[[#This Row],[Age]]&lt;45,"Mid","Senior"))</f>
        <v>Young</v>
      </c>
      <c r="AB854" t="str">
        <f>IF(H_A[[#This Row],[MonthlyIncome]]&lt;5000,"Low",IF(H_A[[#This Row],[MonthlyIncome]]&lt;10000,"Medium","High"))</f>
        <v>Low</v>
      </c>
      <c r="AC854" t="str">
        <f>IF(H_A[[#This Row],[YearsAtCompany]]&lt;3,"Early",IF(H_A[[#This Row],[YearsAtCompany]]&lt;7,"Mid","Long"))</f>
        <v>Long</v>
      </c>
      <c r="AD854" t="str">
        <f>IF(H_A[[#This Row],[PercentSalaryHike]]&lt;13,"Low",IF(H_A[[#This Row],[PercentSalaryHike]]&lt;18,"Medium","High"))</f>
        <v>Medium</v>
      </c>
    </row>
    <row r="855" spans="1:30" x14ac:dyDescent="0.3">
      <c r="A855">
        <v>19</v>
      </c>
      <c r="B855">
        <v>1193</v>
      </c>
      <c r="C855" t="s">
        <v>36</v>
      </c>
      <c r="D855" t="s">
        <v>37</v>
      </c>
      <c r="E855">
        <v>9</v>
      </c>
      <c r="F855">
        <v>2</v>
      </c>
      <c r="G855" t="s">
        <v>32</v>
      </c>
      <c r="H855">
        <v>3</v>
      </c>
      <c r="I855" t="s">
        <v>38</v>
      </c>
      <c r="J855">
        <v>3</v>
      </c>
      <c r="K855">
        <v>1</v>
      </c>
      <c r="L855" t="s">
        <v>39</v>
      </c>
      <c r="M855">
        <v>1</v>
      </c>
      <c r="N855" t="s">
        <v>35</v>
      </c>
      <c r="O855">
        <v>2552</v>
      </c>
      <c r="P855">
        <v>1</v>
      </c>
      <c r="Q855" t="s">
        <v>36</v>
      </c>
      <c r="R855">
        <v>3</v>
      </c>
      <c r="S855">
        <v>1</v>
      </c>
      <c r="T855">
        <v>3</v>
      </c>
      <c r="U855">
        <v>1</v>
      </c>
      <c r="V855">
        <v>1</v>
      </c>
      <c r="W855">
        <v>0</v>
      </c>
      <c r="X855">
        <v>0</v>
      </c>
      <c r="Y855">
        <v>25</v>
      </c>
      <c r="Z855">
        <f>IF(H_A[[#This Row],[Attrition]]="Yes",1,0)</f>
        <v>0</v>
      </c>
      <c r="AA855" t="str">
        <f>IF(H_A[[#This Row],[Age]]&lt;30,"Young",IF(H_A[[#This Row],[Age]]&lt;45,"Mid","Senior"))</f>
        <v>Young</v>
      </c>
      <c r="AB855" t="str">
        <f>IF(H_A[[#This Row],[MonthlyIncome]]&lt;5000,"Low",IF(H_A[[#This Row],[MonthlyIncome]]&lt;10000,"Medium","High"))</f>
        <v>Low</v>
      </c>
      <c r="AC855" t="str">
        <f>IF(H_A[[#This Row],[YearsAtCompany]]&lt;3,"Early",IF(H_A[[#This Row],[YearsAtCompany]]&lt;7,"Mid","Long"))</f>
        <v>Early</v>
      </c>
      <c r="AD855" t="str">
        <f>IF(H_A[[#This Row],[PercentSalaryHike]]&lt;13,"Low",IF(H_A[[#This Row],[PercentSalaryHike]]&lt;18,"Medium","High"))</f>
        <v>High</v>
      </c>
    </row>
    <row r="856" spans="1:30" x14ac:dyDescent="0.3">
      <c r="A856">
        <v>45</v>
      </c>
      <c r="B856">
        <v>1195</v>
      </c>
      <c r="C856" t="s">
        <v>36</v>
      </c>
      <c r="D856" t="s">
        <v>37</v>
      </c>
      <c r="E856">
        <v>7</v>
      </c>
      <c r="F856">
        <v>3</v>
      </c>
      <c r="G856" t="s">
        <v>43</v>
      </c>
      <c r="H856">
        <v>1</v>
      </c>
      <c r="I856" t="s">
        <v>33</v>
      </c>
      <c r="J856">
        <v>3</v>
      </c>
      <c r="K856">
        <v>1</v>
      </c>
      <c r="L856" t="s">
        <v>39</v>
      </c>
      <c r="M856">
        <v>3</v>
      </c>
      <c r="N856" t="s">
        <v>40</v>
      </c>
      <c r="O856">
        <v>4477</v>
      </c>
      <c r="P856">
        <v>4</v>
      </c>
      <c r="Q856" t="s">
        <v>30</v>
      </c>
      <c r="R856">
        <v>3</v>
      </c>
      <c r="S856">
        <v>7</v>
      </c>
      <c r="T856">
        <v>2</v>
      </c>
      <c r="U856">
        <v>3</v>
      </c>
      <c r="V856">
        <v>2</v>
      </c>
      <c r="W856">
        <v>0</v>
      </c>
      <c r="X856">
        <v>2</v>
      </c>
      <c r="Y856">
        <v>19</v>
      </c>
      <c r="Z856">
        <f>IF(H_A[[#This Row],[Attrition]]="Yes",1,0)</f>
        <v>0</v>
      </c>
      <c r="AA856" t="str">
        <f>IF(H_A[[#This Row],[Age]]&lt;30,"Young",IF(H_A[[#This Row],[Age]]&lt;45,"Mid","Senior"))</f>
        <v>Senior</v>
      </c>
      <c r="AB856" t="str">
        <f>IF(H_A[[#This Row],[MonthlyIncome]]&lt;5000,"Low",IF(H_A[[#This Row],[MonthlyIncome]]&lt;10000,"Medium","High"))</f>
        <v>Low</v>
      </c>
      <c r="AC856" t="str">
        <f>IF(H_A[[#This Row],[YearsAtCompany]]&lt;3,"Early",IF(H_A[[#This Row],[YearsAtCompany]]&lt;7,"Mid","Long"))</f>
        <v>Mid</v>
      </c>
      <c r="AD856" t="str">
        <f>IF(H_A[[#This Row],[PercentSalaryHike]]&lt;13,"Low",IF(H_A[[#This Row],[PercentSalaryHike]]&lt;18,"Medium","High"))</f>
        <v>High</v>
      </c>
    </row>
    <row r="857" spans="1:30" x14ac:dyDescent="0.3">
      <c r="A857">
        <v>37</v>
      </c>
      <c r="B857">
        <v>1196</v>
      </c>
      <c r="C857" t="s">
        <v>36</v>
      </c>
      <c r="D857" t="s">
        <v>37</v>
      </c>
      <c r="E857">
        <v>1</v>
      </c>
      <c r="F857">
        <v>3</v>
      </c>
      <c r="G857" t="s">
        <v>32</v>
      </c>
      <c r="H857">
        <v>4</v>
      </c>
      <c r="I857" t="s">
        <v>33</v>
      </c>
      <c r="J857">
        <v>2</v>
      </c>
      <c r="K857">
        <v>2</v>
      </c>
      <c r="L857" t="s">
        <v>45</v>
      </c>
      <c r="M857">
        <v>4</v>
      </c>
      <c r="N857" t="s">
        <v>40</v>
      </c>
      <c r="O857">
        <v>6474</v>
      </c>
      <c r="P857">
        <v>1</v>
      </c>
      <c r="Q857" t="s">
        <v>36</v>
      </c>
      <c r="R857">
        <v>2</v>
      </c>
      <c r="S857">
        <v>14</v>
      </c>
      <c r="T857">
        <v>2</v>
      </c>
      <c r="U857">
        <v>14</v>
      </c>
      <c r="V857">
        <v>8</v>
      </c>
      <c r="W857">
        <v>3</v>
      </c>
      <c r="X857">
        <v>11</v>
      </c>
      <c r="Y857">
        <v>13</v>
      </c>
      <c r="Z857">
        <f>IF(H_A[[#This Row],[Attrition]]="Yes",1,0)</f>
        <v>0</v>
      </c>
      <c r="AA857" t="str">
        <f>IF(H_A[[#This Row],[Age]]&lt;30,"Young",IF(H_A[[#This Row],[Age]]&lt;45,"Mid","Senior"))</f>
        <v>Mid</v>
      </c>
      <c r="AB857" t="str">
        <f>IF(H_A[[#This Row],[MonthlyIncome]]&lt;5000,"Low",IF(H_A[[#This Row],[MonthlyIncome]]&lt;10000,"Medium","High"))</f>
        <v>Medium</v>
      </c>
      <c r="AC857" t="str">
        <f>IF(H_A[[#This Row],[YearsAtCompany]]&lt;3,"Early",IF(H_A[[#This Row],[YearsAtCompany]]&lt;7,"Mid","Long"))</f>
        <v>Long</v>
      </c>
      <c r="AD857" t="str">
        <f>IF(H_A[[#This Row],[PercentSalaryHike]]&lt;13,"Low",IF(H_A[[#This Row],[PercentSalaryHike]]&lt;18,"Medium","High"))</f>
        <v>Medium</v>
      </c>
    </row>
    <row r="858" spans="1:30" x14ac:dyDescent="0.3">
      <c r="A858">
        <v>20</v>
      </c>
      <c r="B858">
        <v>1198</v>
      </c>
      <c r="C858" t="s">
        <v>36</v>
      </c>
      <c r="D858" t="s">
        <v>37</v>
      </c>
      <c r="E858">
        <v>3</v>
      </c>
      <c r="F858">
        <v>3</v>
      </c>
      <c r="G858" t="s">
        <v>32</v>
      </c>
      <c r="H858">
        <v>1</v>
      </c>
      <c r="I858" t="s">
        <v>38</v>
      </c>
      <c r="J858">
        <v>2</v>
      </c>
      <c r="K858">
        <v>1</v>
      </c>
      <c r="L858" t="s">
        <v>42</v>
      </c>
      <c r="M858">
        <v>3</v>
      </c>
      <c r="N858" t="s">
        <v>35</v>
      </c>
      <c r="O858">
        <v>3033</v>
      </c>
      <c r="P858">
        <v>1</v>
      </c>
      <c r="Q858" t="s">
        <v>36</v>
      </c>
      <c r="R858">
        <v>1</v>
      </c>
      <c r="S858">
        <v>2</v>
      </c>
      <c r="T858">
        <v>2</v>
      </c>
      <c r="U858">
        <v>2</v>
      </c>
      <c r="V858">
        <v>2</v>
      </c>
      <c r="W858">
        <v>1</v>
      </c>
      <c r="X858">
        <v>2</v>
      </c>
      <c r="Y858">
        <v>12</v>
      </c>
      <c r="Z858">
        <f>IF(H_A[[#This Row],[Attrition]]="Yes",1,0)</f>
        <v>0</v>
      </c>
      <c r="AA858" t="str">
        <f>IF(H_A[[#This Row],[Age]]&lt;30,"Young",IF(H_A[[#This Row],[Age]]&lt;45,"Mid","Senior"))</f>
        <v>Young</v>
      </c>
      <c r="AB858" t="str">
        <f>IF(H_A[[#This Row],[MonthlyIncome]]&lt;5000,"Low",IF(H_A[[#This Row],[MonthlyIncome]]&lt;10000,"Medium","High"))</f>
        <v>Low</v>
      </c>
      <c r="AC858" t="str">
        <f>IF(H_A[[#This Row],[YearsAtCompany]]&lt;3,"Early",IF(H_A[[#This Row],[YearsAtCompany]]&lt;7,"Mid","Long"))</f>
        <v>Early</v>
      </c>
      <c r="AD858" t="str">
        <f>IF(H_A[[#This Row],[PercentSalaryHike]]&lt;13,"Low",IF(H_A[[#This Row],[PercentSalaryHike]]&lt;18,"Medium","High"))</f>
        <v>Low</v>
      </c>
    </row>
    <row r="859" spans="1:30" x14ac:dyDescent="0.3">
      <c r="A859">
        <v>44</v>
      </c>
      <c r="B859">
        <v>1200</v>
      </c>
      <c r="C859" t="s">
        <v>30</v>
      </c>
      <c r="D859" t="s">
        <v>37</v>
      </c>
      <c r="E859">
        <v>10</v>
      </c>
      <c r="F859">
        <v>4</v>
      </c>
      <c r="G859" t="s">
        <v>32</v>
      </c>
      <c r="H859">
        <v>3</v>
      </c>
      <c r="I859" t="s">
        <v>38</v>
      </c>
      <c r="J859">
        <v>3</v>
      </c>
      <c r="K859">
        <v>1</v>
      </c>
      <c r="L859" t="s">
        <v>39</v>
      </c>
      <c r="M859">
        <v>3</v>
      </c>
      <c r="N859" t="s">
        <v>35</v>
      </c>
      <c r="O859">
        <v>2936</v>
      </c>
      <c r="P859">
        <v>1</v>
      </c>
      <c r="Q859" t="s">
        <v>30</v>
      </c>
      <c r="R859">
        <v>3</v>
      </c>
      <c r="S859">
        <v>6</v>
      </c>
      <c r="T859">
        <v>3</v>
      </c>
      <c r="U859">
        <v>6</v>
      </c>
      <c r="V859">
        <v>4</v>
      </c>
      <c r="W859">
        <v>0</v>
      </c>
      <c r="X859">
        <v>2</v>
      </c>
      <c r="Y859">
        <v>11</v>
      </c>
      <c r="Z859">
        <f>IF(H_A[[#This Row],[Attrition]]="Yes",1,0)</f>
        <v>1</v>
      </c>
      <c r="AA859" t="str">
        <f>IF(H_A[[#This Row],[Age]]&lt;30,"Young",IF(H_A[[#This Row],[Age]]&lt;45,"Mid","Senior"))</f>
        <v>Mid</v>
      </c>
      <c r="AB859" t="str">
        <f>IF(H_A[[#This Row],[MonthlyIncome]]&lt;5000,"Low",IF(H_A[[#This Row],[MonthlyIncome]]&lt;10000,"Medium","High"))</f>
        <v>Low</v>
      </c>
      <c r="AC859" t="str">
        <f>IF(H_A[[#This Row],[YearsAtCompany]]&lt;3,"Early",IF(H_A[[#This Row],[YearsAtCompany]]&lt;7,"Mid","Long"))</f>
        <v>Mid</v>
      </c>
      <c r="AD859" t="str">
        <f>IF(H_A[[#This Row],[PercentSalaryHike]]&lt;13,"Low",IF(H_A[[#This Row],[PercentSalaryHike]]&lt;18,"Medium","High"))</f>
        <v>Low</v>
      </c>
    </row>
    <row r="860" spans="1:30" x14ac:dyDescent="0.3">
      <c r="A860">
        <v>53</v>
      </c>
      <c r="B860">
        <v>1201</v>
      </c>
      <c r="C860" t="s">
        <v>36</v>
      </c>
      <c r="D860" t="s">
        <v>37</v>
      </c>
      <c r="E860">
        <v>7</v>
      </c>
      <c r="F860">
        <v>2</v>
      </c>
      <c r="G860" t="s">
        <v>43</v>
      </c>
      <c r="H860">
        <v>4</v>
      </c>
      <c r="I860" t="s">
        <v>33</v>
      </c>
      <c r="J860">
        <v>3</v>
      </c>
      <c r="K860">
        <v>5</v>
      </c>
      <c r="L860" t="s">
        <v>47</v>
      </c>
      <c r="M860">
        <v>3</v>
      </c>
      <c r="N860" t="s">
        <v>44</v>
      </c>
      <c r="O860">
        <v>18606</v>
      </c>
      <c r="P860">
        <v>3</v>
      </c>
      <c r="Q860" t="s">
        <v>36</v>
      </c>
      <c r="R860">
        <v>2</v>
      </c>
      <c r="S860">
        <v>26</v>
      </c>
      <c r="T860">
        <v>3</v>
      </c>
      <c r="U860">
        <v>7</v>
      </c>
      <c r="V860">
        <v>7</v>
      </c>
      <c r="W860">
        <v>4</v>
      </c>
      <c r="X860">
        <v>7</v>
      </c>
      <c r="Y860">
        <v>18</v>
      </c>
      <c r="Z860">
        <f>IF(H_A[[#This Row],[Attrition]]="Yes",1,0)</f>
        <v>0</v>
      </c>
      <c r="AA860" t="str">
        <f>IF(H_A[[#This Row],[Age]]&lt;30,"Young",IF(H_A[[#This Row],[Age]]&lt;45,"Mid","Senior"))</f>
        <v>Senior</v>
      </c>
      <c r="AB860" t="str">
        <f>IF(H_A[[#This Row],[MonthlyIncome]]&lt;5000,"Low",IF(H_A[[#This Row],[MonthlyIncome]]&lt;10000,"Medium","High"))</f>
        <v>High</v>
      </c>
      <c r="AC860" t="str">
        <f>IF(H_A[[#This Row],[YearsAtCompany]]&lt;3,"Early",IF(H_A[[#This Row],[YearsAtCompany]]&lt;7,"Mid","Long"))</f>
        <v>Long</v>
      </c>
      <c r="AD860" t="str">
        <f>IF(H_A[[#This Row],[PercentSalaryHike]]&lt;13,"Low",IF(H_A[[#This Row],[PercentSalaryHike]]&lt;18,"Medium","High"))</f>
        <v>High</v>
      </c>
    </row>
    <row r="861" spans="1:30" x14ac:dyDescent="0.3">
      <c r="A861">
        <v>29</v>
      </c>
      <c r="B861">
        <v>1202</v>
      </c>
      <c r="C861" t="s">
        <v>36</v>
      </c>
      <c r="D861" t="s">
        <v>37</v>
      </c>
      <c r="E861">
        <v>15</v>
      </c>
      <c r="F861">
        <v>1</v>
      </c>
      <c r="G861" t="s">
        <v>32</v>
      </c>
      <c r="H861">
        <v>2</v>
      </c>
      <c r="I861" t="s">
        <v>33</v>
      </c>
      <c r="J861">
        <v>1</v>
      </c>
      <c r="K861">
        <v>1</v>
      </c>
      <c r="L861" t="s">
        <v>39</v>
      </c>
      <c r="M861">
        <v>4</v>
      </c>
      <c r="N861" t="s">
        <v>40</v>
      </c>
      <c r="O861">
        <v>2168</v>
      </c>
      <c r="P861">
        <v>0</v>
      </c>
      <c r="Q861" t="s">
        <v>30</v>
      </c>
      <c r="R861">
        <v>1</v>
      </c>
      <c r="S861">
        <v>6</v>
      </c>
      <c r="T861">
        <v>2</v>
      </c>
      <c r="U861">
        <v>5</v>
      </c>
      <c r="V861">
        <v>4</v>
      </c>
      <c r="W861">
        <v>1</v>
      </c>
      <c r="X861">
        <v>3</v>
      </c>
      <c r="Y861">
        <v>18</v>
      </c>
      <c r="Z861">
        <f>IF(H_A[[#This Row],[Attrition]]="Yes",1,0)</f>
        <v>0</v>
      </c>
      <c r="AA861" t="str">
        <f>IF(H_A[[#This Row],[Age]]&lt;30,"Young",IF(H_A[[#This Row],[Age]]&lt;45,"Mid","Senior"))</f>
        <v>Young</v>
      </c>
      <c r="AB861" t="str">
        <f>IF(H_A[[#This Row],[MonthlyIncome]]&lt;5000,"Low",IF(H_A[[#This Row],[MonthlyIncome]]&lt;10000,"Medium","High"))</f>
        <v>Low</v>
      </c>
      <c r="AC861" t="str">
        <f>IF(H_A[[#This Row],[YearsAtCompany]]&lt;3,"Early",IF(H_A[[#This Row],[YearsAtCompany]]&lt;7,"Mid","Long"))</f>
        <v>Mid</v>
      </c>
      <c r="AD861" t="str">
        <f>IF(H_A[[#This Row],[PercentSalaryHike]]&lt;13,"Low",IF(H_A[[#This Row],[PercentSalaryHike]]&lt;18,"Medium","High"))</f>
        <v>High</v>
      </c>
    </row>
    <row r="862" spans="1:30" x14ac:dyDescent="0.3">
      <c r="A862">
        <v>22</v>
      </c>
      <c r="B862">
        <v>1203</v>
      </c>
      <c r="C862" t="s">
        <v>30</v>
      </c>
      <c r="D862" t="s">
        <v>37</v>
      </c>
      <c r="E862">
        <v>3</v>
      </c>
      <c r="F862">
        <v>4</v>
      </c>
      <c r="G862" t="s">
        <v>32</v>
      </c>
      <c r="H862">
        <v>3</v>
      </c>
      <c r="I862" t="s">
        <v>38</v>
      </c>
      <c r="J862">
        <v>2</v>
      </c>
      <c r="K862">
        <v>1</v>
      </c>
      <c r="L862" t="s">
        <v>39</v>
      </c>
      <c r="M862">
        <v>4</v>
      </c>
      <c r="N862" t="s">
        <v>40</v>
      </c>
      <c r="O862">
        <v>2853</v>
      </c>
      <c r="P862">
        <v>0</v>
      </c>
      <c r="Q862" t="s">
        <v>30</v>
      </c>
      <c r="R862">
        <v>2</v>
      </c>
      <c r="S862">
        <v>1</v>
      </c>
      <c r="T862">
        <v>3</v>
      </c>
      <c r="U862">
        <v>0</v>
      </c>
      <c r="V862">
        <v>0</v>
      </c>
      <c r="W862">
        <v>0</v>
      </c>
      <c r="X862">
        <v>0</v>
      </c>
      <c r="Y862">
        <v>11</v>
      </c>
      <c r="Z862">
        <f>IF(H_A[[#This Row],[Attrition]]="Yes",1,0)</f>
        <v>1</v>
      </c>
      <c r="AA862" t="str">
        <f>IF(H_A[[#This Row],[Age]]&lt;30,"Young",IF(H_A[[#This Row],[Age]]&lt;45,"Mid","Senior"))</f>
        <v>Young</v>
      </c>
      <c r="AB862" t="str">
        <f>IF(H_A[[#This Row],[MonthlyIncome]]&lt;5000,"Low",IF(H_A[[#This Row],[MonthlyIncome]]&lt;10000,"Medium","High"))</f>
        <v>Low</v>
      </c>
      <c r="AC862" t="str">
        <f>IF(H_A[[#This Row],[YearsAtCompany]]&lt;3,"Early",IF(H_A[[#This Row],[YearsAtCompany]]&lt;7,"Mid","Long"))</f>
        <v>Early</v>
      </c>
      <c r="AD862" t="str">
        <f>IF(H_A[[#This Row],[PercentSalaryHike]]&lt;13,"Low",IF(H_A[[#This Row],[PercentSalaryHike]]&lt;18,"Medium","High"))</f>
        <v>Low</v>
      </c>
    </row>
    <row r="863" spans="1:30" x14ac:dyDescent="0.3">
      <c r="A863">
        <v>46</v>
      </c>
      <c r="B863">
        <v>1204</v>
      </c>
      <c r="C863" t="s">
        <v>36</v>
      </c>
      <c r="D863" t="s">
        <v>31</v>
      </c>
      <c r="E863">
        <v>2</v>
      </c>
      <c r="F863">
        <v>3</v>
      </c>
      <c r="G863" t="s">
        <v>50</v>
      </c>
      <c r="H863">
        <v>3</v>
      </c>
      <c r="I863" t="s">
        <v>33</v>
      </c>
      <c r="J863">
        <v>3</v>
      </c>
      <c r="K863">
        <v>4</v>
      </c>
      <c r="L863" t="s">
        <v>47</v>
      </c>
      <c r="M863">
        <v>1</v>
      </c>
      <c r="N863" t="s">
        <v>40</v>
      </c>
      <c r="O863">
        <v>17048</v>
      </c>
      <c r="P863">
        <v>8</v>
      </c>
      <c r="Q863" t="s">
        <v>36</v>
      </c>
      <c r="R863">
        <v>1</v>
      </c>
      <c r="S863">
        <v>28</v>
      </c>
      <c r="T863">
        <v>3</v>
      </c>
      <c r="U863">
        <v>26</v>
      </c>
      <c r="V863">
        <v>15</v>
      </c>
      <c r="W863">
        <v>15</v>
      </c>
      <c r="X863">
        <v>9</v>
      </c>
      <c r="Y863">
        <v>23</v>
      </c>
      <c r="Z863">
        <f>IF(H_A[[#This Row],[Attrition]]="Yes",1,0)</f>
        <v>0</v>
      </c>
      <c r="AA863" t="str">
        <f>IF(H_A[[#This Row],[Age]]&lt;30,"Young",IF(H_A[[#This Row],[Age]]&lt;45,"Mid","Senior"))</f>
        <v>Senior</v>
      </c>
      <c r="AB863" t="str">
        <f>IF(H_A[[#This Row],[MonthlyIncome]]&lt;5000,"Low",IF(H_A[[#This Row],[MonthlyIncome]]&lt;10000,"Medium","High"))</f>
        <v>High</v>
      </c>
      <c r="AC863" t="str">
        <f>IF(H_A[[#This Row],[YearsAtCompany]]&lt;3,"Early",IF(H_A[[#This Row],[YearsAtCompany]]&lt;7,"Mid","Long"))</f>
        <v>Long</v>
      </c>
      <c r="AD863" t="str">
        <f>IF(H_A[[#This Row],[PercentSalaryHike]]&lt;13,"Low",IF(H_A[[#This Row],[PercentSalaryHike]]&lt;18,"Medium","High"))</f>
        <v>High</v>
      </c>
    </row>
    <row r="864" spans="1:30" x14ac:dyDescent="0.3">
      <c r="A864">
        <v>44</v>
      </c>
      <c r="B864">
        <v>1206</v>
      </c>
      <c r="C864" t="s">
        <v>36</v>
      </c>
      <c r="D864" t="s">
        <v>37</v>
      </c>
      <c r="E864">
        <v>17</v>
      </c>
      <c r="F864">
        <v>3</v>
      </c>
      <c r="G864" t="s">
        <v>32</v>
      </c>
      <c r="H864">
        <v>4</v>
      </c>
      <c r="I864" t="s">
        <v>38</v>
      </c>
      <c r="J864">
        <v>1</v>
      </c>
      <c r="K864">
        <v>1</v>
      </c>
      <c r="L864" t="s">
        <v>39</v>
      </c>
      <c r="M864">
        <v>3</v>
      </c>
      <c r="N864" t="s">
        <v>35</v>
      </c>
      <c r="O864">
        <v>2290</v>
      </c>
      <c r="P864">
        <v>2</v>
      </c>
      <c r="Q864" t="s">
        <v>36</v>
      </c>
      <c r="R864">
        <v>4</v>
      </c>
      <c r="S864">
        <v>6</v>
      </c>
      <c r="T864">
        <v>3</v>
      </c>
      <c r="U864">
        <v>0</v>
      </c>
      <c r="V864">
        <v>0</v>
      </c>
      <c r="W864">
        <v>0</v>
      </c>
      <c r="X864">
        <v>0</v>
      </c>
      <c r="Y864">
        <v>13</v>
      </c>
      <c r="Z864">
        <f>IF(H_A[[#This Row],[Attrition]]="Yes",1,0)</f>
        <v>0</v>
      </c>
      <c r="AA864" t="str">
        <f>IF(H_A[[#This Row],[Age]]&lt;30,"Young",IF(H_A[[#This Row],[Age]]&lt;45,"Mid","Senior"))</f>
        <v>Mid</v>
      </c>
      <c r="AB864" t="str">
        <f>IF(H_A[[#This Row],[MonthlyIncome]]&lt;5000,"Low",IF(H_A[[#This Row],[MonthlyIncome]]&lt;10000,"Medium","High"))</f>
        <v>Low</v>
      </c>
      <c r="AC864" t="str">
        <f>IF(H_A[[#This Row],[YearsAtCompany]]&lt;3,"Early",IF(H_A[[#This Row],[YearsAtCompany]]&lt;7,"Mid","Long"))</f>
        <v>Early</v>
      </c>
      <c r="AD864" t="str">
        <f>IF(H_A[[#This Row],[PercentSalaryHike]]&lt;13,"Low",IF(H_A[[#This Row],[PercentSalaryHike]]&lt;18,"Medium","High"))</f>
        <v>Medium</v>
      </c>
    </row>
    <row r="865" spans="1:30" x14ac:dyDescent="0.3">
      <c r="A865">
        <v>33</v>
      </c>
      <c r="B865">
        <v>1207</v>
      </c>
      <c r="C865" t="s">
        <v>36</v>
      </c>
      <c r="D865" t="s">
        <v>52</v>
      </c>
      <c r="E865">
        <v>2</v>
      </c>
      <c r="F865">
        <v>3</v>
      </c>
      <c r="G865" t="s">
        <v>52</v>
      </c>
      <c r="H865">
        <v>2</v>
      </c>
      <c r="I865" t="s">
        <v>38</v>
      </c>
      <c r="J865">
        <v>3</v>
      </c>
      <c r="K865">
        <v>1</v>
      </c>
      <c r="L865" t="s">
        <v>52</v>
      </c>
      <c r="M865">
        <v>3</v>
      </c>
      <c r="N865" t="s">
        <v>40</v>
      </c>
      <c r="O865">
        <v>3600</v>
      </c>
      <c r="P865">
        <v>1</v>
      </c>
      <c r="Q865" t="s">
        <v>36</v>
      </c>
      <c r="R865">
        <v>4</v>
      </c>
      <c r="S865">
        <v>5</v>
      </c>
      <c r="T865">
        <v>3</v>
      </c>
      <c r="U865">
        <v>5</v>
      </c>
      <c r="V865">
        <v>4</v>
      </c>
      <c r="W865">
        <v>1</v>
      </c>
      <c r="X865">
        <v>4</v>
      </c>
      <c r="Y865">
        <v>13</v>
      </c>
      <c r="Z865">
        <f>IF(H_A[[#This Row],[Attrition]]="Yes",1,0)</f>
        <v>0</v>
      </c>
      <c r="AA865" t="str">
        <f>IF(H_A[[#This Row],[Age]]&lt;30,"Young",IF(H_A[[#This Row],[Age]]&lt;45,"Mid","Senior"))</f>
        <v>Mid</v>
      </c>
      <c r="AB865" t="str">
        <f>IF(H_A[[#This Row],[MonthlyIncome]]&lt;5000,"Low",IF(H_A[[#This Row],[MonthlyIncome]]&lt;10000,"Medium","High"))</f>
        <v>Low</v>
      </c>
      <c r="AC865" t="str">
        <f>IF(H_A[[#This Row],[YearsAtCompany]]&lt;3,"Early",IF(H_A[[#This Row],[YearsAtCompany]]&lt;7,"Mid","Long"))</f>
        <v>Mid</v>
      </c>
      <c r="AD865" t="str">
        <f>IF(H_A[[#This Row],[PercentSalaryHike]]&lt;13,"Low",IF(H_A[[#This Row],[PercentSalaryHike]]&lt;18,"Medium","High"))</f>
        <v>Medium</v>
      </c>
    </row>
    <row r="866" spans="1:30" x14ac:dyDescent="0.3">
      <c r="A866">
        <v>41</v>
      </c>
      <c r="B866">
        <v>1210</v>
      </c>
      <c r="C866" t="s">
        <v>30</v>
      </c>
      <c r="D866" t="s">
        <v>37</v>
      </c>
      <c r="E866">
        <v>5</v>
      </c>
      <c r="F866">
        <v>2</v>
      </c>
      <c r="G866" t="s">
        <v>32</v>
      </c>
      <c r="H866">
        <v>1</v>
      </c>
      <c r="I866" t="s">
        <v>38</v>
      </c>
      <c r="J866">
        <v>2</v>
      </c>
      <c r="K866">
        <v>1</v>
      </c>
      <c r="L866" t="s">
        <v>39</v>
      </c>
      <c r="M866">
        <v>1</v>
      </c>
      <c r="N866" t="s">
        <v>44</v>
      </c>
      <c r="O866">
        <v>2107</v>
      </c>
      <c r="P866">
        <v>6</v>
      </c>
      <c r="Q866" t="s">
        <v>36</v>
      </c>
      <c r="R866">
        <v>1</v>
      </c>
      <c r="S866">
        <v>5</v>
      </c>
      <c r="T866">
        <v>1</v>
      </c>
      <c r="U866">
        <v>1</v>
      </c>
      <c r="V866">
        <v>0</v>
      </c>
      <c r="W866">
        <v>0</v>
      </c>
      <c r="X866">
        <v>0</v>
      </c>
      <c r="Y866">
        <v>17</v>
      </c>
      <c r="Z866">
        <f>IF(H_A[[#This Row],[Attrition]]="Yes",1,0)</f>
        <v>1</v>
      </c>
      <c r="AA866" t="str">
        <f>IF(H_A[[#This Row],[Age]]&lt;30,"Young",IF(H_A[[#This Row],[Age]]&lt;45,"Mid","Senior"))</f>
        <v>Mid</v>
      </c>
      <c r="AB866" t="str">
        <f>IF(H_A[[#This Row],[MonthlyIncome]]&lt;5000,"Low",IF(H_A[[#This Row],[MonthlyIncome]]&lt;10000,"Medium","High"))</f>
        <v>Low</v>
      </c>
      <c r="AC866" t="str">
        <f>IF(H_A[[#This Row],[YearsAtCompany]]&lt;3,"Early",IF(H_A[[#This Row],[YearsAtCompany]]&lt;7,"Mid","Long"))</f>
        <v>Early</v>
      </c>
      <c r="AD866" t="str">
        <f>IF(H_A[[#This Row],[PercentSalaryHike]]&lt;13,"Low",IF(H_A[[#This Row],[PercentSalaryHike]]&lt;18,"Medium","High"))</f>
        <v>Medium</v>
      </c>
    </row>
    <row r="867" spans="1:30" x14ac:dyDescent="0.3">
      <c r="A867">
        <v>30</v>
      </c>
      <c r="B867">
        <v>1211</v>
      </c>
      <c r="C867" t="s">
        <v>36</v>
      </c>
      <c r="D867" t="s">
        <v>31</v>
      </c>
      <c r="E867">
        <v>29</v>
      </c>
      <c r="F867">
        <v>4</v>
      </c>
      <c r="G867" t="s">
        <v>32</v>
      </c>
      <c r="H867">
        <v>3</v>
      </c>
      <c r="I867" t="s">
        <v>38</v>
      </c>
      <c r="J867">
        <v>3</v>
      </c>
      <c r="K867">
        <v>2</v>
      </c>
      <c r="L867" t="s">
        <v>34</v>
      </c>
      <c r="M867">
        <v>1</v>
      </c>
      <c r="N867" t="s">
        <v>44</v>
      </c>
      <c r="O867">
        <v>4115</v>
      </c>
      <c r="P867">
        <v>8</v>
      </c>
      <c r="Q867" t="s">
        <v>36</v>
      </c>
      <c r="R867">
        <v>3</v>
      </c>
      <c r="S867">
        <v>8</v>
      </c>
      <c r="T867">
        <v>3</v>
      </c>
      <c r="U867">
        <v>4</v>
      </c>
      <c r="V867">
        <v>3</v>
      </c>
      <c r="W867">
        <v>0</v>
      </c>
      <c r="X867">
        <v>3</v>
      </c>
      <c r="Y867">
        <v>19</v>
      </c>
      <c r="Z867">
        <f>IF(H_A[[#This Row],[Attrition]]="Yes",1,0)</f>
        <v>0</v>
      </c>
      <c r="AA867" t="str">
        <f>IF(H_A[[#This Row],[Age]]&lt;30,"Young",IF(H_A[[#This Row],[Age]]&lt;45,"Mid","Senior"))</f>
        <v>Mid</v>
      </c>
      <c r="AB867" t="str">
        <f>IF(H_A[[#This Row],[MonthlyIncome]]&lt;5000,"Low",IF(H_A[[#This Row],[MonthlyIncome]]&lt;10000,"Medium","High"))</f>
        <v>Low</v>
      </c>
      <c r="AC867" t="str">
        <f>IF(H_A[[#This Row],[YearsAtCompany]]&lt;3,"Early",IF(H_A[[#This Row],[YearsAtCompany]]&lt;7,"Mid","Long"))</f>
        <v>Mid</v>
      </c>
      <c r="AD867" t="str">
        <f>IF(H_A[[#This Row],[PercentSalaryHike]]&lt;13,"Low",IF(H_A[[#This Row],[PercentSalaryHike]]&lt;18,"Medium","High"))</f>
        <v>High</v>
      </c>
    </row>
    <row r="868" spans="1:30" x14ac:dyDescent="0.3">
      <c r="A868">
        <v>40</v>
      </c>
      <c r="B868">
        <v>1212</v>
      </c>
      <c r="C868" t="s">
        <v>36</v>
      </c>
      <c r="D868" t="s">
        <v>31</v>
      </c>
      <c r="E868">
        <v>2</v>
      </c>
      <c r="F868">
        <v>4</v>
      </c>
      <c r="G868" t="s">
        <v>43</v>
      </c>
      <c r="H868">
        <v>2</v>
      </c>
      <c r="I868" t="s">
        <v>38</v>
      </c>
      <c r="J868">
        <v>3</v>
      </c>
      <c r="K868">
        <v>2</v>
      </c>
      <c r="L868" t="s">
        <v>34</v>
      </c>
      <c r="M868">
        <v>2</v>
      </c>
      <c r="N868" t="s">
        <v>40</v>
      </c>
      <c r="O868">
        <v>4327</v>
      </c>
      <c r="P868">
        <v>5</v>
      </c>
      <c r="Q868" t="s">
        <v>36</v>
      </c>
      <c r="R868">
        <v>4</v>
      </c>
      <c r="S868">
        <v>5</v>
      </c>
      <c r="T868">
        <v>3</v>
      </c>
      <c r="U868">
        <v>0</v>
      </c>
      <c r="V868">
        <v>0</v>
      </c>
      <c r="W868">
        <v>0</v>
      </c>
      <c r="X868">
        <v>0</v>
      </c>
      <c r="Y868">
        <v>12</v>
      </c>
      <c r="Z868">
        <f>IF(H_A[[#This Row],[Attrition]]="Yes",1,0)</f>
        <v>0</v>
      </c>
      <c r="AA868" t="str">
        <f>IF(H_A[[#This Row],[Age]]&lt;30,"Young",IF(H_A[[#This Row],[Age]]&lt;45,"Mid","Senior"))</f>
        <v>Mid</v>
      </c>
      <c r="AB868" t="str">
        <f>IF(H_A[[#This Row],[MonthlyIncome]]&lt;5000,"Low",IF(H_A[[#This Row],[MonthlyIncome]]&lt;10000,"Medium","High"))</f>
        <v>Low</v>
      </c>
      <c r="AC868" t="str">
        <f>IF(H_A[[#This Row],[YearsAtCompany]]&lt;3,"Early",IF(H_A[[#This Row],[YearsAtCompany]]&lt;7,"Mid","Long"))</f>
        <v>Early</v>
      </c>
      <c r="AD868" t="str">
        <f>IF(H_A[[#This Row],[PercentSalaryHike]]&lt;13,"Low",IF(H_A[[#This Row],[PercentSalaryHike]]&lt;18,"Medium","High"))</f>
        <v>Low</v>
      </c>
    </row>
    <row r="869" spans="1:30" x14ac:dyDescent="0.3">
      <c r="A869">
        <v>50</v>
      </c>
      <c r="B869">
        <v>1215</v>
      </c>
      <c r="C869" t="s">
        <v>36</v>
      </c>
      <c r="D869" t="s">
        <v>37</v>
      </c>
      <c r="E869">
        <v>2</v>
      </c>
      <c r="F869">
        <v>3</v>
      </c>
      <c r="G869" t="s">
        <v>43</v>
      </c>
      <c r="H869">
        <v>4</v>
      </c>
      <c r="I869" t="s">
        <v>33</v>
      </c>
      <c r="J869">
        <v>3</v>
      </c>
      <c r="K869">
        <v>4</v>
      </c>
      <c r="L869" t="s">
        <v>47</v>
      </c>
      <c r="M869">
        <v>1</v>
      </c>
      <c r="N869" t="s">
        <v>40</v>
      </c>
      <c r="O869">
        <v>17856</v>
      </c>
      <c r="P869">
        <v>2</v>
      </c>
      <c r="Q869" t="s">
        <v>36</v>
      </c>
      <c r="R869">
        <v>3</v>
      </c>
      <c r="S869">
        <v>32</v>
      </c>
      <c r="T869">
        <v>3</v>
      </c>
      <c r="U869">
        <v>2</v>
      </c>
      <c r="V869">
        <v>2</v>
      </c>
      <c r="W869">
        <v>2</v>
      </c>
      <c r="X869">
        <v>2</v>
      </c>
      <c r="Y869">
        <v>22</v>
      </c>
      <c r="Z869">
        <f>IF(H_A[[#This Row],[Attrition]]="Yes",1,0)</f>
        <v>0</v>
      </c>
      <c r="AA869" t="str">
        <f>IF(H_A[[#This Row],[Age]]&lt;30,"Young",IF(H_A[[#This Row],[Age]]&lt;45,"Mid","Senior"))</f>
        <v>Senior</v>
      </c>
      <c r="AB869" t="str">
        <f>IF(H_A[[#This Row],[MonthlyIncome]]&lt;5000,"Low",IF(H_A[[#This Row],[MonthlyIncome]]&lt;10000,"Medium","High"))</f>
        <v>High</v>
      </c>
      <c r="AC869" t="str">
        <f>IF(H_A[[#This Row],[YearsAtCompany]]&lt;3,"Early",IF(H_A[[#This Row],[YearsAtCompany]]&lt;7,"Mid","Long"))</f>
        <v>Early</v>
      </c>
      <c r="AD869" t="str">
        <f>IF(H_A[[#This Row],[PercentSalaryHike]]&lt;13,"Low",IF(H_A[[#This Row],[PercentSalaryHike]]&lt;18,"Medium","High"))</f>
        <v>High</v>
      </c>
    </row>
    <row r="870" spans="1:30" x14ac:dyDescent="0.3">
      <c r="A870">
        <v>28</v>
      </c>
      <c r="B870">
        <v>1216</v>
      </c>
      <c r="C870" t="s">
        <v>36</v>
      </c>
      <c r="D870" t="s">
        <v>37</v>
      </c>
      <c r="E870">
        <v>19</v>
      </c>
      <c r="F870">
        <v>4</v>
      </c>
      <c r="G870" t="s">
        <v>43</v>
      </c>
      <c r="H870">
        <v>4</v>
      </c>
      <c r="I870" t="s">
        <v>38</v>
      </c>
      <c r="J870">
        <v>2</v>
      </c>
      <c r="K870">
        <v>1</v>
      </c>
      <c r="L870" t="s">
        <v>42</v>
      </c>
      <c r="M870">
        <v>1</v>
      </c>
      <c r="N870" t="s">
        <v>40</v>
      </c>
      <c r="O870">
        <v>3196</v>
      </c>
      <c r="P870">
        <v>1</v>
      </c>
      <c r="Q870" t="s">
        <v>36</v>
      </c>
      <c r="R870">
        <v>3</v>
      </c>
      <c r="S870">
        <v>6</v>
      </c>
      <c r="T870">
        <v>3</v>
      </c>
      <c r="U870">
        <v>6</v>
      </c>
      <c r="V870">
        <v>5</v>
      </c>
      <c r="W870">
        <v>3</v>
      </c>
      <c r="X870">
        <v>3</v>
      </c>
      <c r="Y870">
        <v>12</v>
      </c>
      <c r="Z870">
        <f>IF(H_A[[#This Row],[Attrition]]="Yes",1,0)</f>
        <v>0</v>
      </c>
      <c r="AA870" t="str">
        <f>IF(H_A[[#This Row],[Age]]&lt;30,"Young",IF(H_A[[#This Row],[Age]]&lt;45,"Mid","Senior"))</f>
        <v>Young</v>
      </c>
      <c r="AB870" t="str">
        <f>IF(H_A[[#This Row],[MonthlyIncome]]&lt;5000,"Low",IF(H_A[[#This Row],[MonthlyIncome]]&lt;10000,"Medium","High"))</f>
        <v>Low</v>
      </c>
      <c r="AC870" t="str">
        <f>IF(H_A[[#This Row],[YearsAtCompany]]&lt;3,"Early",IF(H_A[[#This Row],[YearsAtCompany]]&lt;7,"Mid","Long"))</f>
        <v>Mid</v>
      </c>
      <c r="AD870" t="str">
        <f>IF(H_A[[#This Row],[PercentSalaryHike]]&lt;13,"Low",IF(H_A[[#This Row],[PercentSalaryHike]]&lt;18,"Medium","High"))</f>
        <v>Low</v>
      </c>
    </row>
    <row r="871" spans="1:30" x14ac:dyDescent="0.3">
      <c r="A871">
        <v>46</v>
      </c>
      <c r="B871">
        <v>1217</v>
      </c>
      <c r="C871" t="s">
        <v>36</v>
      </c>
      <c r="D871" t="s">
        <v>37</v>
      </c>
      <c r="E871">
        <v>15</v>
      </c>
      <c r="F871">
        <v>2</v>
      </c>
      <c r="G871" t="s">
        <v>32</v>
      </c>
      <c r="H871">
        <v>4</v>
      </c>
      <c r="I871" t="s">
        <v>38</v>
      </c>
      <c r="J871">
        <v>3</v>
      </c>
      <c r="K871">
        <v>5</v>
      </c>
      <c r="L871" t="s">
        <v>49</v>
      </c>
      <c r="M871">
        <v>2</v>
      </c>
      <c r="N871" t="s">
        <v>40</v>
      </c>
      <c r="O871">
        <v>19081</v>
      </c>
      <c r="P871">
        <v>5</v>
      </c>
      <c r="Q871" t="s">
        <v>36</v>
      </c>
      <c r="R871">
        <v>1</v>
      </c>
      <c r="S871">
        <v>25</v>
      </c>
      <c r="T871">
        <v>3</v>
      </c>
      <c r="U871">
        <v>4</v>
      </c>
      <c r="V871">
        <v>2</v>
      </c>
      <c r="W871">
        <v>0</v>
      </c>
      <c r="X871">
        <v>3</v>
      </c>
      <c r="Y871">
        <v>11</v>
      </c>
      <c r="Z871">
        <f>IF(H_A[[#This Row],[Attrition]]="Yes",1,0)</f>
        <v>0</v>
      </c>
      <c r="AA871" t="str">
        <f>IF(H_A[[#This Row],[Age]]&lt;30,"Young",IF(H_A[[#This Row],[Age]]&lt;45,"Mid","Senior"))</f>
        <v>Senior</v>
      </c>
      <c r="AB871" t="str">
        <f>IF(H_A[[#This Row],[MonthlyIncome]]&lt;5000,"Low",IF(H_A[[#This Row],[MonthlyIncome]]&lt;10000,"Medium","High"))</f>
        <v>High</v>
      </c>
      <c r="AC871" t="str">
        <f>IF(H_A[[#This Row],[YearsAtCompany]]&lt;3,"Early",IF(H_A[[#This Row],[YearsAtCompany]]&lt;7,"Mid","Long"))</f>
        <v>Mid</v>
      </c>
      <c r="AD871" t="str">
        <f>IF(H_A[[#This Row],[PercentSalaryHike]]&lt;13,"Low",IF(H_A[[#This Row],[PercentSalaryHike]]&lt;18,"Medium","High"))</f>
        <v>Low</v>
      </c>
    </row>
    <row r="872" spans="1:30" x14ac:dyDescent="0.3">
      <c r="A872">
        <v>35</v>
      </c>
      <c r="B872">
        <v>1218</v>
      </c>
      <c r="C872" t="s">
        <v>36</v>
      </c>
      <c r="D872" t="s">
        <v>31</v>
      </c>
      <c r="E872">
        <v>17</v>
      </c>
      <c r="F872">
        <v>4</v>
      </c>
      <c r="G872" t="s">
        <v>32</v>
      </c>
      <c r="H872">
        <v>3</v>
      </c>
      <c r="I872" t="s">
        <v>38</v>
      </c>
      <c r="J872">
        <v>3</v>
      </c>
      <c r="K872">
        <v>2</v>
      </c>
      <c r="L872" t="s">
        <v>34</v>
      </c>
      <c r="M872">
        <v>1</v>
      </c>
      <c r="N872" t="s">
        <v>40</v>
      </c>
      <c r="O872">
        <v>8966</v>
      </c>
      <c r="P872">
        <v>3</v>
      </c>
      <c r="Q872" t="s">
        <v>30</v>
      </c>
      <c r="R872">
        <v>4</v>
      </c>
      <c r="S872">
        <v>15</v>
      </c>
      <c r="T872">
        <v>3</v>
      </c>
      <c r="U872">
        <v>7</v>
      </c>
      <c r="V872">
        <v>7</v>
      </c>
      <c r="W872">
        <v>1</v>
      </c>
      <c r="X872">
        <v>7</v>
      </c>
      <c r="Y872">
        <v>15</v>
      </c>
      <c r="Z872">
        <f>IF(H_A[[#This Row],[Attrition]]="Yes",1,0)</f>
        <v>0</v>
      </c>
      <c r="AA872" t="str">
        <f>IF(H_A[[#This Row],[Age]]&lt;30,"Young",IF(H_A[[#This Row],[Age]]&lt;45,"Mid","Senior"))</f>
        <v>Mid</v>
      </c>
      <c r="AB872" t="str">
        <f>IF(H_A[[#This Row],[MonthlyIncome]]&lt;5000,"Low",IF(H_A[[#This Row],[MonthlyIncome]]&lt;10000,"Medium","High"))</f>
        <v>Medium</v>
      </c>
      <c r="AC872" t="str">
        <f>IF(H_A[[#This Row],[YearsAtCompany]]&lt;3,"Early",IF(H_A[[#This Row],[YearsAtCompany]]&lt;7,"Mid","Long"))</f>
        <v>Long</v>
      </c>
      <c r="AD872" t="str">
        <f>IF(H_A[[#This Row],[PercentSalaryHike]]&lt;13,"Low",IF(H_A[[#This Row],[PercentSalaryHike]]&lt;18,"Medium","High"))</f>
        <v>Medium</v>
      </c>
    </row>
    <row r="873" spans="1:30" x14ac:dyDescent="0.3">
      <c r="A873">
        <v>24</v>
      </c>
      <c r="B873">
        <v>1219</v>
      </c>
      <c r="C873" t="s">
        <v>30</v>
      </c>
      <c r="D873" t="s">
        <v>37</v>
      </c>
      <c r="E873">
        <v>17</v>
      </c>
      <c r="F873">
        <v>2</v>
      </c>
      <c r="G873" t="s">
        <v>32</v>
      </c>
      <c r="H873">
        <v>4</v>
      </c>
      <c r="I873" t="s">
        <v>33</v>
      </c>
      <c r="J873">
        <v>3</v>
      </c>
      <c r="K873">
        <v>1</v>
      </c>
      <c r="L873" t="s">
        <v>42</v>
      </c>
      <c r="M873">
        <v>2</v>
      </c>
      <c r="N873" t="s">
        <v>40</v>
      </c>
      <c r="O873">
        <v>2210</v>
      </c>
      <c r="P873">
        <v>1</v>
      </c>
      <c r="Q873" t="s">
        <v>36</v>
      </c>
      <c r="R873">
        <v>1</v>
      </c>
      <c r="S873">
        <v>1</v>
      </c>
      <c r="T873">
        <v>1</v>
      </c>
      <c r="U873">
        <v>1</v>
      </c>
      <c r="V873">
        <v>0</v>
      </c>
      <c r="W873">
        <v>0</v>
      </c>
      <c r="X873">
        <v>0</v>
      </c>
      <c r="Y873">
        <v>13</v>
      </c>
      <c r="Z873">
        <f>IF(H_A[[#This Row],[Attrition]]="Yes",1,0)</f>
        <v>1</v>
      </c>
      <c r="AA873" t="str">
        <f>IF(H_A[[#This Row],[Age]]&lt;30,"Young",IF(H_A[[#This Row],[Age]]&lt;45,"Mid","Senior"))</f>
        <v>Young</v>
      </c>
      <c r="AB873" t="str">
        <f>IF(H_A[[#This Row],[MonthlyIncome]]&lt;5000,"Low",IF(H_A[[#This Row],[MonthlyIncome]]&lt;10000,"Medium","High"))</f>
        <v>Low</v>
      </c>
      <c r="AC873" t="str">
        <f>IF(H_A[[#This Row],[YearsAtCompany]]&lt;3,"Early",IF(H_A[[#This Row],[YearsAtCompany]]&lt;7,"Mid","Long"))</f>
        <v>Early</v>
      </c>
      <c r="AD873" t="str">
        <f>IF(H_A[[#This Row],[PercentSalaryHike]]&lt;13,"Low",IF(H_A[[#This Row],[PercentSalaryHike]]&lt;18,"Medium","High"))</f>
        <v>Medium</v>
      </c>
    </row>
    <row r="874" spans="1:30" x14ac:dyDescent="0.3">
      <c r="A874">
        <v>33</v>
      </c>
      <c r="B874">
        <v>1220</v>
      </c>
      <c r="C874" t="s">
        <v>36</v>
      </c>
      <c r="D874" t="s">
        <v>31</v>
      </c>
      <c r="E874">
        <v>25</v>
      </c>
      <c r="F874">
        <v>3</v>
      </c>
      <c r="G874" t="s">
        <v>43</v>
      </c>
      <c r="H874">
        <v>2</v>
      </c>
      <c r="I874" t="s">
        <v>33</v>
      </c>
      <c r="J874">
        <v>3</v>
      </c>
      <c r="K874">
        <v>2</v>
      </c>
      <c r="L874" t="s">
        <v>34</v>
      </c>
      <c r="M874">
        <v>3</v>
      </c>
      <c r="N874" t="s">
        <v>40</v>
      </c>
      <c r="O874">
        <v>4539</v>
      </c>
      <c r="P874">
        <v>1</v>
      </c>
      <c r="Q874" t="s">
        <v>36</v>
      </c>
      <c r="R874">
        <v>1</v>
      </c>
      <c r="S874">
        <v>10</v>
      </c>
      <c r="T874">
        <v>2</v>
      </c>
      <c r="U874">
        <v>10</v>
      </c>
      <c r="V874">
        <v>7</v>
      </c>
      <c r="W874">
        <v>0</v>
      </c>
      <c r="X874">
        <v>1</v>
      </c>
      <c r="Y874">
        <v>12</v>
      </c>
      <c r="Z874">
        <f>IF(H_A[[#This Row],[Attrition]]="Yes",1,0)</f>
        <v>0</v>
      </c>
      <c r="AA874" t="str">
        <f>IF(H_A[[#This Row],[Age]]&lt;30,"Young",IF(H_A[[#This Row],[Age]]&lt;45,"Mid","Senior"))</f>
        <v>Mid</v>
      </c>
      <c r="AB874" t="str">
        <f>IF(H_A[[#This Row],[MonthlyIncome]]&lt;5000,"Low",IF(H_A[[#This Row],[MonthlyIncome]]&lt;10000,"Medium","High"))</f>
        <v>Low</v>
      </c>
      <c r="AC874" t="str">
        <f>IF(H_A[[#This Row],[YearsAtCompany]]&lt;3,"Early",IF(H_A[[#This Row],[YearsAtCompany]]&lt;7,"Mid","Long"))</f>
        <v>Long</v>
      </c>
      <c r="AD874" t="str">
        <f>IF(H_A[[#This Row],[PercentSalaryHike]]&lt;13,"Low",IF(H_A[[#This Row],[PercentSalaryHike]]&lt;18,"Medium","High"))</f>
        <v>Low</v>
      </c>
    </row>
    <row r="875" spans="1:30" x14ac:dyDescent="0.3">
      <c r="A875">
        <v>36</v>
      </c>
      <c r="B875">
        <v>1221</v>
      </c>
      <c r="C875" t="s">
        <v>36</v>
      </c>
      <c r="D875" t="s">
        <v>37</v>
      </c>
      <c r="E875">
        <v>6</v>
      </c>
      <c r="F875">
        <v>4</v>
      </c>
      <c r="G875" t="s">
        <v>32</v>
      </c>
      <c r="H875">
        <v>3</v>
      </c>
      <c r="I875" t="s">
        <v>38</v>
      </c>
      <c r="J875">
        <v>1</v>
      </c>
      <c r="K875">
        <v>1</v>
      </c>
      <c r="L875" t="s">
        <v>42</v>
      </c>
      <c r="M875">
        <v>3</v>
      </c>
      <c r="N875" t="s">
        <v>44</v>
      </c>
      <c r="O875">
        <v>2741</v>
      </c>
      <c r="P875">
        <v>1</v>
      </c>
      <c r="Q875" t="s">
        <v>36</v>
      </c>
      <c r="R875">
        <v>3</v>
      </c>
      <c r="S875">
        <v>7</v>
      </c>
      <c r="T875">
        <v>3</v>
      </c>
      <c r="U875">
        <v>7</v>
      </c>
      <c r="V875">
        <v>7</v>
      </c>
      <c r="W875">
        <v>1</v>
      </c>
      <c r="X875">
        <v>7</v>
      </c>
      <c r="Y875">
        <v>14</v>
      </c>
      <c r="Z875">
        <f>IF(H_A[[#This Row],[Attrition]]="Yes",1,0)</f>
        <v>0</v>
      </c>
      <c r="AA875" t="str">
        <f>IF(H_A[[#This Row],[Age]]&lt;30,"Young",IF(H_A[[#This Row],[Age]]&lt;45,"Mid","Senior"))</f>
        <v>Mid</v>
      </c>
      <c r="AB875" t="str">
        <f>IF(H_A[[#This Row],[MonthlyIncome]]&lt;5000,"Low",IF(H_A[[#This Row],[MonthlyIncome]]&lt;10000,"Medium","High"))</f>
        <v>Low</v>
      </c>
      <c r="AC875" t="str">
        <f>IF(H_A[[#This Row],[YearsAtCompany]]&lt;3,"Early",IF(H_A[[#This Row],[YearsAtCompany]]&lt;7,"Mid","Long"))</f>
        <v>Long</v>
      </c>
      <c r="AD875" t="str">
        <f>IF(H_A[[#This Row],[PercentSalaryHike]]&lt;13,"Low",IF(H_A[[#This Row],[PercentSalaryHike]]&lt;18,"Medium","High"))</f>
        <v>Medium</v>
      </c>
    </row>
    <row r="876" spans="1:30" x14ac:dyDescent="0.3">
      <c r="A876">
        <v>30</v>
      </c>
      <c r="B876">
        <v>1224</v>
      </c>
      <c r="C876" t="s">
        <v>36</v>
      </c>
      <c r="D876" t="s">
        <v>37</v>
      </c>
      <c r="E876">
        <v>7</v>
      </c>
      <c r="F876">
        <v>4</v>
      </c>
      <c r="G876" t="s">
        <v>32</v>
      </c>
      <c r="H876">
        <v>3</v>
      </c>
      <c r="I876" t="s">
        <v>38</v>
      </c>
      <c r="J876">
        <v>3</v>
      </c>
      <c r="K876">
        <v>2</v>
      </c>
      <c r="L876" t="s">
        <v>42</v>
      </c>
      <c r="M876">
        <v>3</v>
      </c>
      <c r="N876" t="s">
        <v>44</v>
      </c>
      <c r="O876">
        <v>3491</v>
      </c>
      <c r="P876">
        <v>1</v>
      </c>
      <c r="Q876" t="s">
        <v>36</v>
      </c>
      <c r="R876">
        <v>1</v>
      </c>
      <c r="S876">
        <v>10</v>
      </c>
      <c r="T876">
        <v>2</v>
      </c>
      <c r="U876">
        <v>10</v>
      </c>
      <c r="V876">
        <v>7</v>
      </c>
      <c r="W876">
        <v>8</v>
      </c>
      <c r="X876">
        <v>9</v>
      </c>
      <c r="Y876">
        <v>13</v>
      </c>
      <c r="Z876">
        <f>IF(H_A[[#This Row],[Attrition]]="Yes",1,0)</f>
        <v>0</v>
      </c>
      <c r="AA876" t="str">
        <f>IF(H_A[[#This Row],[Age]]&lt;30,"Young",IF(H_A[[#This Row],[Age]]&lt;45,"Mid","Senior"))</f>
        <v>Mid</v>
      </c>
      <c r="AB876" t="str">
        <f>IF(H_A[[#This Row],[MonthlyIncome]]&lt;5000,"Low",IF(H_A[[#This Row],[MonthlyIncome]]&lt;10000,"Medium","High"))</f>
        <v>Low</v>
      </c>
      <c r="AC876" t="str">
        <f>IF(H_A[[#This Row],[YearsAtCompany]]&lt;3,"Early",IF(H_A[[#This Row],[YearsAtCompany]]&lt;7,"Mid","Long"))</f>
        <v>Long</v>
      </c>
      <c r="AD876" t="str">
        <f>IF(H_A[[#This Row],[PercentSalaryHike]]&lt;13,"Low",IF(H_A[[#This Row],[PercentSalaryHike]]&lt;18,"Medium","High"))</f>
        <v>Medium</v>
      </c>
    </row>
    <row r="877" spans="1:30" x14ac:dyDescent="0.3">
      <c r="A877">
        <v>44</v>
      </c>
      <c r="B877">
        <v>1225</v>
      </c>
      <c r="C877" t="s">
        <v>36</v>
      </c>
      <c r="D877" t="s">
        <v>37</v>
      </c>
      <c r="E877">
        <v>29</v>
      </c>
      <c r="F877">
        <v>4</v>
      </c>
      <c r="G877" t="s">
        <v>41</v>
      </c>
      <c r="H877">
        <v>4</v>
      </c>
      <c r="I877" t="s">
        <v>38</v>
      </c>
      <c r="J877">
        <v>3</v>
      </c>
      <c r="K877">
        <v>2</v>
      </c>
      <c r="L877" t="s">
        <v>39</v>
      </c>
      <c r="M877">
        <v>4</v>
      </c>
      <c r="N877" t="s">
        <v>35</v>
      </c>
      <c r="O877">
        <v>4541</v>
      </c>
      <c r="P877">
        <v>1</v>
      </c>
      <c r="Q877" t="s">
        <v>36</v>
      </c>
      <c r="R877">
        <v>2</v>
      </c>
      <c r="S877">
        <v>20</v>
      </c>
      <c r="T877">
        <v>3</v>
      </c>
      <c r="U877">
        <v>20</v>
      </c>
      <c r="V877">
        <v>11</v>
      </c>
      <c r="W877">
        <v>13</v>
      </c>
      <c r="X877">
        <v>17</v>
      </c>
      <c r="Y877">
        <v>25</v>
      </c>
      <c r="Z877">
        <f>IF(H_A[[#This Row],[Attrition]]="Yes",1,0)</f>
        <v>0</v>
      </c>
      <c r="AA877" t="str">
        <f>IF(H_A[[#This Row],[Age]]&lt;30,"Young",IF(H_A[[#This Row],[Age]]&lt;45,"Mid","Senior"))</f>
        <v>Mid</v>
      </c>
      <c r="AB877" t="str">
        <f>IF(H_A[[#This Row],[MonthlyIncome]]&lt;5000,"Low",IF(H_A[[#This Row],[MonthlyIncome]]&lt;10000,"Medium","High"))</f>
        <v>Low</v>
      </c>
      <c r="AC877" t="str">
        <f>IF(H_A[[#This Row],[YearsAtCompany]]&lt;3,"Early",IF(H_A[[#This Row],[YearsAtCompany]]&lt;7,"Mid","Long"))</f>
        <v>Long</v>
      </c>
      <c r="AD877" t="str">
        <f>IF(H_A[[#This Row],[PercentSalaryHike]]&lt;13,"Low",IF(H_A[[#This Row],[PercentSalaryHike]]&lt;18,"Medium","High"))</f>
        <v>High</v>
      </c>
    </row>
    <row r="878" spans="1:30" x14ac:dyDescent="0.3">
      <c r="A878">
        <v>20</v>
      </c>
      <c r="B878">
        <v>1226</v>
      </c>
      <c r="C878" t="s">
        <v>36</v>
      </c>
      <c r="D878" t="s">
        <v>31</v>
      </c>
      <c r="E878">
        <v>21</v>
      </c>
      <c r="F878">
        <v>3</v>
      </c>
      <c r="G878" t="s">
        <v>50</v>
      </c>
      <c r="H878">
        <v>3</v>
      </c>
      <c r="I878" t="s">
        <v>38</v>
      </c>
      <c r="J878">
        <v>4</v>
      </c>
      <c r="K878">
        <v>1</v>
      </c>
      <c r="L878" t="s">
        <v>48</v>
      </c>
      <c r="M878">
        <v>4</v>
      </c>
      <c r="N878" t="s">
        <v>35</v>
      </c>
      <c r="O878">
        <v>2678</v>
      </c>
      <c r="P878">
        <v>1</v>
      </c>
      <c r="Q878" t="s">
        <v>36</v>
      </c>
      <c r="R878">
        <v>4</v>
      </c>
      <c r="S878">
        <v>2</v>
      </c>
      <c r="T878">
        <v>3</v>
      </c>
      <c r="U878">
        <v>2</v>
      </c>
      <c r="V878">
        <v>1</v>
      </c>
      <c r="W878">
        <v>2</v>
      </c>
      <c r="X878">
        <v>2</v>
      </c>
      <c r="Y878">
        <v>17</v>
      </c>
      <c r="Z878">
        <f>IF(H_A[[#This Row],[Attrition]]="Yes",1,0)</f>
        <v>0</v>
      </c>
      <c r="AA878" t="str">
        <f>IF(H_A[[#This Row],[Age]]&lt;30,"Young",IF(H_A[[#This Row],[Age]]&lt;45,"Mid","Senior"))</f>
        <v>Young</v>
      </c>
      <c r="AB878" t="str">
        <f>IF(H_A[[#This Row],[MonthlyIncome]]&lt;5000,"Low",IF(H_A[[#This Row],[MonthlyIncome]]&lt;10000,"Medium","High"))</f>
        <v>Low</v>
      </c>
      <c r="AC878" t="str">
        <f>IF(H_A[[#This Row],[YearsAtCompany]]&lt;3,"Early",IF(H_A[[#This Row],[YearsAtCompany]]&lt;7,"Mid","Long"))</f>
        <v>Early</v>
      </c>
      <c r="AD878" t="str">
        <f>IF(H_A[[#This Row],[PercentSalaryHike]]&lt;13,"Low",IF(H_A[[#This Row],[PercentSalaryHike]]&lt;18,"Medium","High"))</f>
        <v>Medium</v>
      </c>
    </row>
    <row r="879" spans="1:30" x14ac:dyDescent="0.3">
      <c r="A879">
        <v>46</v>
      </c>
      <c r="B879">
        <v>1228</v>
      </c>
      <c r="C879" t="s">
        <v>36</v>
      </c>
      <c r="D879" t="s">
        <v>37</v>
      </c>
      <c r="E879">
        <v>2</v>
      </c>
      <c r="F879">
        <v>4</v>
      </c>
      <c r="G879" t="s">
        <v>51</v>
      </c>
      <c r="H879">
        <v>4</v>
      </c>
      <c r="I879" t="s">
        <v>38</v>
      </c>
      <c r="J879">
        <v>3</v>
      </c>
      <c r="K879">
        <v>2</v>
      </c>
      <c r="L879" t="s">
        <v>45</v>
      </c>
      <c r="M879">
        <v>4</v>
      </c>
      <c r="N879" t="s">
        <v>44</v>
      </c>
      <c r="O879">
        <v>7379</v>
      </c>
      <c r="P879">
        <v>2</v>
      </c>
      <c r="Q879" t="s">
        <v>36</v>
      </c>
      <c r="R879">
        <v>3</v>
      </c>
      <c r="S879">
        <v>12</v>
      </c>
      <c r="T879">
        <v>2</v>
      </c>
      <c r="U879">
        <v>6</v>
      </c>
      <c r="V879">
        <v>3</v>
      </c>
      <c r="W879">
        <v>1</v>
      </c>
      <c r="X879">
        <v>4</v>
      </c>
      <c r="Y879">
        <v>11</v>
      </c>
      <c r="Z879">
        <f>IF(H_A[[#This Row],[Attrition]]="Yes",1,0)</f>
        <v>0</v>
      </c>
      <c r="AA879" t="str">
        <f>IF(H_A[[#This Row],[Age]]&lt;30,"Young",IF(H_A[[#This Row],[Age]]&lt;45,"Mid","Senior"))</f>
        <v>Senior</v>
      </c>
      <c r="AB879" t="str">
        <f>IF(H_A[[#This Row],[MonthlyIncome]]&lt;5000,"Low",IF(H_A[[#This Row],[MonthlyIncome]]&lt;10000,"Medium","High"))</f>
        <v>Medium</v>
      </c>
      <c r="AC879" t="str">
        <f>IF(H_A[[#This Row],[YearsAtCompany]]&lt;3,"Early",IF(H_A[[#This Row],[YearsAtCompany]]&lt;7,"Mid","Long"))</f>
        <v>Mid</v>
      </c>
      <c r="AD879" t="str">
        <f>IF(H_A[[#This Row],[PercentSalaryHike]]&lt;13,"Low",IF(H_A[[#This Row],[PercentSalaryHike]]&lt;18,"Medium","High"))</f>
        <v>Low</v>
      </c>
    </row>
    <row r="880" spans="1:30" x14ac:dyDescent="0.3">
      <c r="A880">
        <v>42</v>
      </c>
      <c r="B880">
        <v>1231</v>
      </c>
      <c r="C880" t="s">
        <v>36</v>
      </c>
      <c r="D880" t="s">
        <v>52</v>
      </c>
      <c r="E880">
        <v>2</v>
      </c>
      <c r="F880">
        <v>5</v>
      </c>
      <c r="G880" t="s">
        <v>43</v>
      </c>
      <c r="H880">
        <v>4</v>
      </c>
      <c r="I880" t="s">
        <v>38</v>
      </c>
      <c r="J880">
        <v>4</v>
      </c>
      <c r="K880">
        <v>2</v>
      </c>
      <c r="L880" t="s">
        <v>52</v>
      </c>
      <c r="M880">
        <v>1</v>
      </c>
      <c r="N880" t="s">
        <v>40</v>
      </c>
      <c r="O880">
        <v>6272</v>
      </c>
      <c r="P880">
        <v>7</v>
      </c>
      <c r="Q880" t="s">
        <v>36</v>
      </c>
      <c r="R880">
        <v>1</v>
      </c>
      <c r="S880">
        <v>10</v>
      </c>
      <c r="T880">
        <v>4</v>
      </c>
      <c r="U880">
        <v>4</v>
      </c>
      <c r="V880">
        <v>3</v>
      </c>
      <c r="W880">
        <v>0</v>
      </c>
      <c r="X880">
        <v>3</v>
      </c>
      <c r="Y880">
        <v>16</v>
      </c>
      <c r="Z880">
        <f>IF(H_A[[#This Row],[Attrition]]="Yes",1,0)</f>
        <v>0</v>
      </c>
      <c r="AA880" t="str">
        <f>IF(H_A[[#This Row],[Age]]&lt;30,"Young",IF(H_A[[#This Row],[Age]]&lt;45,"Mid","Senior"))</f>
        <v>Mid</v>
      </c>
      <c r="AB880" t="str">
        <f>IF(H_A[[#This Row],[MonthlyIncome]]&lt;5000,"Low",IF(H_A[[#This Row],[MonthlyIncome]]&lt;10000,"Medium","High"))</f>
        <v>Medium</v>
      </c>
      <c r="AC880" t="str">
        <f>IF(H_A[[#This Row],[YearsAtCompany]]&lt;3,"Early",IF(H_A[[#This Row],[YearsAtCompany]]&lt;7,"Mid","Long"))</f>
        <v>Mid</v>
      </c>
      <c r="AD880" t="str">
        <f>IF(H_A[[#This Row],[PercentSalaryHike]]&lt;13,"Low",IF(H_A[[#This Row],[PercentSalaryHike]]&lt;18,"Medium","High"))</f>
        <v>Medium</v>
      </c>
    </row>
    <row r="881" spans="1:30" x14ac:dyDescent="0.3">
      <c r="A881">
        <v>60</v>
      </c>
      <c r="B881">
        <v>1233</v>
      </c>
      <c r="C881" t="s">
        <v>36</v>
      </c>
      <c r="D881" t="s">
        <v>31</v>
      </c>
      <c r="E881">
        <v>7</v>
      </c>
      <c r="F881">
        <v>4</v>
      </c>
      <c r="G881" t="s">
        <v>50</v>
      </c>
      <c r="H881">
        <v>2</v>
      </c>
      <c r="I881" t="s">
        <v>38</v>
      </c>
      <c r="J881">
        <v>4</v>
      </c>
      <c r="K881">
        <v>2</v>
      </c>
      <c r="L881" t="s">
        <v>34</v>
      </c>
      <c r="M881">
        <v>4</v>
      </c>
      <c r="N881" t="s">
        <v>44</v>
      </c>
      <c r="O881">
        <v>5220</v>
      </c>
      <c r="P881">
        <v>0</v>
      </c>
      <c r="Q881" t="s">
        <v>30</v>
      </c>
      <c r="R881">
        <v>2</v>
      </c>
      <c r="S881">
        <v>12</v>
      </c>
      <c r="T881">
        <v>3</v>
      </c>
      <c r="U881">
        <v>11</v>
      </c>
      <c r="V881">
        <v>7</v>
      </c>
      <c r="W881">
        <v>1</v>
      </c>
      <c r="X881">
        <v>9</v>
      </c>
      <c r="Y881">
        <v>18</v>
      </c>
      <c r="Z881">
        <f>IF(H_A[[#This Row],[Attrition]]="Yes",1,0)</f>
        <v>0</v>
      </c>
      <c r="AA881" t="str">
        <f>IF(H_A[[#This Row],[Age]]&lt;30,"Young",IF(H_A[[#This Row],[Age]]&lt;45,"Mid","Senior"))</f>
        <v>Senior</v>
      </c>
      <c r="AB881" t="str">
        <f>IF(H_A[[#This Row],[MonthlyIncome]]&lt;5000,"Low",IF(H_A[[#This Row],[MonthlyIncome]]&lt;10000,"Medium","High"))</f>
        <v>Medium</v>
      </c>
      <c r="AC881" t="str">
        <f>IF(H_A[[#This Row],[YearsAtCompany]]&lt;3,"Early",IF(H_A[[#This Row],[YearsAtCompany]]&lt;7,"Mid","Long"))</f>
        <v>Long</v>
      </c>
      <c r="AD881" t="str">
        <f>IF(H_A[[#This Row],[PercentSalaryHike]]&lt;13,"Low",IF(H_A[[#This Row],[PercentSalaryHike]]&lt;18,"Medium","High"))</f>
        <v>High</v>
      </c>
    </row>
    <row r="882" spans="1:30" x14ac:dyDescent="0.3">
      <c r="A882">
        <v>32</v>
      </c>
      <c r="B882">
        <v>1234</v>
      </c>
      <c r="C882" t="s">
        <v>36</v>
      </c>
      <c r="D882" t="s">
        <v>37</v>
      </c>
      <c r="E882">
        <v>13</v>
      </c>
      <c r="F882">
        <v>3</v>
      </c>
      <c r="G882" t="s">
        <v>41</v>
      </c>
      <c r="H882">
        <v>3</v>
      </c>
      <c r="I882" t="s">
        <v>33</v>
      </c>
      <c r="J882">
        <v>2</v>
      </c>
      <c r="K882">
        <v>1</v>
      </c>
      <c r="L882" t="s">
        <v>42</v>
      </c>
      <c r="M882">
        <v>2</v>
      </c>
      <c r="N882" t="s">
        <v>40</v>
      </c>
      <c r="O882">
        <v>2743</v>
      </c>
      <c r="P882">
        <v>1</v>
      </c>
      <c r="Q882" t="s">
        <v>36</v>
      </c>
      <c r="R882">
        <v>3</v>
      </c>
      <c r="S882">
        <v>2</v>
      </c>
      <c r="T882">
        <v>3</v>
      </c>
      <c r="U882">
        <v>2</v>
      </c>
      <c r="V882">
        <v>2</v>
      </c>
      <c r="W882">
        <v>2</v>
      </c>
      <c r="X882">
        <v>2</v>
      </c>
      <c r="Y882">
        <v>20</v>
      </c>
      <c r="Z882">
        <f>IF(H_A[[#This Row],[Attrition]]="Yes",1,0)</f>
        <v>0</v>
      </c>
      <c r="AA882" t="str">
        <f>IF(H_A[[#This Row],[Age]]&lt;30,"Young",IF(H_A[[#This Row],[Age]]&lt;45,"Mid","Senior"))</f>
        <v>Mid</v>
      </c>
      <c r="AB882" t="str">
        <f>IF(H_A[[#This Row],[MonthlyIncome]]&lt;5000,"Low",IF(H_A[[#This Row],[MonthlyIncome]]&lt;10000,"Medium","High"))</f>
        <v>Low</v>
      </c>
      <c r="AC882" t="str">
        <f>IF(H_A[[#This Row],[YearsAtCompany]]&lt;3,"Early",IF(H_A[[#This Row],[YearsAtCompany]]&lt;7,"Mid","Long"))</f>
        <v>Early</v>
      </c>
      <c r="AD882" t="str">
        <f>IF(H_A[[#This Row],[PercentSalaryHike]]&lt;13,"Low",IF(H_A[[#This Row],[PercentSalaryHike]]&lt;18,"Medium","High"))</f>
        <v>High</v>
      </c>
    </row>
    <row r="883" spans="1:30" x14ac:dyDescent="0.3">
      <c r="A883">
        <v>32</v>
      </c>
      <c r="B883">
        <v>1235</v>
      </c>
      <c r="C883" t="s">
        <v>36</v>
      </c>
      <c r="D883" t="s">
        <v>37</v>
      </c>
      <c r="E883">
        <v>2</v>
      </c>
      <c r="F883">
        <v>2</v>
      </c>
      <c r="G883" t="s">
        <v>32</v>
      </c>
      <c r="H883">
        <v>4</v>
      </c>
      <c r="I883" t="s">
        <v>33</v>
      </c>
      <c r="J883">
        <v>3</v>
      </c>
      <c r="K883">
        <v>2</v>
      </c>
      <c r="L883" t="s">
        <v>39</v>
      </c>
      <c r="M883">
        <v>3</v>
      </c>
      <c r="N883" t="s">
        <v>35</v>
      </c>
      <c r="O883">
        <v>4998</v>
      </c>
      <c r="P883">
        <v>4</v>
      </c>
      <c r="Q883" t="s">
        <v>30</v>
      </c>
      <c r="R883">
        <v>4</v>
      </c>
      <c r="S883">
        <v>10</v>
      </c>
      <c r="T883">
        <v>3</v>
      </c>
      <c r="U883">
        <v>8</v>
      </c>
      <c r="V883">
        <v>7</v>
      </c>
      <c r="W883">
        <v>0</v>
      </c>
      <c r="X883">
        <v>7</v>
      </c>
      <c r="Y883">
        <v>14</v>
      </c>
      <c r="Z883">
        <f>IF(H_A[[#This Row],[Attrition]]="Yes",1,0)</f>
        <v>0</v>
      </c>
      <c r="AA883" t="str">
        <f>IF(H_A[[#This Row],[Age]]&lt;30,"Young",IF(H_A[[#This Row],[Age]]&lt;45,"Mid","Senior"))</f>
        <v>Mid</v>
      </c>
      <c r="AB883" t="str">
        <f>IF(H_A[[#This Row],[MonthlyIncome]]&lt;5000,"Low",IF(H_A[[#This Row],[MonthlyIncome]]&lt;10000,"Medium","High"))</f>
        <v>Low</v>
      </c>
      <c r="AC883" t="str">
        <f>IF(H_A[[#This Row],[YearsAtCompany]]&lt;3,"Early",IF(H_A[[#This Row],[YearsAtCompany]]&lt;7,"Mid","Long"))</f>
        <v>Long</v>
      </c>
      <c r="AD883" t="str">
        <f>IF(H_A[[#This Row],[PercentSalaryHike]]&lt;13,"Low",IF(H_A[[#This Row],[PercentSalaryHike]]&lt;18,"Medium","High"))</f>
        <v>Medium</v>
      </c>
    </row>
    <row r="884" spans="1:30" x14ac:dyDescent="0.3">
      <c r="A884">
        <v>36</v>
      </c>
      <c r="B884">
        <v>1237</v>
      </c>
      <c r="C884" t="s">
        <v>36</v>
      </c>
      <c r="D884" t="s">
        <v>37</v>
      </c>
      <c r="E884">
        <v>1</v>
      </c>
      <c r="F884">
        <v>3</v>
      </c>
      <c r="G884" t="s">
        <v>51</v>
      </c>
      <c r="H884">
        <v>3</v>
      </c>
      <c r="I884" t="s">
        <v>33</v>
      </c>
      <c r="J884">
        <v>1</v>
      </c>
      <c r="K884">
        <v>3</v>
      </c>
      <c r="L884" t="s">
        <v>45</v>
      </c>
      <c r="M884">
        <v>1</v>
      </c>
      <c r="N884" t="s">
        <v>44</v>
      </c>
      <c r="O884">
        <v>10252</v>
      </c>
      <c r="P884">
        <v>2</v>
      </c>
      <c r="Q884" t="s">
        <v>30</v>
      </c>
      <c r="R884">
        <v>3</v>
      </c>
      <c r="S884">
        <v>17</v>
      </c>
      <c r="T884">
        <v>3</v>
      </c>
      <c r="U884">
        <v>7</v>
      </c>
      <c r="V884">
        <v>7</v>
      </c>
      <c r="W884">
        <v>7</v>
      </c>
      <c r="X884">
        <v>7</v>
      </c>
      <c r="Y884">
        <v>21</v>
      </c>
      <c r="Z884">
        <f>IF(H_A[[#This Row],[Attrition]]="Yes",1,0)</f>
        <v>0</v>
      </c>
      <c r="AA884" t="str">
        <f>IF(H_A[[#This Row],[Age]]&lt;30,"Young",IF(H_A[[#This Row],[Age]]&lt;45,"Mid","Senior"))</f>
        <v>Mid</v>
      </c>
      <c r="AB884" t="str">
        <f>IF(H_A[[#This Row],[MonthlyIncome]]&lt;5000,"Low",IF(H_A[[#This Row],[MonthlyIncome]]&lt;10000,"Medium","High"))</f>
        <v>High</v>
      </c>
      <c r="AC884" t="str">
        <f>IF(H_A[[#This Row],[YearsAtCompany]]&lt;3,"Early",IF(H_A[[#This Row],[YearsAtCompany]]&lt;7,"Mid","Long"))</f>
        <v>Long</v>
      </c>
      <c r="AD884" t="str">
        <f>IF(H_A[[#This Row],[PercentSalaryHike]]&lt;13,"Low",IF(H_A[[#This Row],[PercentSalaryHike]]&lt;18,"Medium","High"))</f>
        <v>High</v>
      </c>
    </row>
    <row r="885" spans="1:30" x14ac:dyDescent="0.3">
      <c r="A885">
        <v>33</v>
      </c>
      <c r="B885">
        <v>1238</v>
      </c>
      <c r="C885" t="s">
        <v>36</v>
      </c>
      <c r="D885" t="s">
        <v>37</v>
      </c>
      <c r="E885">
        <v>9</v>
      </c>
      <c r="F885">
        <v>3</v>
      </c>
      <c r="G885" t="s">
        <v>43</v>
      </c>
      <c r="H885">
        <v>1</v>
      </c>
      <c r="I885" t="s">
        <v>38</v>
      </c>
      <c r="J885">
        <v>3</v>
      </c>
      <c r="K885">
        <v>1</v>
      </c>
      <c r="L885" t="s">
        <v>39</v>
      </c>
      <c r="M885">
        <v>4</v>
      </c>
      <c r="N885" t="s">
        <v>40</v>
      </c>
      <c r="O885">
        <v>2781</v>
      </c>
      <c r="P885">
        <v>0</v>
      </c>
      <c r="Q885" t="s">
        <v>36</v>
      </c>
      <c r="R885">
        <v>2</v>
      </c>
      <c r="S885">
        <v>15</v>
      </c>
      <c r="T885">
        <v>3</v>
      </c>
      <c r="U885">
        <v>14</v>
      </c>
      <c r="V885">
        <v>10</v>
      </c>
      <c r="W885">
        <v>4</v>
      </c>
      <c r="X885">
        <v>10</v>
      </c>
      <c r="Y885">
        <v>13</v>
      </c>
      <c r="Z885">
        <f>IF(H_A[[#This Row],[Attrition]]="Yes",1,0)</f>
        <v>0</v>
      </c>
      <c r="AA885" t="str">
        <f>IF(H_A[[#This Row],[Age]]&lt;30,"Young",IF(H_A[[#This Row],[Age]]&lt;45,"Mid","Senior"))</f>
        <v>Mid</v>
      </c>
      <c r="AB885" t="str">
        <f>IF(H_A[[#This Row],[MonthlyIncome]]&lt;5000,"Low",IF(H_A[[#This Row],[MonthlyIncome]]&lt;10000,"Medium","High"))</f>
        <v>Low</v>
      </c>
      <c r="AC885" t="str">
        <f>IF(H_A[[#This Row],[YearsAtCompany]]&lt;3,"Early",IF(H_A[[#This Row],[YearsAtCompany]]&lt;7,"Mid","Long"))</f>
        <v>Long</v>
      </c>
      <c r="AD885" t="str">
        <f>IF(H_A[[#This Row],[PercentSalaryHike]]&lt;13,"Low",IF(H_A[[#This Row],[PercentSalaryHike]]&lt;18,"Medium","High"))</f>
        <v>Medium</v>
      </c>
    </row>
    <row r="886" spans="1:30" x14ac:dyDescent="0.3">
      <c r="A886">
        <v>40</v>
      </c>
      <c r="B886">
        <v>1239</v>
      </c>
      <c r="C886" t="s">
        <v>36</v>
      </c>
      <c r="D886" t="s">
        <v>31</v>
      </c>
      <c r="E886">
        <v>10</v>
      </c>
      <c r="F886">
        <v>3</v>
      </c>
      <c r="G886" t="s">
        <v>51</v>
      </c>
      <c r="H886">
        <v>2</v>
      </c>
      <c r="I886" t="s">
        <v>33</v>
      </c>
      <c r="J886">
        <v>2</v>
      </c>
      <c r="K886">
        <v>2</v>
      </c>
      <c r="L886" t="s">
        <v>34</v>
      </c>
      <c r="M886">
        <v>2</v>
      </c>
      <c r="N886" t="s">
        <v>44</v>
      </c>
      <c r="O886">
        <v>6852</v>
      </c>
      <c r="P886">
        <v>7</v>
      </c>
      <c r="Q886" t="s">
        <v>36</v>
      </c>
      <c r="R886">
        <v>2</v>
      </c>
      <c r="S886">
        <v>7</v>
      </c>
      <c r="T886">
        <v>4</v>
      </c>
      <c r="U886">
        <v>5</v>
      </c>
      <c r="V886">
        <v>1</v>
      </c>
      <c r="W886">
        <v>1</v>
      </c>
      <c r="X886">
        <v>3</v>
      </c>
      <c r="Y886">
        <v>12</v>
      </c>
      <c r="Z886">
        <f>IF(H_A[[#This Row],[Attrition]]="Yes",1,0)</f>
        <v>0</v>
      </c>
      <c r="AA886" t="str">
        <f>IF(H_A[[#This Row],[Age]]&lt;30,"Young",IF(H_A[[#This Row],[Age]]&lt;45,"Mid","Senior"))</f>
        <v>Mid</v>
      </c>
      <c r="AB886" t="str">
        <f>IF(H_A[[#This Row],[MonthlyIncome]]&lt;5000,"Low",IF(H_A[[#This Row],[MonthlyIncome]]&lt;10000,"Medium","High"))</f>
        <v>Medium</v>
      </c>
      <c r="AC886" t="str">
        <f>IF(H_A[[#This Row],[YearsAtCompany]]&lt;3,"Early",IF(H_A[[#This Row],[YearsAtCompany]]&lt;7,"Mid","Long"))</f>
        <v>Mid</v>
      </c>
      <c r="AD886" t="str">
        <f>IF(H_A[[#This Row],[PercentSalaryHike]]&lt;13,"Low",IF(H_A[[#This Row],[PercentSalaryHike]]&lt;18,"Medium","High"))</f>
        <v>Low</v>
      </c>
    </row>
    <row r="887" spans="1:30" x14ac:dyDescent="0.3">
      <c r="A887">
        <v>25</v>
      </c>
      <c r="B887">
        <v>1240</v>
      </c>
      <c r="C887" t="s">
        <v>36</v>
      </c>
      <c r="D887" t="s">
        <v>31</v>
      </c>
      <c r="E887">
        <v>10</v>
      </c>
      <c r="F887">
        <v>4</v>
      </c>
      <c r="G887" t="s">
        <v>32</v>
      </c>
      <c r="H887">
        <v>3</v>
      </c>
      <c r="I887" t="s">
        <v>38</v>
      </c>
      <c r="J887">
        <v>3</v>
      </c>
      <c r="K887">
        <v>2</v>
      </c>
      <c r="L887" t="s">
        <v>34</v>
      </c>
      <c r="M887">
        <v>4</v>
      </c>
      <c r="N887" t="s">
        <v>35</v>
      </c>
      <c r="O887">
        <v>4950</v>
      </c>
      <c r="P887">
        <v>0</v>
      </c>
      <c r="Q887" t="s">
        <v>36</v>
      </c>
      <c r="R887">
        <v>2</v>
      </c>
      <c r="S887">
        <v>5</v>
      </c>
      <c r="T887">
        <v>3</v>
      </c>
      <c r="U887">
        <v>4</v>
      </c>
      <c r="V887">
        <v>3</v>
      </c>
      <c r="W887">
        <v>1</v>
      </c>
      <c r="X887">
        <v>1</v>
      </c>
      <c r="Y887">
        <v>14</v>
      </c>
      <c r="Z887">
        <f>IF(H_A[[#This Row],[Attrition]]="Yes",1,0)</f>
        <v>0</v>
      </c>
      <c r="AA887" t="str">
        <f>IF(H_A[[#This Row],[Age]]&lt;30,"Young",IF(H_A[[#This Row],[Age]]&lt;45,"Mid","Senior"))</f>
        <v>Young</v>
      </c>
      <c r="AB887" t="str">
        <f>IF(H_A[[#This Row],[MonthlyIncome]]&lt;5000,"Low",IF(H_A[[#This Row],[MonthlyIncome]]&lt;10000,"Medium","High"))</f>
        <v>Low</v>
      </c>
      <c r="AC887" t="str">
        <f>IF(H_A[[#This Row],[YearsAtCompany]]&lt;3,"Early",IF(H_A[[#This Row],[YearsAtCompany]]&lt;7,"Mid","Long"))</f>
        <v>Mid</v>
      </c>
      <c r="AD887" t="str">
        <f>IF(H_A[[#This Row],[PercentSalaryHike]]&lt;13,"Low",IF(H_A[[#This Row],[PercentSalaryHike]]&lt;18,"Medium","High"))</f>
        <v>Medium</v>
      </c>
    </row>
    <row r="888" spans="1:30" x14ac:dyDescent="0.3">
      <c r="A888">
        <v>30</v>
      </c>
      <c r="B888">
        <v>1241</v>
      </c>
      <c r="C888" t="s">
        <v>36</v>
      </c>
      <c r="D888" t="s">
        <v>37</v>
      </c>
      <c r="E888">
        <v>1</v>
      </c>
      <c r="F888">
        <v>3</v>
      </c>
      <c r="G888" t="s">
        <v>43</v>
      </c>
      <c r="H888">
        <v>4</v>
      </c>
      <c r="I888" t="s">
        <v>38</v>
      </c>
      <c r="J888">
        <v>3</v>
      </c>
      <c r="K888">
        <v>1</v>
      </c>
      <c r="L888" t="s">
        <v>39</v>
      </c>
      <c r="M888">
        <v>2</v>
      </c>
      <c r="N888" t="s">
        <v>40</v>
      </c>
      <c r="O888">
        <v>3579</v>
      </c>
      <c r="P888">
        <v>0</v>
      </c>
      <c r="Q888" t="s">
        <v>30</v>
      </c>
      <c r="R888">
        <v>1</v>
      </c>
      <c r="S888">
        <v>12</v>
      </c>
      <c r="T888">
        <v>3</v>
      </c>
      <c r="U888">
        <v>11</v>
      </c>
      <c r="V888">
        <v>9</v>
      </c>
      <c r="W888">
        <v>5</v>
      </c>
      <c r="X888">
        <v>7</v>
      </c>
      <c r="Y888">
        <v>21</v>
      </c>
      <c r="Z888">
        <f>IF(H_A[[#This Row],[Attrition]]="Yes",1,0)</f>
        <v>0</v>
      </c>
      <c r="AA888" t="str">
        <f>IF(H_A[[#This Row],[Age]]&lt;30,"Young",IF(H_A[[#This Row],[Age]]&lt;45,"Mid","Senior"))</f>
        <v>Mid</v>
      </c>
      <c r="AB888" t="str">
        <f>IF(H_A[[#This Row],[MonthlyIncome]]&lt;5000,"Low",IF(H_A[[#This Row],[MonthlyIncome]]&lt;10000,"Medium","High"))</f>
        <v>Low</v>
      </c>
      <c r="AC888" t="str">
        <f>IF(H_A[[#This Row],[YearsAtCompany]]&lt;3,"Early",IF(H_A[[#This Row],[YearsAtCompany]]&lt;7,"Mid","Long"))</f>
        <v>Long</v>
      </c>
      <c r="AD888" t="str">
        <f>IF(H_A[[#This Row],[PercentSalaryHike]]&lt;13,"Low",IF(H_A[[#This Row],[PercentSalaryHike]]&lt;18,"Medium","High"))</f>
        <v>High</v>
      </c>
    </row>
    <row r="889" spans="1:30" x14ac:dyDescent="0.3">
      <c r="A889">
        <v>42</v>
      </c>
      <c r="B889">
        <v>1242</v>
      </c>
      <c r="C889" t="s">
        <v>36</v>
      </c>
      <c r="D889" t="s">
        <v>37</v>
      </c>
      <c r="E889">
        <v>26</v>
      </c>
      <c r="F889">
        <v>5</v>
      </c>
      <c r="G889" t="s">
        <v>43</v>
      </c>
      <c r="H889">
        <v>1</v>
      </c>
      <c r="I889" t="s">
        <v>33</v>
      </c>
      <c r="J889">
        <v>3</v>
      </c>
      <c r="K889">
        <v>3</v>
      </c>
      <c r="L889" t="s">
        <v>49</v>
      </c>
      <c r="M889">
        <v>1</v>
      </c>
      <c r="N889" t="s">
        <v>40</v>
      </c>
      <c r="O889">
        <v>13191</v>
      </c>
      <c r="P889">
        <v>3</v>
      </c>
      <c r="Q889" t="s">
        <v>30</v>
      </c>
      <c r="R889">
        <v>3</v>
      </c>
      <c r="S889">
        <v>20</v>
      </c>
      <c r="T889">
        <v>3</v>
      </c>
      <c r="U889">
        <v>1</v>
      </c>
      <c r="V889">
        <v>0</v>
      </c>
      <c r="W889">
        <v>0</v>
      </c>
      <c r="X889">
        <v>0</v>
      </c>
      <c r="Y889">
        <v>17</v>
      </c>
      <c r="Z889">
        <f>IF(H_A[[#This Row],[Attrition]]="Yes",1,0)</f>
        <v>0</v>
      </c>
      <c r="AA889" t="str">
        <f>IF(H_A[[#This Row],[Age]]&lt;30,"Young",IF(H_A[[#This Row],[Age]]&lt;45,"Mid","Senior"))</f>
        <v>Mid</v>
      </c>
      <c r="AB889" t="str">
        <f>IF(H_A[[#This Row],[MonthlyIncome]]&lt;5000,"Low",IF(H_A[[#This Row],[MonthlyIncome]]&lt;10000,"Medium","High"))</f>
        <v>High</v>
      </c>
      <c r="AC889" t="str">
        <f>IF(H_A[[#This Row],[YearsAtCompany]]&lt;3,"Early",IF(H_A[[#This Row],[YearsAtCompany]]&lt;7,"Mid","Long"))</f>
        <v>Early</v>
      </c>
      <c r="AD889" t="str">
        <f>IF(H_A[[#This Row],[PercentSalaryHike]]&lt;13,"Low",IF(H_A[[#This Row],[PercentSalaryHike]]&lt;18,"Medium","High"))</f>
        <v>Medium</v>
      </c>
    </row>
    <row r="890" spans="1:30" x14ac:dyDescent="0.3">
      <c r="A890">
        <v>35</v>
      </c>
      <c r="B890">
        <v>1243</v>
      </c>
      <c r="C890" t="s">
        <v>36</v>
      </c>
      <c r="D890" t="s">
        <v>31</v>
      </c>
      <c r="E890">
        <v>8</v>
      </c>
      <c r="F890">
        <v>2</v>
      </c>
      <c r="G890" t="s">
        <v>50</v>
      </c>
      <c r="H890">
        <v>3</v>
      </c>
      <c r="I890" t="s">
        <v>33</v>
      </c>
      <c r="J890">
        <v>2</v>
      </c>
      <c r="K890">
        <v>3</v>
      </c>
      <c r="L890" t="s">
        <v>34</v>
      </c>
      <c r="M890">
        <v>4</v>
      </c>
      <c r="N890" t="s">
        <v>40</v>
      </c>
      <c r="O890">
        <v>10377</v>
      </c>
      <c r="P890">
        <v>4</v>
      </c>
      <c r="Q890" t="s">
        <v>30</v>
      </c>
      <c r="R890">
        <v>2</v>
      </c>
      <c r="S890">
        <v>16</v>
      </c>
      <c r="T890">
        <v>2</v>
      </c>
      <c r="U890">
        <v>13</v>
      </c>
      <c r="V890">
        <v>2</v>
      </c>
      <c r="W890">
        <v>4</v>
      </c>
      <c r="X890">
        <v>12</v>
      </c>
      <c r="Y890">
        <v>11</v>
      </c>
      <c r="Z890">
        <f>IF(H_A[[#This Row],[Attrition]]="Yes",1,0)</f>
        <v>0</v>
      </c>
      <c r="AA890" t="str">
        <f>IF(H_A[[#This Row],[Age]]&lt;30,"Young",IF(H_A[[#This Row],[Age]]&lt;45,"Mid","Senior"))</f>
        <v>Mid</v>
      </c>
      <c r="AB890" t="str">
        <f>IF(H_A[[#This Row],[MonthlyIncome]]&lt;5000,"Low",IF(H_A[[#This Row],[MonthlyIncome]]&lt;10000,"Medium","High"))</f>
        <v>High</v>
      </c>
      <c r="AC890" t="str">
        <f>IF(H_A[[#This Row],[YearsAtCompany]]&lt;3,"Early",IF(H_A[[#This Row],[YearsAtCompany]]&lt;7,"Mid","Long"))</f>
        <v>Long</v>
      </c>
      <c r="AD890" t="str">
        <f>IF(H_A[[#This Row],[PercentSalaryHike]]&lt;13,"Low",IF(H_A[[#This Row],[PercentSalaryHike]]&lt;18,"Medium","High"))</f>
        <v>Low</v>
      </c>
    </row>
    <row r="891" spans="1:30" x14ac:dyDescent="0.3">
      <c r="A891">
        <v>27</v>
      </c>
      <c r="B891">
        <v>1244</v>
      </c>
      <c r="C891" t="s">
        <v>36</v>
      </c>
      <c r="D891" t="s">
        <v>37</v>
      </c>
      <c r="E891">
        <v>14</v>
      </c>
      <c r="F891">
        <v>3</v>
      </c>
      <c r="G891" t="s">
        <v>32</v>
      </c>
      <c r="H891">
        <v>1</v>
      </c>
      <c r="I891" t="s">
        <v>38</v>
      </c>
      <c r="J891">
        <v>3</v>
      </c>
      <c r="K891">
        <v>1</v>
      </c>
      <c r="L891" t="s">
        <v>39</v>
      </c>
      <c r="M891">
        <v>1</v>
      </c>
      <c r="N891" t="s">
        <v>40</v>
      </c>
      <c r="O891">
        <v>2235</v>
      </c>
      <c r="P891">
        <v>1</v>
      </c>
      <c r="Q891" t="s">
        <v>30</v>
      </c>
      <c r="R891">
        <v>4</v>
      </c>
      <c r="S891">
        <v>9</v>
      </c>
      <c r="T891">
        <v>2</v>
      </c>
      <c r="U891">
        <v>9</v>
      </c>
      <c r="V891">
        <v>7</v>
      </c>
      <c r="W891">
        <v>6</v>
      </c>
      <c r="X891">
        <v>8</v>
      </c>
      <c r="Y891">
        <v>14</v>
      </c>
      <c r="Z891">
        <f>IF(H_A[[#This Row],[Attrition]]="Yes",1,0)</f>
        <v>0</v>
      </c>
      <c r="AA891" t="str">
        <f>IF(H_A[[#This Row],[Age]]&lt;30,"Young",IF(H_A[[#This Row],[Age]]&lt;45,"Mid","Senior"))</f>
        <v>Young</v>
      </c>
      <c r="AB891" t="str">
        <f>IF(H_A[[#This Row],[MonthlyIncome]]&lt;5000,"Low",IF(H_A[[#This Row],[MonthlyIncome]]&lt;10000,"Medium","High"))</f>
        <v>Low</v>
      </c>
      <c r="AC891" t="str">
        <f>IF(H_A[[#This Row],[YearsAtCompany]]&lt;3,"Early",IF(H_A[[#This Row],[YearsAtCompany]]&lt;7,"Mid","Long"))</f>
        <v>Long</v>
      </c>
      <c r="AD891" t="str">
        <f>IF(H_A[[#This Row],[PercentSalaryHike]]&lt;13,"Low",IF(H_A[[#This Row],[PercentSalaryHike]]&lt;18,"Medium","High"))</f>
        <v>Medium</v>
      </c>
    </row>
    <row r="892" spans="1:30" x14ac:dyDescent="0.3">
      <c r="A892">
        <v>54</v>
      </c>
      <c r="B892">
        <v>1245</v>
      </c>
      <c r="C892" t="s">
        <v>36</v>
      </c>
      <c r="D892" t="s">
        <v>37</v>
      </c>
      <c r="E892">
        <v>1</v>
      </c>
      <c r="F892">
        <v>4</v>
      </c>
      <c r="G892" t="s">
        <v>32</v>
      </c>
      <c r="H892">
        <v>4</v>
      </c>
      <c r="I892" t="s">
        <v>33</v>
      </c>
      <c r="J892">
        <v>3</v>
      </c>
      <c r="K892">
        <v>3</v>
      </c>
      <c r="L892" t="s">
        <v>45</v>
      </c>
      <c r="M892">
        <v>3</v>
      </c>
      <c r="N892" t="s">
        <v>44</v>
      </c>
      <c r="O892">
        <v>10502</v>
      </c>
      <c r="P892">
        <v>7</v>
      </c>
      <c r="Q892" t="s">
        <v>36</v>
      </c>
      <c r="R892">
        <v>1</v>
      </c>
      <c r="S892">
        <v>33</v>
      </c>
      <c r="T892">
        <v>1</v>
      </c>
      <c r="U892">
        <v>5</v>
      </c>
      <c r="V892">
        <v>4</v>
      </c>
      <c r="W892">
        <v>1</v>
      </c>
      <c r="X892">
        <v>4</v>
      </c>
      <c r="Y892">
        <v>17</v>
      </c>
      <c r="Z892">
        <f>IF(H_A[[#This Row],[Attrition]]="Yes",1,0)</f>
        <v>0</v>
      </c>
      <c r="AA892" t="str">
        <f>IF(H_A[[#This Row],[Age]]&lt;30,"Young",IF(H_A[[#This Row],[Age]]&lt;45,"Mid","Senior"))</f>
        <v>Senior</v>
      </c>
      <c r="AB892" t="str">
        <f>IF(H_A[[#This Row],[MonthlyIncome]]&lt;5000,"Low",IF(H_A[[#This Row],[MonthlyIncome]]&lt;10000,"Medium","High"))</f>
        <v>High</v>
      </c>
      <c r="AC892" t="str">
        <f>IF(H_A[[#This Row],[YearsAtCompany]]&lt;3,"Early",IF(H_A[[#This Row],[YearsAtCompany]]&lt;7,"Mid","Long"))</f>
        <v>Mid</v>
      </c>
      <c r="AD892" t="str">
        <f>IF(H_A[[#This Row],[PercentSalaryHike]]&lt;13,"Low",IF(H_A[[#This Row],[PercentSalaryHike]]&lt;18,"Medium","High"))</f>
        <v>Medium</v>
      </c>
    </row>
    <row r="893" spans="1:30" x14ac:dyDescent="0.3">
      <c r="A893">
        <v>44</v>
      </c>
      <c r="B893">
        <v>1246</v>
      </c>
      <c r="C893" t="s">
        <v>36</v>
      </c>
      <c r="D893" t="s">
        <v>37</v>
      </c>
      <c r="E893">
        <v>2</v>
      </c>
      <c r="F893">
        <v>1</v>
      </c>
      <c r="G893" t="s">
        <v>32</v>
      </c>
      <c r="H893">
        <v>1</v>
      </c>
      <c r="I893" t="s">
        <v>33</v>
      </c>
      <c r="J893">
        <v>4</v>
      </c>
      <c r="K893">
        <v>1</v>
      </c>
      <c r="L893" t="s">
        <v>39</v>
      </c>
      <c r="M893">
        <v>4</v>
      </c>
      <c r="N893" t="s">
        <v>40</v>
      </c>
      <c r="O893">
        <v>2011</v>
      </c>
      <c r="P893">
        <v>1</v>
      </c>
      <c r="Q893" t="s">
        <v>36</v>
      </c>
      <c r="R893">
        <v>4</v>
      </c>
      <c r="S893">
        <v>10</v>
      </c>
      <c r="T893">
        <v>3</v>
      </c>
      <c r="U893">
        <v>10</v>
      </c>
      <c r="V893">
        <v>5</v>
      </c>
      <c r="W893">
        <v>7</v>
      </c>
      <c r="X893">
        <v>7</v>
      </c>
      <c r="Y893">
        <v>13</v>
      </c>
      <c r="Z893">
        <f>IF(H_A[[#This Row],[Attrition]]="Yes",1,0)</f>
        <v>0</v>
      </c>
      <c r="AA893" t="str">
        <f>IF(H_A[[#This Row],[Age]]&lt;30,"Young",IF(H_A[[#This Row],[Age]]&lt;45,"Mid","Senior"))</f>
        <v>Mid</v>
      </c>
      <c r="AB893" t="str">
        <f>IF(H_A[[#This Row],[MonthlyIncome]]&lt;5000,"Low",IF(H_A[[#This Row],[MonthlyIncome]]&lt;10000,"Medium","High"))</f>
        <v>Low</v>
      </c>
      <c r="AC893" t="str">
        <f>IF(H_A[[#This Row],[YearsAtCompany]]&lt;3,"Early",IF(H_A[[#This Row],[YearsAtCompany]]&lt;7,"Mid","Long"))</f>
        <v>Long</v>
      </c>
      <c r="AD893" t="str">
        <f>IF(H_A[[#This Row],[PercentSalaryHike]]&lt;13,"Low",IF(H_A[[#This Row],[PercentSalaryHike]]&lt;18,"Medium","High"))</f>
        <v>Medium</v>
      </c>
    </row>
    <row r="894" spans="1:30" x14ac:dyDescent="0.3">
      <c r="A894">
        <v>19</v>
      </c>
      <c r="B894">
        <v>1248</v>
      </c>
      <c r="C894" t="s">
        <v>30</v>
      </c>
      <c r="D894" t="s">
        <v>37</v>
      </c>
      <c r="E894">
        <v>10</v>
      </c>
      <c r="F894">
        <v>3</v>
      </c>
      <c r="G894" t="s">
        <v>43</v>
      </c>
      <c r="H894">
        <v>1</v>
      </c>
      <c r="I894" t="s">
        <v>33</v>
      </c>
      <c r="J894">
        <v>2</v>
      </c>
      <c r="K894">
        <v>1</v>
      </c>
      <c r="L894" t="s">
        <v>39</v>
      </c>
      <c r="M894">
        <v>2</v>
      </c>
      <c r="N894" t="s">
        <v>35</v>
      </c>
      <c r="O894">
        <v>1859</v>
      </c>
      <c r="P894">
        <v>1</v>
      </c>
      <c r="Q894" t="s">
        <v>30</v>
      </c>
      <c r="R894">
        <v>2</v>
      </c>
      <c r="S894">
        <v>1</v>
      </c>
      <c r="T894">
        <v>4</v>
      </c>
      <c r="U894">
        <v>1</v>
      </c>
      <c r="V894">
        <v>1</v>
      </c>
      <c r="W894">
        <v>0</v>
      </c>
      <c r="X894">
        <v>0</v>
      </c>
      <c r="Y894">
        <v>25</v>
      </c>
      <c r="Z894">
        <f>IF(H_A[[#This Row],[Attrition]]="Yes",1,0)</f>
        <v>1</v>
      </c>
      <c r="AA894" t="str">
        <f>IF(H_A[[#This Row],[Age]]&lt;30,"Young",IF(H_A[[#This Row],[Age]]&lt;45,"Mid","Senior"))</f>
        <v>Young</v>
      </c>
      <c r="AB894" t="str">
        <f>IF(H_A[[#This Row],[MonthlyIncome]]&lt;5000,"Low",IF(H_A[[#This Row],[MonthlyIncome]]&lt;10000,"Medium","High"))</f>
        <v>Low</v>
      </c>
      <c r="AC894" t="str">
        <f>IF(H_A[[#This Row],[YearsAtCompany]]&lt;3,"Early",IF(H_A[[#This Row],[YearsAtCompany]]&lt;7,"Mid","Long"))</f>
        <v>Early</v>
      </c>
      <c r="AD894" t="str">
        <f>IF(H_A[[#This Row],[PercentSalaryHike]]&lt;13,"Low",IF(H_A[[#This Row],[PercentSalaryHike]]&lt;18,"Medium","High"))</f>
        <v>High</v>
      </c>
    </row>
    <row r="895" spans="1:30" x14ac:dyDescent="0.3">
      <c r="A895">
        <v>29</v>
      </c>
      <c r="B895">
        <v>1249</v>
      </c>
      <c r="C895" t="s">
        <v>36</v>
      </c>
      <c r="D895" t="s">
        <v>37</v>
      </c>
      <c r="E895">
        <v>1</v>
      </c>
      <c r="F895">
        <v>3</v>
      </c>
      <c r="G895" t="s">
        <v>32</v>
      </c>
      <c r="H895">
        <v>1</v>
      </c>
      <c r="I895" t="s">
        <v>33</v>
      </c>
      <c r="J895">
        <v>3</v>
      </c>
      <c r="K895">
        <v>1</v>
      </c>
      <c r="L895" t="s">
        <v>39</v>
      </c>
      <c r="M895">
        <v>4</v>
      </c>
      <c r="N895" t="s">
        <v>44</v>
      </c>
      <c r="O895">
        <v>3760</v>
      </c>
      <c r="P895">
        <v>1</v>
      </c>
      <c r="Q895" t="s">
        <v>36</v>
      </c>
      <c r="R895">
        <v>1</v>
      </c>
      <c r="S895">
        <v>3</v>
      </c>
      <c r="T895">
        <v>3</v>
      </c>
      <c r="U895">
        <v>3</v>
      </c>
      <c r="V895">
        <v>2</v>
      </c>
      <c r="W895">
        <v>1</v>
      </c>
      <c r="X895">
        <v>2</v>
      </c>
      <c r="Y895">
        <v>15</v>
      </c>
      <c r="Z895">
        <f>IF(H_A[[#This Row],[Attrition]]="Yes",1,0)</f>
        <v>0</v>
      </c>
      <c r="AA895" t="str">
        <f>IF(H_A[[#This Row],[Age]]&lt;30,"Young",IF(H_A[[#This Row],[Age]]&lt;45,"Mid","Senior"))</f>
        <v>Young</v>
      </c>
      <c r="AB895" t="str">
        <f>IF(H_A[[#This Row],[MonthlyIncome]]&lt;5000,"Low",IF(H_A[[#This Row],[MonthlyIncome]]&lt;10000,"Medium","High"))</f>
        <v>Low</v>
      </c>
      <c r="AC895" t="str">
        <f>IF(H_A[[#This Row],[YearsAtCompany]]&lt;3,"Early",IF(H_A[[#This Row],[YearsAtCompany]]&lt;7,"Mid","Long"))</f>
        <v>Mid</v>
      </c>
      <c r="AD895" t="str">
        <f>IF(H_A[[#This Row],[PercentSalaryHike]]&lt;13,"Low",IF(H_A[[#This Row],[PercentSalaryHike]]&lt;18,"Medium","High"))</f>
        <v>Medium</v>
      </c>
    </row>
    <row r="896" spans="1:30" x14ac:dyDescent="0.3">
      <c r="A896">
        <v>54</v>
      </c>
      <c r="B896">
        <v>1250</v>
      </c>
      <c r="C896" t="s">
        <v>36</v>
      </c>
      <c r="D896" t="s">
        <v>37</v>
      </c>
      <c r="E896">
        <v>3</v>
      </c>
      <c r="F896">
        <v>3</v>
      </c>
      <c r="G896" t="s">
        <v>32</v>
      </c>
      <c r="H896">
        <v>4</v>
      </c>
      <c r="I896" t="s">
        <v>38</v>
      </c>
      <c r="J896">
        <v>3</v>
      </c>
      <c r="K896">
        <v>4</v>
      </c>
      <c r="L896" t="s">
        <v>49</v>
      </c>
      <c r="M896">
        <v>4</v>
      </c>
      <c r="N896" t="s">
        <v>40</v>
      </c>
      <c r="O896">
        <v>17779</v>
      </c>
      <c r="P896">
        <v>3</v>
      </c>
      <c r="Q896" t="s">
        <v>36</v>
      </c>
      <c r="R896">
        <v>1</v>
      </c>
      <c r="S896">
        <v>36</v>
      </c>
      <c r="T896">
        <v>3</v>
      </c>
      <c r="U896">
        <v>10</v>
      </c>
      <c r="V896">
        <v>9</v>
      </c>
      <c r="W896">
        <v>0</v>
      </c>
      <c r="X896">
        <v>9</v>
      </c>
      <c r="Y896">
        <v>14</v>
      </c>
      <c r="Z896">
        <f>IF(H_A[[#This Row],[Attrition]]="Yes",1,0)</f>
        <v>0</v>
      </c>
      <c r="AA896" t="str">
        <f>IF(H_A[[#This Row],[Age]]&lt;30,"Young",IF(H_A[[#This Row],[Age]]&lt;45,"Mid","Senior"))</f>
        <v>Senior</v>
      </c>
      <c r="AB896" t="str">
        <f>IF(H_A[[#This Row],[MonthlyIncome]]&lt;5000,"Low",IF(H_A[[#This Row],[MonthlyIncome]]&lt;10000,"Medium","High"))</f>
        <v>High</v>
      </c>
      <c r="AC896" t="str">
        <f>IF(H_A[[#This Row],[YearsAtCompany]]&lt;3,"Early",IF(H_A[[#This Row],[YearsAtCompany]]&lt;7,"Mid","Long"))</f>
        <v>Long</v>
      </c>
      <c r="AD896" t="str">
        <f>IF(H_A[[#This Row],[PercentSalaryHike]]&lt;13,"Low",IF(H_A[[#This Row],[PercentSalaryHike]]&lt;18,"Medium","High"))</f>
        <v>Medium</v>
      </c>
    </row>
    <row r="897" spans="1:30" x14ac:dyDescent="0.3">
      <c r="A897">
        <v>31</v>
      </c>
      <c r="B897">
        <v>1251</v>
      </c>
      <c r="C897" t="s">
        <v>36</v>
      </c>
      <c r="D897" t="s">
        <v>37</v>
      </c>
      <c r="E897">
        <v>11</v>
      </c>
      <c r="F897">
        <v>2</v>
      </c>
      <c r="G897" t="s">
        <v>43</v>
      </c>
      <c r="H897">
        <v>3</v>
      </c>
      <c r="I897" t="s">
        <v>38</v>
      </c>
      <c r="J897">
        <v>3</v>
      </c>
      <c r="K897">
        <v>2</v>
      </c>
      <c r="L897" t="s">
        <v>46</v>
      </c>
      <c r="M897">
        <v>1</v>
      </c>
      <c r="N897" t="s">
        <v>40</v>
      </c>
      <c r="O897">
        <v>6833</v>
      </c>
      <c r="P897">
        <v>1</v>
      </c>
      <c r="Q897" t="s">
        <v>30</v>
      </c>
      <c r="R897">
        <v>4</v>
      </c>
      <c r="S897">
        <v>6</v>
      </c>
      <c r="T897">
        <v>2</v>
      </c>
      <c r="U897">
        <v>6</v>
      </c>
      <c r="V897">
        <v>5</v>
      </c>
      <c r="W897">
        <v>0</v>
      </c>
      <c r="X897">
        <v>1</v>
      </c>
      <c r="Y897">
        <v>12</v>
      </c>
      <c r="Z897">
        <f>IF(H_A[[#This Row],[Attrition]]="Yes",1,0)</f>
        <v>0</v>
      </c>
      <c r="AA897" t="str">
        <f>IF(H_A[[#This Row],[Age]]&lt;30,"Young",IF(H_A[[#This Row],[Age]]&lt;45,"Mid","Senior"))</f>
        <v>Mid</v>
      </c>
      <c r="AB897" t="str">
        <f>IF(H_A[[#This Row],[MonthlyIncome]]&lt;5000,"Low",IF(H_A[[#This Row],[MonthlyIncome]]&lt;10000,"Medium","High"))</f>
        <v>Medium</v>
      </c>
      <c r="AC897" t="str">
        <f>IF(H_A[[#This Row],[YearsAtCompany]]&lt;3,"Early",IF(H_A[[#This Row],[YearsAtCompany]]&lt;7,"Mid","Long"))</f>
        <v>Mid</v>
      </c>
      <c r="AD897" t="str">
        <f>IF(H_A[[#This Row],[PercentSalaryHike]]&lt;13,"Low",IF(H_A[[#This Row],[PercentSalaryHike]]&lt;18,"Medium","High"))</f>
        <v>Low</v>
      </c>
    </row>
    <row r="898" spans="1:30" x14ac:dyDescent="0.3">
      <c r="A898">
        <v>31</v>
      </c>
      <c r="B898">
        <v>1252</v>
      </c>
      <c r="C898" t="s">
        <v>36</v>
      </c>
      <c r="D898" t="s">
        <v>37</v>
      </c>
      <c r="E898">
        <v>24</v>
      </c>
      <c r="F898">
        <v>3</v>
      </c>
      <c r="G898" t="s">
        <v>43</v>
      </c>
      <c r="H898">
        <v>3</v>
      </c>
      <c r="I898" t="s">
        <v>33</v>
      </c>
      <c r="J898">
        <v>2</v>
      </c>
      <c r="K898">
        <v>2</v>
      </c>
      <c r="L898" t="s">
        <v>46</v>
      </c>
      <c r="M898">
        <v>1</v>
      </c>
      <c r="N898" t="s">
        <v>35</v>
      </c>
      <c r="O898">
        <v>6812</v>
      </c>
      <c r="P898">
        <v>1</v>
      </c>
      <c r="Q898" t="s">
        <v>36</v>
      </c>
      <c r="R898">
        <v>2</v>
      </c>
      <c r="S898">
        <v>10</v>
      </c>
      <c r="T898">
        <v>3</v>
      </c>
      <c r="U898">
        <v>10</v>
      </c>
      <c r="V898">
        <v>9</v>
      </c>
      <c r="W898">
        <v>1</v>
      </c>
      <c r="X898">
        <v>8</v>
      </c>
      <c r="Y898">
        <v>19</v>
      </c>
      <c r="Z898">
        <f>IF(H_A[[#This Row],[Attrition]]="Yes",1,0)</f>
        <v>0</v>
      </c>
      <c r="AA898" t="str">
        <f>IF(H_A[[#This Row],[Age]]&lt;30,"Young",IF(H_A[[#This Row],[Age]]&lt;45,"Mid","Senior"))</f>
        <v>Mid</v>
      </c>
      <c r="AB898" t="str">
        <f>IF(H_A[[#This Row],[MonthlyIncome]]&lt;5000,"Low",IF(H_A[[#This Row],[MonthlyIncome]]&lt;10000,"Medium","High"))</f>
        <v>Medium</v>
      </c>
      <c r="AC898" t="str">
        <f>IF(H_A[[#This Row],[YearsAtCompany]]&lt;3,"Early",IF(H_A[[#This Row],[YearsAtCompany]]&lt;7,"Mid","Long"))</f>
        <v>Long</v>
      </c>
      <c r="AD898" t="str">
        <f>IF(H_A[[#This Row],[PercentSalaryHike]]&lt;13,"Low",IF(H_A[[#This Row],[PercentSalaryHike]]&lt;18,"Medium","High"))</f>
        <v>High</v>
      </c>
    </row>
    <row r="899" spans="1:30" x14ac:dyDescent="0.3">
      <c r="A899">
        <v>59</v>
      </c>
      <c r="B899">
        <v>1254</v>
      </c>
      <c r="C899" t="s">
        <v>36</v>
      </c>
      <c r="D899" t="s">
        <v>31</v>
      </c>
      <c r="E899">
        <v>3</v>
      </c>
      <c r="F899">
        <v>3</v>
      </c>
      <c r="G899" t="s">
        <v>32</v>
      </c>
      <c r="H899">
        <v>3</v>
      </c>
      <c r="I899" t="s">
        <v>33</v>
      </c>
      <c r="J899">
        <v>2</v>
      </c>
      <c r="K899">
        <v>2</v>
      </c>
      <c r="L899" t="s">
        <v>34</v>
      </c>
      <c r="M899">
        <v>4</v>
      </c>
      <c r="N899" t="s">
        <v>35</v>
      </c>
      <c r="O899">
        <v>5171</v>
      </c>
      <c r="P899">
        <v>5</v>
      </c>
      <c r="Q899" t="s">
        <v>36</v>
      </c>
      <c r="R899">
        <v>4</v>
      </c>
      <c r="S899">
        <v>13</v>
      </c>
      <c r="T899">
        <v>3</v>
      </c>
      <c r="U899">
        <v>6</v>
      </c>
      <c r="V899">
        <v>1</v>
      </c>
      <c r="W899">
        <v>0</v>
      </c>
      <c r="X899">
        <v>5</v>
      </c>
      <c r="Y899">
        <v>17</v>
      </c>
      <c r="Z899">
        <f>IF(H_A[[#This Row],[Attrition]]="Yes",1,0)</f>
        <v>0</v>
      </c>
      <c r="AA899" t="str">
        <f>IF(H_A[[#This Row],[Age]]&lt;30,"Young",IF(H_A[[#This Row],[Age]]&lt;45,"Mid","Senior"))</f>
        <v>Senior</v>
      </c>
      <c r="AB899" t="str">
        <f>IF(H_A[[#This Row],[MonthlyIncome]]&lt;5000,"Low",IF(H_A[[#This Row],[MonthlyIncome]]&lt;10000,"Medium","High"))</f>
        <v>Medium</v>
      </c>
      <c r="AC899" t="str">
        <f>IF(H_A[[#This Row],[YearsAtCompany]]&lt;3,"Early",IF(H_A[[#This Row],[YearsAtCompany]]&lt;7,"Mid","Long"))</f>
        <v>Mid</v>
      </c>
      <c r="AD899" t="str">
        <f>IF(H_A[[#This Row],[PercentSalaryHike]]&lt;13,"Low",IF(H_A[[#This Row],[PercentSalaryHike]]&lt;18,"Medium","High"))</f>
        <v>Medium</v>
      </c>
    </row>
    <row r="900" spans="1:30" x14ac:dyDescent="0.3">
      <c r="A900">
        <v>43</v>
      </c>
      <c r="B900">
        <v>1255</v>
      </c>
      <c r="C900" t="s">
        <v>36</v>
      </c>
      <c r="D900" t="s">
        <v>37</v>
      </c>
      <c r="E900">
        <v>3</v>
      </c>
      <c r="F900">
        <v>3</v>
      </c>
      <c r="G900" t="s">
        <v>32</v>
      </c>
      <c r="H900">
        <v>3</v>
      </c>
      <c r="I900" t="s">
        <v>38</v>
      </c>
      <c r="J900">
        <v>1</v>
      </c>
      <c r="K900">
        <v>5</v>
      </c>
      <c r="L900" t="s">
        <v>49</v>
      </c>
      <c r="M900">
        <v>4</v>
      </c>
      <c r="N900" t="s">
        <v>40</v>
      </c>
      <c r="O900">
        <v>19740</v>
      </c>
      <c r="P900">
        <v>3</v>
      </c>
      <c r="Q900" t="s">
        <v>36</v>
      </c>
      <c r="R900">
        <v>2</v>
      </c>
      <c r="S900">
        <v>25</v>
      </c>
      <c r="T900">
        <v>3</v>
      </c>
      <c r="U900">
        <v>8</v>
      </c>
      <c r="V900">
        <v>7</v>
      </c>
      <c r="W900">
        <v>0</v>
      </c>
      <c r="X900">
        <v>7</v>
      </c>
      <c r="Y900">
        <v>14</v>
      </c>
      <c r="Z900">
        <f>IF(H_A[[#This Row],[Attrition]]="Yes",1,0)</f>
        <v>0</v>
      </c>
      <c r="AA900" t="str">
        <f>IF(H_A[[#This Row],[Age]]&lt;30,"Young",IF(H_A[[#This Row],[Age]]&lt;45,"Mid","Senior"))</f>
        <v>Mid</v>
      </c>
      <c r="AB900" t="str">
        <f>IF(H_A[[#This Row],[MonthlyIncome]]&lt;5000,"Low",IF(H_A[[#This Row],[MonthlyIncome]]&lt;10000,"Medium","High"))</f>
        <v>High</v>
      </c>
      <c r="AC900" t="str">
        <f>IF(H_A[[#This Row],[YearsAtCompany]]&lt;3,"Early",IF(H_A[[#This Row],[YearsAtCompany]]&lt;7,"Mid","Long"))</f>
        <v>Long</v>
      </c>
      <c r="AD900" t="str">
        <f>IF(H_A[[#This Row],[PercentSalaryHike]]&lt;13,"Low",IF(H_A[[#This Row],[PercentSalaryHike]]&lt;18,"Medium","High"))</f>
        <v>Medium</v>
      </c>
    </row>
    <row r="901" spans="1:30" x14ac:dyDescent="0.3">
      <c r="A901">
        <v>49</v>
      </c>
      <c r="B901">
        <v>1256</v>
      </c>
      <c r="C901" t="s">
        <v>36</v>
      </c>
      <c r="D901" t="s">
        <v>37</v>
      </c>
      <c r="E901">
        <v>4</v>
      </c>
      <c r="F901">
        <v>2</v>
      </c>
      <c r="G901" t="s">
        <v>43</v>
      </c>
      <c r="H901">
        <v>1</v>
      </c>
      <c r="I901" t="s">
        <v>38</v>
      </c>
      <c r="J901">
        <v>2</v>
      </c>
      <c r="K901">
        <v>5</v>
      </c>
      <c r="L901" t="s">
        <v>47</v>
      </c>
      <c r="M901">
        <v>3</v>
      </c>
      <c r="N901" t="s">
        <v>40</v>
      </c>
      <c r="O901">
        <v>18711</v>
      </c>
      <c r="P901">
        <v>2</v>
      </c>
      <c r="Q901" t="s">
        <v>36</v>
      </c>
      <c r="R901">
        <v>3</v>
      </c>
      <c r="S901">
        <v>23</v>
      </c>
      <c r="T901">
        <v>4</v>
      </c>
      <c r="U901">
        <v>1</v>
      </c>
      <c r="V901">
        <v>0</v>
      </c>
      <c r="W901">
        <v>0</v>
      </c>
      <c r="X901">
        <v>0</v>
      </c>
      <c r="Y901">
        <v>13</v>
      </c>
      <c r="Z901">
        <f>IF(H_A[[#This Row],[Attrition]]="Yes",1,0)</f>
        <v>0</v>
      </c>
      <c r="AA901" t="str">
        <f>IF(H_A[[#This Row],[Age]]&lt;30,"Young",IF(H_A[[#This Row],[Age]]&lt;45,"Mid","Senior"))</f>
        <v>Senior</v>
      </c>
      <c r="AB901" t="str">
        <f>IF(H_A[[#This Row],[MonthlyIncome]]&lt;5000,"Low",IF(H_A[[#This Row],[MonthlyIncome]]&lt;10000,"Medium","High"))</f>
        <v>High</v>
      </c>
      <c r="AC901" t="str">
        <f>IF(H_A[[#This Row],[YearsAtCompany]]&lt;3,"Early",IF(H_A[[#This Row],[YearsAtCompany]]&lt;7,"Mid","Long"))</f>
        <v>Early</v>
      </c>
      <c r="AD901" t="str">
        <f>IF(H_A[[#This Row],[PercentSalaryHike]]&lt;13,"Low",IF(H_A[[#This Row],[PercentSalaryHike]]&lt;18,"Medium","High"))</f>
        <v>Medium</v>
      </c>
    </row>
    <row r="902" spans="1:30" x14ac:dyDescent="0.3">
      <c r="A902">
        <v>36</v>
      </c>
      <c r="B902">
        <v>1257</v>
      </c>
      <c r="C902" t="s">
        <v>36</v>
      </c>
      <c r="D902" t="s">
        <v>37</v>
      </c>
      <c r="E902">
        <v>3</v>
      </c>
      <c r="F902">
        <v>3</v>
      </c>
      <c r="G902" t="s">
        <v>51</v>
      </c>
      <c r="H902">
        <v>3</v>
      </c>
      <c r="I902" t="s">
        <v>38</v>
      </c>
      <c r="J902">
        <v>3</v>
      </c>
      <c r="K902">
        <v>1</v>
      </c>
      <c r="L902" t="s">
        <v>39</v>
      </c>
      <c r="M902">
        <v>2</v>
      </c>
      <c r="N902" t="s">
        <v>40</v>
      </c>
      <c r="O902">
        <v>3692</v>
      </c>
      <c r="P902">
        <v>1</v>
      </c>
      <c r="Q902" t="s">
        <v>36</v>
      </c>
      <c r="R902">
        <v>3</v>
      </c>
      <c r="S902">
        <v>12</v>
      </c>
      <c r="T902">
        <v>2</v>
      </c>
      <c r="U902">
        <v>11</v>
      </c>
      <c r="V902">
        <v>10</v>
      </c>
      <c r="W902">
        <v>0</v>
      </c>
      <c r="X902">
        <v>7</v>
      </c>
      <c r="Y902">
        <v>12</v>
      </c>
      <c r="Z902">
        <f>IF(H_A[[#This Row],[Attrition]]="Yes",1,0)</f>
        <v>0</v>
      </c>
      <c r="AA902" t="str">
        <f>IF(H_A[[#This Row],[Age]]&lt;30,"Young",IF(H_A[[#This Row],[Age]]&lt;45,"Mid","Senior"))</f>
        <v>Mid</v>
      </c>
      <c r="AB902" t="str">
        <f>IF(H_A[[#This Row],[MonthlyIncome]]&lt;5000,"Low",IF(H_A[[#This Row],[MonthlyIncome]]&lt;10000,"Medium","High"))</f>
        <v>Low</v>
      </c>
      <c r="AC902" t="str">
        <f>IF(H_A[[#This Row],[YearsAtCompany]]&lt;3,"Early",IF(H_A[[#This Row],[YearsAtCompany]]&lt;7,"Mid","Long"))</f>
        <v>Long</v>
      </c>
      <c r="AD902" t="str">
        <f>IF(H_A[[#This Row],[PercentSalaryHike]]&lt;13,"Low",IF(H_A[[#This Row],[PercentSalaryHike]]&lt;18,"Medium","High"))</f>
        <v>Low</v>
      </c>
    </row>
    <row r="903" spans="1:30" x14ac:dyDescent="0.3">
      <c r="A903">
        <v>48</v>
      </c>
      <c r="B903">
        <v>1258</v>
      </c>
      <c r="C903" t="s">
        <v>36</v>
      </c>
      <c r="D903" t="s">
        <v>37</v>
      </c>
      <c r="E903">
        <v>2</v>
      </c>
      <c r="F903">
        <v>2</v>
      </c>
      <c r="G903" t="s">
        <v>51</v>
      </c>
      <c r="H903">
        <v>4</v>
      </c>
      <c r="I903" t="s">
        <v>38</v>
      </c>
      <c r="J903">
        <v>4</v>
      </c>
      <c r="K903">
        <v>1</v>
      </c>
      <c r="L903" t="s">
        <v>42</v>
      </c>
      <c r="M903">
        <v>2</v>
      </c>
      <c r="N903" t="s">
        <v>35</v>
      </c>
      <c r="O903">
        <v>2559</v>
      </c>
      <c r="P903">
        <v>5</v>
      </c>
      <c r="Q903" t="s">
        <v>36</v>
      </c>
      <c r="R903">
        <v>3</v>
      </c>
      <c r="S903">
        <v>7</v>
      </c>
      <c r="T903">
        <v>2</v>
      </c>
      <c r="U903">
        <v>1</v>
      </c>
      <c r="V903">
        <v>0</v>
      </c>
      <c r="W903">
        <v>0</v>
      </c>
      <c r="X903">
        <v>0</v>
      </c>
      <c r="Y903">
        <v>11</v>
      </c>
      <c r="Z903">
        <f>IF(H_A[[#This Row],[Attrition]]="Yes",1,0)</f>
        <v>0</v>
      </c>
      <c r="AA903" t="str">
        <f>IF(H_A[[#This Row],[Age]]&lt;30,"Young",IF(H_A[[#This Row],[Age]]&lt;45,"Mid","Senior"))</f>
        <v>Senior</v>
      </c>
      <c r="AB903" t="str">
        <f>IF(H_A[[#This Row],[MonthlyIncome]]&lt;5000,"Low",IF(H_A[[#This Row],[MonthlyIncome]]&lt;10000,"Medium","High"))</f>
        <v>Low</v>
      </c>
      <c r="AC903" t="str">
        <f>IF(H_A[[#This Row],[YearsAtCompany]]&lt;3,"Early",IF(H_A[[#This Row],[YearsAtCompany]]&lt;7,"Mid","Long"))</f>
        <v>Early</v>
      </c>
      <c r="AD903" t="str">
        <f>IF(H_A[[#This Row],[PercentSalaryHike]]&lt;13,"Low",IF(H_A[[#This Row],[PercentSalaryHike]]&lt;18,"Medium","High"))</f>
        <v>Low</v>
      </c>
    </row>
    <row r="904" spans="1:30" x14ac:dyDescent="0.3">
      <c r="A904">
        <v>27</v>
      </c>
      <c r="B904">
        <v>1259</v>
      </c>
      <c r="C904" t="s">
        <v>36</v>
      </c>
      <c r="D904" t="s">
        <v>37</v>
      </c>
      <c r="E904">
        <v>4</v>
      </c>
      <c r="F904">
        <v>2</v>
      </c>
      <c r="G904" t="s">
        <v>32</v>
      </c>
      <c r="H904">
        <v>1</v>
      </c>
      <c r="I904" t="s">
        <v>38</v>
      </c>
      <c r="J904">
        <v>3</v>
      </c>
      <c r="K904">
        <v>1</v>
      </c>
      <c r="L904" t="s">
        <v>39</v>
      </c>
      <c r="M904">
        <v>3</v>
      </c>
      <c r="N904" t="s">
        <v>44</v>
      </c>
      <c r="O904">
        <v>2517</v>
      </c>
      <c r="P904">
        <v>1</v>
      </c>
      <c r="Q904" t="s">
        <v>36</v>
      </c>
      <c r="R904">
        <v>2</v>
      </c>
      <c r="S904">
        <v>5</v>
      </c>
      <c r="T904">
        <v>3</v>
      </c>
      <c r="U904">
        <v>5</v>
      </c>
      <c r="V904">
        <v>3</v>
      </c>
      <c r="W904">
        <v>0</v>
      </c>
      <c r="X904">
        <v>3</v>
      </c>
      <c r="Y904">
        <v>11</v>
      </c>
      <c r="Z904">
        <f>IF(H_A[[#This Row],[Attrition]]="Yes",1,0)</f>
        <v>0</v>
      </c>
      <c r="AA904" t="str">
        <f>IF(H_A[[#This Row],[Age]]&lt;30,"Young",IF(H_A[[#This Row],[Age]]&lt;45,"Mid","Senior"))</f>
        <v>Young</v>
      </c>
      <c r="AB904" t="str">
        <f>IF(H_A[[#This Row],[MonthlyIncome]]&lt;5000,"Low",IF(H_A[[#This Row],[MonthlyIncome]]&lt;10000,"Medium","High"))</f>
        <v>Low</v>
      </c>
      <c r="AC904" t="str">
        <f>IF(H_A[[#This Row],[YearsAtCompany]]&lt;3,"Early",IF(H_A[[#This Row],[YearsAtCompany]]&lt;7,"Mid","Long"))</f>
        <v>Mid</v>
      </c>
      <c r="AD904" t="str">
        <f>IF(H_A[[#This Row],[PercentSalaryHike]]&lt;13,"Low",IF(H_A[[#This Row],[PercentSalaryHike]]&lt;18,"Medium","High"))</f>
        <v>Low</v>
      </c>
    </row>
    <row r="905" spans="1:30" x14ac:dyDescent="0.3">
      <c r="A905">
        <v>29</v>
      </c>
      <c r="B905">
        <v>1260</v>
      </c>
      <c r="C905" t="s">
        <v>36</v>
      </c>
      <c r="D905" t="s">
        <v>37</v>
      </c>
      <c r="E905">
        <v>7</v>
      </c>
      <c r="F905">
        <v>3</v>
      </c>
      <c r="G905" t="s">
        <v>32</v>
      </c>
      <c r="H905">
        <v>3</v>
      </c>
      <c r="I905" t="s">
        <v>38</v>
      </c>
      <c r="J905">
        <v>3</v>
      </c>
      <c r="K905">
        <v>2</v>
      </c>
      <c r="L905" t="s">
        <v>46</v>
      </c>
      <c r="M905">
        <v>4</v>
      </c>
      <c r="N905" t="s">
        <v>44</v>
      </c>
      <c r="O905">
        <v>6623</v>
      </c>
      <c r="P905">
        <v>1</v>
      </c>
      <c r="Q905" t="s">
        <v>30</v>
      </c>
      <c r="R905">
        <v>2</v>
      </c>
      <c r="S905">
        <v>6</v>
      </c>
      <c r="T905">
        <v>3</v>
      </c>
      <c r="U905">
        <v>6</v>
      </c>
      <c r="V905">
        <v>0</v>
      </c>
      <c r="W905">
        <v>1</v>
      </c>
      <c r="X905">
        <v>0</v>
      </c>
      <c r="Y905">
        <v>11</v>
      </c>
      <c r="Z905">
        <f>IF(H_A[[#This Row],[Attrition]]="Yes",1,0)</f>
        <v>0</v>
      </c>
      <c r="AA905" t="str">
        <f>IF(H_A[[#This Row],[Age]]&lt;30,"Young",IF(H_A[[#This Row],[Age]]&lt;45,"Mid","Senior"))</f>
        <v>Young</v>
      </c>
      <c r="AB905" t="str">
        <f>IF(H_A[[#This Row],[MonthlyIncome]]&lt;5000,"Low",IF(H_A[[#This Row],[MonthlyIncome]]&lt;10000,"Medium","High"))</f>
        <v>Medium</v>
      </c>
      <c r="AC905" t="str">
        <f>IF(H_A[[#This Row],[YearsAtCompany]]&lt;3,"Early",IF(H_A[[#This Row],[YearsAtCompany]]&lt;7,"Mid","Long"))</f>
        <v>Mid</v>
      </c>
      <c r="AD905" t="str">
        <f>IF(H_A[[#This Row],[PercentSalaryHike]]&lt;13,"Low",IF(H_A[[#This Row],[PercentSalaryHike]]&lt;18,"Medium","High"))</f>
        <v>Low</v>
      </c>
    </row>
    <row r="906" spans="1:30" x14ac:dyDescent="0.3">
      <c r="A906">
        <v>48</v>
      </c>
      <c r="B906">
        <v>1263</v>
      </c>
      <c r="C906" t="s">
        <v>36</v>
      </c>
      <c r="D906" t="s">
        <v>37</v>
      </c>
      <c r="E906">
        <v>1</v>
      </c>
      <c r="F906">
        <v>3</v>
      </c>
      <c r="G906" t="s">
        <v>32</v>
      </c>
      <c r="H906">
        <v>4</v>
      </c>
      <c r="I906" t="s">
        <v>38</v>
      </c>
      <c r="J906">
        <v>2</v>
      </c>
      <c r="K906">
        <v>5</v>
      </c>
      <c r="L906" t="s">
        <v>49</v>
      </c>
      <c r="M906">
        <v>4</v>
      </c>
      <c r="N906" t="s">
        <v>35</v>
      </c>
      <c r="O906">
        <v>18265</v>
      </c>
      <c r="P906">
        <v>6</v>
      </c>
      <c r="Q906" t="s">
        <v>36</v>
      </c>
      <c r="R906">
        <v>3</v>
      </c>
      <c r="S906">
        <v>25</v>
      </c>
      <c r="T906">
        <v>4</v>
      </c>
      <c r="U906">
        <v>1</v>
      </c>
      <c r="V906">
        <v>0</v>
      </c>
      <c r="W906">
        <v>0</v>
      </c>
      <c r="X906">
        <v>0</v>
      </c>
      <c r="Y906">
        <v>12</v>
      </c>
      <c r="Z906">
        <f>IF(H_A[[#This Row],[Attrition]]="Yes",1,0)</f>
        <v>0</v>
      </c>
      <c r="AA906" t="str">
        <f>IF(H_A[[#This Row],[Age]]&lt;30,"Young",IF(H_A[[#This Row],[Age]]&lt;45,"Mid","Senior"))</f>
        <v>Senior</v>
      </c>
      <c r="AB906" t="str">
        <f>IF(H_A[[#This Row],[MonthlyIncome]]&lt;5000,"Low",IF(H_A[[#This Row],[MonthlyIncome]]&lt;10000,"Medium","High"))</f>
        <v>High</v>
      </c>
      <c r="AC906" t="str">
        <f>IF(H_A[[#This Row],[YearsAtCompany]]&lt;3,"Early",IF(H_A[[#This Row],[YearsAtCompany]]&lt;7,"Mid","Long"))</f>
        <v>Early</v>
      </c>
      <c r="AD906" t="str">
        <f>IF(H_A[[#This Row],[PercentSalaryHike]]&lt;13,"Low",IF(H_A[[#This Row],[PercentSalaryHike]]&lt;18,"Medium","High"))</f>
        <v>Low</v>
      </c>
    </row>
    <row r="907" spans="1:30" x14ac:dyDescent="0.3">
      <c r="A907">
        <v>29</v>
      </c>
      <c r="B907">
        <v>1264</v>
      </c>
      <c r="C907" t="s">
        <v>36</v>
      </c>
      <c r="D907" t="s">
        <v>37</v>
      </c>
      <c r="E907">
        <v>1</v>
      </c>
      <c r="F907">
        <v>3</v>
      </c>
      <c r="G907" t="s">
        <v>32</v>
      </c>
      <c r="H907">
        <v>4</v>
      </c>
      <c r="I907" t="s">
        <v>33</v>
      </c>
      <c r="J907">
        <v>2</v>
      </c>
      <c r="K907">
        <v>4</v>
      </c>
      <c r="L907" t="s">
        <v>49</v>
      </c>
      <c r="M907">
        <v>4</v>
      </c>
      <c r="N907" t="s">
        <v>44</v>
      </c>
      <c r="O907">
        <v>16124</v>
      </c>
      <c r="P907">
        <v>3</v>
      </c>
      <c r="Q907" t="s">
        <v>36</v>
      </c>
      <c r="R907">
        <v>2</v>
      </c>
      <c r="S907">
        <v>9</v>
      </c>
      <c r="T907">
        <v>2</v>
      </c>
      <c r="U907">
        <v>7</v>
      </c>
      <c r="V907">
        <v>7</v>
      </c>
      <c r="W907">
        <v>1</v>
      </c>
      <c r="X907">
        <v>7</v>
      </c>
      <c r="Y907">
        <v>14</v>
      </c>
      <c r="Z907">
        <f>IF(H_A[[#This Row],[Attrition]]="Yes",1,0)</f>
        <v>0</v>
      </c>
      <c r="AA907" t="str">
        <f>IF(H_A[[#This Row],[Age]]&lt;30,"Young",IF(H_A[[#This Row],[Age]]&lt;45,"Mid","Senior"))</f>
        <v>Young</v>
      </c>
      <c r="AB907" t="str">
        <f>IF(H_A[[#This Row],[MonthlyIncome]]&lt;5000,"Low",IF(H_A[[#This Row],[MonthlyIncome]]&lt;10000,"Medium","High"))</f>
        <v>High</v>
      </c>
      <c r="AC907" t="str">
        <f>IF(H_A[[#This Row],[YearsAtCompany]]&lt;3,"Early",IF(H_A[[#This Row],[YearsAtCompany]]&lt;7,"Mid","Long"))</f>
        <v>Long</v>
      </c>
      <c r="AD907" t="str">
        <f>IF(H_A[[#This Row],[PercentSalaryHike]]&lt;13,"Low",IF(H_A[[#This Row],[PercentSalaryHike]]&lt;18,"Medium","High"))</f>
        <v>Medium</v>
      </c>
    </row>
    <row r="908" spans="1:30" x14ac:dyDescent="0.3">
      <c r="A908">
        <v>34</v>
      </c>
      <c r="B908">
        <v>1265</v>
      </c>
      <c r="C908" t="s">
        <v>36</v>
      </c>
      <c r="D908" t="s">
        <v>37</v>
      </c>
      <c r="E908">
        <v>20</v>
      </c>
      <c r="F908">
        <v>3</v>
      </c>
      <c r="G908" t="s">
        <v>51</v>
      </c>
      <c r="H908">
        <v>3</v>
      </c>
      <c r="I908" t="s">
        <v>33</v>
      </c>
      <c r="J908">
        <v>4</v>
      </c>
      <c r="K908">
        <v>1</v>
      </c>
      <c r="L908" t="s">
        <v>39</v>
      </c>
      <c r="M908">
        <v>3</v>
      </c>
      <c r="N908" t="s">
        <v>40</v>
      </c>
      <c r="O908">
        <v>2585</v>
      </c>
      <c r="P908">
        <v>0</v>
      </c>
      <c r="Q908" t="s">
        <v>36</v>
      </c>
      <c r="R908">
        <v>4</v>
      </c>
      <c r="S908">
        <v>2</v>
      </c>
      <c r="T908">
        <v>2</v>
      </c>
      <c r="U908">
        <v>1</v>
      </c>
      <c r="V908">
        <v>0</v>
      </c>
      <c r="W908">
        <v>0</v>
      </c>
      <c r="X908">
        <v>0</v>
      </c>
      <c r="Y908">
        <v>17</v>
      </c>
      <c r="Z908">
        <f>IF(H_A[[#This Row],[Attrition]]="Yes",1,0)</f>
        <v>0</v>
      </c>
      <c r="AA908" t="str">
        <f>IF(H_A[[#This Row],[Age]]&lt;30,"Young",IF(H_A[[#This Row],[Age]]&lt;45,"Mid","Senior"))</f>
        <v>Mid</v>
      </c>
      <c r="AB908" t="str">
        <f>IF(H_A[[#This Row],[MonthlyIncome]]&lt;5000,"Low",IF(H_A[[#This Row],[MonthlyIncome]]&lt;10000,"Medium","High"))</f>
        <v>Low</v>
      </c>
      <c r="AC908" t="str">
        <f>IF(H_A[[#This Row],[YearsAtCompany]]&lt;3,"Early",IF(H_A[[#This Row],[YearsAtCompany]]&lt;7,"Mid","Long"))</f>
        <v>Early</v>
      </c>
      <c r="AD908" t="str">
        <f>IF(H_A[[#This Row],[PercentSalaryHike]]&lt;13,"Low",IF(H_A[[#This Row],[PercentSalaryHike]]&lt;18,"Medium","High"))</f>
        <v>Medium</v>
      </c>
    </row>
    <row r="909" spans="1:30" x14ac:dyDescent="0.3">
      <c r="A909">
        <v>44</v>
      </c>
      <c r="B909">
        <v>1267</v>
      </c>
      <c r="C909" t="s">
        <v>36</v>
      </c>
      <c r="D909" t="s">
        <v>31</v>
      </c>
      <c r="E909">
        <v>5</v>
      </c>
      <c r="F909">
        <v>3</v>
      </c>
      <c r="G909" t="s">
        <v>50</v>
      </c>
      <c r="H909">
        <v>2</v>
      </c>
      <c r="I909" t="s">
        <v>38</v>
      </c>
      <c r="J909">
        <v>3</v>
      </c>
      <c r="K909">
        <v>5</v>
      </c>
      <c r="L909" t="s">
        <v>47</v>
      </c>
      <c r="M909">
        <v>2</v>
      </c>
      <c r="N909" t="s">
        <v>40</v>
      </c>
      <c r="O909">
        <v>18213</v>
      </c>
      <c r="P909">
        <v>7</v>
      </c>
      <c r="Q909" t="s">
        <v>36</v>
      </c>
      <c r="R909">
        <v>3</v>
      </c>
      <c r="S909">
        <v>26</v>
      </c>
      <c r="T909">
        <v>3</v>
      </c>
      <c r="U909">
        <v>22</v>
      </c>
      <c r="V909">
        <v>9</v>
      </c>
      <c r="W909">
        <v>3</v>
      </c>
      <c r="X909">
        <v>10</v>
      </c>
      <c r="Y909">
        <v>11</v>
      </c>
      <c r="Z909">
        <f>IF(H_A[[#This Row],[Attrition]]="Yes",1,0)</f>
        <v>0</v>
      </c>
      <c r="AA909" t="str">
        <f>IF(H_A[[#This Row],[Age]]&lt;30,"Young",IF(H_A[[#This Row],[Age]]&lt;45,"Mid","Senior"))</f>
        <v>Mid</v>
      </c>
      <c r="AB909" t="str">
        <f>IF(H_A[[#This Row],[MonthlyIncome]]&lt;5000,"Low",IF(H_A[[#This Row],[MonthlyIncome]]&lt;10000,"Medium","High"))</f>
        <v>High</v>
      </c>
      <c r="AC909" t="str">
        <f>IF(H_A[[#This Row],[YearsAtCompany]]&lt;3,"Early",IF(H_A[[#This Row],[YearsAtCompany]]&lt;7,"Mid","Long"))</f>
        <v>Long</v>
      </c>
      <c r="AD909" t="str">
        <f>IF(H_A[[#This Row],[PercentSalaryHike]]&lt;13,"Low",IF(H_A[[#This Row],[PercentSalaryHike]]&lt;18,"Medium","High"))</f>
        <v>Low</v>
      </c>
    </row>
    <row r="910" spans="1:30" x14ac:dyDescent="0.3">
      <c r="A910">
        <v>33</v>
      </c>
      <c r="B910">
        <v>1268</v>
      </c>
      <c r="C910" t="s">
        <v>36</v>
      </c>
      <c r="D910" t="s">
        <v>31</v>
      </c>
      <c r="E910">
        <v>10</v>
      </c>
      <c r="F910">
        <v>5</v>
      </c>
      <c r="G910" t="s">
        <v>50</v>
      </c>
      <c r="H910">
        <v>4</v>
      </c>
      <c r="I910" t="s">
        <v>38</v>
      </c>
      <c r="J910">
        <v>4</v>
      </c>
      <c r="K910">
        <v>3</v>
      </c>
      <c r="L910" t="s">
        <v>34</v>
      </c>
      <c r="M910">
        <v>3</v>
      </c>
      <c r="N910" t="s">
        <v>44</v>
      </c>
      <c r="O910">
        <v>8380</v>
      </c>
      <c r="P910">
        <v>0</v>
      </c>
      <c r="Q910" t="s">
        <v>30</v>
      </c>
      <c r="R910">
        <v>4</v>
      </c>
      <c r="S910">
        <v>10</v>
      </c>
      <c r="T910">
        <v>3</v>
      </c>
      <c r="U910">
        <v>9</v>
      </c>
      <c r="V910">
        <v>8</v>
      </c>
      <c r="W910">
        <v>0</v>
      </c>
      <c r="X910">
        <v>8</v>
      </c>
      <c r="Y910">
        <v>14</v>
      </c>
      <c r="Z910">
        <f>IF(H_A[[#This Row],[Attrition]]="Yes",1,0)</f>
        <v>0</v>
      </c>
      <c r="AA910" t="str">
        <f>IF(H_A[[#This Row],[Age]]&lt;30,"Young",IF(H_A[[#This Row],[Age]]&lt;45,"Mid","Senior"))</f>
        <v>Mid</v>
      </c>
      <c r="AB910" t="str">
        <f>IF(H_A[[#This Row],[MonthlyIncome]]&lt;5000,"Low",IF(H_A[[#This Row],[MonthlyIncome]]&lt;10000,"Medium","High"))</f>
        <v>Medium</v>
      </c>
      <c r="AC910" t="str">
        <f>IF(H_A[[#This Row],[YearsAtCompany]]&lt;3,"Early",IF(H_A[[#This Row],[YearsAtCompany]]&lt;7,"Mid","Long"))</f>
        <v>Long</v>
      </c>
      <c r="AD910" t="str">
        <f>IF(H_A[[#This Row],[PercentSalaryHike]]&lt;13,"Low",IF(H_A[[#This Row],[PercentSalaryHike]]&lt;18,"Medium","High"))</f>
        <v>Medium</v>
      </c>
    </row>
    <row r="911" spans="1:30" x14ac:dyDescent="0.3">
      <c r="A911">
        <v>19</v>
      </c>
      <c r="B911">
        <v>1269</v>
      </c>
      <c r="C911" t="s">
        <v>36</v>
      </c>
      <c r="D911" t="s">
        <v>37</v>
      </c>
      <c r="E911">
        <v>25</v>
      </c>
      <c r="F911">
        <v>3</v>
      </c>
      <c r="G911" t="s">
        <v>32</v>
      </c>
      <c r="H911">
        <v>2</v>
      </c>
      <c r="I911" t="s">
        <v>33</v>
      </c>
      <c r="J911">
        <v>4</v>
      </c>
      <c r="K911">
        <v>1</v>
      </c>
      <c r="L911" t="s">
        <v>39</v>
      </c>
      <c r="M911">
        <v>4</v>
      </c>
      <c r="N911" t="s">
        <v>35</v>
      </c>
      <c r="O911">
        <v>2994</v>
      </c>
      <c r="P911">
        <v>1</v>
      </c>
      <c r="Q911" t="s">
        <v>30</v>
      </c>
      <c r="R911">
        <v>4</v>
      </c>
      <c r="S911">
        <v>1</v>
      </c>
      <c r="T911">
        <v>3</v>
      </c>
      <c r="U911">
        <v>1</v>
      </c>
      <c r="V911">
        <v>0</v>
      </c>
      <c r="W911">
        <v>0</v>
      </c>
      <c r="X911">
        <v>1</v>
      </c>
      <c r="Y911">
        <v>12</v>
      </c>
      <c r="Z911">
        <f>IF(H_A[[#This Row],[Attrition]]="Yes",1,0)</f>
        <v>0</v>
      </c>
      <c r="AA911" t="str">
        <f>IF(H_A[[#This Row],[Age]]&lt;30,"Young",IF(H_A[[#This Row],[Age]]&lt;45,"Mid","Senior"))</f>
        <v>Young</v>
      </c>
      <c r="AB911" t="str">
        <f>IF(H_A[[#This Row],[MonthlyIncome]]&lt;5000,"Low",IF(H_A[[#This Row],[MonthlyIncome]]&lt;10000,"Medium","High"))</f>
        <v>Low</v>
      </c>
      <c r="AC911" t="str">
        <f>IF(H_A[[#This Row],[YearsAtCompany]]&lt;3,"Early",IF(H_A[[#This Row],[YearsAtCompany]]&lt;7,"Mid","Long"))</f>
        <v>Early</v>
      </c>
      <c r="AD911" t="str">
        <f>IF(H_A[[#This Row],[PercentSalaryHike]]&lt;13,"Low",IF(H_A[[#This Row],[PercentSalaryHike]]&lt;18,"Medium","High"))</f>
        <v>Low</v>
      </c>
    </row>
    <row r="912" spans="1:30" x14ac:dyDescent="0.3">
      <c r="A912">
        <v>23</v>
      </c>
      <c r="B912">
        <v>1270</v>
      </c>
      <c r="C912" t="s">
        <v>36</v>
      </c>
      <c r="D912" t="s">
        <v>37</v>
      </c>
      <c r="E912">
        <v>1</v>
      </c>
      <c r="F912">
        <v>2</v>
      </c>
      <c r="G912" t="s">
        <v>32</v>
      </c>
      <c r="H912">
        <v>4</v>
      </c>
      <c r="I912" t="s">
        <v>38</v>
      </c>
      <c r="J912">
        <v>3</v>
      </c>
      <c r="K912">
        <v>1</v>
      </c>
      <c r="L912" t="s">
        <v>39</v>
      </c>
      <c r="M912">
        <v>3</v>
      </c>
      <c r="N912" t="s">
        <v>40</v>
      </c>
      <c r="O912">
        <v>1223</v>
      </c>
      <c r="P912">
        <v>1</v>
      </c>
      <c r="Q912" t="s">
        <v>36</v>
      </c>
      <c r="R912">
        <v>4</v>
      </c>
      <c r="S912">
        <v>1</v>
      </c>
      <c r="T912">
        <v>3</v>
      </c>
      <c r="U912">
        <v>1</v>
      </c>
      <c r="V912">
        <v>0</v>
      </c>
      <c r="W912">
        <v>0</v>
      </c>
      <c r="X912">
        <v>1</v>
      </c>
      <c r="Y912">
        <v>22</v>
      </c>
      <c r="Z912">
        <f>IF(H_A[[#This Row],[Attrition]]="Yes",1,0)</f>
        <v>0</v>
      </c>
      <c r="AA912" t="str">
        <f>IF(H_A[[#This Row],[Age]]&lt;30,"Young",IF(H_A[[#This Row],[Age]]&lt;45,"Mid","Senior"))</f>
        <v>Young</v>
      </c>
      <c r="AB912" t="str">
        <f>IF(H_A[[#This Row],[MonthlyIncome]]&lt;5000,"Low",IF(H_A[[#This Row],[MonthlyIncome]]&lt;10000,"Medium","High"))</f>
        <v>Low</v>
      </c>
      <c r="AC912" t="str">
        <f>IF(H_A[[#This Row],[YearsAtCompany]]&lt;3,"Early",IF(H_A[[#This Row],[YearsAtCompany]]&lt;7,"Mid","Long"))</f>
        <v>Early</v>
      </c>
      <c r="AD912" t="str">
        <f>IF(H_A[[#This Row],[PercentSalaryHike]]&lt;13,"Low",IF(H_A[[#This Row],[PercentSalaryHike]]&lt;18,"Medium","High"))</f>
        <v>High</v>
      </c>
    </row>
    <row r="913" spans="1:30" x14ac:dyDescent="0.3">
      <c r="A913">
        <v>25</v>
      </c>
      <c r="B913">
        <v>1273</v>
      </c>
      <c r="C913" t="s">
        <v>30</v>
      </c>
      <c r="D913" t="s">
        <v>31</v>
      </c>
      <c r="E913">
        <v>24</v>
      </c>
      <c r="F913">
        <v>1</v>
      </c>
      <c r="G913" t="s">
        <v>32</v>
      </c>
      <c r="H913">
        <v>3</v>
      </c>
      <c r="I913" t="s">
        <v>38</v>
      </c>
      <c r="J913">
        <v>1</v>
      </c>
      <c r="K913">
        <v>1</v>
      </c>
      <c r="L913" t="s">
        <v>48</v>
      </c>
      <c r="M913">
        <v>4</v>
      </c>
      <c r="N913" t="s">
        <v>35</v>
      </c>
      <c r="O913">
        <v>1118</v>
      </c>
      <c r="P913">
        <v>1</v>
      </c>
      <c r="Q913" t="s">
        <v>30</v>
      </c>
      <c r="R913">
        <v>4</v>
      </c>
      <c r="S913">
        <v>1</v>
      </c>
      <c r="T913">
        <v>3</v>
      </c>
      <c r="U913">
        <v>1</v>
      </c>
      <c r="V913">
        <v>0</v>
      </c>
      <c r="W913">
        <v>1</v>
      </c>
      <c r="X913">
        <v>0</v>
      </c>
      <c r="Y913">
        <v>14</v>
      </c>
      <c r="Z913">
        <f>IF(H_A[[#This Row],[Attrition]]="Yes",1,0)</f>
        <v>1</v>
      </c>
      <c r="AA913" t="str">
        <f>IF(H_A[[#This Row],[Age]]&lt;30,"Young",IF(H_A[[#This Row],[Age]]&lt;45,"Mid","Senior"))</f>
        <v>Young</v>
      </c>
      <c r="AB913" t="str">
        <f>IF(H_A[[#This Row],[MonthlyIncome]]&lt;5000,"Low",IF(H_A[[#This Row],[MonthlyIncome]]&lt;10000,"Medium","High"))</f>
        <v>Low</v>
      </c>
      <c r="AC913" t="str">
        <f>IF(H_A[[#This Row],[YearsAtCompany]]&lt;3,"Early",IF(H_A[[#This Row],[YearsAtCompany]]&lt;7,"Mid","Long"))</f>
        <v>Early</v>
      </c>
      <c r="AD913" t="str">
        <f>IF(H_A[[#This Row],[PercentSalaryHike]]&lt;13,"Low",IF(H_A[[#This Row],[PercentSalaryHike]]&lt;18,"Medium","High"))</f>
        <v>Medium</v>
      </c>
    </row>
    <row r="914" spans="1:30" x14ac:dyDescent="0.3">
      <c r="A914">
        <v>26</v>
      </c>
      <c r="B914">
        <v>1275</v>
      </c>
      <c r="C914" t="s">
        <v>36</v>
      </c>
      <c r="D914" t="s">
        <v>37</v>
      </c>
      <c r="E914">
        <v>4</v>
      </c>
      <c r="F914">
        <v>2</v>
      </c>
      <c r="G914" t="s">
        <v>32</v>
      </c>
      <c r="H914">
        <v>3</v>
      </c>
      <c r="I914" t="s">
        <v>38</v>
      </c>
      <c r="J914">
        <v>3</v>
      </c>
      <c r="K914">
        <v>1</v>
      </c>
      <c r="L914" t="s">
        <v>39</v>
      </c>
      <c r="M914">
        <v>4</v>
      </c>
      <c r="N914" t="s">
        <v>35</v>
      </c>
      <c r="O914">
        <v>2875</v>
      </c>
      <c r="P914">
        <v>1</v>
      </c>
      <c r="Q914" t="s">
        <v>30</v>
      </c>
      <c r="R914">
        <v>2</v>
      </c>
      <c r="S914">
        <v>8</v>
      </c>
      <c r="T914">
        <v>2</v>
      </c>
      <c r="U914">
        <v>8</v>
      </c>
      <c r="V914">
        <v>5</v>
      </c>
      <c r="W914">
        <v>2</v>
      </c>
      <c r="X914">
        <v>2</v>
      </c>
      <c r="Y914">
        <v>20</v>
      </c>
      <c r="Z914">
        <f>IF(H_A[[#This Row],[Attrition]]="Yes",1,0)</f>
        <v>0</v>
      </c>
      <c r="AA914" t="str">
        <f>IF(H_A[[#This Row],[Age]]&lt;30,"Young",IF(H_A[[#This Row],[Age]]&lt;45,"Mid","Senior"))</f>
        <v>Young</v>
      </c>
      <c r="AB914" t="str">
        <f>IF(H_A[[#This Row],[MonthlyIncome]]&lt;5000,"Low",IF(H_A[[#This Row],[MonthlyIncome]]&lt;10000,"Medium","High"))</f>
        <v>Low</v>
      </c>
      <c r="AC914" t="str">
        <f>IF(H_A[[#This Row],[YearsAtCompany]]&lt;3,"Early",IF(H_A[[#This Row],[YearsAtCompany]]&lt;7,"Mid","Long"))</f>
        <v>Long</v>
      </c>
      <c r="AD914" t="str">
        <f>IF(H_A[[#This Row],[PercentSalaryHike]]&lt;13,"Low",IF(H_A[[#This Row],[PercentSalaryHike]]&lt;18,"Medium","High"))</f>
        <v>High</v>
      </c>
    </row>
    <row r="915" spans="1:30" x14ac:dyDescent="0.3">
      <c r="A915">
        <v>45</v>
      </c>
      <c r="B915">
        <v>1277</v>
      </c>
      <c r="C915" t="s">
        <v>30</v>
      </c>
      <c r="D915" t="s">
        <v>31</v>
      </c>
      <c r="E915">
        <v>2</v>
      </c>
      <c r="F915">
        <v>3</v>
      </c>
      <c r="G915" t="s">
        <v>50</v>
      </c>
      <c r="H915">
        <v>1</v>
      </c>
      <c r="I915" t="s">
        <v>33</v>
      </c>
      <c r="J915">
        <v>1</v>
      </c>
      <c r="K915">
        <v>5</v>
      </c>
      <c r="L915" t="s">
        <v>47</v>
      </c>
      <c r="M915">
        <v>2</v>
      </c>
      <c r="N915" t="s">
        <v>35</v>
      </c>
      <c r="O915">
        <v>18824</v>
      </c>
      <c r="P915">
        <v>2</v>
      </c>
      <c r="Q915" t="s">
        <v>30</v>
      </c>
      <c r="R915">
        <v>1</v>
      </c>
      <c r="S915">
        <v>26</v>
      </c>
      <c r="T915">
        <v>3</v>
      </c>
      <c r="U915">
        <v>24</v>
      </c>
      <c r="V915">
        <v>10</v>
      </c>
      <c r="W915">
        <v>1</v>
      </c>
      <c r="X915">
        <v>11</v>
      </c>
      <c r="Y915">
        <v>16</v>
      </c>
      <c r="Z915">
        <f>IF(H_A[[#This Row],[Attrition]]="Yes",1,0)</f>
        <v>1</v>
      </c>
      <c r="AA915" t="str">
        <f>IF(H_A[[#This Row],[Age]]&lt;30,"Young",IF(H_A[[#This Row],[Age]]&lt;45,"Mid","Senior"))</f>
        <v>Senior</v>
      </c>
      <c r="AB915" t="str">
        <f>IF(H_A[[#This Row],[MonthlyIncome]]&lt;5000,"Low",IF(H_A[[#This Row],[MonthlyIncome]]&lt;10000,"Medium","High"))</f>
        <v>High</v>
      </c>
      <c r="AC915" t="str">
        <f>IF(H_A[[#This Row],[YearsAtCompany]]&lt;3,"Early",IF(H_A[[#This Row],[YearsAtCompany]]&lt;7,"Mid","Long"))</f>
        <v>Long</v>
      </c>
      <c r="AD915" t="str">
        <f>IF(H_A[[#This Row],[PercentSalaryHike]]&lt;13,"Low",IF(H_A[[#This Row],[PercentSalaryHike]]&lt;18,"Medium","High"))</f>
        <v>Medium</v>
      </c>
    </row>
    <row r="916" spans="1:30" x14ac:dyDescent="0.3">
      <c r="A916">
        <v>55</v>
      </c>
      <c r="B916">
        <v>1278</v>
      </c>
      <c r="C916" t="s">
        <v>36</v>
      </c>
      <c r="D916" t="s">
        <v>37</v>
      </c>
      <c r="E916">
        <v>8</v>
      </c>
      <c r="F916">
        <v>1</v>
      </c>
      <c r="G916" t="s">
        <v>43</v>
      </c>
      <c r="H916">
        <v>4</v>
      </c>
      <c r="I916" t="s">
        <v>38</v>
      </c>
      <c r="J916">
        <v>2</v>
      </c>
      <c r="K916">
        <v>4</v>
      </c>
      <c r="L916" t="s">
        <v>46</v>
      </c>
      <c r="M916">
        <v>2</v>
      </c>
      <c r="N916" t="s">
        <v>44</v>
      </c>
      <c r="O916">
        <v>13577</v>
      </c>
      <c r="P916">
        <v>1</v>
      </c>
      <c r="Q916" t="s">
        <v>30</v>
      </c>
      <c r="R916">
        <v>4</v>
      </c>
      <c r="S916">
        <v>34</v>
      </c>
      <c r="T916">
        <v>3</v>
      </c>
      <c r="U916">
        <v>33</v>
      </c>
      <c r="V916">
        <v>9</v>
      </c>
      <c r="W916">
        <v>15</v>
      </c>
      <c r="X916">
        <v>0</v>
      </c>
      <c r="Y916">
        <v>15</v>
      </c>
      <c r="Z916">
        <f>IF(H_A[[#This Row],[Attrition]]="Yes",1,0)</f>
        <v>0</v>
      </c>
      <c r="AA916" t="str">
        <f>IF(H_A[[#This Row],[Age]]&lt;30,"Young",IF(H_A[[#This Row],[Age]]&lt;45,"Mid","Senior"))</f>
        <v>Senior</v>
      </c>
      <c r="AB916" t="str">
        <f>IF(H_A[[#This Row],[MonthlyIncome]]&lt;5000,"Low",IF(H_A[[#This Row],[MonthlyIncome]]&lt;10000,"Medium","High"))</f>
        <v>High</v>
      </c>
      <c r="AC916" t="str">
        <f>IF(H_A[[#This Row],[YearsAtCompany]]&lt;3,"Early",IF(H_A[[#This Row],[YearsAtCompany]]&lt;7,"Mid","Long"))</f>
        <v>Long</v>
      </c>
      <c r="AD916" t="str">
        <f>IF(H_A[[#This Row],[PercentSalaryHike]]&lt;13,"Low",IF(H_A[[#This Row],[PercentSalaryHike]]&lt;18,"Medium","High"))</f>
        <v>Medium</v>
      </c>
    </row>
    <row r="917" spans="1:30" x14ac:dyDescent="0.3">
      <c r="A917">
        <v>21</v>
      </c>
      <c r="B917">
        <v>1279</v>
      </c>
      <c r="C917" t="s">
        <v>30</v>
      </c>
      <c r="D917" t="s">
        <v>37</v>
      </c>
      <c r="E917">
        <v>10</v>
      </c>
      <c r="F917">
        <v>2</v>
      </c>
      <c r="G917" t="s">
        <v>32</v>
      </c>
      <c r="H917">
        <v>1</v>
      </c>
      <c r="I917" t="s">
        <v>33</v>
      </c>
      <c r="J917">
        <v>2</v>
      </c>
      <c r="K917">
        <v>1</v>
      </c>
      <c r="L917" t="s">
        <v>42</v>
      </c>
      <c r="M917">
        <v>3</v>
      </c>
      <c r="N917" t="s">
        <v>35</v>
      </c>
      <c r="O917">
        <v>2625</v>
      </c>
      <c r="P917">
        <v>1</v>
      </c>
      <c r="Q917" t="s">
        <v>36</v>
      </c>
      <c r="R917">
        <v>3</v>
      </c>
      <c r="S917">
        <v>2</v>
      </c>
      <c r="T917">
        <v>1</v>
      </c>
      <c r="U917">
        <v>2</v>
      </c>
      <c r="V917">
        <v>2</v>
      </c>
      <c r="W917">
        <v>2</v>
      </c>
      <c r="X917">
        <v>2</v>
      </c>
      <c r="Y917">
        <v>20</v>
      </c>
      <c r="Z917">
        <f>IF(H_A[[#This Row],[Attrition]]="Yes",1,0)</f>
        <v>1</v>
      </c>
      <c r="AA917" t="str">
        <f>IF(H_A[[#This Row],[Age]]&lt;30,"Young",IF(H_A[[#This Row],[Age]]&lt;45,"Mid","Senior"))</f>
        <v>Young</v>
      </c>
      <c r="AB917" t="str">
        <f>IF(H_A[[#This Row],[MonthlyIncome]]&lt;5000,"Low",IF(H_A[[#This Row],[MonthlyIncome]]&lt;10000,"Medium","High"))</f>
        <v>Low</v>
      </c>
      <c r="AC917" t="str">
        <f>IF(H_A[[#This Row],[YearsAtCompany]]&lt;3,"Early",IF(H_A[[#This Row],[YearsAtCompany]]&lt;7,"Mid","Long"))</f>
        <v>Early</v>
      </c>
      <c r="AD917" t="str">
        <f>IF(H_A[[#This Row],[PercentSalaryHike]]&lt;13,"Low",IF(H_A[[#This Row],[PercentSalaryHike]]&lt;18,"Medium","High"))</f>
        <v>High</v>
      </c>
    </row>
    <row r="918" spans="1:30" x14ac:dyDescent="0.3">
      <c r="A918">
        <v>46</v>
      </c>
      <c r="B918">
        <v>1280</v>
      </c>
      <c r="C918" t="s">
        <v>36</v>
      </c>
      <c r="D918" t="s">
        <v>31</v>
      </c>
      <c r="E918">
        <v>4</v>
      </c>
      <c r="F918">
        <v>2</v>
      </c>
      <c r="G918" t="s">
        <v>50</v>
      </c>
      <c r="H918">
        <v>4</v>
      </c>
      <c r="I918" t="s">
        <v>33</v>
      </c>
      <c r="J918">
        <v>2</v>
      </c>
      <c r="K918">
        <v>5</v>
      </c>
      <c r="L918" t="s">
        <v>47</v>
      </c>
      <c r="M918">
        <v>2</v>
      </c>
      <c r="N918" t="s">
        <v>40</v>
      </c>
      <c r="O918">
        <v>18789</v>
      </c>
      <c r="P918">
        <v>2</v>
      </c>
      <c r="Q918" t="s">
        <v>36</v>
      </c>
      <c r="R918">
        <v>3</v>
      </c>
      <c r="S918">
        <v>26</v>
      </c>
      <c r="T918">
        <v>3</v>
      </c>
      <c r="U918">
        <v>11</v>
      </c>
      <c r="V918">
        <v>4</v>
      </c>
      <c r="W918">
        <v>0</v>
      </c>
      <c r="X918">
        <v>8</v>
      </c>
      <c r="Y918">
        <v>14</v>
      </c>
      <c r="Z918">
        <f>IF(H_A[[#This Row],[Attrition]]="Yes",1,0)</f>
        <v>0</v>
      </c>
      <c r="AA918" t="str">
        <f>IF(H_A[[#This Row],[Age]]&lt;30,"Young",IF(H_A[[#This Row],[Age]]&lt;45,"Mid","Senior"))</f>
        <v>Senior</v>
      </c>
      <c r="AB918" t="str">
        <f>IF(H_A[[#This Row],[MonthlyIncome]]&lt;5000,"Low",IF(H_A[[#This Row],[MonthlyIncome]]&lt;10000,"Medium","High"))</f>
        <v>High</v>
      </c>
      <c r="AC918" t="str">
        <f>IF(H_A[[#This Row],[YearsAtCompany]]&lt;3,"Early",IF(H_A[[#This Row],[YearsAtCompany]]&lt;7,"Mid","Long"))</f>
        <v>Long</v>
      </c>
      <c r="AD918" t="str">
        <f>IF(H_A[[#This Row],[PercentSalaryHike]]&lt;13,"Low",IF(H_A[[#This Row],[PercentSalaryHike]]&lt;18,"Medium","High"))</f>
        <v>Medium</v>
      </c>
    </row>
    <row r="919" spans="1:30" x14ac:dyDescent="0.3">
      <c r="A919">
        <v>34</v>
      </c>
      <c r="B919">
        <v>1281</v>
      </c>
      <c r="C919" t="s">
        <v>36</v>
      </c>
      <c r="D919" t="s">
        <v>31</v>
      </c>
      <c r="E919">
        <v>2</v>
      </c>
      <c r="F919">
        <v>3</v>
      </c>
      <c r="G919" t="s">
        <v>50</v>
      </c>
      <c r="H919">
        <v>3</v>
      </c>
      <c r="I919" t="s">
        <v>33</v>
      </c>
      <c r="J919">
        <v>3</v>
      </c>
      <c r="K919">
        <v>2</v>
      </c>
      <c r="L919" t="s">
        <v>34</v>
      </c>
      <c r="M919">
        <v>1</v>
      </c>
      <c r="N919" t="s">
        <v>35</v>
      </c>
      <c r="O919">
        <v>4538</v>
      </c>
      <c r="P919">
        <v>0</v>
      </c>
      <c r="Q919" t="s">
        <v>30</v>
      </c>
      <c r="R919">
        <v>4</v>
      </c>
      <c r="S919">
        <v>4</v>
      </c>
      <c r="T919">
        <v>3</v>
      </c>
      <c r="U919">
        <v>3</v>
      </c>
      <c r="V919">
        <v>2</v>
      </c>
      <c r="W919">
        <v>0</v>
      </c>
      <c r="X919">
        <v>2</v>
      </c>
      <c r="Y919">
        <v>12</v>
      </c>
      <c r="Z919">
        <f>IF(H_A[[#This Row],[Attrition]]="Yes",1,0)</f>
        <v>0</v>
      </c>
      <c r="AA919" t="str">
        <f>IF(H_A[[#This Row],[Age]]&lt;30,"Young",IF(H_A[[#This Row],[Age]]&lt;45,"Mid","Senior"))</f>
        <v>Mid</v>
      </c>
      <c r="AB919" t="str">
        <f>IF(H_A[[#This Row],[MonthlyIncome]]&lt;5000,"Low",IF(H_A[[#This Row],[MonthlyIncome]]&lt;10000,"Medium","High"))</f>
        <v>Low</v>
      </c>
      <c r="AC919" t="str">
        <f>IF(H_A[[#This Row],[YearsAtCompany]]&lt;3,"Early",IF(H_A[[#This Row],[YearsAtCompany]]&lt;7,"Mid","Long"))</f>
        <v>Mid</v>
      </c>
      <c r="AD919" t="str">
        <f>IF(H_A[[#This Row],[PercentSalaryHike]]&lt;13,"Low",IF(H_A[[#This Row],[PercentSalaryHike]]&lt;18,"Medium","High"))</f>
        <v>Low</v>
      </c>
    </row>
    <row r="920" spans="1:30" x14ac:dyDescent="0.3">
      <c r="A920">
        <v>51</v>
      </c>
      <c r="B920">
        <v>1282</v>
      </c>
      <c r="C920" t="s">
        <v>36</v>
      </c>
      <c r="D920" t="s">
        <v>31</v>
      </c>
      <c r="E920">
        <v>9</v>
      </c>
      <c r="F920">
        <v>3</v>
      </c>
      <c r="G920" t="s">
        <v>32</v>
      </c>
      <c r="H920">
        <v>4</v>
      </c>
      <c r="I920" t="s">
        <v>38</v>
      </c>
      <c r="J920">
        <v>3</v>
      </c>
      <c r="K920">
        <v>5</v>
      </c>
      <c r="L920" t="s">
        <v>47</v>
      </c>
      <c r="M920">
        <v>2</v>
      </c>
      <c r="N920" t="s">
        <v>44</v>
      </c>
      <c r="O920">
        <v>19847</v>
      </c>
      <c r="P920">
        <v>4</v>
      </c>
      <c r="Q920" t="s">
        <v>30</v>
      </c>
      <c r="R920">
        <v>1</v>
      </c>
      <c r="S920">
        <v>31</v>
      </c>
      <c r="T920">
        <v>2</v>
      </c>
      <c r="U920">
        <v>29</v>
      </c>
      <c r="V920">
        <v>10</v>
      </c>
      <c r="W920">
        <v>11</v>
      </c>
      <c r="X920">
        <v>10</v>
      </c>
      <c r="Y920">
        <v>24</v>
      </c>
      <c r="Z920">
        <f>IF(H_A[[#This Row],[Attrition]]="Yes",1,0)</f>
        <v>0</v>
      </c>
      <c r="AA920" t="str">
        <f>IF(H_A[[#This Row],[Age]]&lt;30,"Young",IF(H_A[[#This Row],[Age]]&lt;45,"Mid","Senior"))</f>
        <v>Senior</v>
      </c>
      <c r="AB920" t="str">
        <f>IF(H_A[[#This Row],[MonthlyIncome]]&lt;5000,"Low",IF(H_A[[#This Row],[MonthlyIncome]]&lt;10000,"Medium","High"))</f>
        <v>High</v>
      </c>
      <c r="AC920" t="str">
        <f>IF(H_A[[#This Row],[YearsAtCompany]]&lt;3,"Early",IF(H_A[[#This Row],[YearsAtCompany]]&lt;7,"Mid","Long"))</f>
        <v>Long</v>
      </c>
      <c r="AD920" t="str">
        <f>IF(H_A[[#This Row],[PercentSalaryHike]]&lt;13,"Low",IF(H_A[[#This Row],[PercentSalaryHike]]&lt;18,"Medium","High"))</f>
        <v>High</v>
      </c>
    </row>
    <row r="921" spans="1:30" x14ac:dyDescent="0.3">
      <c r="A921">
        <v>59</v>
      </c>
      <c r="B921">
        <v>1283</v>
      </c>
      <c r="C921" t="s">
        <v>36</v>
      </c>
      <c r="D921" t="s">
        <v>37</v>
      </c>
      <c r="E921">
        <v>18</v>
      </c>
      <c r="F921">
        <v>4</v>
      </c>
      <c r="G921" t="s">
        <v>43</v>
      </c>
      <c r="H921">
        <v>4</v>
      </c>
      <c r="I921" t="s">
        <v>38</v>
      </c>
      <c r="J921">
        <v>3</v>
      </c>
      <c r="K921">
        <v>3</v>
      </c>
      <c r="L921" t="s">
        <v>45</v>
      </c>
      <c r="M921">
        <v>4</v>
      </c>
      <c r="N921" t="s">
        <v>35</v>
      </c>
      <c r="O921">
        <v>10512</v>
      </c>
      <c r="P921">
        <v>6</v>
      </c>
      <c r="Q921" t="s">
        <v>36</v>
      </c>
      <c r="R921">
        <v>4</v>
      </c>
      <c r="S921">
        <v>25</v>
      </c>
      <c r="T921">
        <v>2</v>
      </c>
      <c r="U921">
        <v>9</v>
      </c>
      <c r="V921">
        <v>7</v>
      </c>
      <c r="W921">
        <v>5</v>
      </c>
      <c r="X921">
        <v>4</v>
      </c>
      <c r="Y921">
        <v>12</v>
      </c>
      <c r="Z921">
        <f>IF(H_A[[#This Row],[Attrition]]="Yes",1,0)</f>
        <v>0</v>
      </c>
      <c r="AA921" t="str">
        <f>IF(H_A[[#This Row],[Age]]&lt;30,"Young",IF(H_A[[#This Row],[Age]]&lt;45,"Mid","Senior"))</f>
        <v>Senior</v>
      </c>
      <c r="AB921" t="str">
        <f>IF(H_A[[#This Row],[MonthlyIncome]]&lt;5000,"Low",IF(H_A[[#This Row],[MonthlyIncome]]&lt;10000,"Medium","High"))</f>
        <v>High</v>
      </c>
      <c r="AC921" t="str">
        <f>IF(H_A[[#This Row],[YearsAtCompany]]&lt;3,"Early",IF(H_A[[#This Row],[YearsAtCompany]]&lt;7,"Mid","Long"))</f>
        <v>Long</v>
      </c>
      <c r="AD921" t="str">
        <f>IF(H_A[[#This Row],[PercentSalaryHike]]&lt;13,"Low",IF(H_A[[#This Row],[PercentSalaryHike]]&lt;18,"Medium","High"))</f>
        <v>Low</v>
      </c>
    </row>
    <row r="922" spans="1:30" x14ac:dyDescent="0.3">
      <c r="A922">
        <v>34</v>
      </c>
      <c r="B922">
        <v>1285</v>
      </c>
      <c r="C922" t="s">
        <v>36</v>
      </c>
      <c r="D922" t="s">
        <v>37</v>
      </c>
      <c r="E922">
        <v>19</v>
      </c>
      <c r="F922">
        <v>3</v>
      </c>
      <c r="G922" t="s">
        <v>43</v>
      </c>
      <c r="H922">
        <v>3</v>
      </c>
      <c r="I922" t="s">
        <v>33</v>
      </c>
      <c r="J922">
        <v>3</v>
      </c>
      <c r="K922">
        <v>2</v>
      </c>
      <c r="L922" t="s">
        <v>42</v>
      </c>
      <c r="M922">
        <v>2</v>
      </c>
      <c r="N922" t="s">
        <v>44</v>
      </c>
      <c r="O922">
        <v>4444</v>
      </c>
      <c r="P922">
        <v>4</v>
      </c>
      <c r="Q922" t="s">
        <v>36</v>
      </c>
      <c r="R922">
        <v>3</v>
      </c>
      <c r="S922">
        <v>15</v>
      </c>
      <c r="T922">
        <v>4</v>
      </c>
      <c r="U922">
        <v>11</v>
      </c>
      <c r="V922">
        <v>8</v>
      </c>
      <c r="W922">
        <v>5</v>
      </c>
      <c r="X922">
        <v>10</v>
      </c>
      <c r="Y922">
        <v>13</v>
      </c>
      <c r="Z922">
        <f>IF(H_A[[#This Row],[Attrition]]="Yes",1,0)</f>
        <v>0</v>
      </c>
      <c r="AA922" t="str">
        <f>IF(H_A[[#This Row],[Age]]&lt;30,"Young",IF(H_A[[#This Row],[Age]]&lt;45,"Mid","Senior"))</f>
        <v>Mid</v>
      </c>
      <c r="AB922" t="str">
        <f>IF(H_A[[#This Row],[MonthlyIncome]]&lt;5000,"Low",IF(H_A[[#This Row],[MonthlyIncome]]&lt;10000,"Medium","High"))</f>
        <v>Low</v>
      </c>
      <c r="AC922" t="str">
        <f>IF(H_A[[#This Row],[YearsAtCompany]]&lt;3,"Early",IF(H_A[[#This Row],[YearsAtCompany]]&lt;7,"Mid","Long"))</f>
        <v>Long</v>
      </c>
      <c r="AD922" t="str">
        <f>IF(H_A[[#This Row],[PercentSalaryHike]]&lt;13,"Low",IF(H_A[[#This Row],[PercentSalaryHike]]&lt;18,"Medium","High"))</f>
        <v>Medium</v>
      </c>
    </row>
    <row r="923" spans="1:30" x14ac:dyDescent="0.3">
      <c r="A923">
        <v>28</v>
      </c>
      <c r="B923">
        <v>1286</v>
      </c>
      <c r="C923" t="s">
        <v>36</v>
      </c>
      <c r="D923" t="s">
        <v>37</v>
      </c>
      <c r="E923">
        <v>1</v>
      </c>
      <c r="F923">
        <v>4</v>
      </c>
      <c r="G923" t="s">
        <v>43</v>
      </c>
      <c r="H923">
        <v>4</v>
      </c>
      <c r="I923" t="s">
        <v>38</v>
      </c>
      <c r="J923">
        <v>3</v>
      </c>
      <c r="K923">
        <v>1</v>
      </c>
      <c r="L923" t="s">
        <v>42</v>
      </c>
      <c r="M923">
        <v>3</v>
      </c>
      <c r="N923" t="s">
        <v>35</v>
      </c>
      <c r="O923">
        <v>2154</v>
      </c>
      <c r="P923">
        <v>0</v>
      </c>
      <c r="Q923" t="s">
        <v>30</v>
      </c>
      <c r="R923">
        <v>3</v>
      </c>
      <c r="S923">
        <v>5</v>
      </c>
      <c r="T923">
        <v>2</v>
      </c>
      <c r="U923">
        <v>4</v>
      </c>
      <c r="V923">
        <v>2</v>
      </c>
      <c r="W923">
        <v>0</v>
      </c>
      <c r="X923">
        <v>2</v>
      </c>
      <c r="Y923">
        <v>11</v>
      </c>
      <c r="Z923">
        <f>IF(H_A[[#This Row],[Attrition]]="Yes",1,0)</f>
        <v>0</v>
      </c>
      <c r="AA923" t="str">
        <f>IF(H_A[[#This Row],[Age]]&lt;30,"Young",IF(H_A[[#This Row],[Age]]&lt;45,"Mid","Senior"))</f>
        <v>Young</v>
      </c>
      <c r="AB923" t="str">
        <f>IF(H_A[[#This Row],[MonthlyIncome]]&lt;5000,"Low",IF(H_A[[#This Row],[MonthlyIncome]]&lt;10000,"Medium","High"))</f>
        <v>Low</v>
      </c>
      <c r="AC923" t="str">
        <f>IF(H_A[[#This Row],[YearsAtCompany]]&lt;3,"Early",IF(H_A[[#This Row],[YearsAtCompany]]&lt;7,"Mid","Long"))</f>
        <v>Mid</v>
      </c>
      <c r="AD923" t="str">
        <f>IF(H_A[[#This Row],[PercentSalaryHike]]&lt;13,"Low",IF(H_A[[#This Row],[PercentSalaryHike]]&lt;18,"Medium","High"))</f>
        <v>Low</v>
      </c>
    </row>
    <row r="924" spans="1:30" x14ac:dyDescent="0.3">
      <c r="A924">
        <v>44</v>
      </c>
      <c r="B924">
        <v>1288</v>
      </c>
      <c r="C924" t="s">
        <v>36</v>
      </c>
      <c r="D924" t="s">
        <v>37</v>
      </c>
      <c r="E924">
        <v>4</v>
      </c>
      <c r="F924">
        <v>2</v>
      </c>
      <c r="G924" t="s">
        <v>32</v>
      </c>
      <c r="H924">
        <v>3</v>
      </c>
      <c r="I924" t="s">
        <v>38</v>
      </c>
      <c r="J924">
        <v>4</v>
      </c>
      <c r="K924">
        <v>5</v>
      </c>
      <c r="L924" t="s">
        <v>47</v>
      </c>
      <c r="M924">
        <v>1</v>
      </c>
      <c r="N924" t="s">
        <v>44</v>
      </c>
      <c r="O924">
        <v>19190</v>
      </c>
      <c r="P924">
        <v>1</v>
      </c>
      <c r="Q924" t="s">
        <v>36</v>
      </c>
      <c r="R924">
        <v>4</v>
      </c>
      <c r="S924">
        <v>26</v>
      </c>
      <c r="T924">
        <v>2</v>
      </c>
      <c r="U924">
        <v>25</v>
      </c>
      <c r="V924">
        <v>9</v>
      </c>
      <c r="W924">
        <v>14</v>
      </c>
      <c r="X924">
        <v>13</v>
      </c>
      <c r="Y924">
        <v>14</v>
      </c>
      <c r="Z924">
        <f>IF(H_A[[#This Row],[Attrition]]="Yes",1,0)</f>
        <v>0</v>
      </c>
      <c r="AA924" t="str">
        <f>IF(H_A[[#This Row],[Age]]&lt;30,"Young",IF(H_A[[#This Row],[Age]]&lt;45,"Mid","Senior"))</f>
        <v>Mid</v>
      </c>
      <c r="AB924" t="str">
        <f>IF(H_A[[#This Row],[MonthlyIncome]]&lt;5000,"Low",IF(H_A[[#This Row],[MonthlyIncome]]&lt;10000,"Medium","High"))</f>
        <v>High</v>
      </c>
      <c r="AC924" t="str">
        <f>IF(H_A[[#This Row],[YearsAtCompany]]&lt;3,"Early",IF(H_A[[#This Row],[YearsAtCompany]]&lt;7,"Mid","Long"))</f>
        <v>Long</v>
      </c>
      <c r="AD924" t="str">
        <f>IF(H_A[[#This Row],[PercentSalaryHike]]&lt;13,"Low",IF(H_A[[#This Row],[PercentSalaryHike]]&lt;18,"Medium","High"))</f>
        <v>Medium</v>
      </c>
    </row>
    <row r="925" spans="1:30" x14ac:dyDescent="0.3">
      <c r="A925">
        <v>34</v>
      </c>
      <c r="B925">
        <v>1289</v>
      </c>
      <c r="C925" t="s">
        <v>36</v>
      </c>
      <c r="D925" t="s">
        <v>52</v>
      </c>
      <c r="E925">
        <v>11</v>
      </c>
      <c r="F925">
        <v>3</v>
      </c>
      <c r="G925" t="s">
        <v>32</v>
      </c>
      <c r="H925">
        <v>3</v>
      </c>
      <c r="I925" t="s">
        <v>38</v>
      </c>
      <c r="J925">
        <v>2</v>
      </c>
      <c r="K925">
        <v>2</v>
      </c>
      <c r="L925" t="s">
        <v>52</v>
      </c>
      <c r="M925">
        <v>2</v>
      </c>
      <c r="N925" t="s">
        <v>40</v>
      </c>
      <c r="O925">
        <v>4490</v>
      </c>
      <c r="P925">
        <v>4</v>
      </c>
      <c r="Q925" t="s">
        <v>36</v>
      </c>
      <c r="R925">
        <v>4</v>
      </c>
      <c r="S925">
        <v>14</v>
      </c>
      <c r="T925">
        <v>4</v>
      </c>
      <c r="U925">
        <v>10</v>
      </c>
      <c r="V925">
        <v>9</v>
      </c>
      <c r="W925">
        <v>1</v>
      </c>
      <c r="X925">
        <v>8</v>
      </c>
      <c r="Y925">
        <v>11</v>
      </c>
      <c r="Z925">
        <f>IF(H_A[[#This Row],[Attrition]]="Yes",1,0)</f>
        <v>0</v>
      </c>
      <c r="AA925" t="str">
        <f>IF(H_A[[#This Row],[Age]]&lt;30,"Young",IF(H_A[[#This Row],[Age]]&lt;45,"Mid","Senior"))</f>
        <v>Mid</v>
      </c>
      <c r="AB925" t="str">
        <f>IF(H_A[[#This Row],[MonthlyIncome]]&lt;5000,"Low",IF(H_A[[#This Row],[MonthlyIncome]]&lt;10000,"Medium","High"))</f>
        <v>Low</v>
      </c>
      <c r="AC925" t="str">
        <f>IF(H_A[[#This Row],[YearsAtCompany]]&lt;3,"Early",IF(H_A[[#This Row],[YearsAtCompany]]&lt;7,"Mid","Long"))</f>
        <v>Long</v>
      </c>
      <c r="AD925" t="str">
        <f>IF(H_A[[#This Row],[PercentSalaryHike]]&lt;13,"Low",IF(H_A[[#This Row],[PercentSalaryHike]]&lt;18,"Medium","High"))</f>
        <v>Low</v>
      </c>
    </row>
    <row r="926" spans="1:30" x14ac:dyDescent="0.3">
      <c r="A926">
        <v>35</v>
      </c>
      <c r="B926">
        <v>1291</v>
      </c>
      <c r="C926" t="s">
        <v>36</v>
      </c>
      <c r="D926" t="s">
        <v>37</v>
      </c>
      <c r="E926">
        <v>6</v>
      </c>
      <c r="F926">
        <v>1</v>
      </c>
      <c r="G926" t="s">
        <v>32</v>
      </c>
      <c r="H926">
        <v>3</v>
      </c>
      <c r="I926" t="s">
        <v>38</v>
      </c>
      <c r="J926">
        <v>3</v>
      </c>
      <c r="K926">
        <v>1</v>
      </c>
      <c r="L926" t="s">
        <v>39</v>
      </c>
      <c r="M926">
        <v>3</v>
      </c>
      <c r="N926" t="s">
        <v>40</v>
      </c>
      <c r="O926">
        <v>3506</v>
      </c>
      <c r="P926">
        <v>0</v>
      </c>
      <c r="Q926" t="s">
        <v>30</v>
      </c>
      <c r="R926">
        <v>4</v>
      </c>
      <c r="S926">
        <v>4</v>
      </c>
      <c r="T926">
        <v>3</v>
      </c>
      <c r="U926">
        <v>3</v>
      </c>
      <c r="V926">
        <v>2</v>
      </c>
      <c r="W926">
        <v>2</v>
      </c>
      <c r="X926">
        <v>2</v>
      </c>
      <c r="Y926">
        <v>14</v>
      </c>
      <c r="Z926">
        <f>IF(H_A[[#This Row],[Attrition]]="Yes",1,0)</f>
        <v>0</v>
      </c>
      <c r="AA926" t="str">
        <f>IF(H_A[[#This Row],[Age]]&lt;30,"Young",IF(H_A[[#This Row],[Age]]&lt;45,"Mid","Senior"))</f>
        <v>Mid</v>
      </c>
      <c r="AB926" t="str">
        <f>IF(H_A[[#This Row],[MonthlyIncome]]&lt;5000,"Low",IF(H_A[[#This Row],[MonthlyIncome]]&lt;10000,"Medium","High"))</f>
        <v>Low</v>
      </c>
      <c r="AC926" t="str">
        <f>IF(H_A[[#This Row],[YearsAtCompany]]&lt;3,"Early",IF(H_A[[#This Row],[YearsAtCompany]]&lt;7,"Mid","Long"))</f>
        <v>Mid</v>
      </c>
      <c r="AD926" t="str">
        <f>IF(H_A[[#This Row],[PercentSalaryHike]]&lt;13,"Low",IF(H_A[[#This Row],[PercentSalaryHike]]&lt;18,"Medium","High"))</f>
        <v>Medium</v>
      </c>
    </row>
    <row r="927" spans="1:30" x14ac:dyDescent="0.3">
      <c r="A927">
        <v>42</v>
      </c>
      <c r="B927">
        <v>1292</v>
      </c>
      <c r="C927" t="s">
        <v>36</v>
      </c>
      <c r="D927" t="s">
        <v>37</v>
      </c>
      <c r="E927">
        <v>7</v>
      </c>
      <c r="F927">
        <v>4</v>
      </c>
      <c r="G927" t="s">
        <v>43</v>
      </c>
      <c r="H927">
        <v>2</v>
      </c>
      <c r="I927" t="s">
        <v>33</v>
      </c>
      <c r="J927">
        <v>4</v>
      </c>
      <c r="K927">
        <v>2</v>
      </c>
      <c r="L927" t="s">
        <v>39</v>
      </c>
      <c r="M927">
        <v>2</v>
      </c>
      <c r="N927" t="s">
        <v>40</v>
      </c>
      <c r="O927">
        <v>2372</v>
      </c>
      <c r="P927">
        <v>6</v>
      </c>
      <c r="Q927" t="s">
        <v>30</v>
      </c>
      <c r="R927">
        <v>4</v>
      </c>
      <c r="S927">
        <v>18</v>
      </c>
      <c r="T927">
        <v>3</v>
      </c>
      <c r="U927">
        <v>1</v>
      </c>
      <c r="V927">
        <v>0</v>
      </c>
      <c r="W927">
        <v>0</v>
      </c>
      <c r="X927">
        <v>0</v>
      </c>
      <c r="Y927">
        <v>16</v>
      </c>
      <c r="Z927">
        <f>IF(H_A[[#This Row],[Attrition]]="Yes",1,0)</f>
        <v>0</v>
      </c>
      <c r="AA927" t="str">
        <f>IF(H_A[[#This Row],[Age]]&lt;30,"Young",IF(H_A[[#This Row],[Age]]&lt;45,"Mid","Senior"))</f>
        <v>Mid</v>
      </c>
      <c r="AB927" t="str">
        <f>IF(H_A[[#This Row],[MonthlyIncome]]&lt;5000,"Low",IF(H_A[[#This Row],[MonthlyIncome]]&lt;10000,"Medium","High"))</f>
        <v>Low</v>
      </c>
      <c r="AC927" t="str">
        <f>IF(H_A[[#This Row],[YearsAtCompany]]&lt;3,"Early",IF(H_A[[#This Row],[YearsAtCompany]]&lt;7,"Mid","Long"))</f>
        <v>Early</v>
      </c>
      <c r="AD927" t="str">
        <f>IF(H_A[[#This Row],[PercentSalaryHike]]&lt;13,"Low",IF(H_A[[#This Row],[PercentSalaryHike]]&lt;18,"Medium","High"))</f>
        <v>Medium</v>
      </c>
    </row>
    <row r="928" spans="1:30" x14ac:dyDescent="0.3">
      <c r="A928">
        <v>43</v>
      </c>
      <c r="B928">
        <v>1293</v>
      </c>
      <c r="C928" t="s">
        <v>36</v>
      </c>
      <c r="D928" t="s">
        <v>31</v>
      </c>
      <c r="E928">
        <v>4</v>
      </c>
      <c r="F928">
        <v>4</v>
      </c>
      <c r="G928" t="s">
        <v>50</v>
      </c>
      <c r="H928">
        <v>4</v>
      </c>
      <c r="I928" t="s">
        <v>33</v>
      </c>
      <c r="J928">
        <v>2</v>
      </c>
      <c r="K928">
        <v>3</v>
      </c>
      <c r="L928" t="s">
        <v>34</v>
      </c>
      <c r="M928">
        <v>4</v>
      </c>
      <c r="N928" t="s">
        <v>35</v>
      </c>
      <c r="O928">
        <v>10231</v>
      </c>
      <c r="P928">
        <v>3</v>
      </c>
      <c r="Q928" t="s">
        <v>36</v>
      </c>
      <c r="R928">
        <v>4</v>
      </c>
      <c r="S928">
        <v>23</v>
      </c>
      <c r="T928">
        <v>4</v>
      </c>
      <c r="U928">
        <v>21</v>
      </c>
      <c r="V928">
        <v>7</v>
      </c>
      <c r="W928">
        <v>15</v>
      </c>
      <c r="X928">
        <v>17</v>
      </c>
      <c r="Y928">
        <v>14</v>
      </c>
      <c r="Z928">
        <f>IF(H_A[[#This Row],[Attrition]]="Yes",1,0)</f>
        <v>0</v>
      </c>
      <c r="AA928" t="str">
        <f>IF(H_A[[#This Row],[Age]]&lt;30,"Young",IF(H_A[[#This Row],[Age]]&lt;45,"Mid","Senior"))</f>
        <v>Mid</v>
      </c>
      <c r="AB928" t="str">
        <f>IF(H_A[[#This Row],[MonthlyIncome]]&lt;5000,"Low",IF(H_A[[#This Row],[MonthlyIncome]]&lt;10000,"Medium","High"))</f>
        <v>High</v>
      </c>
      <c r="AC928" t="str">
        <f>IF(H_A[[#This Row],[YearsAtCompany]]&lt;3,"Early",IF(H_A[[#This Row],[YearsAtCompany]]&lt;7,"Mid","Long"))</f>
        <v>Long</v>
      </c>
      <c r="AD928" t="str">
        <f>IF(H_A[[#This Row],[PercentSalaryHike]]&lt;13,"Low",IF(H_A[[#This Row],[PercentSalaryHike]]&lt;18,"Medium","High"))</f>
        <v>Medium</v>
      </c>
    </row>
    <row r="929" spans="1:30" x14ac:dyDescent="0.3">
      <c r="A929">
        <v>36</v>
      </c>
      <c r="B929">
        <v>1294</v>
      </c>
      <c r="C929" t="s">
        <v>36</v>
      </c>
      <c r="D929" t="s">
        <v>37</v>
      </c>
      <c r="E929">
        <v>2</v>
      </c>
      <c r="F929">
        <v>4</v>
      </c>
      <c r="G929" t="s">
        <v>32</v>
      </c>
      <c r="H929">
        <v>3</v>
      </c>
      <c r="I929" t="s">
        <v>33</v>
      </c>
      <c r="J929">
        <v>3</v>
      </c>
      <c r="K929">
        <v>2</v>
      </c>
      <c r="L929" t="s">
        <v>45</v>
      </c>
      <c r="M929">
        <v>2</v>
      </c>
      <c r="N929" t="s">
        <v>35</v>
      </c>
      <c r="O929">
        <v>5410</v>
      </c>
      <c r="P929">
        <v>9</v>
      </c>
      <c r="Q929" t="s">
        <v>30</v>
      </c>
      <c r="R929">
        <v>4</v>
      </c>
      <c r="S929">
        <v>18</v>
      </c>
      <c r="T929">
        <v>3</v>
      </c>
      <c r="U929">
        <v>16</v>
      </c>
      <c r="V929">
        <v>14</v>
      </c>
      <c r="W929">
        <v>5</v>
      </c>
      <c r="X929">
        <v>12</v>
      </c>
      <c r="Y929">
        <v>11</v>
      </c>
      <c r="Z929">
        <f>IF(H_A[[#This Row],[Attrition]]="Yes",1,0)</f>
        <v>0</v>
      </c>
      <c r="AA929" t="str">
        <f>IF(H_A[[#This Row],[Age]]&lt;30,"Young",IF(H_A[[#This Row],[Age]]&lt;45,"Mid","Senior"))</f>
        <v>Mid</v>
      </c>
      <c r="AB929" t="str">
        <f>IF(H_A[[#This Row],[MonthlyIncome]]&lt;5000,"Low",IF(H_A[[#This Row],[MonthlyIncome]]&lt;10000,"Medium","High"))</f>
        <v>Medium</v>
      </c>
      <c r="AC929" t="str">
        <f>IF(H_A[[#This Row],[YearsAtCompany]]&lt;3,"Early",IF(H_A[[#This Row],[YearsAtCompany]]&lt;7,"Mid","Long"))</f>
        <v>Long</v>
      </c>
      <c r="AD929" t="str">
        <f>IF(H_A[[#This Row],[PercentSalaryHike]]&lt;13,"Low",IF(H_A[[#This Row],[PercentSalaryHike]]&lt;18,"Medium","High"))</f>
        <v>Low</v>
      </c>
    </row>
    <row r="930" spans="1:30" x14ac:dyDescent="0.3">
      <c r="A930">
        <v>44</v>
      </c>
      <c r="B930">
        <v>1295</v>
      </c>
      <c r="C930" t="s">
        <v>30</v>
      </c>
      <c r="D930" t="s">
        <v>37</v>
      </c>
      <c r="E930">
        <v>15</v>
      </c>
      <c r="F930">
        <v>3</v>
      </c>
      <c r="G930" t="s">
        <v>43</v>
      </c>
      <c r="H930">
        <v>1</v>
      </c>
      <c r="I930" t="s">
        <v>33</v>
      </c>
      <c r="J930">
        <v>3</v>
      </c>
      <c r="K930">
        <v>3</v>
      </c>
      <c r="L930" t="s">
        <v>46</v>
      </c>
      <c r="M930">
        <v>4</v>
      </c>
      <c r="N930" t="s">
        <v>40</v>
      </c>
      <c r="O930">
        <v>7978</v>
      </c>
      <c r="P930">
        <v>1</v>
      </c>
      <c r="Q930" t="s">
        <v>36</v>
      </c>
      <c r="R930">
        <v>4</v>
      </c>
      <c r="S930">
        <v>10</v>
      </c>
      <c r="T930">
        <v>3</v>
      </c>
      <c r="U930">
        <v>10</v>
      </c>
      <c r="V930">
        <v>7</v>
      </c>
      <c r="W930">
        <v>0</v>
      </c>
      <c r="X930">
        <v>5</v>
      </c>
      <c r="Y930">
        <v>11</v>
      </c>
      <c r="Z930">
        <f>IF(H_A[[#This Row],[Attrition]]="Yes",1,0)</f>
        <v>1</v>
      </c>
      <c r="AA930" t="str">
        <f>IF(H_A[[#This Row],[Age]]&lt;30,"Young",IF(H_A[[#This Row],[Age]]&lt;45,"Mid","Senior"))</f>
        <v>Mid</v>
      </c>
      <c r="AB930" t="str">
        <f>IF(H_A[[#This Row],[MonthlyIncome]]&lt;5000,"Low",IF(H_A[[#This Row],[MonthlyIncome]]&lt;10000,"Medium","High"))</f>
        <v>Medium</v>
      </c>
      <c r="AC930" t="str">
        <f>IF(H_A[[#This Row],[YearsAtCompany]]&lt;3,"Early",IF(H_A[[#This Row],[YearsAtCompany]]&lt;7,"Mid","Long"))</f>
        <v>Long</v>
      </c>
      <c r="AD930" t="str">
        <f>IF(H_A[[#This Row],[PercentSalaryHike]]&lt;13,"Low",IF(H_A[[#This Row],[PercentSalaryHike]]&lt;18,"Medium","High"))</f>
        <v>Low</v>
      </c>
    </row>
    <row r="931" spans="1:30" x14ac:dyDescent="0.3">
      <c r="A931">
        <v>28</v>
      </c>
      <c r="B931">
        <v>1296</v>
      </c>
      <c r="C931" t="s">
        <v>36</v>
      </c>
      <c r="D931" t="s">
        <v>37</v>
      </c>
      <c r="E931">
        <v>2</v>
      </c>
      <c r="F931">
        <v>3</v>
      </c>
      <c r="G931" t="s">
        <v>32</v>
      </c>
      <c r="H931">
        <v>4</v>
      </c>
      <c r="I931" t="s">
        <v>38</v>
      </c>
      <c r="J931">
        <v>2</v>
      </c>
      <c r="K931">
        <v>1</v>
      </c>
      <c r="L931" t="s">
        <v>42</v>
      </c>
      <c r="M931">
        <v>4</v>
      </c>
      <c r="N931" t="s">
        <v>40</v>
      </c>
      <c r="O931">
        <v>3867</v>
      </c>
      <c r="P931">
        <v>1</v>
      </c>
      <c r="Q931" t="s">
        <v>30</v>
      </c>
      <c r="R931">
        <v>2</v>
      </c>
      <c r="S931">
        <v>2</v>
      </c>
      <c r="T931">
        <v>3</v>
      </c>
      <c r="U931">
        <v>2</v>
      </c>
      <c r="V931">
        <v>2</v>
      </c>
      <c r="W931">
        <v>2</v>
      </c>
      <c r="X931">
        <v>2</v>
      </c>
      <c r="Y931">
        <v>12</v>
      </c>
      <c r="Z931">
        <f>IF(H_A[[#This Row],[Attrition]]="Yes",1,0)</f>
        <v>0</v>
      </c>
      <c r="AA931" t="str">
        <f>IF(H_A[[#This Row],[Age]]&lt;30,"Young",IF(H_A[[#This Row],[Age]]&lt;45,"Mid","Senior"))</f>
        <v>Young</v>
      </c>
      <c r="AB931" t="str">
        <f>IF(H_A[[#This Row],[MonthlyIncome]]&lt;5000,"Low",IF(H_A[[#This Row],[MonthlyIncome]]&lt;10000,"Medium","High"))</f>
        <v>Low</v>
      </c>
      <c r="AC931" t="str">
        <f>IF(H_A[[#This Row],[YearsAtCompany]]&lt;3,"Early",IF(H_A[[#This Row],[YearsAtCompany]]&lt;7,"Mid","Long"))</f>
        <v>Early</v>
      </c>
      <c r="AD931" t="str">
        <f>IF(H_A[[#This Row],[PercentSalaryHike]]&lt;13,"Low",IF(H_A[[#This Row],[PercentSalaryHike]]&lt;18,"Medium","High"))</f>
        <v>Low</v>
      </c>
    </row>
    <row r="932" spans="1:30" x14ac:dyDescent="0.3">
      <c r="A932">
        <v>51</v>
      </c>
      <c r="B932">
        <v>1297</v>
      </c>
      <c r="C932" t="s">
        <v>36</v>
      </c>
      <c r="D932" t="s">
        <v>37</v>
      </c>
      <c r="E932">
        <v>6</v>
      </c>
      <c r="F932">
        <v>2</v>
      </c>
      <c r="G932" t="s">
        <v>43</v>
      </c>
      <c r="H932">
        <v>2</v>
      </c>
      <c r="I932" t="s">
        <v>33</v>
      </c>
      <c r="J932">
        <v>2</v>
      </c>
      <c r="K932">
        <v>1</v>
      </c>
      <c r="L932" t="s">
        <v>42</v>
      </c>
      <c r="M932">
        <v>3</v>
      </c>
      <c r="N932" t="s">
        <v>35</v>
      </c>
      <c r="O932">
        <v>2838</v>
      </c>
      <c r="P932">
        <v>0</v>
      </c>
      <c r="Q932" t="s">
        <v>36</v>
      </c>
      <c r="R932">
        <v>2</v>
      </c>
      <c r="S932">
        <v>8</v>
      </c>
      <c r="T932">
        <v>2</v>
      </c>
      <c r="U932">
        <v>7</v>
      </c>
      <c r="V932">
        <v>0</v>
      </c>
      <c r="W932">
        <v>7</v>
      </c>
      <c r="X932">
        <v>7</v>
      </c>
      <c r="Y932">
        <v>14</v>
      </c>
      <c r="Z932">
        <f>IF(H_A[[#This Row],[Attrition]]="Yes",1,0)</f>
        <v>0</v>
      </c>
      <c r="AA932" t="str">
        <f>IF(H_A[[#This Row],[Age]]&lt;30,"Young",IF(H_A[[#This Row],[Age]]&lt;45,"Mid","Senior"))</f>
        <v>Senior</v>
      </c>
      <c r="AB932" t="str">
        <f>IF(H_A[[#This Row],[MonthlyIncome]]&lt;5000,"Low",IF(H_A[[#This Row],[MonthlyIncome]]&lt;10000,"Medium","High"))</f>
        <v>Low</v>
      </c>
      <c r="AC932" t="str">
        <f>IF(H_A[[#This Row],[YearsAtCompany]]&lt;3,"Early",IF(H_A[[#This Row],[YearsAtCompany]]&lt;7,"Mid","Long"))</f>
        <v>Long</v>
      </c>
      <c r="AD932" t="str">
        <f>IF(H_A[[#This Row],[PercentSalaryHike]]&lt;13,"Low",IF(H_A[[#This Row],[PercentSalaryHike]]&lt;18,"Medium","High"))</f>
        <v>Medium</v>
      </c>
    </row>
    <row r="933" spans="1:30" x14ac:dyDescent="0.3">
      <c r="A933">
        <v>30</v>
      </c>
      <c r="B933">
        <v>1298</v>
      </c>
      <c r="C933" t="s">
        <v>36</v>
      </c>
      <c r="D933" t="s">
        <v>37</v>
      </c>
      <c r="E933">
        <v>9</v>
      </c>
      <c r="F933">
        <v>2</v>
      </c>
      <c r="G933" t="s">
        <v>43</v>
      </c>
      <c r="H933">
        <v>3</v>
      </c>
      <c r="I933" t="s">
        <v>33</v>
      </c>
      <c r="J933">
        <v>3</v>
      </c>
      <c r="K933">
        <v>2</v>
      </c>
      <c r="L933" t="s">
        <v>45</v>
      </c>
      <c r="M933">
        <v>3</v>
      </c>
      <c r="N933" t="s">
        <v>35</v>
      </c>
      <c r="O933">
        <v>4695</v>
      </c>
      <c r="P933">
        <v>7</v>
      </c>
      <c r="Q933" t="s">
        <v>30</v>
      </c>
      <c r="R933">
        <v>3</v>
      </c>
      <c r="S933">
        <v>10</v>
      </c>
      <c r="T933">
        <v>3</v>
      </c>
      <c r="U933">
        <v>8</v>
      </c>
      <c r="V933">
        <v>4</v>
      </c>
      <c r="W933">
        <v>1</v>
      </c>
      <c r="X933">
        <v>7</v>
      </c>
      <c r="Y933">
        <v>18</v>
      </c>
      <c r="Z933">
        <f>IF(H_A[[#This Row],[Attrition]]="Yes",1,0)</f>
        <v>0</v>
      </c>
      <c r="AA933" t="str">
        <f>IF(H_A[[#This Row],[Age]]&lt;30,"Young",IF(H_A[[#This Row],[Age]]&lt;45,"Mid","Senior"))</f>
        <v>Mid</v>
      </c>
      <c r="AB933" t="str">
        <f>IF(H_A[[#This Row],[MonthlyIncome]]&lt;5000,"Low",IF(H_A[[#This Row],[MonthlyIncome]]&lt;10000,"Medium","High"))</f>
        <v>Low</v>
      </c>
      <c r="AC933" t="str">
        <f>IF(H_A[[#This Row],[YearsAtCompany]]&lt;3,"Early",IF(H_A[[#This Row],[YearsAtCompany]]&lt;7,"Mid","Long"))</f>
        <v>Long</v>
      </c>
      <c r="AD933" t="str">
        <f>IF(H_A[[#This Row],[PercentSalaryHike]]&lt;13,"Low",IF(H_A[[#This Row],[PercentSalaryHike]]&lt;18,"Medium","High"))</f>
        <v>High</v>
      </c>
    </row>
    <row r="934" spans="1:30" x14ac:dyDescent="0.3">
      <c r="A934">
        <v>29</v>
      </c>
      <c r="B934">
        <v>1299</v>
      </c>
      <c r="C934" t="s">
        <v>30</v>
      </c>
      <c r="D934" t="s">
        <v>37</v>
      </c>
      <c r="E934">
        <v>7</v>
      </c>
      <c r="F934">
        <v>3</v>
      </c>
      <c r="G934" t="s">
        <v>51</v>
      </c>
      <c r="H934">
        <v>2</v>
      </c>
      <c r="I934" t="s">
        <v>33</v>
      </c>
      <c r="J934">
        <v>3</v>
      </c>
      <c r="K934">
        <v>1</v>
      </c>
      <c r="L934" t="s">
        <v>42</v>
      </c>
      <c r="M934">
        <v>3</v>
      </c>
      <c r="N934" t="s">
        <v>44</v>
      </c>
      <c r="O934">
        <v>3339</v>
      </c>
      <c r="P934">
        <v>3</v>
      </c>
      <c r="Q934" t="s">
        <v>30</v>
      </c>
      <c r="R934">
        <v>1</v>
      </c>
      <c r="S934">
        <v>10</v>
      </c>
      <c r="T934">
        <v>3</v>
      </c>
      <c r="U934">
        <v>7</v>
      </c>
      <c r="V934">
        <v>7</v>
      </c>
      <c r="W934">
        <v>7</v>
      </c>
      <c r="X934">
        <v>7</v>
      </c>
      <c r="Y934">
        <v>13</v>
      </c>
      <c r="Z934">
        <f>IF(H_A[[#This Row],[Attrition]]="Yes",1,0)</f>
        <v>1</v>
      </c>
      <c r="AA934" t="str">
        <f>IF(H_A[[#This Row],[Age]]&lt;30,"Young",IF(H_A[[#This Row],[Age]]&lt;45,"Mid","Senior"))</f>
        <v>Young</v>
      </c>
      <c r="AB934" t="str">
        <f>IF(H_A[[#This Row],[MonthlyIncome]]&lt;5000,"Low",IF(H_A[[#This Row],[MonthlyIncome]]&lt;10000,"Medium","High"))</f>
        <v>Low</v>
      </c>
      <c r="AC934" t="str">
        <f>IF(H_A[[#This Row],[YearsAtCompany]]&lt;3,"Early",IF(H_A[[#This Row],[YearsAtCompany]]&lt;7,"Mid","Long"))</f>
        <v>Long</v>
      </c>
      <c r="AD934" t="str">
        <f>IF(H_A[[#This Row],[PercentSalaryHike]]&lt;13,"Low",IF(H_A[[#This Row],[PercentSalaryHike]]&lt;18,"Medium","High"))</f>
        <v>Medium</v>
      </c>
    </row>
    <row r="935" spans="1:30" x14ac:dyDescent="0.3">
      <c r="A935">
        <v>28</v>
      </c>
      <c r="B935">
        <v>1301</v>
      </c>
      <c r="C935" t="s">
        <v>36</v>
      </c>
      <c r="D935" t="s">
        <v>37</v>
      </c>
      <c r="E935">
        <v>1</v>
      </c>
      <c r="F935">
        <v>3</v>
      </c>
      <c r="G935" t="s">
        <v>51</v>
      </c>
      <c r="H935">
        <v>4</v>
      </c>
      <c r="I935" t="s">
        <v>38</v>
      </c>
      <c r="J935">
        <v>3</v>
      </c>
      <c r="K935">
        <v>1</v>
      </c>
      <c r="L935" t="s">
        <v>39</v>
      </c>
      <c r="M935">
        <v>1</v>
      </c>
      <c r="N935" t="s">
        <v>35</v>
      </c>
      <c r="O935">
        <v>2080</v>
      </c>
      <c r="P935">
        <v>2</v>
      </c>
      <c r="Q935" t="s">
        <v>36</v>
      </c>
      <c r="R935">
        <v>2</v>
      </c>
      <c r="S935">
        <v>5</v>
      </c>
      <c r="T935">
        <v>2</v>
      </c>
      <c r="U935">
        <v>3</v>
      </c>
      <c r="V935">
        <v>2</v>
      </c>
      <c r="W935">
        <v>1</v>
      </c>
      <c r="X935">
        <v>2</v>
      </c>
      <c r="Y935">
        <v>11</v>
      </c>
      <c r="Z935">
        <f>IF(H_A[[#This Row],[Attrition]]="Yes",1,0)</f>
        <v>0</v>
      </c>
      <c r="AA935" t="str">
        <f>IF(H_A[[#This Row],[Age]]&lt;30,"Young",IF(H_A[[#This Row],[Age]]&lt;45,"Mid","Senior"))</f>
        <v>Young</v>
      </c>
      <c r="AB935" t="str">
        <f>IF(H_A[[#This Row],[MonthlyIncome]]&lt;5000,"Low",IF(H_A[[#This Row],[MonthlyIncome]]&lt;10000,"Medium","High"))</f>
        <v>Low</v>
      </c>
      <c r="AC935" t="str">
        <f>IF(H_A[[#This Row],[YearsAtCompany]]&lt;3,"Early",IF(H_A[[#This Row],[YearsAtCompany]]&lt;7,"Mid","Long"))</f>
        <v>Mid</v>
      </c>
      <c r="AD935" t="str">
        <f>IF(H_A[[#This Row],[PercentSalaryHike]]&lt;13,"Low",IF(H_A[[#This Row],[PercentSalaryHike]]&lt;18,"Medium","High"))</f>
        <v>Low</v>
      </c>
    </row>
    <row r="936" spans="1:30" x14ac:dyDescent="0.3">
      <c r="A936">
        <v>25</v>
      </c>
      <c r="B936">
        <v>1303</v>
      </c>
      <c r="C936" t="s">
        <v>36</v>
      </c>
      <c r="D936" t="s">
        <v>37</v>
      </c>
      <c r="E936">
        <v>1</v>
      </c>
      <c r="F936">
        <v>3</v>
      </c>
      <c r="G936" t="s">
        <v>43</v>
      </c>
      <c r="H936">
        <v>4</v>
      </c>
      <c r="I936" t="s">
        <v>33</v>
      </c>
      <c r="J936">
        <v>3</v>
      </c>
      <c r="K936">
        <v>1</v>
      </c>
      <c r="L936" t="s">
        <v>39</v>
      </c>
      <c r="M936">
        <v>2</v>
      </c>
      <c r="N936" t="s">
        <v>35</v>
      </c>
      <c r="O936">
        <v>2096</v>
      </c>
      <c r="P936">
        <v>1</v>
      </c>
      <c r="Q936" t="s">
        <v>36</v>
      </c>
      <c r="R936">
        <v>4</v>
      </c>
      <c r="S936">
        <v>2</v>
      </c>
      <c r="T936">
        <v>2</v>
      </c>
      <c r="U936">
        <v>2</v>
      </c>
      <c r="V936">
        <v>2</v>
      </c>
      <c r="W936">
        <v>2</v>
      </c>
      <c r="X936">
        <v>1</v>
      </c>
      <c r="Y936">
        <v>18</v>
      </c>
      <c r="Z936">
        <f>IF(H_A[[#This Row],[Attrition]]="Yes",1,0)</f>
        <v>0</v>
      </c>
      <c r="AA936" t="str">
        <f>IF(H_A[[#This Row],[Age]]&lt;30,"Young",IF(H_A[[#This Row],[Age]]&lt;45,"Mid","Senior"))</f>
        <v>Young</v>
      </c>
      <c r="AB936" t="str">
        <f>IF(H_A[[#This Row],[MonthlyIncome]]&lt;5000,"Low",IF(H_A[[#This Row],[MonthlyIncome]]&lt;10000,"Medium","High"))</f>
        <v>Low</v>
      </c>
      <c r="AC936" t="str">
        <f>IF(H_A[[#This Row],[YearsAtCompany]]&lt;3,"Early",IF(H_A[[#This Row],[YearsAtCompany]]&lt;7,"Mid","Long"))</f>
        <v>Early</v>
      </c>
      <c r="AD936" t="str">
        <f>IF(H_A[[#This Row],[PercentSalaryHike]]&lt;13,"Low",IF(H_A[[#This Row],[PercentSalaryHike]]&lt;18,"Medium","High"))</f>
        <v>High</v>
      </c>
    </row>
    <row r="937" spans="1:30" x14ac:dyDescent="0.3">
      <c r="A937">
        <v>32</v>
      </c>
      <c r="B937">
        <v>1304</v>
      </c>
      <c r="C937" t="s">
        <v>36</v>
      </c>
      <c r="D937" t="s">
        <v>31</v>
      </c>
      <c r="E937">
        <v>8</v>
      </c>
      <c r="F937">
        <v>3</v>
      </c>
      <c r="G937" t="s">
        <v>43</v>
      </c>
      <c r="H937">
        <v>3</v>
      </c>
      <c r="I937" t="s">
        <v>38</v>
      </c>
      <c r="J937">
        <v>4</v>
      </c>
      <c r="K937">
        <v>2</v>
      </c>
      <c r="L937" t="s">
        <v>34</v>
      </c>
      <c r="M937">
        <v>4</v>
      </c>
      <c r="N937" t="s">
        <v>40</v>
      </c>
      <c r="O937">
        <v>6209</v>
      </c>
      <c r="P937">
        <v>1</v>
      </c>
      <c r="Q937" t="s">
        <v>36</v>
      </c>
      <c r="R937">
        <v>3</v>
      </c>
      <c r="S937">
        <v>10</v>
      </c>
      <c r="T937">
        <v>4</v>
      </c>
      <c r="U937">
        <v>10</v>
      </c>
      <c r="V937">
        <v>7</v>
      </c>
      <c r="W937">
        <v>0</v>
      </c>
      <c r="X937">
        <v>8</v>
      </c>
      <c r="Y937">
        <v>15</v>
      </c>
      <c r="Z937">
        <f>IF(H_A[[#This Row],[Attrition]]="Yes",1,0)</f>
        <v>0</v>
      </c>
      <c r="AA937" t="str">
        <f>IF(H_A[[#This Row],[Age]]&lt;30,"Young",IF(H_A[[#This Row],[Age]]&lt;45,"Mid","Senior"))</f>
        <v>Mid</v>
      </c>
      <c r="AB937" t="str">
        <f>IF(H_A[[#This Row],[MonthlyIncome]]&lt;5000,"Low",IF(H_A[[#This Row],[MonthlyIncome]]&lt;10000,"Medium","High"))</f>
        <v>Medium</v>
      </c>
      <c r="AC937" t="str">
        <f>IF(H_A[[#This Row],[YearsAtCompany]]&lt;3,"Early",IF(H_A[[#This Row],[YearsAtCompany]]&lt;7,"Mid","Long"))</f>
        <v>Long</v>
      </c>
      <c r="AD937" t="str">
        <f>IF(H_A[[#This Row],[PercentSalaryHike]]&lt;13,"Low",IF(H_A[[#This Row],[PercentSalaryHike]]&lt;18,"Medium","High"))</f>
        <v>Medium</v>
      </c>
    </row>
    <row r="938" spans="1:30" x14ac:dyDescent="0.3">
      <c r="A938">
        <v>45</v>
      </c>
      <c r="B938">
        <v>1306</v>
      </c>
      <c r="C938" t="s">
        <v>36</v>
      </c>
      <c r="D938" t="s">
        <v>37</v>
      </c>
      <c r="E938">
        <v>25</v>
      </c>
      <c r="F938">
        <v>3</v>
      </c>
      <c r="G938" t="s">
        <v>43</v>
      </c>
      <c r="H938">
        <v>2</v>
      </c>
      <c r="I938" t="s">
        <v>33</v>
      </c>
      <c r="J938">
        <v>3</v>
      </c>
      <c r="K938">
        <v>5</v>
      </c>
      <c r="L938" t="s">
        <v>47</v>
      </c>
      <c r="M938">
        <v>2</v>
      </c>
      <c r="N938" t="s">
        <v>35</v>
      </c>
      <c r="O938">
        <v>18061</v>
      </c>
      <c r="P938">
        <v>3</v>
      </c>
      <c r="Q938" t="s">
        <v>36</v>
      </c>
      <c r="R938">
        <v>3</v>
      </c>
      <c r="S938">
        <v>22</v>
      </c>
      <c r="T938">
        <v>3</v>
      </c>
      <c r="U938">
        <v>0</v>
      </c>
      <c r="V938">
        <v>0</v>
      </c>
      <c r="W938">
        <v>0</v>
      </c>
      <c r="X938">
        <v>0</v>
      </c>
      <c r="Y938">
        <v>22</v>
      </c>
      <c r="Z938">
        <f>IF(H_A[[#This Row],[Attrition]]="Yes",1,0)</f>
        <v>0</v>
      </c>
      <c r="AA938" t="str">
        <f>IF(H_A[[#This Row],[Age]]&lt;30,"Young",IF(H_A[[#This Row],[Age]]&lt;45,"Mid","Senior"))</f>
        <v>Senior</v>
      </c>
      <c r="AB938" t="str">
        <f>IF(H_A[[#This Row],[MonthlyIncome]]&lt;5000,"Low",IF(H_A[[#This Row],[MonthlyIncome]]&lt;10000,"Medium","High"))</f>
        <v>High</v>
      </c>
      <c r="AC938" t="str">
        <f>IF(H_A[[#This Row],[YearsAtCompany]]&lt;3,"Early",IF(H_A[[#This Row],[YearsAtCompany]]&lt;7,"Mid","Long"))</f>
        <v>Early</v>
      </c>
      <c r="AD938" t="str">
        <f>IF(H_A[[#This Row],[PercentSalaryHike]]&lt;13,"Low",IF(H_A[[#This Row],[PercentSalaryHike]]&lt;18,"Medium","High"))</f>
        <v>High</v>
      </c>
    </row>
    <row r="939" spans="1:30" x14ac:dyDescent="0.3">
      <c r="A939">
        <v>39</v>
      </c>
      <c r="B939">
        <v>1307</v>
      </c>
      <c r="C939" t="s">
        <v>36</v>
      </c>
      <c r="D939" t="s">
        <v>37</v>
      </c>
      <c r="E939">
        <v>13</v>
      </c>
      <c r="F939">
        <v>4</v>
      </c>
      <c r="G939" t="s">
        <v>43</v>
      </c>
      <c r="H939">
        <v>3</v>
      </c>
      <c r="I939" t="s">
        <v>33</v>
      </c>
      <c r="J939">
        <v>2</v>
      </c>
      <c r="K939">
        <v>4</v>
      </c>
      <c r="L939" t="s">
        <v>47</v>
      </c>
      <c r="M939">
        <v>2</v>
      </c>
      <c r="N939" t="s">
        <v>44</v>
      </c>
      <c r="O939">
        <v>17123</v>
      </c>
      <c r="P939">
        <v>6</v>
      </c>
      <c r="Q939" t="s">
        <v>30</v>
      </c>
      <c r="R939">
        <v>4</v>
      </c>
      <c r="S939">
        <v>21</v>
      </c>
      <c r="T939">
        <v>3</v>
      </c>
      <c r="U939">
        <v>19</v>
      </c>
      <c r="V939">
        <v>9</v>
      </c>
      <c r="W939">
        <v>15</v>
      </c>
      <c r="X939">
        <v>2</v>
      </c>
      <c r="Y939">
        <v>13</v>
      </c>
      <c r="Z939">
        <f>IF(H_A[[#This Row],[Attrition]]="Yes",1,0)</f>
        <v>0</v>
      </c>
      <c r="AA939" t="str">
        <f>IF(H_A[[#This Row],[Age]]&lt;30,"Young",IF(H_A[[#This Row],[Age]]&lt;45,"Mid","Senior"))</f>
        <v>Mid</v>
      </c>
      <c r="AB939" t="str">
        <f>IF(H_A[[#This Row],[MonthlyIncome]]&lt;5000,"Low",IF(H_A[[#This Row],[MonthlyIncome]]&lt;10000,"Medium","High"))</f>
        <v>High</v>
      </c>
      <c r="AC939" t="str">
        <f>IF(H_A[[#This Row],[YearsAtCompany]]&lt;3,"Early",IF(H_A[[#This Row],[YearsAtCompany]]&lt;7,"Mid","Long"))</f>
        <v>Long</v>
      </c>
      <c r="AD939" t="str">
        <f>IF(H_A[[#This Row],[PercentSalaryHike]]&lt;13,"Low",IF(H_A[[#This Row],[PercentSalaryHike]]&lt;18,"Medium","High"))</f>
        <v>Medium</v>
      </c>
    </row>
    <row r="940" spans="1:30" x14ac:dyDescent="0.3">
      <c r="A940">
        <v>58</v>
      </c>
      <c r="B940">
        <v>1308</v>
      </c>
      <c r="C940" t="s">
        <v>36</v>
      </c>
      <c r="D940" t="s">
        <v>37</v>
      </c>
      <c r="E940">
        <v>23</v>
      </c>
      <c r="F940">
        <v>4</v>
      </c>
      <c r="G940" t="s">
        <v>32</v>
      </c>
      <c r="H940">
        <v>1</v>
      </c>
      <c r="I940" t="s">
        <v>38</v>
      </c>
      <c r="J940">
        <v>3</v>
      </c>
      <c r="K940">
        <v>1</v>
      </c>
      <c r="L940" t="s">
        <v>39</v>
      </c>
      <c r="M940">
        <v>3</v>
      </c>
      <c r="N940" t="s">
        <v>44</v>
      </c>
      <c r="O940">
        <v>2372</v>
      </c>
      <c r="P940">
        <v>1</v>
      </c>
      <c r="Q940" t="s">
        <v>36</v>
      </c>
      <c r="R940">
        <v>4</v>
      </c>
      <c r="S940">
        <v>2</v>
      </c>
      <c r="T940">
        <v>3</v>
      </c>
      <c r="U940">
        <v>2</v>
      </c>
      <c r="V940">
        <v>2</v>
      </c>
      <c r="W940">
        <v>2</v>
      </c>
      <c r="X940">
        <v>2</v>
      </c>
      <c r="Y940">
        <v>12</v>
      </c>
      <c r="Z940">
        <f>IF(H_A[[#This Row],[Attrition]]="Yes",1,0)</f>
        <v>0</v>
      </c>
      <c r="AA940" t="str">
        <f>IF(H_A[[#This Row],[Age]]&lt;30,"Young",IF(H_A[[#This Row],[Age]]&lt;45,"Mid","Senior"))</f>
        <v>Senior</v>
      </c>
      <c r="AB940" t="str">
        <f>IF(H_A[[#This Row],[MonthlyIncome]]&lt;5000,"Low",IF(H_A[[#This Row],[MonthlyIncome]]&lt;10000,"Medium","High"))</f>
        <v>Low</v>
      </c>
      <c r="AC940" t="str">
        <f>IF(H_A[[#This Row],[YearsAtCompany]]&lt;3,"Early",IF(H_A[[#This Row],[YearsAtCompany]]&lt;7,"Mid","Long"))</f>
        <v>Early</v>
      </c>
      <c r="AD940" t="str">
        <f>IF(H_A[[#This Row],[PercentSalaryHike]]&lt;13,"Low",IF(H_A[[#This Row],[PercentSalaryHike]]&lt;18,"Medium","High"))</f>
        <v>Low</v>
      </c>
    </row>
    <row r="941" spans="1:30" x14ac:dyDescent="0.3">
      <c r="A941">
        <v>32</v>
      </c>
      <c r="B941">
        <v>1309</v>
      </c>
      <c r="C941" t="s">
        <v>30</v>
      </c>
      <c r="D941" t="s">
        <v>37</v>
      </c>
      <c r="E941">
        <v>7</v>
      </c>
      <c r="F941">
        <v>2</v>
      </c>
      <c r="G941" t="s">
        <v>32</v>
      </c>
      <c r="H941">
        <v>4</v>
      </c>
      <c r="I941" t="s">
        <v>38</v>
      </c>
      <c r="J941">
        <v>3</v>
      </c>
      <c r="K941">
        <v>2</v>
      </c>
      <c r="L941" t="s">
        <v>42</v>
      </c>
      <c r="M941">
        <v>3</v>
      </c>
      <c r="N941" t="s">
        <v>40</v>
      </c>
      <c r="O941">
        <v>4883</v>
      </c>
      <c r="P941">
        <v>1</v>
      </c>
      <c r="Q941" t="s">
        <v>36</v>
      </c>
      <c r="R941">
        <v>1</v>
      </c>
      <c r="S941">
        <v>10</v>
      </c>
      <c r="T941">
        <v>3</v>
      </c>
      <c r="U941">
        <v>10</v>
      </c>
      <c r="V941">
        <v>4</v>
      </c>
      <c r="W941">
        <v>1</v>
      </c>
      <c r="X941">
        <v>1</v>
      </c>
      <c r="Y941">
        <v>18</v>
      </c>
      <c r="Z941">
        <f>IF(H_A[[#This Row],[Attrition]]="Yes",1,0)</f>
        <v>1</v>
      </c>
      <c r="AA941" t="str">
        <f>IF(H_A[[#This Row],[Age]]&lt;30,"Young",IF(H_A[[#This Row],[Age]]&lt;45,"Mid","Senior"))</f>
        <v>Mid</v>
      </c>
      <c r="AB941" t="str">
        <f>IF(H_A[[#This Row],[MonthlyIncome]]&lt;5000,"Low",IF(H_A[[#This Row],[MonthlyIncome]]&lt;10000,"Medium","High"))</f>
        <v>Low</v>
      </c>
      <c r="AC941" t="str">
        <f>IF(H_A[[#This Row],[YearsAtCompany]]&lt;3,"Early",IF(H_A[[#This Row],[YearsAtCompany]]&lt;7,"Mid","Long"))</f>
        <v>Long</v>
      </c>
      <c r="AD941" t="str">
        <f>IF(H_A[[#This Row],[PercentSalaryHike]]&lt;13,"Low",IF(H_A[[#This Row],[PercentSalaryHike]]&lt;18,"Medium","High"))</f>
        <v>High</v>
      </c>
    </row>
    <row r="942" spans="1:30" x14ac:dyDescent="0.3">
      <c r="A942">
        <v>39</v>
      </c>
      <c r="B942">
        <v>1310</v>
      </c>
      <c r="C942" t="s">
        <v>30</v>
      </c>
      <c r="D942" t="s">
        <v>37</v>
      </c>
      <c r="E942">
        <v>23</v>
      </c>
      <c r="F942">
        <v>3</v>
      </c>
      <c r="G942" t="s">
        <v>43</v>
      </c>
      <c r="H942">
        <v>3</v>
      </c>
      <c r="I942" t="s">
        <v>38</v>
      </c>
      <c r="J942">
        <v>3</v>
      </c>
      <c r="K942">
        <v>1</v>
      </c>
      <c r="L942" t="s">
        <v>39</v>
      </c>
      <c r="M942">
        <v>1</v>
      </c>
      <c r="N942" t="s">
        <v>35</v>
      </c>
      <c r="O942">
        <v>3904</v>
      </c>
      <c r="P942">
        <v>0</v>
      </c>
      <c r="Q942" t="s">
        <v>36</v>
      </c>
      <c r="R942">
        <v>1</v>
      </c>
      <c r="S942">
        <v>6</v>
      </c>
      <c r="T942">
        <v>3</v>
      </c>
      <c r="U942">
        <v>5</v>
      </c>
      <c r="V942">
        <v>2</v>
      </c>
      <c r="W942">
        <v>0</v>
      </c>
      <c r="X942">
        <v>3</v>
      </c>
      <c r="Y942">
        <v>13</v>
      </c>
      <c r="Z942">
        <f>IF(H_A[[#This Row],[Attrition]]="Yes",1,0)</f>
        <v>1</v>
      </c>
      <c r="AA942" t="str">
        <f>IF(H_A[[#This Row],[Age]]&lt;30,"Young",IF(H_A[[#This Row],[Age]]&lt;45,"Mid","Senior"))</f>
        <v>Mid</v>
      </c>
      <c r="AB942" t="str">
        <f>IF(H_A[[#This Row],[MonthlyIncome]]&lt;5000,"Low",IF(H_A[[#This Row],[MonthlyIncome]]&lt;10000,"Medium","High"))</f>
        <v>Low</v>
      </c>
      <c r="AC942" t="str">
        <f>IF(H_A[[#This Row],[YearsAtCompany]]&lt;3,"Early",IF(H_A[[#This Row],[YearsAtCompany]]&lt;7,"Mid","Long"))</f>
        <v>Mid</v>
      </c>
      <c r="AD942" t="str">
        <f>IF(H_A[[#This Row],[PercentSalaryHike]]&lt;13,"Low",IF(H_A[[#This Row],[PercentSalaryHike]]&lt;18,"Medium","High"))</f>
        <v>Medium</v>
      </c>
    </row>
    <row r="943" spans="1:30" x14ac:dyDescent="0.3">
      <c r="A943">
        <v>30</v>
      </c>
      <c r="B943">
        <v>1311</v>
      </c>
      <c r="C943" t="s">
        <v>36</v>
      </c>
      <c r="D943" t="s">
        <v>37</v>
      </c>
      <c r="E943">
        <v>6</v>
      </c>
      <c r="F943">
        <v>3</v>
      </c>
      <c r="G943" t="s">
        <v>51</v>
      </c>
      <c r="H943">
        <v>1</v>
      </c>
      <c r="I943" t="s">
        <v>33</v>
      </c>
      <c r="J943">
        <v>2</v>
      </c>
      <c r="K943">
        <v>2</v>
      </c>
      <c r="L943" t="s">
        <v>42</v>
      </c>
      <c r="M943">
        <v>4</v>
      </c>
      <c r="N943" t="s">
        <v>40</v>
      </c>
      <c r="O943">
        <v>4627</v>
      </c>
      <c r="P943">
        <v>0</v>
      </c>
      <c r="Q943" t="s">
        <v>36</v>
      </c>
      <c r="R943">
        <v>1</v>
      </c>
      <c r="S943">
        <v>10</v>
      </c>
      <c r="T943">
        <v>3</v>
      </c>
      <c r="U943">
        <v>9</v>
      </c>
      <c r="V943">
        <v>2</v>
      </c>
      <c r="W943">
        <v>6</v>
      </c>
      <c r="X943">
        <v>7</v>
      </c>
      <c r="Y943">
        <v>12</v>
      </c>
      <c r="Z943">
        <f>IF(H_A[[#This Row],[Attrition]]="Yes",1,0)</f>
        <v>0</v>
      </c>
      <c r="AA943" t="str">
        <f>IF(H_A[[#This Row],[Age]]&lt;30,"Young",IF(H_A[[#This Row],[Age]]&lt;45,"Mid","Senior"))</f>
        <v>Mid</v>
      </c>
      <c r="AB943" t="str">
        <f>IF(H_A[[#This Row],[MonthlyIncome]]&lt;5000,"Low",IF(H_A[[#This Row],[MonthlyIncome]]&lt;10000,"Medium","High"))</f>
        <v>Low</v>
      </c>
      <c r="AC943" t="str">
        <f>IF(H_A[[#This Row],[YearsAtCompany]]&lt;3,"Early",IF(H_A[[#This Row],[YearsAtCompany]]&lt;7,"Mid","Long"))</f>
        <v>Long</v>
      </c>
      <c r="AD943" t="str">
        <f>IF(H_A[[#This Row],[PercentSalaryHike]]&lt;13,"Low",IF(H_A[[#This Row],[PercentSalaryHike]]&lt;18,"Medium","High"))</f>
        <v>Low</v>
      </c>
    </row>
    <row r="944" spans="1:30" x14ac:dyDescent="0.3">
      <c r="A944">
        <v>36</v>
      </c>
      <c r="B944">
        <v>1312</v>
      </c>
      <c r="C944" t="s">
        <v>36</v>
      </c>
      <c r="D944" t="s">
        <v>37</v>
      </c>
      <c r="E944">
        <v>10</v>
      </c>
      <c r="F944">
        <v>4</v>
      </c>
      <c r="G944" t="s">
        <v>51</v>
      </c>
      <c r="H944">
        <v>4</v>
      </c>
      <c r="I944" t="s">
        <v>33</v>
      </c>
      <c r="J944">
        <v>3</v>
      </c>
      <c r="K944">
        <v>3</v>
      </c>
      <c r="L944" t="s">
        <v>46</v>
      </c>
      <c r="M944">
        <v>3</v>
      </c>
      <c r="N944" t="s">
        <v>40</v>
      </c>
      <c r="O944">
        <v>7094</v>
      </c>
      <c r="P944">
        <v>3</v>
      </c>
      <c r="Q944" t="s">
        <v>36</v>
      </c>
      <c r="R944">
        <v>1</v>
      </c>
      <c r="S944">
        <v>10</v>
      </c>
      <c r="T944">
        <v>3</v>
      </c>
      <c r="U944">
        <v>7</v>
      </c>
      <c r="V944">
        <v>7</v>
      </c>
      <c r="W944">
        <v>1</v>
      </c>
      <c r="X944">
        <v>7</v>
      </c>
      <c r="Y944">
        <v>12</v>
      </c>
      <c r="Z944">
        <f>IF(H_A[[#This Row],[Attrition]]="Yes",1,0)</f>
        <v>0</v>
      </c>
      <c r="AA944" t="str">
        <f>IF(H_A[[#This Row],[Age]]&lt;30,"Young",IF(H_A[[#This Row],[Age]]&lt;45,"Mid","Senior"))</f>
        <v>Mid</v>
      </c>
      <c r="AB944" t="str">
        <f>IF(H_A[[#This Row],[MonthlyIncome]]&lt;5000,"Low",IF(H_A[[#This Row],[MonthlyIncome]]&lt;10000,"Medium","High"))</f>
        <v>Medium</v>
      </c>
      <c r="AC944" t="str">
        <f>IF(H_A[[#This Row],[YearsAtCompany]]&lt;3,"Early",IF(H_A[[#This Row],[YearsAtCompany]]&lt;7,"Mid","Long"))</f>
        <v>Long</v>
      </c>
      <c r="AD944" t="str">
        <f>IF(H_A[[#This Row],[PercentSalaryHike]]&lt;13,"Low",IF(H_A[[#This Row],[PercentSalaryHike]]&lt;18,"Medium","High"))</f>
        <v>Low</v>
      </c>
    </row>
    <row r="945" spans="1:30" x14ac:dyDescent="0.3">
      <c r="A945">
        <v>46</v>
      </c>
      <c r="B945">
        <v>1314</v>
      </c>
      <c r="C945" t="s">
        <v>36</v>
      </c>
      <c r="D945" t="s">
        <v>52</v>
      </c>
      <c r="E945">
        <v>1</v>
      </c>
      <c r="F945">
        <v>2</v>
      </c>
      <c r="G945" t="s">
        <v>32</v>
      </c>
      <c r="H945">
        <v>4</v>
      </c>
      <c r="I945" t="s">
        <v>33</v>
      </c>
      <c r="J945">
        <v>3</v>
      </c>
      <c r="K945">
        <v>1</v>
      </c>
      <c r="L945" t="s">
        <v>52</v>
      </c>
      <c r="M945">
        <v>1</v>
      </c>
      <c r="N945" t="s">
        <v>35</v>
      </c>
      <c r="O945">
        <v>3423</v>
      </c>
      <c r="P945">
        <v>6</v>
      </c>
      <c r="Q945" t="s">
        <v>36</v>
      </c>
      <c r="R945">
        <v>3</v>
      </c>
      <c r="S945">
        <v>10</v>
      </c>
      <c r="T945">
        <v>4</v>
      </c>
      <c r="U945">
        <v>7</v>
      </c>
      <c r="V945">
        <v>6</v>
      </c>
      <c r="W945">
        <v>5</v>
      </c>
      <c r="X945">
        <v>7</v>
      </c>
      <c r="Y945">
        <v>12</v>
      </c>
      <c r="Z945">
        <f>IF(H_A[[#This Row],[Attrition]]="Yes",1,0)</f>
        <v>0</v>
      </c>
      <c r="AA945" t="str">
        <f>IF(H_A[[#This Row],[Age]]&lt;30,"Young",IF(H_A[[#This Row],[Age]]&lt;45,"Mid","Senior"))</f>
        <v>Senior</v>
      </c>
      <c r="AB945" t="str">
        <f>IF(H_A[[#This Row],[MonthlyIncome]]&lt;5000,"Low",IF(H_A[[#This Row],[MonthlyIncome]]&lt;10000,"Medium","High"))</f>
        <v>Low</v>
      </c>
      <c r="AC945" t="str">
        <f>IF(H_A[[#This Row],[YearsAtCompany]]&lt;3,"Early",IF(H_A[[#This Row],[YearsAtCompany]]&lt;7,"Mid","Long"))</f>
        <v>Long</v>
      </c>
      <c r="AD945" t="str">
        <f>IF(H_A[[#This Row],[PercentSalaryHike]]&lt;13,"Low",IF(H_A[[#This Row],[PercentSalaryHike]]&lt;18,"Medium","High"))</f>
        <v>Low</v>
      </c>
    </row>
    <row r="946" spans="1:30" x14ac:dyDescent="0.3">
      <c r="A946">
        <v>28</v>
      </c>
      <c r="B946">
        <v>1315</v>
      </c>
      <c r="C946" t="s">
        <v>36</v>
      </c>
      <c r="D946" t="s">
        <v>37</v>
      </c>
      <c r="E946">
        <v>1</v>
      </c>
      <c r="F946">
        <v>3</v>
      </c>
      <c r="G946" t="s">
        <v>32</v>
      </c>
      <c r="H946">
        <v>3</v>
      </c>
      <c r="I946" t="s">
        <v>33</v>
      </c>
      <c r="J946">
        <v>1</v>
      </c>
      <c r="K946">
        <v>2</v>
      </c>
      <c r="L946" t="s">
        <v>42</v>
      </c>
      <c r="M946">
        <v>4</v>
      </c>
      <c r="N946" t="s">
        <v>40</v>
      </c>
      <c r="O946">
        <v>6674</v>
      </c>
      <c r="P946">
        <v>0</v>
      </c>
      <c r="Q946" t="s">
        <v>36</v>
      </c>
      <c r="R946">
        <v>1</v>
      </c>
      <c r="S946">
        <v>10</v>
      </c>
      <c r="T946">
        <v>3</v>
      </c>
      <c r="U946">
        <v>9</v>
      </c>
      <c r="V946">
        <v>8</v>
      </c>
      <c r="W946">
        <v>7</v>
      </c>
      <c r="X946">
        <v>5</v>
      </c>
      <c r="Y946">
        <v>11</v>
      </c>
      <c r="Z946">
        <f>IF(H_A[[#This Row],[Attrition]]="Yes",1,0)</f>
        <v>0</v>
      </c>
      <c r="AA946" t="str">
        <f>IF(H_A[[#This Row],[Age]]&lt;30,"Young",IF(H_A[[#This Row],[Age]]&lt;45,"Mid","Senior"))</f>
        <v>Young</v>
      </c>
      <c r="AB946" t="str">
        <f>IF(H_A[[#This Row],[MonthlyIncome]]&lt;5000,"Low",IF(H_A[[#This Row],[MonthlyIncome]]&lt;10000,"Medium","High"))</f>
        <v>Medium</v>
      </c>
      <c r="AC946" t="str">
        <f>IF(H_A[[#This Row],[YearsAtCompany]]&lt;3,"Early",IF(H_A[[#This Row],[YearsAtCompany]]&lt;7,"Mid","Long"))</f>
        <v>Long</v>
      </c>
      <c r="AD946" t="str">
        <f>IF(H_A[[#This Row],[PercentSalaryHike]]&lt;13,"Low",IF(H_A[[#This Row],[PercentSalaryHike]]&lt;18,"Medium","High"))</f>
        <v>Low</v>
      </c>
    </row>
    <row r="947" spans="1:30" x14ac:dyDescent="0.3">
      <c r="A947">
        <v>50</v>
      </c>
      <c r="B947">
        <v>1317</v>
      </c>
      <c r="C947" t="s">
        <v>36</v>
      </c>
      <c r="D947" t="s">
        <v>37</v>
      </c>
      <c r="E947">
        <v>28</v>
      </c>
      <c r="F947">
        <v>3</v>
      </c>
      <c r="G947" t="s">
        <v>32</v>
      </c>
      <c r="H947">
        <v>4</v>
      </c>
      <c r="I947" t="s">
        <v>33</v>
      </c>
      <c r="J947">
        <v>3</v>
      </c>
      <c r="K947">
        <v>4</v>
      </c>
      <c r="L947" t="s">
        <v>49</v>
      </c>
      <c r="M947">
        <v>1</v>
      </c>
      <c r="N947" t="s">
        <v>40</v>
      </c>
      <c r="O947">
        <v>16880</v>
      </c>
      <c r="P947">
        <v>4</v>
      </c>
      <c r="Q947" t="s">
        <v>30</v>
      </c>
      <c r="R947">
        <v>2</v>
      </c>
      <c r="S947">
        <v>25</v>
      </c>
      <c r="T947">
        <v>3</v>
      </c>
      <c r="U947">
        <v>3</v>
      </c>
      <c r="V947">
        <v>2</v>
      </c>
      <c r="W947">
        <v>1</v>
      </c>
      <c r="X947">
        <v>2</v>
      </c>
      <c r="Y947">
        <v>11</v>
      </c>
      <c r="Z947">
        <f>IF(H_A[[#This Row],[Attrition]]="Yes",1,0)</f>
        <v>0</v>
      </c>
      <c r="AA947" t="str">
        <f>IF(H_A[[#This Row],[Age]]&lt;30,"Young",IF(H_A[[#This Row],[Age]]&lt;45,"Mid","Senior"))</f>
        <v>Senior</v>
      </c>
      <c r="AB947" t="str">
        <f>IF(H_A[[#This Row],[MonthlyIncome]]&lt;5000,"Low",IF(H_A[[#This Row],[MonthlyIncome]]&lt;10000,"Medium","High"))</f>
        <v>High</v>
      </c>
      <c r="AC947" t="str">
        <f>IF(H_A[[#This Row],[YearsAtCompany]]&lt;3,"Early",IF(H_A[[#This Row],[YearsAtCompany]]&lt;7,"Mid","Long"))</f>
        <v>Mid</v>
      </c>
      <c r="AD947" t="str">
        <f>IF(H_A[[#This Row],[PercentSalaryHike]]&lt;13,"Low",IF(H_A[[#This Row],[PercentSalaryHike]]&lt;18,"Medium","High"))</f>
        <v>Low</v>
      </c>
    </row>
    <row r="948" spans="1:30" x14ac:dyDescent="0.3">
      <c r="A948">
        <v>40</v>
      </c>
      <c r="B948">
        <v>1318</v>
      </c>
      <c r="C948" t="s">
        <v>30</v>
      </c>
      <c r="D948" t="s">
        <v>31</v>
      </c>
      <c r="E948">
        <v>25</v>
      </c>
      <c r="F948">
        <v>4</v>
      </c>
      <c r="G948" t="s">
        <v>50</v>
      </c>
      <c r="H948">
        <v>4</v>
      </c>
      <c r="I948" t="s">
        <v>38</v>
      </c>
      <c r="J948">
        <v>2</v>
      </c>
      <c r="K948">
        <v>3</v>
      </c>
      <c r="L948" t="s">
        <v>34</v>
      </c>
      <c r="M948">
        <v>2</v>
      </c>
      <c r="N948" t="s">
        <v>35</v>
      </c>
      <c r="O948">
        <v>9094</v>
      </c>
      <c r="P948">
        <v>2</v>
      </c>
      <c r="Q948" t="s">
        <v>30</v>
      </c>
      <c r="R948">
        <v>3</v>
      </c>
      <c r="S948">
        <v>9</v>
      </c>
      <c r="T948">
        <v>3</v>
      </c>
      <c r="U948">
        <v>5</v>
      </c>
      <c r="V948">
        <v>4</v>
      </c>
      <c r="W948">
        <v>1</v>
      </c>
      <c r="X948">
        <v>0</v>
      </c>
      <c r="Y948">
        <v>12</v>
      </c>
      <c r="Z948">
        <f>IF(H_A[[#This Row],[Attrition]]="Yes",1,0)</f>
        <v>1</v>
      </c>
      <c r="AA948" t="str">
        <f>IF(H_A[[#This Row],[Age]]&lt;30,"Young",IF(H_A[[#This Row],[Age]]&lt;45,"Mid","Senior"))</f>
        <v>Mid</v>
      </c>
      <c r="AB948" t="str">
        <f>IF(H_A[[#This Row],[MonthlyIncome]]&lt;5000,"Low",IF(H_A[[#This Row],[MonthlyIncome]]&lt;10000,"Medium","High"))</f>
        <v>Medium</v>
      </c>
      <c r="AC948" t="str">
        <f>IF(H_A[[#This Row],[YearsAtCompany]]&lt;3,"Early",IF(H_A[[#This Row],[YearsAtCompany]]&lt;7,"Mid","Long"))</f>
        <v>Mid</v>
      </c>
      <c r="AD948" t="str">
        <f>IF(H_A[[#This Row],[PercentSalaryHike]]&lt;13,"Low",IF(H_A[[#This Row],[PercentSalaryHike]]&lt;18,"Medium","High"))</f>
        <v>Low</v>
      </c>
    </row>
    <row r="949" spans="1:30" x14ac:dyDescent="0.3">
      <c r="A949">
        <v>52</v>
      </c>
      <c r="B949">
        <v>1319</v>
      </c>
      <c r="C949" t="s">
        <v>30</v>
      </c>
      <c r="D949" t="s">
        <v>31</v>
      </c>
      <c r="E949">
        <v>5</v>
      </c>
      <c r="F949">
        <v>3</v>
      </c>
      <c r="G949" t="s">
        <v>32</v>
      </c>
      <c r="H949">
        <v>2</v>
      </c>
      <c r="I949" t="s">
        <v>38</v>
      </c>
      <c r="J949">
        <v>3</v>
      </c>
      <c r="K949">
        <v>3</v>
      </c>
      <c r="L949" t="s">
        <v>34</v>
      </c>
      <c r="M949">
        <v>2</v>
      </c>
      <c r="N949" t="s">
        <v>35</v>
      </c>
      <c r="O949">
        <v>8446</v>
      </c>
      <c r="P949">
        <v>9</v>
      </c>
      <c r="Q949" t="s">
        <v>30</v>
      </c>
      <c r="R949">
        <v>3</v>
      </c>
      <c r="S949">
        <v>10</v>
      </c>
      <c r="T949">
        <v>2</v>
      </c>
      <c r="U949">
        <v>8</v>
      </c>
      <c r="V949">
        <v>7</v>
      </c>
      <c r="W949">
        <v>7</v>
      </c>
      <c r="X949">
        <v>7</v>
      </c>
      <c r="Y949">
        <v>19</v>
      </c>
      <c r="Z949">
        <f>IF(H_A[[#This Row],[Attrition]]="Yes",1,0)</f>
        <v>1</v>
      </c>
      <c r="AA949" t="str">
        <f>IF(H_A[[#This Row],[Age]]&lt;30,"Young",IF(H_A[[#This Row],[Age]]&lt;45,"Mid","Senior"))</f>
        <v>Senior</v>
      </c>
      <c r="AB949" t="str">
        <f>IF(H_A[[#This Row],[MonthlyIncome]]&lt;5000,"Low",IF(H_A[[#This Row],[MonthlyIncome]]&lt;10000,"Medium","High"))</f>
        <v>Medium</v>
      </c>
      <c r="AC949" t="str">
        <f>IF(H_A[[#This Row],[YearsAtCompany]]&lt;3,"Early",IF(H_A[[#This Row],[YearsAtCompany]]&lt;7,"Mid","Long"))</f>
        <v>Long</v>
      </c>
      <c r="AD949" t="str">
        <f>IF(H_A[[#This Row],[PercentSalaryHike]]&lt;13,"Low",IF(H_A[[#This Row],[PercentSalaryHike]]&lt;18,"Medium","High"))</f>
        <v>High</v>
      </c>
    </row>
    <row r="950" spans="1:30" x14ac:dyDescent="0.3">
      <c r="A950">
        <v>30</v>
      </c>
      <c r="B950">
        <v>1321</v>
      </c>
      <c r="C950" t="s">
        <v>36</v>
      </c>
      <c r="D950" t="s">
        <v>37</v>
      </c>
      <c r="E950">
        <v>17</v>
      </c>
      <c r="F950">
        <v>4</v>
      </c>
      <c r="G950" t="s">
        <v>43</v>
      </c>
      <c r="H950">
        <v>2</v>
      </c>
      <c r="I950" t="s">
        <v>33</v>
      </c>
      <c r="J950">
        <v>3</v>
      </c>
      <c r="K950">
        <v>3</v>
      </c>
      <c r="L950" t="s">
        <v>47</v>
      </c>
      <c r="M950">
        <v>1</v>
      </c>
      <c r="N950" t="s">
        <v>40</v>
      </c>
      <c r="O950">
        <v>11916</v>
      </c>
      <c r="P950">
        <v>1</v>
      </c>
      <c r="Q950" t="s">
        <v>30</v>
      </c>
      <c r="R950">
        <v>4</v>
      </c>
      <c r="S950">
        <v>9</v>
      </c>
      <c r="T950">
        <v>3</v>
      </c>
      <c r="U950">
        <v>9</v>
      </c>
      <c r="V950">
        <v>1</v>
      </c>
      <c r="W950">
        <v>0</v>
      </c>
      <c r="X950">
        <v>8</v>
      </c>
      <c r="Y950">
        <v>23</v>
      </c>
      <c r="Z950">
        <f>IF(H_A[[#This Row],[Attrition]]="Yes",1,0)</f>
        <v>0</v>
      </c>
      <c r="AA950" t="str">
        <f>IF(H_A[[#This Row],[Age]]&lt;30,"Young",IF(H_A[[#This Row],[Age]]&lt;45,"Mid","Senior"))</f>
        <v>Mid</v>
      </c>
      <c r="AB950" t="str">
        <f>IF(H_A[[#This Row],[MonthlyIncome]]&lt;5000,"Low",IF(H_A[[#This Row],[MonthlyIncome]]&lt;10000,"Medium","High"))</f>
        <v>High</v>
      </c>
      <c r="AC950" t="str">
        <f>IF(H_A[[#This Row],[YearsAtCompany]]&lt;3,"Early",IF(H_A[[#This Row],[YearsAtCompany]]&lt;7,"Mid","Long"))</f>
        <v>Long</v>
      </c>
      <c r="AD950" t="str">
        <f>IF(H_A[[#This Row],[PercentSalaryHike]]&lt;13,"Low",IF(H_A[[#This Row],[PercentSalaryHike]]&lt;18,"Medium","High"))</f>
        <v>High</v>
      </c>
    </row>
    <row r="951" spans="1:30" x14ac:dyDescent="0.3">
      <c r="A951">
        <v>39</v>
      </c>
      <c r="B951">
        <v>1322</v>
      </c>
      <c r="C951" t="s">
        <v>36</v>
      </c>
      <c r="D951" t="s">
        <v>37</v>
      </c>
      <c r="E951">
        <v>18</v>
      </c>
      <c r="F951">
        <v>2</v>
      </c>
      <c r="G951" t="s">
        <v>32</v>
      </c>
      <c r="H951">
        <v>1</v>
      </c>
      <c r="I951" t="s">
        <v>38</v>
      </c>
      <c r="J951">
        <v>3</v>
      </c>
      <c r="K951">
        <v>2</v>
      </c>
      <c r="L951" t="s">
        <v>45</v>
      </c>
      <c r="M951">
        <v>3</v>
      </c>
      <c r="N951" t="s">
        <v>35</v>
      </c>
      <c r="O951">
        <v>4534</v>
      </c>
      <c r="P951">
        <v>0</v>
      </c>
      <c r="Q951" t="s">
        <v>36</v>
      </c>
      <c r="R951">
        <v>1</v>
      </c>
      <c r="S951">
        <v>9</v>
      </c>
      <c r="T951">
        <v>3</v>
      </c>
      <c r="U951">
        <v>8</v>
      </c>
      <c r="V951">
        <v>7</v>
      </c>
      <c r="W951">
        <v>1</v>
      </c>
      <c r="X951">
        <v>7</v>
      </c>
      <c r="Y951">
        <v>11</v>
      </c>
      <c r="Z951">
        <f>IF(H_A[[#This Row],[Attrition]]="Yes",1,0)</f>
        <v>0</v>
      </c>
      <c r="AA951" t="str">
        <f>IF(H_A[[#This Row],[Age]]&lt;30,"Young",IF(H_A[[#This Row],[Age]]&lt;45,"Mid","Senior"))</f>
        <v>Mid</v>
      </c>
      <c r="AB951" t="str">
        <f>IF(H_A[[#This Row],[MonthlyIncome]]&lt;5000,"Low",IF(H_A[[#This Row],[MonthlyIncome]]&lt;10000,"Medium","High"))</f>
        <v>Low</v>
      </c>
      <c r="AC951" t="str">
        <f>IF(H_A[[#This Row],[YearsAtCompany]]&lt;3,"Early",IF(H_A[[#This Row],[YearsAtCompany]]&lt;7,"Mid","Long"))</f>
        <v>Long</v>
      </c>
      <c r="AD951" t="str">
        <f>IF(H_A[[#This Row],[PercentSalaryHike]]&lt;13,"Low",IF(H_A[[#This Row],[PercentSalaryHike]]&lt;18,"Medium","High"))</f>
        <v>Low</v>
      </c>
    </row>
    <row r="952" spans="1:30" x14ac:dyDescent="0.3">
      <c r="A952">
        <v>31</v>
      </c>
      <c r="B952">
        <v>1324</v>
      </c>
      <c r="C952" t="s">
        <v>36</v>
      </c>
      <c r="D952" t="s">
        <v>31</v>
      </c>
      <c r="E952">
        <v>2</v>
      </c>
      <c r="F952">
        <v>4</v>
      </c>
      <c r="G952" t="s">
        <v>32</v>
      </c>
      <c r="H952">
        <v>4</v>
      </c>
      <c r="I952" t="s">
        <v>33</v>
      </c>
      <c r="J952">
        <v>3</v>
      </c>
      <c r="K952">
        <v>3</v>
      </c>
      <c r="L952" t="s">
        <v>34</v>
      </c>
      <c r="M952">
        <v>3</v>
      </c>
      <c r="N952" t="s">
        <v>44</v>
      </c>
      <c r="O952">
        <v>9852</v>
      </c>
      <c r="P952">
        <v>1</v>
      </c>
      <c r="Q952" t="s">
        <v>30</v>
      </c>
      <c r="R952">
        <v>1</v>
      </c>
      <c r="S952">
        <v>10</v>
      </c>
      <c r="T952">
        <v>2</v>
      </c>
      <c r="U952">
        <v>10</v>
      </c>
      <c r="V952">
        <v>8</v>
      </c>
      <c r="W952">
        <v>9</v>
      </c>
      <c r="X952">
        <v>6</v>
      </c>
      <c r="Y952">
        <v>19</v>
      </c>
      <c r="Z952">
        <f>IF(H_A[[#This Row],[Attrition]]="Yes",1,0)</f>
        <v>0</v>
      </c>
      <c r="AA952" t="str">
        <f>IF(H_A[[#This Row],[Age]]&lt;30,"Young",IF(H_A[[#This Row],[Age]]&lt;45,"Mid","Senior"))</f>
        <v>Mid</v>
      </c>
      <c r="AB952" t="str">
        <f>IF(H_A[[#This Row],[MonthlyIncome]]&lt;5000,"Low",IF(H_A[[#This Row],[MonthlyIncome]]&lt;10000,"Medium","High"))</f>
        <v>Medium</v>
      </c>
      <c r="AC952" t="str">
        <f>IF(H_A[[#This Row],[YearsAtCompany]]&lt;3,"Early",IF(H_A[[#This Row],[YearsAtCompany]]&lt;7,"Mid","Long"))</f>
        <v>Long</v>
      </c>
      <c r="AD952" t="str">
        <f>IF(H_A[[#This Row],[PercentSalaryHike]]&lt;13,"Low",IF(H_A[[#This Row],[PercentSalaryHike]]&lt;18,"Medium","High"))</f>
        <v>High</v>
      </c>
    </row>
    <row r="953" spans="1:30" x14ac:dyDescent="0.3">
      <c r="A953">
        <v>41</v>
      </c>
      <c r="B953">
        <v>1329</v>
      </c>
      <c r="C953" t="s">
        <v>36</v>
      </c>
      <c r="D953" t="s">
        <v>31</v>
      </c>
      <c r="E953">
        <v>10</v>
      </c>
      <c r="F953">
        <v>2</v>
      </c>
      <c r="G953" t="s">
        <v>43</v>
      </c>
      <c r="H953">
        <v>3</v>
      </c>
      <c r="I953" t="s">
        <v>38</v>
      </c>
      <c r="J953">
        <v>1</v>
      </c>
      <c r="K953">
        <v>2</v>
      </c>
      <c r="L953" t="s">
        <v>34</v>
      </c>
      <c r="M953">
        <v>2</v>
      </c>
      <c r="N953" t="s">
        <v>35</v>
      </c>
      <c r="O953">
        <v>6151</v>
      </c>
      <c r="P953">
        <v>1</v>
      </c>
      <c r="Q953" t="s">
        <v>36</v>
      </c>
      <c r="R953">
        <v>1</v>
      </c>
      <c r="S953">
        <v>19</v>
      </c>
      <c r="T953">
        <v>3</v>
      </c>
      <c r="U953">
        <v>19</v>
      </c>
      <c r="V953">
        <v>2</v>
      </c>
      <c r="W953">
        <v>11</v>
      </c>
      <c r="X953">
        <v>9</v>
      </c>
      <c r="Y953">
        <v>13</v>
      </c>
      <c r="Z953">
        <f>IF(H_A[[#This Row],[Attrition]]="Yes",1,0)</f>
        <v>0</v>
      </c>
      <c r="AA953" t="str">
        <f>IF(H_A[[#This Row],[Age]]&lt;30,"Young",IF(H_A[[#This Row],[Age]]&lt;45,"Mid","Senior"))</f>
        <v>Mid</v>
      </c>
      <c r="AB953" t="str">
        <f>IF(H_A[[#This Row],[MonthlyIncome]]&lt;5000,"Low",IF(H_A[[#This Row],[MonthlyIncome]]&lt;10000,"Medium","High"))</f>
        <v>Medium</v>
      </c>
      <c r="AC953" t="str">
        <f>IF(H_A[[#This Row],[YearsAtCompany]]&lt;3,"Early",IF(H_A[[#This Row],[YearsAtCompany]]&lt;7,"Mid","Long"))</f>
        <v>Long</v>
      </c>
      <c r="AD953" t="str">
        <f>IF(H_A[[#This Row],[PercentSalaryHike]]&lt;13,"Low",IF(H_A[[#This Row],[PercentSalaryHike]]&lt;18,"Medium","High"))</f>
        <v>Medium</v>
      </c>
    </row>
    <row r="954" spans="1:30" x14ac:dyDescent="0.3">
      <c r="A954">
        <v>31</v>
      </c>
      <c r="B954">
        <v>1331</v>
      </c>
      <c r="C954" t="s">
        <v>30</v>
      </c>
      <c r="D954" t="s">
        <v>31</v>
      </c>
      <c r="E954">
        <v>1</v>
      </c>
      <c r="F954">
        <v>3</v>
      </c>
      <c r="G954" t="s">
        <v>32</v>
      </c>
      <c r="H954">
        <v>4</v>
      </c>
      <c r="I954" t="s">
        <v>33</v>
      </c>
      <c r="J954">
        <v>3</v>
      </c>
      <c r="K954">
        <v>1</v>
      </c>
      <c r="L954" t="s">
        <v>48</v>
      </c>
      <c r="M954">
        <v>2</v>
      </c>
      <c r="N954" t="s">
        <v>35</v>
      </c>
      <c r="O954">
        <v>2302</v>
      </c>
      <c r="P954">
        <v>1</v>
      </c>
      <c r="Q954" t="s">
        <v>30</v>
      </c>
      <c r="R954">
        <v>1</v>
      </c>
      <c r="S954">
        <v>3</v>
      </c>
      <c r="T954">
        <v>4</v>
      </c>
      <c r="U954">
        <v>3</v>
      </c>
      <c r="V954">
        <v>2</v>
      </c>
      <c r="W954">
        <v>2</v>
      </c>
      <c r="X954">
        <v>2</v>
      </c>
      <c r="Y954">
        <v>11</v>
      </c>
      <c r="Z954">
        <f>IF(H_A[[#This Row],[Attrition]]="Yes",1,0)</f>
        <v>1</v>
      </c>
      <c r="AA954" t="str">
        <f>IF(H_A[[#This Row],[Age]]&lt;30,"Young",IF(H_A[[#This Row],[Age]]&lt;45,"Mid","Senior"))</f>
        <v>Mid</v>
      </c>
      <c r="AB954" t="str">
        <f>IF(H_A[[#This Row],[MonthlyIncome]]&lt;5000,"Low",IF(H_A[[#This Row],[MonthlyIncome]]&lt;10000,"Medium","High"))</f>
        <v>Low</v>
      </c>
      <c r="AC954" t="str">
        <f>IF(H_A[[#This Row],[YearsAtCompany]]&lt;3,"Early",IF(H_A[[#This Row],[YearsAtCompany]]&lt;7,"Mid","Long"))</f>
        <v>Mid</v>
      </c>
      <c r="AD954" t="str">
        <f>IF(H_A[[#This Row],[PercentSalaryHike]]&lt;13,"Low",IF(H_A[[#This Row],[PercentSalaryHike]]&lt;18,"Medium","High"))</f>
        <v>Low</v>
      </c>
    </row>
    <row r="955" spans="1:30" x14ac:dyDescent="0.3">
      <c r="A955">
        <v>44</v>
      </c>
      <c r="B955">
        <v>1333</v>
      </c>
      <c r="C955" t="s">
        <v>30</v>
      </c>
      <c r="D955" t="s">
        <v>37</v>
      </c>
      <c r="E955">
        <v>3</v>
      </c>
      <c r="F955">
        <v>3</v>
      </c>
      <c r="G955" t="s">
        <v>32</v>
      </c>
      <c r="H955">
        <v>1</v>
      </c>
      <c r="I955" t="s">
        <v>38</v>
      </c>
      <c r="J955">
        <v>3</v>
      </c>
      <c r="K955">
        <v>1</v>
      </c>
      <c r="L955" t="s">
        <v>42</v>
      </c>
      <c r="M955">
        <v>1</v>
      </c>
      <c r="N955" t="s">
        <v>40</v>
      </c>
      <c r="O955">
        <v>2362</v>
      </c>
      <c r="P955">
        <v>4</v>
      </c>
      <c r="Q955" t="s">
        <v>36</v>
      </c>
      <c r="R955">
        <v>3</v>
      </c>
      <c r="S955">
        <v>10</v>
      </c>
      <c r="T955">
        <v>4</v>
      </c>
      <c r="U955">
        <v>3</v>
      </c>
      <c r="V955">
        <v>2</v>
      </c>
      <c r="W955">
        <v>1</v>
      </c>
      <c r="X955">
        <v>2</v>
      </c>
      <c r="Y955">
        <v>12</v>
      </c>
      <c r="Z955">
        <f>IF(H_A[[#This Row],[Attrition]]="Yes",1,0)</f>
        <v>1</v>
      </c>
      <c r="AA955" t="str">
        <f>IF(H_A[[#This Row],[Age]]&lt;30,"Young",IF(H_A[[#This Row],[Age]]&lt;45,"Mid","Senior"))</f>
        <v>Mid</v>
      </c>
      <c r="AB955" t="str">
        <f>IF(H_A[[#This Row],[MonthlyIncome]]&lt;5000,"Low",IF(H_A[[#This Row],[MonthlyIncome]]&lt;10000,"Medium","High"))</f>
        <v>Low</v>
      </c>
      <c r="AC955" t="str">
        <f>IF(H_A[[#This Row],[YearsAtCompany]]&lt;3,"Early",IF(H_A[[#This Row],[YearsAtCompany]]&lt;7,"Mid","Long"))</f>
        <v>Mid</v>
      </c>
      <c r="AD955" t="str">
        <f>IF(H_A[[#This Row],[PercentSalaryHike]]&lt;13,"Low",IF(H_A[[#This Row],[PercentSalaryHike]]&lt;18,"Medium","High"))</f>
        <v>Low</v>
      </c>
    </row>
    <row r="956" spans="1:30" x14ac:dyDescent="0.3">
      <c r="A956">
        <v>42</v>
      </c>
      <c r="B956">
        <v>1334</v>
      </c>
      <c r="C956" t="s">
        <v>36</v>
      </c>
      <c r="D956" t="s">
        <v>37</v>
      </c>
      <c r="E956">
        <v>2</v>
      </c>
      <c r="F956">
        <v>1</v>
      </c>
      <c r="G956" t="s">
        <v>32</v>
      </c>
      <c r="H956">
        <v>3</v>
      </c>
      <c r="I956" t="s">
        <v>38</v>
      </c>
      <c r="J956">
        <v>3</v>
      </c>
      <c r="K956">
        <v>4</v>
      </c>
      <c r="L956" t="s">
        <v>47</v>
      </c>
      <c r="M956">
        <v>3</v>
      </c>
      <c r="N956" t="s">
        <v>40</v>
      </c>
      <c r="O956">
        <v>17861</v>
      </c>
      <c r="P956">
        <v>0</v>
      </c>
      <c r="Q956" t="s">
        <v>30</v>
      </c>
      <c r="R956">
        <v>4</v>
      </c>
      <c r="S956">
        <v>21</v>
      </c>
      <c r="T956">
        <v>2</v>
      </c>
      <c r="U956">
        <v>20</v>
      </c>
      <c r="V956">
        <v>8</v>
      </c>
      <c r="W956">
        <v>2</v>
      </c>
      <c r="X956">
        <v>10</v>
      </c>
      <c r="Y956">
        <v>13</v>
      </c>
      <c r="Z956">
        <f>IF(H_A[[#This Row],[Attrition]]="Yes",1,0)</f>
        <v>0</v>
      </c>
      <c r="AA956" t="str">
        <f>IF(H_A[[#This Row],[Age]]&lt;30,"Young",IF(H_A[[#This Row],[Age]]&lt;45,"Mid","Senior"))</f>
        <v>Mid</v>
      </c>
      <c r="AB956" t="str">
        <f>IF(H_A[[#This Row],[MonthlyIncome]]&lt;5000,"Low",IF(H_A[[#This Row],[MonthlyIncome]]&lt;10000,"Medium","High"))</f>
        <v>High</v>
      </c>
      <c r="AC956" t="str">
        <f>IF(H_A[[#This Row],[YearsAtCompany]]&lt;3,"Early",IF(H_A[[#This Row],[YearsAtCompany]]&lt;7,"Mid","Long"))</f>
        <v>Long</v>
      </c>
      <c r="AD956" t="str">
        <f>IF(H_A[[#This Row],[PercentSalaryHike]]&lt;13,"Low",IF(H_A[[#This Row],[PercentSalaryHike]]&lt;18,"Medium","High"))</f>
        <v>Medium</v>
      </c>
    </row>
    <row r="957" spans="1:30" x14ac:dyDescent="0.3">
      <c r="A957">
        <v>55</v>
      </c>
      <c r="B957">
        <v>1336</v>
      </c>
      <c r="C957" t="s">
        <v>36</v>
      </c>
      <c r="D957" t="s">
        <v>37</v>
      </c>
      <c r="E957">
        <v>2</v>
      </c>
      <c r="F957">
        <v>2</v>
      </c>
      <c r="G957" t="s">
        <v>43</v>
      </c>
      <c r="H957">
        <v>4</v>
      </c>
      <c r="I957" t="s">
        <v>33</v>
      </c>
      <c r="J957">
        <v>1</v>
      </c>
      <c r="K957">
        <v>5</v>
      </c>
      <c r="L957" t="s">
        <v>47</v>
      </c>
      <c r="M957">
        <v>3</v>
      </c>
      <c r="N957" t="s">
        <v>40</v>
      </c>
      <c r="O957">
        <v>19187</v>
      </c>
      <c r="P957">
        <v>4</v>
      </c>
      <c r="Q957" t="s">
        <v>36</v>
      </c>
      <c r="R957">
        <v>4</v>
      </c>
      <c r="S957">
        <v>23</v>
      </c>
      <c r="T957">
        <v>3</v>
      </c>
      <c r="U957">
        <v>19</v>
      </c>
      <c r="V957">
        <v>9</v>
      </c>
      <c r="W957">
        <v>9</v>
      </c>
      <c r="X957">
        <v>11</v>
      </c>
      <c r="Y957">
        <v>14</v>
      </c>
      <c r="Z957">
        <f>IF(H_A[[#This Row],[Attrition]]="Yes",1,0)</f>
        <v>0</v>
      </c>
      <c r="AA957" t="str">
        <f>IF(H_A[[#This Row],[Age]]&lt;30,"Young",IF(H_A[[#This Row],[Age]]&lt;45,"Mid","Senior"))</f>
        <v>Senior</v>
      </c>
      <c r="AB957" t="str">
        <f>IF(H_A[[#This Row],[MonthlyIncome]]&lt;5000,"Low",IF(H_A[[#This Row],[MonthlyIncome]]&lt;10000,"Medium","High"))</f>
        <v>High</v>
      </c>
      <c r="AC957" t="str">
        <f>IF(H_A[[#This Row],[YearsAtCompany]]&lt;3,"Early",IF(H_A[[#This Row],[YearsAtCompany]]&lt;7,"Mid","Long"))</f>
        <v>Long</v>
      </c>
      <c r="AD957" t="str">
        <f>IF(H_A[[#This Row],[PercentSalaryHike]]&lt;13,"Low",IF(H_A[[#This Row],[PercentSalaryHike]]&lt;18,"Medium","High"))</f>
        <v>Medium</v>
      </c>
    </row>
    <row r="958" spans="1:30" x14ac:dyDescent="0.3">
      <c r="A958">
        <v>56</v>
      </c>
      <c r="B958">
        <v>1338</v>
      </c>
      <c r="C958" t="s">
        <v>36</v>
      </c>
      <c r="D958" t="s">
        <v>52</v>
      </c>
      <c r="E958">
        <v>8</v>
      </c>
      <c r="F958">
        <v>4</v>
      </c>
      <c r="G958" t="s">
        <v>32</v>
      </c>
      <c r="H958">
        <v>4</v>
      </c>
      <c r="I958" t="s">
        <v>38</v>
      </c>
      <c r="J958">
        <v>3</v>
      </c>
      <c r="K958">
        <v>5</v>
      </c>
      <c r="L958" t="s">
        <v>47</v>
      </c>
      <c r="M958">
        <v>2</v>
      </c>
      <c r="N958" t="s">
        <v>35</v>
      </c>
      <c r="O958">
        <v>19717</v>
      </c>
      <c r="P958">
        <v>6</v>
      </c>
      <c r="Q958" t="s">
        <v>36</v>
      </c>
      <c r="R958">
        <v>1</v>
      </c>
      <c r="S958">
        <v>36</v>
      </c>
      <c r="T958">
        <v>3</v>
      </c>
      <c r="U958">
        <v>7</v>
      </c>
      <c r="V958">
        <v>3</v>
      </c>
      <c r="W958">
        <v>7</v>
      </c>
      <c r="X958">
        <v>7</v>
      </c>
      <c r="Y958">
        <v>14</v>
      </c>
      <c r="Z958">
        <f>IF(H_A[[#This Row],[Attrition]]="Yes",1,0)</f>
        <v>0</v>
      </c>
      <c r="AA958" t="str">
        <f>IF(H_A[[#This Row],[Age]]&lt;30,"Young",IF(H_A[[#This Row],[Age]]&lt;45,"Mid","Senior"))</f>
        <v>Senior</v>
      </c>
      <c r="AB958" t="str">
        <f>IF(H_A[[#This Row],[MonthlyIncome]]&lt;5000,"Low",IF(H_A[[#This Row],[MonthlyIncome]]&lt;10000,"Medium","High"))</f>
        <v>High</v>
      </c>
      <c r="AC958" t="str">
        <f>IF(H_A[[#This Row],[YearsAtCompany]]&lt;3,"Early",IF(H_A[[#This Row],[YearsAtCompany]]&lt;7,"Mid","Long"))</f>
        <v>Long</v>
      </c>
      <c r="AD958" t="str">
        <f>IF(H_A[[#This Row],[PercentSalaryHike]]&lt;13,"Low",IF(H_A[[#This Row],[PercentSalaryHike]]&lt;18,"Medium","High"))</f>
        <v>Medium</v>
      </c>
    </row>
    <row r="959" spans="1:30" x14ac:dyDescent="0.3">
      <c r="A959">
        <v>40</v>
      </c>
      <c r="B959">
        <v>1340</v>
      </c>
      <c r="C959" t="s">
        <v>36</v>
      </c>
      <c r="D959" t="s">
        <v>37</v>
      </c>
      <c r="E959">
        <v>16</v>
      </c>
      <c r="F959">
        <v>2</v>
      </c>
      <c r="G959" t="s">
        <v>32</v>
      </c>
      <c r="H959">
        <v>3</v>
      </c>
      <c r="I959" t="s">
        <v>38</v>
      </c>
      <c r="J959">
        <v>3</v>
      </c>
      <c r="K959">
        <v>1</v>
      </c>
      <c r="L959" t="s">
        <v>39</v>
      </c>
      <c r="M959">
        <v>3</v>
      </c>
      <c r="N959" t="s">
        <v>44</v>
      </c>
      <c r="O959">
        <v>3544</v>
      </c>
      <c r="P959">
        <v>9</v>
      </c>
      <c r="Q959" t="s">
        <v>36</v>
      </c>
      <c r="R959">
        <v>2</v>
      </c>
      <c r="S959">
        <v>6</v>
      </c>
      <c r="T959">
        <v>3</v>
      </c>
      <c r="U959">
        <v>4</v>
      </c>
      <c r="V959">
        <v>2</v>
      </c>
      <c r="W959">
        <v>0</v>
      </c>
      <c r="X959">
        <v>0</v>
      </c>
      <c r="Y959">
        <v>16</v>
      </c>
      <c r="Z959">
        <f>IF(H_A[[#This Row],[Attrition]]="Yes",1,0)</f>
        <v>0</v>
      </c>
      <c r="AA959" t="str">
        <f>IF(H_A[[#This Row],[Age]]&lt;30,"Young",IF(H_A[[#This Row],[Age]]&lt;45,"Mid","Senior"))</f>
        <v>Mid</v>
      </c>
      <c r="AB959" t="str">
        <f>IF(H_A[[#This Row],[MonthlyIncome]]&lt;5000,"Low",IF(H_A[[#This Row],[MonthlyIncome]]&lt;10000,"Medium","High"))</f>
        <v>Low</v>
      </c>
      <c r="AC959" t="str">
        <f>IF(H_A[[#This Row],[YearsAtCompany]]&lt;3,"Early",IF(H_A[[#This Row],[YearsAtCompany]]&lt;7,"Mid","Long"))</f>
        <v>Mid</v>
      </c>
      <c r="AD959" t="str">
        <f>IF(H_A[[#This Row],[PercentSalaryHike]]&lt;13,"Low",IF(H_A[[#This Row],[PercentSalaryHike]]&lt;18,"Medium","High"))</f>
        <v>Medium</v>
      </c>
    </row>
    <row r="960" spans="1:30" x14ac:dyDescent="0.3">
      <c r="A960">
        <v>34</v>
      </c>
      <c r="B960">
        <v>1344</v>
      </c>
      <c r="C960" t="s">
        <v>36</v>
      </c>
      <c r="D960" t="s">
        <v>37</v>
      </c>
      <c r="E960">
        <v>9</v>
      </c>
      <c r="F960">
        <v>3</v>
      </c>
      <c r="G960" t="s">
        <v>32</v>
      </c>
      <c r="H960">
        <v>4</v>
      </c>
      <c r="I960" t="s">
        <v>38</v>
      </c>
      <c r="J960">
        <v>3</v>
      </c>
      <c r="K960">
        <v>3</v>
      </c>
      <c r="L960" t="s">
        <v>46</v>
      </c>
      <c r="M960">
        <v>4</v>
      </c>
      <c r="N960" t="s">
        <v>44</v>
      </c>
      <c r="O960">
        <v>8500</v>
      </c>
      <c r="P960">
        <v>0</v>
      </c>
      <c r="Q960" t="s">
        <v>36</v>
      </c>
      <c r="R960">
        <v>4</v>
      </c>
      <c r="S960">
        <v>10</v>
      </c>
      <c r="T960">
        <v>2</v>
      </c>
      <c r="U960">
        <v>9</v>
      </c>
      <c r="V960">
        <v>7</v>
      </c>
      <c r="W960">
        <v>1</v>
      </c>
      <c r="X960">
        <v>6</v>
      </c>
      <c r="Y960">
        <v>11</v>
      </c>
      <c r="Z960">
        <f>IF(H_A[[#This Row],[Attrition]]="Yes",1,0)</f>
        <v>0</v>
      </c>
      <c r="AA960" t="str">
        <f>IF(H_A[[#This Row],[Age]]&lt;30,"Young",IF(H_A[[#This Row],[Age]]&lt;45,"Mid","Senior"))</f>
        <v>Mid</v>
      </c>
      <c r="AB960" t="str">
        <f>IF(H_A[[#This Row],[MonthlyIncome]]&lt;5000,"Low",IF(H_A[[#This Row],[MonthlyIncome]]&lt;10000,"Medium","High"))</f>
        <v>Medium</v>
      </c>
      <c r="AC960" t="str">
        <f>IF(H_A[[#This Row],[YearsAtCompany]]&lt;3,"Early",IF(H_A[[#This Row],[YearsAtCompany]]&lt;7,"Mid","Long"))</f>
        <v>Long</v>
      </c>
      <c r="AD960" t="str">
        <f>IF(H_A[[#This Row],[PercentSalaryHike]]&lt;13,"Low",IF(H_A[[#This Row],[PercentSalaryHike]]&lt;18,"Medium","High"))</f>
        <v>Low</v>
      </c>
    </row>
    <row r="961" spans="1:30" x14ac:dyDescent="0.3">
      <c r="A961">
        <v>40</v>
      </c>
      <c r="B961">
        <v>1346</v>
      </c>
      <c r="C961" t="s">
        <v>36</v>
      </c>
      <c r="D961" t="s">
        <v>37</v>
      </c>
      <c r="E961">
        <v>2</v>
      </c>
      <c r="F961">
        <v>3</v>
      </c>
      <c r="G961" t="s">
        <v>32</v>
      </c>
      <c r="H961">
        <v>3</v>
      </c>
      <c r="I961" t="s">
        <v>38</v>
      </c>
      <c r="J961">
        <v>3</v>
      </c>
      <c r="K961">
        <v>2</v>
      </c>
      <c r="L961" t="s">
        <v>39</v>
      </c>
      <c r="M961">
        <v>4</v>
      </c>
      <c r="N961" t="s">
        <v>35</v>
      </c>
      <c r="O961">
        <v>4661</v>
      </c>
      <c r="P961">
        <v>1</v>
      </c>
      <c r="Q961" t="s">
        <v>36</v>
      </c>
      <c r="R961">
        <v>3</v>
      </c>
      <c r="S961">
        <v>9</v>
      </c>
      <c r="T961">
        <v>3</v>
      </c>
      <c r="U961">
        <v>9</v>
      </c>
      <c r="V961">
        <v>8</v>
      </c>
      <c r="W961">
        <v>8</v>
      </c>
      <c r="X961">
        <v>8</v>
      </c>
      <c r="Y961">
        <v>13</v>
      </c>
      <c r="Z961">
        <f>IF(H_A[[#This Row],[Attrition]]="Yes",1,0)</f>
        <v>0</v>
      </c>
      <c r="AA961" t="str">
        <f>IF(H_A[[#This Row],[Age]]&lt;30,"Young",IF(H_A[[#This Row],[Age]]&lt;45,"Mid","Senior"))</f>
        <v>Mid</v>
      </c>
      <c r="AB961" t="str">
        <f>IF(H_A[[#This Row],[MonthlyIncome]]&lt;5000,"Low",IF(H_A[[#This Row],[MonthlyIncome]]&lt;10000,"Medium","High"))</f>
        <v>Low</v>
      </c>
      <c r="AC961" t="str">
        <f>IF(H_A[[#This Row],[YearsAtCompany]]&lt;3,"Early",IF(H_A[[#This Row],[YearsAtCompany]]&lt;7,"Mid","Long"))</f>
        <v>Long</v>
      </c>
      <c r="AD961" t="str">
        <f>IF(H_A[[#This Row],[PercentSalaryHike]]&lt;13,"Low",IF(H_A[[#This Row],[PercentSalaryHike]]&lt;18,"Medium","High"))</f>
        <v>Medium</v>
      </c>
    </row>
    <row r="962" spans="1:30" x14ac:dyDescent="0.3">
      <c r="A962">
        <v>41</v>
      </c>
      <c r="B962">
        <v>1349</v>
      </c>
      <c r="C962" t="s">
        <v>36</v>
      </c>
      <c r="D962" t="s">
        <v>31</v>
      </c>
      <c r="E962">
        <v>1</v>
      </c>
      <c r="F962">
        <v>3</v>
      </c>
      <c r="G962" t="s">
        <v>50</v>
      </c>
      <c r="H962">
        <v>3</v>
      </c>
      <c r="I962" t="s">
        <v>33</v>
      </c>
      <c r="J962">
        <v>3</v>
      </c>
      <c r="K962">
        <v>2</v>
      </c>
      <c r="L962" t="s">
        <v>34</v>
      </c>
      <c r="M962">
        <v>1</v>
      </c>
      <c r="N962" t="s">
        <v>44</v>
      </c>
      <c r="O962">
        <v>4103</v>
      </c>
      <c r="P962">
        <v>0</v>
      </c>
      <c r="Q962" t="s">
        <v>36</v>
      </c>
      <c r="R962">
        <v>4</v>
      </c>
      <c r="S962">
        <v>10</v>
      </c>
      <c r="T962">
        <v>3</v>
      </c>
      <c r="U962">
        <v>9</v>
      </c>
      <c r="V962">
        <v>3</v>
      </c>
      <c r="W962">
        <v>1</v>
      </c>
      <c r="X962">
        <v>7</v>
      </c>
      <c r="Y962">
        <v>17</v>
      </c>
      <c r="Z962">
        <f>IF(H_A[[#This Row],[Attrition]]="Yes",1,0)</f>
        <v>0</v>
      </c>
      <c r="AA962" t="str">
        <f>IF(H_A[[#This Row],[Age]]&lt;30,"Young",IF(H_A[[#This Row],[Age]]&lt;45,"Mid","Senior"))</f>
        <v>Mid</v>
      </c>
      <c r="AB962" t="str">
        <f>IF(H_A[[#This Row],[MonthlyIncome]]&lt;5000,"Low",IF(H_A[[#This Row],[MonthlyIncome]]&lt;10000,"Medium","High"))</f>
        <v>Low</v>
      </c>
      <c r="AC962" t="str">
        <f>IF(H_A[[#This Row],[YearsAtCompany]]&lt;3,"Early",IF(H_A[[#This Row],[YearsAtCompany]]&lt;7,"Mid","Long"))</f>
        <v>Long</v>
      </c>
      <c r="AD962" t="str">
        <f>IF(H_A[[#This Row],[PercentSalaryHike]]&lt;13,"Low",IF(H_A[[#This Row],[PercentSalaryHike]]&lt;18,"Medium","High"))</f>
        <v>Medium</v>
      </c>
    </row>
    <row r="963" spans="1:30" x14ac:dyDescent="0.3">
      <c r="A963">
        <v>35</v>
      </c>
      <c r="B963">
        <v>1350</v>
      </c>
      <c r="C963" t="s">
        <v>36</v>
      </c>
      <c r="D963" t="s">
        <v>37</v>
      </c>
      <c r="E963">
        <v>4</v>
      </c>
      <c r="F963">
        <v>4</v>
      </c>
      <c r="G963" t="s">
        <v>32</v>
      </c>
      <c r="H963">
        <v>3</v>
      </c>
      <c r="I963" t="s">
        <v>38</v>
      </c>
      <c r="J963">
        <v>3</v>
      </c>
      <c r="K963">
        <v>2</v>
      </c>
      <c r="L963" t="s">
        <v>39</v>
      </c>
      <c r="M963">
        <v>3</v>
      </c>
      <c r="N963" t="s">
        <v>35</v>
      </c>
      <c r="O963">
        <v>4249</v>
      </c>
      <c r="P963">
        <v>1</v>
      </c>
      <c r="Q963" t="s">
        <v>30</v>
      </c>
      <c r="R963">
        <v>2</v>
      </c>
      <c r="S963">
        <v>9</v>
      </c>
      <c r="T963">
        <v>3</v>
      </c>
      <c r="U963">
        <v>9</v>
      </c>
      <c r="V963">
        <v>6</v>
      </c>
      <c r="W963">
        <v>1</v>
      </c>
      <c r="X963">
        <v>1</v>
      </c>
      <c r="Y963">
        <v>11</v>
      </c>
      <c r="Z963">
        <f>IF(H_A[[#This Row],[Attrition]]="Yes",1,0)</f>
        <v>0</v>
      </c>
      <c r="AA963" t="str">
        <f>IF(H_A[[#This Row],[Age]]&lt;30,"Young",IF(H_A[[#This Row],[Age]]&lt;45,"Mid","Senior"))</f>
        <v>Mid</v>
      </c>
      <c r="AB963" t="str">
        <f>IF(H_A[[#This Row],[MonthlyIncome]]&lt;5000,"Low",IF(H_A[[#This Row],[MonthlyIncome]]&lt;10000,"Medium","High"))</f>
        <v>Low</v>
      </c>
      <c r="AC963" t="str">
        <f>IF(H_A[[#This Row],[YearsAtCompany]]&lt;3,"Early",IF(H_A[[#This Row],[YearsAtCompany]]&lt;7,"Mid","Long"))</f>
        <v>Long</v>
      </c>
      <c r="AD963" t="str">
        <f>IF(H_A[[#This Row],[PercentSalaryHike]]&lt;13,"Low",IF(H_A[[#This Row],[PercentSalaryHike]]&lt;18,"Medium","High"))</f>
        <v>Low</v>
      </c>
    </row>
    <row r="964" spans="1:30" x14ac:dyDescent="0.3">
      <c r="A964">
        <v>51</v>
      </c>
      <c r="B964">
        <v>1352</v>
      </c>
      <c r="C964" t="s">
        <v>36</v>
      </c>
      <c r="D964" t="s">
        <v>52</v>
      </c>
      <c r="E964">
        <v>5</v>
      </c>
      <c r="F964">
        <v>3</v>
      </c>
      <c r="G964" t="s">
        <v>32</v>
      </c>
      <c r="H964">
        <v>3</v>
      </c>
      <c r="I964" t="s">
        <v>38</v>
      </c>
      <c r="J964">
        <v>3</v>
      </c>
      <c r="K964">
        <v>4</v>
      </c>
      <c r="L964" t="s">
        <v>47</v>
      </c>
      <c r="M964">
        <v>2</v>
      </c>
      <c r="N964" t="s">
        <v>44</v>
      </c>
      <c r="O964">
        <v>14026</v>
      </c>
      <c r="P964">
        <v>1</v>
      </c>
      <c r="Q964" t="s">
        <v>30</v>
      </c>
      <c r="R964">
        <v>2</v>
      </c>
      <c r="S964">
        <v>33</v>
      </c>
      <c r="T964">
        <v>3</v>
      </c>
      <c r="U964">
        <v>33</v>
      </c>
      <c r="V964">
        <v>9</v>
      </c>
      <c r="W964">
        <v>0</v>
      </c>
      <c r="X964">
        <v>10</v>
      </c>
      <c r="Y964">
        <v>11</v>
      </c>
      <c r="Z964">
        <f>IF(H_A[[#This Row],[Attrition]]="Yes",1,0)</f>
        <v>0</v>
      </c>
      <c r="AA964" t="str">
        <f>IF(H_A[[#This Row],[Age]]&lt;30,"Young",IF(H_A[[#This Row],[Age]]&lt;45,"Mid","Senior"))</f>
        <v>Senior</v>
      </c>
      <c r="AB964" t="str">
        <f>IF(H_A[[#This Row],[MonthlyIncome]]&lt;5000,"Low",IF(H_A[[#This Row],[MonthlyIncome]]&lt;10000,"Medium","High"))</f>
        <v>High</v>
      </c>
      <c r="AC964" t="str">
        <f>IF(H_A[[#This Row],[YearsAtCompany]]&lt;3,"Early",IF(H_A[[#This Row],[YearsAtCompany]]&lt;7,"Mid","Long"))</f>
        <v>Long</v>
      </c>
      <c r="AD964" t="str">
        <f>IF(H_A[[#This Row],[PercentSalaryHike]]&lt;13,"Low",IF(H_A[[#This Row],[PercentSalaryHike]]&lt;18,"Medium","High"))</f>
        <v>Low</v>
      </c>
    </row>
    <row r="965" spans="1:30" x14ac:dyDescent="0.3">
      <c r="A965">
        <v>38</v>
      </c>
      <c r="B965">
        <v>1355</v>
      </c>
      <c r="C965" t="s">
        <v>36</v>
      </c>
      <c r="D965" t="s">
        <v>31</v>
      </c>
      <c r="E965">
        <v>2</v>
      </c>
      <c r="F965">
        <v>2</v>
      </c>
      <c r="G965" t="s">
        <v>32</v>
      </c>
      <c r="H965">
        <v>2</v>
      </c>
      <c r="I965" t="s">
        <v>33</v>
      </c>
      <c r="J965">
        <v>3</v>
      </c>
      <c r="K965">
        <v>2</v>
      </c>
      <c r="L965" t="s">
        <v>34</v>
      </c>
      <c r="M965">
        <v>1</v>
      </c>
      <c r="N965" t="s">
        <v>44</v>
      </c>
      <c r="O965">
        <v>6893</v>
      </c>
      <c r="P965">
        <v>3</v>
      </c>
      <c r="Q965" t="s">
        <v>36</v>
      </c>
      <c r="R965">
        <v>4</v>
      </c>
      <c r="S965">
        <v>11</v>
      </c>
      <c r="T965">
        <v>3</v>
      </c>
      <c r="U965">
        <v>7</v>
      </c>
      <c r="V965">
        <v>7</v>
      </c>
      <c r="W965">
        <v>1</v>
      </c>
      <c r="X965">
        <v>7</v>
      </c>
      <c r="Y965">
        <v>15</v>
      </c>
      <c r="Z965">
        <f>IF(H_A[[#This Row],[Attrition]]="Yes",1,0)</f>
        <v>0</v>
      </c>
      <c r="AA965" t="str">
        <f>IF(H_A[[#This Row],[Age]]&lt;30,"Young",IF(H_A[[#This Row],[Age]]&lt;45,"Mid","Senior"))</f>
        <v>Mid</v>
      </c>
      <c r="AB965" t="str">
        <f>IF(H_A[[#This Row],[MonthlyIncome]]&lt;5000,"Low",IF(H_A[[#This Row],[MonthlyIncome]]&lt;10000,"Medium","High"))</f>
        <v>Medium</v>
      </c>
      <c r="AC965" t="str">
        <f>IF(H_A[[#This Row],[YearsAtCompany]]&lt;3,"Early",IF(H_A[[#This Row],[YearsAtCompany]]&lt;7,"Mid","Long"))</f>
        <v>Long</v>
      </c>
      <c r="AD965" t="str">
        <f>IF(H_A[[#This Row],[PercentSalaryHike]]&lt;13,"Low",IF(H_A[[#This Row],[PercentSalaryHike]]&lt;18,"Medium","High"))</f>
        <v>Medium</v>
      </c>
    </row>
    <row r="966" spans="1:30" x14ac:dyDescent="0.3">
      <c r="A966">
        <v>34</v>
      </c>
      <c r="B966">
        <v>1356</v>
      </c>
      <c r="C966" t="s">
        <v>36</v>
      </c>
      <c r="D966" t="s">
        <v>31</v>
      </c>
      <c r="E966">
        <v>15</v>
      </c>
      <c r="F966">
        <v>2</v>
      </c>
      <c r="G966" t="s">
        <v>43</v>
      </c>
      <c r="H966">
        <v>3</v>
      </c>
      <c r="I966" t="s">
        <v>33</v>
      </c>
      <c r="J966">
        <v>3</v>
      </c>
      <c r="K966">
        <v>2</v>
      </c>
      <c r="L966" t="s">
        <v>34</v>
      </c>
      <c r="M966">
        <v>1</v>
      </c>
      <c r="N966" t="s">
        <v>35</v>
      </c>
      <c r="O966">
        <v>6125</v>
      </c>
      <c r="P966">
        <v>1</v>
      </c>
      <c r="Q966" t="s">
        <v>36</v>
      </c>
      <c r="R966">
        <v>4</v>
      </c>
      <c r="S966">
        <v>10</v>
      </c>
      <c r="T966">
        <v>4</v>
      </c>
      <c r="U966">
        <v>10</v>
      </c>
      <c r="V966">
        <v>8</v>
      </c>
      <c r="W966">
        <v>9</v>
      </c>
      <c r="X966">
        <v>6</v>
      </c>
      <c r="Y966">
        <v>12</v>
      </c>
      <c r="Z966">
        <f>IF(H_A[[#This Row],[Attrition]]="Yes",1,0)</f>
        <v>0</v>
      </c>
      <c r="AA966" t="str">
        <f>IF(H_A[[#This Row],[Age]]&lt;30,"Young",IF(H_A[[#This Row],[Age]]&lt;45,"Mid","Senior"))</f>
        <v>Mid</v>
      </c>
      <c r="AB966" t="str">
        <f>IF(H_A[[#This Row],[MonthlyIncome]]&lt;5000,"Low",IF(H_A[[#This Row],[MonthlyIncome]]&lt;10000,"Medium","High"))</f>
        <v>Medium</v>
      </c>
      <c r="AC966" t="str">
        <f>IF(H_A[[#This Row],[YearsAtCompany]]&lt;3,"Early",IF(H_A[[#This Row],[YearsAtCompany]]&lt;7,"Mid","Long"))</f>
        <v>Long</v>
      </c>
      <c r="AD966" t="str">
        <f>IF(H_A[[#This Row],[PercentSalaryHike]]&lt;13,"Low",IF(H_A[[#This Row],[PercentSalaryHike]]&lt;18,"Medium","High"))</f>
        <v>Low</v>
      </c>
    </row>
    <row r="967" spans="1:30" x14ac:dyDescent="0.3">
      <c r="A967">
        <v>25</v>
      </c>
      <c r="B967">
        <v>1358</v>
      </c>
      <c r="C967" t="s">
        <v>36</v>
      </c>
      <c r="D967" t="s">
        <v>37</v>
      </c>
      <c r="E967">
        <v>19</v>
      </c>
      <c r="F967">
        <v>1</v>
      </c>
      <c r="G967" t="s">
        <v>43</v>
      </c>
      <c r="H967">
        <v>4</v>
      </c>
      <c r="I967" t="s">
        <v>38</v>
      </c>
      <c r="J967">
        <v>3</v>
      </c>
      <c r="K967">
        <v>1</v>
      </c>
      <c r="L967" t="s">
        <v>42</v>
      </c>
      <c r="M967">
        <v>4</v>
      </c>
      <c r="N967" t="s">
        <v>40</v>
      </c>
      <c r="O967">
        <v>3669</v>
      </c>
      <c r="P967">
        <v>3</v>
      </c>
      <c r="Q967" t="s">
        <v>36</v>
      </c>
      <c r="R967">
        <v>3</v>
      </c>
      <c r="S967">
        <v>7</v>
      </c>
      <c r="T967">
        <v>2</v>
      </c>
      <c r="U967">
        <v>3</v>
      </c>
      <c r="V967">
        <v>2</v>
      </c>
      <c r="W967">
        <v>1</v>
      </c>
      <c r="X967">
        <v>2</v>
      </c>
      <c r="Y967">
        <v>11</v>
      </c>
      <c r="Z967">
        <f>IF(H_A[[#This Row],[Attrition]]="Yes",1,0)</f>
        <v>0</v>
      </c>
      <c r="AA967" t="str">
        <f>IF(H_A[[#This Row],[Age]]&lt;30,"Young",IF(H_A[[#This Row],[Age]]&lt;45,"Mid","Senior"))</f>
        <v>Young</v>
      </c>
      <c r="AB967" t="str">
        <f>IF(H_A[[#This Row],[MonthlyIncome]]&lt;5000,"Low",IF(H_A[[#This Row],[MonthlyIncome]]&lt;10000,"Medium","High"))</f>
        <v>Low</v>
      </c>
      <c r="AC967" t="str">
        <f>IF(H_A[[#This Row],[YearsAtCompany]]&lt;3,"Early",IF(H_A[[#This Row],[YearsAtCompany]]&lt;7,"Mid","Long"))</f>
        <v>Mid</v>
      </c>
      <c r="AD967" t="str">
        <f>IF(H_A[[#This Row],[PercentSalaryHike]]&lt;13,"Low",IF(H_A[[#This Row],[PercentSalaryHike]]&lt;18,"Medium","High"))</f>
        <v>Low</v>
      </c>
    </row>
    <row r="968" spans="1:30" x14ac:dyDescent="0.3">
      <c r="A968">
        <v>58</v>
      </c>
      <c r="B968">
        <v>1360</v>
      </c>
      <c r="C968" t="s">
        <v>30</v>
      </c>
      <c r="D968" t="s">
        <v>37</v>
      </c>
      <c r="E968">
        <v>7</v>
      </c>
      <c r="F968">
        <v>4</v>
      </c>
      <c r="G968" t="s">
        <v>43</v>
      </c>
      <c r="H968">
        <v>3</v>
      </c>
      <c r="I968" t="s">
        <v>33</v>
      </c>
      <c r="J968">
        <v>2</v>
      </c>
      <c r="K968">
        <v>3</v>
      </c>
      <c r="L968" t="s">
        <v>45</v>
      </c>
      <c r="M968">
        <v>1</v>
      </c>
      <c r="N968" t="s">
        <v>40</v>
      </c>
      <c r="O968">
        <v>10008</v>
      </c>
      <c r="P968">
        <v>7</v>
      </c>
      <c r="Q968" t="s">
        <v>30</v>
      </c>
      <c r="R968">
        <v>4</v>
      </c>
      <c r="S968">
        <v>31</v>
      </c>
      <c r="T968">
        <v>2</v>
      </c>
      <c r="U968">
        <v>10</v>
      </c>
      <c r="V968">
        <v>9</v>
      </c>
      <c r="W968">
        <v>5</v>
      </c>
      <c r="X968">
        <v>9</v>
      </c>
      <c r="Y968">
        <v>14</v>
      </c>
      <c r="Z968">
        <f>IF(H_A[[#This Row],[Attrition]]="Yes",1,0)</f>
        <v>1</v>
      </c>
      <c r="AA968" t="str">
        <f>IF(H_A[[#This Row],[Age]]&lt;30,"Young",IF(H_A[[#This Row],[Age]]&lt;45,"Mid","Senior"))</f>
        <v>Senior</v>
      </c>
      <c r="AB968" t="str">
        <f>IF(H_A[[#This Row],[MonthlyIncome]]&lt;5000,"Low",IF(H_A[[#This Row],[MonthlyIncome]]&lt;10000,"Medium","High"))</f>
        <v>High</v>
      </c>
      <c r="AC968" t="str">
        <f>IF(H_A[[#This Row],[YearsAtCompany]]&lt;3,"Early",IF(H_A[[#This Row],[YearsAtCompany]]&lt;7,"Mid","Long"))</f>
        <v>Long</v>
      </c>
      <c r="AD968" t="str">
        <f>IF(H_A[[#This Row],[PercentSalaryHike]]&lt;13,"Low",IF(H_A[[#This Row],[PercentSalaryHike]]&lt;18,"Medium","High"))</f>
        <v>Medium</v>
      </c>
    </row>
    <row r="969" spans="1:30" x14ac:dyDescent="0.3">
      <c r="A969">
        <v>40</v>
      </c>
      <c r="B969">
        <v>1361</v>
      </c>
      <c r="C969" t="s">
        <v>36</v>
      </c>
      <c r="D969" t="s">
        <v>37</v>
      </c>
      <c r="E969">
        <v>1</v>
      </c>
      <c r="F969">
        <v>4</v>
      </c>
      <c r="G969" t="s">
        <v>32</v>
      </c>
      <c r="H969">
        <v>2</v>
      </c>
      <c r="I969" t="s">
        <v>38</v>
      </c>
      <c r="J969">
        <v>3</v>
      </c>
      <c r="K969">
        <v>1</v>
      </c>
      <c r="L969" t="s">
        <v>42</v>
      </c>
      <c r="M969">
        <v>2</v>
      </c>
      <c r="N969" t="s">
        <v>40</v>
      </c>
      <c r="O969">
        <v>2387</v>
      </c>
      <c r="P969">
        <v>3</v>
      </c>
      <c r="Q969" t="s">
        <v>36</v>
      </c>
      <c r="R969">
        <v>3</v>
      </c>
      <c r="S969">
        <v>7</v>
      </c>
      <c r="T969">
        <v>3</v>
      </c>
      <c r="U969">
        <v>4</v>
      </c>
      <c r="V969">
        <v>2</v>
      </c>
      <c r="W969">
        <v>0</v>
      </c>
      <c r="X969">
        <v>3</v>
      </c>
      <c r="Y969">
        <v>22</v>
      </c>
      <c r="Z969">
        <f>IF(H_A[[#This Row],[Attrition]]="Yes",1,0)</f>
        <v>0</v>
      </c>
      <c r="AA969" t="str">
        <f>IF(H_A[[#This Row],[Age]]&lt;30,"Young",IF(H_A[[#This Row],[Age]]&lt;45,"Mid","Senior"))</f>
        <v>Mid</v>
      </c>
      <c r="AB969" t="str">
        <f>IF(H_A[[#This Row],[MonthlyIncome]]&lt;5000,"Low",IF(H_A[[#This Row],[MonthlyIncome]]&lt;10000,"Medium","High"))</f>
        <v>Low</v>
      </c>
      <c r="AC969" t="str">
        <f>IF(H_A[[#This Row],[YearsAtCompany]]&lt;3,"Early",IF(H_A[[#This Row],[YearsAtCompany]]&lt;7,"Mid","Long"))</f>
        <v>Mid</v>
      </c>
      <c r="AD969" t="str">
        <f>IF(H_A[[#This Row],[PercentSalaryHike]]&lt;13,"Low",IF(H_A[[#This Row],[PercentSalaryHike]]&lt;18,"Medium","High"))</f>
        <v>High</v>
      </c>
    </row>
    <row r="970" spans="1:30" x14ac:dyDescent="0.3">
      <c r="A970">
        <v>36</v>
      </c>
      <c r="B970">
        <v>1362</v>
      </c>
      <c r="C970" t="s">
        <v>36</v>
      </c>
      <c r="D970" t="s">
        <v>31</v>
      </c>
      <c r="E970">
        <v>7</v>
      </c>
      <c r="F970">
        <v>3</v>
      </c>
      <c r="G970" t="s">
        <v>50</v>
      </c>
      <c r="H970">
        <v>1</v>
      </c>
      <c r="I970" t="s">
        <v>33</v>
      </c>
      <c r="J970">
        <v>4</v>
      </c>
      <c r="K970">
        <v>2</v>
      </c>
      <c r="L970" t="s">
        <v>34</v>
      </c>
      <c r="M970">
        <v>1</v>
      </c>
      <c r="N970" t="s">
        <v>40</v>
      </c>
      <c r="O970">
        <v>4639</v>
      </c>
      <c r="P970">
        <v>2</v>
      </c>
      <c r="Q970" t="s">
        <v>36</v>
      </c>
      <c r="R970">
        <v>4</v>
      </c>
      <c r="S970">
        <v>17</v>
      </c>
      <c r="T970">
        <v>2</v>
      </c>
      <c r="U970">
        <v>15</v>
      </c>
      <c r="V970">
        <v>7</v>
      </c>
      <c r="W970">
        <v>6</v>
      </c>
      <c r="X970">
        <v>13</v>
      </c>
      <c r="Y970">
        <v>16</v>
      </c>
      <c r="Z970">
        <f>IF(H_A[[#This Row],[Attrition]]="Yes",1,0)</f>
        <v>0</v>
      </c>
      <c r="AA970" t="str">
        <f>IF(H_A[[#This Row],[Age]]&lt;30,"Young",IF(H_A[[#This Row],[Age]]&lt;45,"Mid","Senior"))</f>
        <v>Mid</v>
      </c>
      <c r="AB970" t="str">
        <f>IF(H_A[[#This Row],[MonthlyIncome]]&lt;5000,"Low",IF(H_A[[#This Row],[MonthlyIncome]]&lt;10000,"Medium","High"))</f>
        <v>Low</v>
      </c>
      <c r="AC970" t="str">
        <f>IF(H_A[[#This Row],[YearsAtCompany]]&lt;3,"Early",IF(H_A[[#This Row],[YearsAtCompany]]&lt;7,"Mid","Long"))</f>
        <v>Long</v>
      </c>
      <c r="AD970" t="str">
        <f>IF(H_A[[#This Row],[PercentSalaryHike]]&lt;13,"Low",IF(H_A[[#This Row],[PercentSalaryHike]]&lt;18,"Medium","High"))</f>
        <v>Medium</v>
      </c>
    </row>
    <row r="971" spans="1:30" x14ac:dyDescent="0.3">
      <c r="A971">
        <v>48</v>
      </c>
      <c r="B971">
        <v>1363</v>
      </c>
      <c r="C971" t="s">
        <v>36</v>
      </c>
      <c r="D971" t="s">
        <v>37</v>
      </c>
      <c r="E971">
        <v>4</v>
      </c>
      <c r="F971">
        <v>3</v>
      </c>
      <c r="G971" t="s">
        <v>32</v>
      </c>
      <c r="H971">
        <v>4</v>
      </c>
      <c r="I971" t="s">
        <v>38</v>
      </c>
      <c r="J971">
        <v>3</v>
      </c>
      <c r="K971">
        <v>3</v>
      </c>
      <c r="L971" t="s">
        <v>45</v>
      </c>
      <c r="M971">
        <v>4</v>
      </c>
      <c r="N971" t="s">
        <v>35</v>
      </c>
      <c r="O971">
        <v>7898</v>
      </c>
      <c r="P971">
        <v>1</v>
      </c>
      <c r="Q971" t="s">
        <v>36</v>
      </c>
      <c r="R971">
        <v>3</v>
      </c>
      <c r="S971">
        <v>11</v>
      </c>
      <c r="T971">
        <v>3</v>
      </c>
      <c r="U971">
        <v>10</v>
      </c>
      <c r="V971">
        <v>9</v>
      </c>
      <c r="W971">
        <v>0</v>
      </c>
      <c r="X971">
        <v>8</v>
      </c>
      <c r="Y971">
        <v>11</v>
      </c>
      <c r="Z971">
        <f>IF(H_A[[#This Row],[Attrition]]="Yes",1,0)</f>
        <v>0</v>
      </c>
      <c r="AA971" t="str">
        <f>IF(H_A[[#This Row],[Age]]&lt;30,"Young",IF(H_A[[#This Row],[Age]]&lt;45,"Mid","Senior"))</f>
        <v>Senior</v>
      </c>
      <c r="AB971" t="str">
        <f>IF(H_A[[#This Row],[MonthlyIncome]]&lt;5000,"Low",IF(H_A[[#This Row],[MonthlyIncome]]&lt;10000,"Medium","High"))</f>
        <v>Medium</v>
      </c>
      <c r="AC971" t="str">
        <f>IF(H_A[[#This Row],[YearsAtCompany]]&lt;3,"Early",IF(H_A[[#This Row],[YearsAtCompany]]&lt;7,"Mid","Long"))</f>
        <v>Long</v>
      </c>
      <c r="AD971" t="str">
        <f>IF(H_A[[#This Row],[PercentSalaryHike]]&lt;13,"Low",IF(H_A[[#This Row],[PercentSalaryHike]]&lt;18,"Medium","High"))</f>
        <v>Low</v>
      </c>
    </row>
    <row r="972" spans="1:30" x14ac:dyDescent="0.3">
      <c r="A972">
        <v>27</v>
      </c>
      <c r="B972">
        <v>1364</v>
      </c>
      <c r="C972" t="s">
        <v>36</v>
      </c>
      <c r="D972" t="s">
        <v>31</v>
      </c>
      <c r="E972">
        <v>11</v>
      </c>
      <c r="F972">
        <v>3</v>
      </c>
      <c r="G972" t="s">
        <v>43</v>
      </c>
      <c r="H972">
        <v>3</v>
      </c>
      <c r="I972" t="s">
        <v>33</v>
      </c>
      <c r="J972">
        <v>4</v>
      </c>
      <c r="K972">
        <v>1</v>
      </c>
      <c r="L972" t="s">
        <v>48</v>
      </c>
      <c r="M972">
        <v>4</v>
      </c>
      <c r="N972" t="s">
        <v>40</v>
      </c>
      <c r="O972">
        <v>2534</v>
      </c>
      <c r="P972">
        <v>8</v>
      </c>
      <c r="Q972" t="s">
        <v>36</v>
      </c>
      <c r="R972">
        <v>2</v>
      </c>
      <c r="S972">
        <v>5</v>
      </c>
      <c r="T972">
        <v>3</v>
      </c>
      <c r="U972">
        <v>1</v>
      </c>
      <c r="V972">
        <v>0</v>
      </c>
      <c r="W972">
        <v>0</v>
      </c>
      <c r="X972">
        <v>0</v>
      </c>
      <c r="Y972">
        <v>14</v>
      </c>
      <c r="Z972">
        <f>IF(H_A[[#This Row],[Attrition]]="Yes",1,0)</f>
        <v>0</v>
      </c>
      <c r="AA972" t="str">
        <f>IF(H_A[[#This Row],[Age]]&lt;30,"Young",IF(H_A[[#This Row],[Age]]&lt;45,"Mid","Senior"))</f>
        <v>Young</v>
      </c>
      <c r="AB972" t="str">
        <f>IF(H_A[[#This Row],[MonthlyIncome]]&lt;5000,"Low",IF(H_A[[#This Row],[MonthlyIncome]]&lt;10000,"Medium","High"))</f>
        <v>Low</v>
      </c>
      <c r="AC972" t="str">
        <f>IF(H_A[[#This Row],[YearsAtCompany]]&lt;3,"Early",IF(H_A[[#This Row],[YearsAtCompany]]&lt;7,"Mid","Long"))</f>
        <v>Early</v>
      </c>
      <c r="AD972" t="str">
        <f>IF(H_A[[#This Row],[PercentSalaryHike]]&lt;13,"Low",IF(H_A[[#This Row],[PercentSalaryHike]]&lt;18,"Medium","High"))</f>
        <v>Medium</v>
      </c>
    </row>
    <row r="973" spans="1:30" x14ac:dyDescent="0.3">
      <c r="A973">
        <v>51</v>
      </c>
      <c r="B973">
        <v>1367</v>
      </c>
      <c r="C973" t="s">
        <v>36</v>
      </c>
      <c r="D973" t="s">
        <v>37</v>
      </c>
      <c r="E973">
        <v>11</v>
      </c>
      <c r="F973">
        <v>2</v>
      </c>
      <c r="G973" t="s">
        <v>51</v>
      </c>
      <c r="H973">
        <v>4</v>
      </c>
      <c r="I973" t="s">
        <v>33</v>
      </c>
      <c r="J973">
        <v>2</v>
      </c>
      <c r="K973">
        <v>4</v>
      </c>
      <c r="L973" t="s">
        <v>45</v>
      </c>
      <c r="M973">
        <v>2</v>
      </c>
      <c r="N973" t="s">
        <v>35</v>
      </c>
      <c r="O973">
        <v>13142</v>
      </c>
      <c r="P973">
        <v>3</v>
      </c>
      <c r="Q973" t="s">
        <v>36</v>
      </c>
      <c r="R973">
        <v>2</v>
      </c>
      <c r="S973">
        <v>29</v>
      </c>
      <c r="T973">
        <v>2</v>
      </c>
      <c r="U973">
        <v>5</v>
      </c>
      <c r="V973">
        <v>2</v>
      </c>
      <c r="W973">
        <v>0</v>
      </c>
      <c r="X973">
        <v>3</v>
      </c>
      <c r="Y973">
        <v>16</v>
      </c>
      <c r="Z973">
        <f>IF(H_A[[#This Row],[Attrition]]="Yes",1,0)</f>
        <v>0</v>
      </c>
      <c r="AA973" t="str">
        <f>IF(H_A[[#This Row],[Age]]&lt;30,"Young",IF(H_A[[#This Row],[Age]]&lt;45,"Mid","Senior"))</f>
        <v>Senior</v>
      </c>
      <c r="AB973" t="str">
        <f>IF(H_A[[#This Row],[MonthlyIncome]]&lt;5000,"Low",IF(H_A[[#This Row],[MonthlyIncome]]&lt;10000,"Medium","High"))</f>
        <v>High</v>
      </c>
      <c r="AC973" t="str">
        <f>IF(H_A[[#This Row],[YearsAtCompany]]&lt;3,"Early",IF(H_A[[#This Row],[YearsAtCompany]]&lt;7,"Mid","Long"))</f>
        <v>Mid</v>
      </c>
      <c r="AD973" t="str">
        <f>IF(H_A[[#This Row],[PercentSalaryHike]]&lt;13,"Low",IF(H_A[[#This Row],[PercentSalaryHike]]&lt;18,"Medium","High"))</f>
        <v>Medium</v>
      </c>
    </row>
    <row r="974" spans="1:30" x14ac:dyDescent="0.3">
      <c r="A974">
        <v>18</v>
      </c>
      <c r="B974">
        <v>1368</v>
      </c>
      <c r="C974" t="s">
        <v>36</v>
      </c>
      <c r="D974" t="s">
        <v>37</v>
      </c>
      <c r="E974">
        <v>1</v>
      </c>
      <c r="F974">
        <v>3</v>
      </c>
      <c r="G974" t="s">
        <v>32</v>
      </c>
      <c r="H974">
        <v>4</v>
      </c>
      <c r="I974" t="s">
        <v>33</v>
      </c>
      <c r="J974">
        <v>3</v>
      </c>
      <c r="K974">
        <v>1</v>
      </c>
      <c r="L974" t="s">
        <v>42</v>
      </c>
      <c r="M974">
        <v>4</v>
      </c>
      <c r="N974" t="s">
        <v>35</v>
      </c>
      <c r="O974">
        <v>1611</v>
      </c>
      <c r="P974">
        <v>1</v>
      </c>
      <c r="Q974" t="s">
        <v>36</v>
      </c>
      <c r="R974">
        <v>3</v>
      </c>
      <c r="S974">
        <v>0</v>
      </c>
      <c r="T974">
        <v>4</v>
      </c>
      <c r="U974">
        <v>0</v>
      </c>
      <c r="V974">
        <v>0</v>
      </c>
      <c r="W974">
        <v>0</v>
      </c>
      <c r="X974">
        <v>0</v>
      </c>
      <c r="Y974">
        <v>15</v>
      </c>
      <c r="Z974">
        <f>IF(H_A[[#This Row],[Attrition]]="Yes",1,0)</f>
        <v>0</v>
      </c>
      <c r="AA974" t="str">
        <f>IF(H_A[[#This Row],[Age]]&lt;30,"Young",IF(H_A[[#This Row],[Age]]&lt;45,"Mid","Senior"))</f>
        <v>Young</v>
      </c>
      <c r="AB974" t="str">
        <f>IF(H_A[[#This Row],[MonthlyIncome]]&lt;5000,"Low",IF(H_A[[#This Row],[MonthlyIncome]]&lt;10000,"Medium","High"))</f>
        <v>Low</v>
      </c>
      <c r="AC974" t="str">
        <f>IF(H_A[[#This Row],[YearsAtCompany]]&lt;3,"Early",IF(H_A[[#This Row],[YearsAtCompany]]&lt;7,"Mid","Long"))</f>
        <v>Early</v>
      </c>
      <c r="AD974" t="str">
        <f>IF(H_A[[#This Row],[PercentSalaryHike]]&lt;13,"Low",IF(H_A[[#This Row],[PercentSalaryHike]]&lt;18,"Medium","High"))</f>
        <v>Medium</v>
      </c>
    </row>
    <row r="975" spans="1:30" x14ac:dyDescent="0.3">
      <c r="A975">
        <v>35</v>
      </c>
      <c r="B975">
        <v>1369</v>
      </c>
      <c r="C975" t="s">
        <v>36</v>
      </c>
      <c r="D975" t="s">
        <v>37</v>
      </c>
      <c r="E975">
        <v>1</v>
      </c>
      <c r="F975">
        <v>3</v>
      </c>
      <c r="G975" t="s">
        <v>43</v>
      </c>
      <c r="H975">
        <v>4</v>
      </c>
      <c r="I975" t="s">
        <v>33</v>
      </c>
      <c r="J975">
        <v>2</v>
      </c>
      <c r="K975">
        <v>2</v>
      </c>
      <c r="L975" t="s">
        <v>42</v>
      </c>
      <c r="M975">
        <v>4</v>
      </c>
      <c r="N975" t="s">
        <v>40</v>
      </c>
      <c r="O975">
        <v>5363</v>
      </c>
      <c r="P975">
        <v>0</v>
      </c>
      <c r="Q975" t="s">
        <v>36</v>
      </c>
      <c r="R975">
        <v>2</v>
      </c>
      <c r="S975">
        <v>10</v>
      </c>
      <c r="T975">
        <v>3</v>
      </c>
      <c r="U975">
        <v>9</v>
      </c>
      <c r="V975">
        <v>7</v>
      </c>
      <c r="W975">
        <v>0</v>
      </c>
      <c r="X975">
        <v>0</v>
      </c>
      <c r="Y975">
        <v>12</v>
      </c>
      <c r="Z975">
        <f>IF(H_A[[#This Row],[Attrition]]="Yes",1,0)</f>
        <v>0</v>
      </c>
      <c r="AA975" t="str">
        <f>IF(H_A[[#This Row],[Age]]&lt;30,"Young",IF(H_A[[#This Row],[Age]]&lt;45,"Mid","Senior"))</f>
        <v>Mid</v>
      </c>
      <c r="AB975" t="str">
        <f>IF(H_A[[#This Row],[MonthlyIncome]]&lt;5000,"Low",IF(H_A[[#This Row],[MonthlyIncome]]&lt;10000,"Medium","High"))</f>
        <v>Medium</v>
      </c>
      <c r="AC975" t="str">
        <f>IF(H_A[[#This Row],[YearsAtCompany]]&lt;3,"Early",IF(H_A[[#This Row],[YearsAtCompany]]&lt;7,"Mid","Long"))</f>
        <v>Long</v>
      </c>
      <c r="AD975" t="str">
        <f>IF(H_A[[#This Row],[PercentSalaryHike]]&lt;13,"Low",IF(H_A[[#This Row],[PercentSalaryHike]]&lt;18,"Medium","High"))</f>
        <v>Low</v>
      </c>
    </row>
    <row r="976" spans="1:30" x14ac:dyDescent="0.3">
      <c r="A976">
        <v>27</v>
      </c>
      <c r="B976">
        <v>1371</v>
      </c>
      <c r="C976" t="s">
        <v>36</v>
      </c>
      <c r="D976" t="s">
        <v>31</v>
      </c>
      <c r="E976">
        <v>2</v>
      </c>
      <c r="F976">
        <v>1</v>
      </c>
      <c r="G976" t="s">
        <v>32</v>
      </c>
      <c r="H976">
        <v>4</v>
      </c>
      <c r="I976" t="s">
        <v>38</v>
      </c>
      <c r="J976">
        <v>1</v>
      </c>
      <c r="K976">
        <v>2</v>
      </c>
      <c r="L976" t="s">
        <v>34</v>
      </c>
      <c r="M976">
        <v>4</v>
      </c>
      <c r="N976" t="s">
        <v>35</v>
      </c>
      <c r="O976">
        <v>5071</v>
      </c>
      <c r="P976">
        <v>3</v>
      </c>
      <c r="Q976" t="s">
        <v>36</v>
      </c>
      <c r="R976">
        <v>2</v>
      </c>
      <c r="S976">
        <v>8</v>
      </c>
      <c r="T976">
        <v>3</v>
      </c>
      <c r="U976">
        <v>6</v>
      </c>
      <c r="V976">
        <v>2</v>
      </c>
      <c r="W976">
        <v>0</v>
      </c>
      <c r="X976">
        <v>0</v>
      </c>
      <c r="Y976">
        <v>20</v>
      </c>
      <c r="Z976">
        <f>IF(H_A[[#This Row],[Attrition]]="Yes",1,0)</f>
        <v>0</v>
      </c>
      <c r="AA976" t="str">
        <f>IF(H_A[[#This Row],[Age]]&lt;30,"Young",IF(H_A[[#This Row],[Age]]&lt;45,"Mid","Senior"))</f>
        <v>Young</v>
      </c>
      <c r="AB976" t="str">
        <f>IF(H_A[[#This Row],[MonthlyIncome]]&lt;5000,"Low",IF(H_A[[#This Row],[MonthlyIncome]]&lt;10000,"Medium","High"))</f>
        <v>Medium</v>
      </c>
      <c r="AC976" t="str">
        <f>IF(H_A[[#This Row],[YearsAtCompany]]&lt;3,"Early",IF(H_A[[#This Row],[YearsAtCompany]]&lt;7,"Mid","Long"))</f>
        <v>Mid</v>
      </c>
      <c r="AD976" t="str">
        <f>IF(H_A[[#This Row],[PercentSalaryHike]]&lt;13,"Low",IF(H_A[[#This Row],[PercentSalaryHike]]&lt;18,"Medium","High"))</f>
        <v>High</v>
      </c>
    </row>
    <row r="977" spans="1:30" x14ac:dyDescent="0.3">
      <c r="A977">
        <v>55</v>
      </c>
      <c r="B977">
        <v>1372</v>
      </c>
      <c r="C977" t="s">
        <v>30</v>
      </c>
      <c r="D977" t="s">
        <v>31</v>
      </c>
      <c r="E977">
        <v>13</v>
      </c>
      <c r="F977">
        <v>4</v>
      </c>
      <c r="G977" t="s">
        <v>50</v>
      </c>
      <c r="H977">
        <v>1</v>
      </c>
      <c r="I977" t="s">
        <v>38</v>
      </c>
      <c r="J977">
        <v>4</v>
      </c>
      <c r="K977">
        <v>4</v>
      </c>
      <c r="L977" t="s">
        <v>34</v>
      </c>
      <c r="M977">
        <v>3</v>
      </c>
      <c r="N977" t="s">
        <v>35</v>
      </c>
      <c r="O977">
        <v>13695</v>
      </c>
      <c r="P977">
        <v>6</v>
      </c>
      <c r="Q977" t="s">
        <v>30</v>
      </c>
      <c r="R977">
        <v>3</v>
      </c>
      <c r="S977">
        <v>24</v>
      </c>
      <c r="T977">
        <v>2</v>
      </c>
      <c r="U977">
        <v>19</v>
      </c>
      <c r="V977">
        <v>7</v>
      </c>
      <c r="W977">
        <v>3</v>
      </c>
      <c r="X977">
        <v>8</v>
      </c>
      <c r="Y977">
        <v>17</v>
      </c>
      <c r="Z977">
        <f>IF(H_A[[#This Row],[Attrition]]="Yes",1,0)</f>
        <v>1</v>
      </c>
      <c r="AA977" t="str">
        <f>IF(H_A[[#This Row],[Age]]&lt;30,"Young",IF(H_A[[#This Row],[Age]]&lt;45,"Mid","Senior"))</f>
        <v>Senior</v>
      </c>
      <c r="AB977" t="str">
        <f>IF(H_A[[#This Row],[MonthlyIncome]]&lt;5000,"Low",IF(H_A[[#This Row],[MonthlyIncome]]&lt;10000,"Medium","High"))</f>
        <v>High</v>
      </c>
      <c r="AC977" t="str">
        <f>IF(H_A[[#This Row],[YearsAtCompany]]&lt;3,"Early",IF(H_A[[#This Row],[YearsAtCompany]]&lt;7,"Mid","Long"))</f>
        <v>Long</v>
      </c>
      <c r="AD977" t="str">
        <f>IF(H_A[[#This Row],[PercentSalaryHike]]&lt;13,"Low",IF(H_A[[#This Row],[PercentSalaryHike]]&lt;18,"Medium","High"))</f>
        <v>Medium</v>
      </c>
    </row>
    <row r="978" spans="1:30" x14ac:dyDescent="0.3">
      <c r="A978">
        <v>56</v>
      </c>
      <c r="B978">
        <v>1373</v>
      </c>
      <c r="C978" t="s">
        <v>36</v>
      </c>
      <c r="D978" t="s">
        <v>37</v>
      </c>
      <c r="E978">
        <v>23</v>
      </c>
      <c r="F978">
        <v>3</v>
      </c>
      <c r="G978" t="s">
        <v>32</v>
      </c>
      <c r="H978">
        <v>4</v>
      </c>
      <c r="I978" t="s">
        <v>38</v>
      </c>
      <c r="J978">
        <v>3</v>
      </c>
      <c r="K978">
        <v>4</v>
      </c>
      <c r="L978" t="s">
        <v>45</v>
      </c>
      <c r="M978">
        <v>2</v>
      </c>
      <c r="N978" t="s">
        <v>40</v>
      </c>
      <c r="O978">
        <v>13402</v>
      </c>
      <c r="P978">
        <v>4</v>
      </c>
      <c r="Q978" t="s">
        <v>30</v>
      </c>
      <c r="R978">
        <v>1</v>
      </c>
      <c r="S978">
        <v>33</v>
      </c>
      <c r="T978">
        <v>3</v>
      </c>
      <c r="U978">
        <v>19</v>
      </c>
      <c r="V978">
        <v>16</v>
      </c>
      <c r="W978">
        <v>15</v>
      </c>
      <c r="X978">
        <v>9</v>
      </c>
      <c r="Y978">
        <v>12</v>
      </c>
      <c r="Z978">
        <f>IF(H_A[[#This Row],[Attrition]]="Yes",1,0)</f>
        <v>0</v>
      </c>
      <c r="AA978" t="str">
        <f>IF(H_A[[#This Row],[Age]]&lt;30,"Young",IF(H_A[[#This Row],[Age]]&lt;45,"Mid","Senior"))</f>
        <v>Senior</v>
      </c>
      <c r="AB978" t="str">
        <f>IF(H_A[[#This Row],[MonthlyIncome]]&lt;5000,"Low",IF(H_A[[#This Row],[MonthlyIncome]]&lt;10000,"Medium","High"))</f>
        <v>High</v>
      </c>
      <c r="AC978" t="str">
        <f>IF(H_A[[#This Row],[YearsAtCompany]]&lt;3,"Early",IF(H_A[[#This Row],[YearsAtCompany]]&lt;7,"Mid","Long"))</f>
        <v>Long</v>
      </c>
      <c r="AD978" t="str">
        <f>IF(H_A[[#This Row],[PercentSalaryHike]]&lt;13,"Low",IF(H_A[[#This Row],[PercentSalaryHike]]&lt;18,"Medium","High"))</f>
        <v>Low</v>
      </c>
    </row>
    <row r="979" spans="1:30" x14ac:dyDescent="0.3">
      <c r="A979">
        <v>34</v>
      </c>
      <c r="B979">
        <v>1374</v>
      </c>
      <c r="C979" t="s">
        <v>36</v>
      </c>
      <c r="D979" t="s">
        <v>37</v>
      </c>
      <c r="E979">
        <v>26</v>
      </c>
      <c r="F979">
        <v>1</v>
      </c>
      <c r="G979" t="s">
        <v>51</v>
      </c>
      <c r="H979">
        <v>1</v>
      </c>
      <c r="I979" t="s">
        <v>33</v>
      </c>
      <c r="J979">
        <v>2</v>
      </c>
      <c r="K979">
        <v>1</v>
      </c>
      <c r="L979" t="s">
        <v>39</v>
      </c>
      <c r="M979">
        <v>3</v>
      </c>
      <c r="N979" t="s">
        <v>44</v>
      </c>
      <c r="O979">
        <v>2029</v>
      </c>
      <c r="P979">
        <v>1</v>
      </c>
      <c r="Q979" t="s">
        <v>36</v>
      </c>
      <c r="R979">
        <v>3</v>
      </c>
      <c r="S979">
        <v>5</v>
      </c>
      <c r="T979">
        <v>3</v>
      </c>
      <c r="U979">
        <v>5</v>
      </c>
      <c r="V979">
        <v>4</v>
      </c>
      <c r="W979">
        <v>0</v>
      </c>
      <c r="X979">
        <v>0</v>
      </c>
      <c r="Y979">
        <v>20</v>
      </c>
      <c r="Z979">
        <f>IF(H_A[[#This Row],[Attrition]]="Yes",1,0)</f>
        <v>0</v>
      </c>
      <c r="AA979" t="str">
        <f>IF(H_A[[#This Row],[Age]]&lt;30,"Young",IF(H_A[[#This Row],[Age]]&lt;45,"Mid","Senior"))</f>
        <v>Mid</v>
      </c>
      <c r="AB979" t="str">
        <f>IF(H_A[[#This Row],[MonthlyIncome]]&lt;5000,"Low",IF(H_A[[#This Row],[MonthlyIncome]]&lt;10000,"Medium","High"))</f>
        <v>Low</v>
      </c>
      <c r="AC979" t="str">
        <f>IF(H_A[[#This Row],[YearsAtCompany]]&lt;3,"Early",IF(H_A[[#This Row],[YearsAtCompany]]&lt;7,"Mid","Long"))</f>
        <v>Mid</v>
      </c>
      <c r="AD979" t="str">
        <f>IF(H_A[[#This Row],[PercentSalaryHike]]&lt;13,"Low",IF(H_A[[#This Row],[PercentSalaryHike]]&lt;18,"Medium","High"))</f>
        <v>High</v>
      </c>
    </row>
    <row r="980" spans="1:30" x14ac:dyDescent="0.3">
      <c r="A980">
        <v>40</v>
      </c>
      <c r="B980">
        <v>1375</v>
      </c>
      <c r="C980" t="s">
        <v>36</v>
      </c>
      <c r="D980" t="s">
        <v>37</v>
      </c>
      <c r="E980">
        <v>2</v>
      </c>
      <c r="F980">
        <v>1</v>
      </c>
      <c r="G980" t="s">
        <v>43</v>
      </c>
      <c r="H980">
        <v>2</v>
      </c>
      <c r="I980" t="s">
        <v>33</v>
      </c>
      <c r="J980">
        <v>4</v>
      </c>
      <c r="K980">
        <v>2</v>
      </c>
      <c r="L980" t="s">
        <v>46</v>
      </c>
      <c r="M980">
        <v>3</v>
      </c>
      <c r="N980" t="s">
        <v>44</v>
      </c>
      <c r="O980">
        <v>6377</v>
      </c>
      <c r="P980">
        <v>5</v>
      </c>
      <c r="Q980" t="s">
        <v>36</v>
      </c>
      <c r="R980">
        <v>2</v>
      </c>
      <c r="S980">
        <v>15</v>
      </c>
      <c r="T980">
        <v>3</v>
      </c>
      <c r="U980">
        <v>12</v>
      </c>
      <c r="V980">
        <v>11</v>
      </c>
      <c r="W980">
        <v>11</v>
      </c>
      <c r="X980">
        <v>8</v>
      </c>
      <c r="Y980">
        <v>20</v>
      </c>
      <c r="Z980">
        <f>IF(H_A[[#This Row],[Attrition]]="Yes",1,0)</f>
        <v>0</v>
      </c>
      <c r="AA980" t="str">
        <f>IF(H_A[[#This Row],[Age]]&lt;30,"Young",IF(H_A[[#This Row],[Age]]&lt;45,"Mid","Senior"))</f>
        <v>Mid</v>
      </c>
      <c r="AB980" t="str">
        <f>IF(H_A[[#This Row],[MonthlyIncome]]&lt;5000,"Low",IF(H_A[[#This Row],[MonthlyIncome]]&lt;10000,"Medium","High"))</f>
        <v>Medium</v>
      </c>
      <c r="AC980" t="str">
        <f>IF(H_A[[#This Row],[YearsAtCompany]]&lt;3,"Early",IF(H_A[[#This Row],[YearsAtCompany]]&lt;7,"Mid","Long"))</f>
        <v>Long</v>
      </c>
      <c r="AD980" t="str">
        <f>IF(H_A[[#This Row],[PercentSalaryHike]]&lt;13,"Low",IF(H_A[[#This Row],[PercentSalaryHike]]&lt;18,"Medium","High"))</f>
        <v>High</v>
      </c>
    </row>
    <row r="981" spans="1:30" x14ac:dyDescent="0.3">
      <c r="A981">
        <v>34</v>
      </c>
      <c r="B981">
        <v>1377</v>
      </c>
      <c r="C981" t="s">
        <v>36</v>
      </c>
      <c r="D981" t="s">
        <v>37</v>
      </c>
      <c r="E981">
        <v>29</v>
      </c>
      <c r="F981">
        <v>3</v>
      </c>
      <c r="G981" t="s">
        <v>43</v>
      </c>
      <c r="H981">
        <v>2</v>
      </c>
      <c r="I981" t="s">
        <v>38</v>
      </c>
      <c r="J981">
        <v>3</v>
      </c>
      <c r="K981">
        <v>2</v>
      </c>
      <c r="L981" t="s">
        <v>42</v>
      </c>
      <c r="M981">
        <v>3</v>
      </c>
      <c r="N981" t="s">
        <v>40</v>
      </c>
      <c r="O981">
        <v>5429</v>
      </c>
      <c r="P981">
        <v>4</v>
      </c>
      <c r="Q981" t="s">
        <v>36</v>
      </c>
      <c r="R981">
        <v>1</v>
      </c>
      <c r="S981">
        <v>10</v>
      </c>
      <c r="T981">
        <v>3</v>
      </c>
      <c r="U981">
        <v>8</v>
      </c>
      <c r="V981">
        <v>7</v>
      </c>
      <c r="W981">
        <v>7</v>
      </c>
      <c r="X981">
        <v>7</v>
      </c>
      <c r="Y981">
        <v>13</v>
      </c>
      <c r="Z981">
        <f>IF(H_A[[#This Row],[Attrition]]="Yes",1,0)</f>
        <v>0</v>
      </c>
      <c r="AA981" t="str">
        <f>IF(H_A[[#This Row],[Age]]&lt;30,"Young",IF(H_A[[#This Row],[Age]]&lt;45,"Mid","Senior"))</f>
        <v>Mid</v>
      </c>
      <c r="AB981" t="str">
        <f>IF(H_A[[#This Row],[MonthlyIncome]]&lt;5000,"Low",IF(H_A[[#This Row],[MonthlyIncome]]&lt;10000,"Medium","High"))</f>
        <v>Medium</v>
      </c>
      <c r="AC981" t="str">
        <f>IF(H_A[[#This Row],[YearsAtCompany]]&lt;3,"Early",IF(H_A[[#This Row],[YearsAtCompany]]&lt;7,"Mid","Long"))</f>
        <v>Long</v>
      </c>
      <c r="AD981" t="str">
        <f>IF(H_A[[#This Row],[PercentSalaryHike]]&lt;13,"Low",IF(H_A[[#This Row],[PercentSalaryHike]]&lt;18,"Medium","High"))</f>
        <v>Medium</v>
      </c>
    </row>
    <row r="982" spans="1:30" x14ac:dyDescent="0.3">
      <c r="A982">
        <v>31</v>
      </c>
      <c r="B982">
        <v>1379</v>
      </c>
      <c r="C982" t="s">
        <v>30</v>
      </c>
      <c r="D982" t="s">
        <v>31</v>
      </c>
      <c r="E982">
        <v>2</v>
      </c>
      <c r="F982">
        <v>3</v>
      </c>
      <c r="G982" t="s">
        <v>32</v>
      </c>
      <c r="H982">
        <v>3</v>
      </c>
      <c r="I982" t="s">
        <v>33</v>
      </c>
      <c r="J982">
        <v>2</v>
      </c>
      <c r="K982">
        <v>1</v>
      </c>
      <c r="L982" t="s">
        <v>48</v>
      </c>
      <c r="M982">
        <v>4</v>
      </c>
      <c r="N982" t="s">
        <v>35</v>
      </c>
      <c r="O982">
        <v>2785</v>
      </c>
      <c r="P982">
        <v>7</v>
      </c>
      <c r="Q982" t="s">
        <v>36</v>
      </c>
      <c r="R982">
        <v>3</v>
      </c>
      <c r="S982">
        <v>3</v>
      </c>
      <c r="T982">
        <v>4</v>
      </c>
      <c r="U982">
        <v>1</v>
      </c>
      <c r="V982">
        <v>0</v>
      </c>
      <c r="W982">
        <v>0</v>
      </c>
      <c r="X982">
        <v>0</v>
      </c>
      <c r="Y982">
        <v>14</v>
      </c>
      <c r="Z982">
        <f>IF(H_A[[#This Row],[Attrition]]="Yes",1,0)</f>
        <v>1</v>
      </c>
      <c r="AA982" t="str">
        <f>IF(H_A[[#This Row],[Age]]&lt;30,"Young",IF(H_A[[#This Row],[Age]]&lt;45,"Mid","Senior"))</f>
        <v>Mid</v>
      </c>
      <c r="AB982" t="str">
        <f>IF(H_A[[#This Row],[MonthlyIncome]]&lt;5000,"Low",IF(H_A[[#This Row],[MonthlyIncome]]&lt;10000,"Medium","High"))</f>
        <v>Low</v>
      </c>
      <c r="AC982" t="str">
        <f>IF(H_A[[#This Row],[YearsAtCompany]]&lt;3,"Early",IF(H_A[[#This Row],[YearsAtCompany]]&lt;7,"Mid","Long"))</f>
        <v>Early</v>
      </c>
      <c r="AD982" t="str">
        <f>IF(H_A[[#This Row],[PercentSalaryHike]]&lt;13,"Low",IF(H_A[[#This Row],[PercentSalaryHike]]&lt;18,"Medium","High"))</f>
        <v>Medium</v>
      </c>
    </row>
    <row r="983" spans="1:30" x14ac:dyDescent="0.3">
      <c r="A983">
        <v>35</v>
      </c>
      <c r="B983">
        <v>1380</v>
      </c>
      <c r="C983" t="s">
        <v>30</v>
      </c>
      <c r="D983" t="s">
        <v>31</v>
      </c>
      <c r="E983">
        <v>18</v>
      </c>
      <c r="F983">
        <v>4</v>
      </c>
      <c r="G983" t="s">
        <v>50</v>
      </c>
      <c r="H983">
        <v>4</v>
      </c>
      <c r="I983" t="s">
        <v>33</v>
      </c>
      <c r="J983">
        <v>3</v>
      </c>
      <c r="K983">
        <v>2</v>
      </c>
      <c r="L983" t="s">
        <v>34</v>
      </c>
      <c r="M983">
        <v>3</v>
      </c>
      <c r="N983" t="s">
        <v>40</v>
      </c>
      <c r="O983">
        <v>4614</v>
      </c>
      <c r="P983">
        <v>0</v>
      </c>
      <c r="Q983" t="s">
        <v>30</v>
      </c>
      <c r="R983">
        <v>3</v>
      </c>
      <c r="S983">
        <v>5</v>
      </c>
      <c r="T983">
        <v>2</v>
      </c>
      <c r="U983">
        <v>4</v>
      </c>
      <c r="V983">
        <v>2</v>
      </c>
      <c r="W983">
        <v>3</v>
      </c>
      <c r="X983">
        <v>2</v>
      </c>
      <c r="Y983">
        <v>18</v>
      </c>
      <c r="Z983">
        <f>IF(H_A[[#This Row],[Attrition]]="Yes",1,0)</f>
        <v>1</v>
      </c>
      <c r="AA983" t="str">
        <f>IF(H_A[[#This Row],[Age]]&lt;30,"Young",IF(H_A[[#This Row],[Age]]&lt;45,"Mid","Senior"))</f>
        <v>Mid</v>
      </c>
      <c r="AB983" t="str">
        <f>IF(H_A[[#This Row],[MonthlyIncome]]&lt;5000,"Low",IF(H_A[[#This Row],[MonthlyIncome]]&lt;10000,"Medium","High"))</f>
        <v>Low</v>
      </c>
      <c r="AC983" t="str">
        <f>IF(H_A[[#This Row],[YearsAtCompany]]&lt;3,"Early",IF(H_A[[#This Row],[YearsAtCompany]]&lt;7,"Mid","Long"))</f>
        <v>Mid</v>
      </c>
      <c r="AD983" t="str">
        <f>IF(H_A[[#This Row],[PercentSalaryHike]]&lt;13,"Low",IF(H_A[[#This Row],[PercentSalaryHike]]&lt;18,"Medium","High"))</f>
        <v>High</v>
      </c>
    </row>
    <row r="984" spans="1:30" x14ac:dyDescent="0.3">
      <c r="A984">
        <v>38</v>
      </c>
      <c r="B984">
        <v>1382</v>
      </c>
      <c r="C984" t="s">
        <v>36</v>
      </c>
      <c r="D984" t="s">
        <v>37</v>
      </c>
      <c r="E984">
        <v>7</v>
      </c>
      <c r="F984">
        <v>3</v>
      </c>
      <c r="G984" t="s">
        <v>32</v>
      </c>
      <c r="H984">
        <v>4</v>
      </c>
      <c r="I984" t="s">
        <v>38</v>
      </c>
      <c r="J984">
        <v>4</v>
      </c>
      <c r="K984">
        <v>1</v>
      </c>
      <c r="L984" t="s">
        <v>39</v>
      </c>
      <c r="M984">
        <v>3</v>
      </c>
      <c r="N984" t="s">
        <v>44</v>
      </c>
      <c r="O984">
        <v>2610</v>
      </c>
      <c r="P984">
        <v>1</v>
      </c>
      <c r="Q984" t="s">
        <v>36</v>
      </c>
      <c r="R984">
        <v>4</v>
      </c>
      <c r="S984">
        <v>4</v>
      </c>
      <c r="T984">
        <v>3</v>
      </c>
      <c r="U984">
        <v>4</v>
      </c>
      <c r="V984">
        <v>2</v>
      </c>
      <c r="W984">
        <v>0</v>
      </c>
      <c r="X984">
        <v>3</v>
      </c>
      <c r="Y984">
        <v>11</v>
      </c>
      <c r="Z984">
        <f>IF(H_A[[#This Row],[Attrition]]="Yes",1,0)</f>
        <v>0</v>
      </c>
      <c r="AA984" t="str">
        <f>IF(H_A[[#This Row],[Age]]&lt;30,"Young",IF(H_A[[#This Row],[Age]]&lt;45,"Mid","Senior"))</f>
        <v>Mid</v>
      </c>
      <c r="AB984" t="str">
        <f>IF(H_A[[#This Row],[MonthlyIncome]]&lt;5000,"Low",IF(H_A[[#This Row],[MonthlyIncome]]&lt;10000,"Medium","High"))</f>
        <v>Low</v>
      </c>
      <c r="AC984" t="str">
        <f>IF(H_A[[#This Row],[YearsAtCompany]]&lt;3,"Early",IF(H_A[[#This Row],[YearsAtCompany]]&lt;7,"Mid","Long"))</f>
        <v>Mid</v>
      </c>
      <c r="AD984" t="str">
        <f>IF(H_A[[#This Row],[PercentSalaryHike]]&lt;13,"Low",IF(H_A[[#This Row],[PercentSalaryHike]]&lt;18,"Medium","High"))</f>
        <v>Low</v>
      </c>
    </row>
    <row r="985" spans="1:30" x14ac:dyDescent="0.3">
      <c r="A985">
        <v>34</v>
      </c>
      <c r="B985">
        <v>1383</v>
      </c>
      <c r="C985" t="s">
        <v>36</v>
      </c>
      <c r="D985" t="s">
        <v>37</v>
      </c>
      <c r="E985">
        <v>2</v>
      </c>
      <c r="F985">
        <v>4</v>
      </c>
      <c r="G985" t="s">
        <v>51</v>
      </c>
      <c r="H985">
        <v>3</v>
      </c>
      <c r="I985" t="s">
        <v>33</v>
      </c>
      <c r="J985">
        <v>3</v>
      </c>
      <c r="K985">
        <v>2</v>
      </c>
      <c r="L985" t="s">
        <v>46</v>
      </c>
      <c r="M985">
        <v>4</v>
      </c>
      <c r="N985" t="s">
        <v>35</v>
      </c>
      <c r="O985">
        <v>6687</v>
      </c>
      <c r="P985">
        <v>1</v>
      </c>
      <c r="Q985" t="s">
        <v>36</v>
      </c>
      <c r="R985">
        <v>4</v>
      </c>
      <c r="S985">
        <v>14</v>
      </c>
      <c r="T985">
        <v>4</v>
      </c>
      <c r="U985">
        <v>14</v>
      </c>
      <c r="V985">
        <v>11</v>
      </c>
      <c r="W985">
        <v>4</v>
      </c>
      <c r="X985">
        <v>11</v>
      </c>
      <c r="Y985">
        <v>11</v>
      </c>
      <c r="Z985">
        <f>IF(H_A[[#This Row],[Attrition]]="Yes",1,0)</f>
        <v>0</v>
      </c>
      <c r="AA985" t="str">
        <f>IF(H_A[[#This Row],[Age]]&lt;30,"Young",IF(H_A[[#This Row],[Age]]&lt;45,"Mid","Senior"))</f>
        <v>Mid</v>
      </c>
      <c r="AB985" t="str">
        <f>IF(H_A[[#This Row],[MonthlyIncome]]&lt;5000,"Low",IF(H_A[[#This Row],[MonthlyIncome]]&lt;10000,"Medium","High"))</f>
        <v>Medium</v>
      </c>
      <c r="AC985" t="str">
        <f>IF(H_A[[#This Row],[YearsAtCompany]]&lt;3,"Early",IF(H_A[[#This Row],[YearsAtCompany]]&lt;7,"Mid","Long"))</f>
        <v>Long</v>
      </c>
      <c r="AD985" t="str">
        <f>IF(H_A[[#This Row],[PercentSalaryHike]]&lt;13,"Low",IF(H_A[[#This Row],[PercentSalaryHike]]&lt;18,"Medium","High"))</f>
        <v>Low</v>
      </c>
    </row>
    <row r="986" spans="1:30" x14ac:dyDescent="0.3">
      <c r="A986">
        <v>28</v>
      </c>
      <c r="B986">
        <v>1387</v>
      </c>
      <c r="C986" t="s">
        <v>36</v>
      </c>
      <c r="D986" t="s">
        <v>31</v>
      </c>
      <c r="E986">
        <v>26</v>
      </c>
      <c r="F986">
        <v>3</v>
      </c>
      <c r="G986" t="s">
        <v>32</v>
      </c>
      <c r="H986">
        <v>3</v>
      </c>
      <c r="I986" t="s">
        <v>38</v>
      </c>
      <c r="J986">
        <v>2</v>
      </c>
      <c r="K986">
        <v>2</v>
      </c>
      <c r="L986" t="s">
        <v>34</v>
      </c>
      <c r="M986">
        <v>1</v>
      </c>
      <c r="N986" t="s">
        <v>40</v>
      </c>
      <c r="O986">
        <v>4724</v>
      </c>
      <c r="P986">
        <v>1</v>
      </c>
      <c r="Q986" t="s">
        <v>36</v>
      </c>
      <c r="R986">
        <v>3</v>
      </c>
      <c r="S986">
        <v>5</v>
      </c>
      <c r="T986">
        <v>3</v>
      </c>
      <c r="U986">
        <v>5</v>
      </c>
      <c r="V986">
        <v>3</v>
      </c>
      <c r="W986">
        <v>0</v>
      </c>
      <c r="X986">
        <v>4</v>
      </c>
      <c r="Y986">
        <v>11</v>
      </c>
      <c r="Z986">
        <f>IF(H_A[[#This Row],[Attrition]]="Yes",1,0)</f>
        <v>0</v>
      </c>
      <c r="AA986" t="str">
        <f>IF(H_A[[#This Row],[Age]]&lt;30,"Young",IF(H_A[[#This Row],[Age]]&lt;45,"Mid","Senior"))</f>
        <v>Young</v>
      </c>
      <c r="AB986" t="str">
        <f>IF(H_A[[#This Row],[MonthlyIncome]]&lt;5000,"Low",IF(H_A[[#This Row],[MonthlyIncome]]&lt;10000,"Medium","High"))</f>
        <v>Low</v>
      </c>
      <c r="AC986" t="str">
        <f>IF(H_A[[#This Row],[YearsAtCompany]]&lt;3,"Early",IF(H_A[[#This Row],[YearsAtCompany]]&lt;7,"Mid","Long"))</f>
        <v>Mid</v>
      </c>
      <c r="AD986" t="str">
        <f>IF(H_A[[#This Row],[PercentSalaryHike]]&lt;13,"Low",IF(H_A[[#This Row],[PercentSalaryHike]]&lt;18,"Medium","High"))</f>
        <v>Low</v>
      </c>
    </row>
    <row r="987" spans="1:30" x14ac:dyDescent="0.3">
      <c r="A987">
        <v>31</v>
      </c>
      <c r="B987">
        <v>1389</v>
      </c>
      <c r="C987" t="s">
        <v>30</v>
      </c>
      <c r="D987" t="s">
        <v>37</v>
      </c>
      <c r="E987">
        <v>22</v>
      </c>
      <c r="F987">
        <v>4</v>
      </c>
      <c r="G987" t="s">
        <v>43</v>
      </c>
      <c r="H987">
        <v>4</v>
      </c>
      <c r="I987" t="s">
        <v>38</v>
      </c>
      <c r="J987">
        <v>3</v>
      </c>
      <c r="K987">
        <v>2</v>
      </c>
      <c r="L987" t="s">
        <v>45</v>
      </c>
      <c r="M987">
        <v>3</v>
      </c>
      <c r="N987" t="s">
        <v>40</v>
      </c>
      <c r="O987">
        <v>6179</v>
      </c>
      <c r="P987">
        <v>1</v>
      </c>
      <c r="Q987" t="s">
        <v>30</v>
      </c>
      <c r="R987">
        <v>4</v>
      </c>
      <c r="S987">
        <v>10</v>
      </c>
      <c r="T987">
        <v>2</v>
      </c>
      <c r="U987">
        <v>10</v>
      </c>
      <c r="V987">
        <v>2</v>
      </c>
      <c r="W987">
        <v>6</v>
      </c>
      <c r="X987">
        <v>7</v>
      </c>
      <c r="Y987">
        <v>15</v>
      </c>
      <c r="Z987">
        <f>IF(H_A[[#This Row],[Attrition]]="Yes",1,0)</f>
        <v>1</v>
      </c>
      <c r="AA987" t="str">
        <f>IF(H_A[[#This Row],[Age]]&lt;30,"Young",IF(H_A[[#This Row],[Age]]&lt;45,"Mid","Senior"))</f>
        <v>Mid</v>
      </c>
      <c r="AB987" t="str">
        <f>IF(H_A[[#This Row],[MonthlyIncome]]&lt;5000,"Low",IF(H_A[[#This Row],[MonthlyIncome]]&lt;10000,"Medium","High"))</f>
        <v>Medium</v>
      </c>
      <c r="AC987" t="str">
        <f>IF(H_A[[#This Row],[YearsAtCompany]]&lt;3,"Early",IF(H_A[[#This Row],[YearsAtCompany]]&lt;7,"Mid","Long"))</f>
        <v>Long</v>
      </c>
      <c r="AD987" t="str">
        <f>IF(H_A[[#This Row],[PercentSalaryHike]]&lt;13,"Low",IF(H_A[[#This Row],[PercentSalaryHike]]&lt;18,"Medium","High"))</f>
        <v>Medium</v>
      </c>
    </row>
    <row r="988" spans="1:30" x14ac:dyDescent="0.3">
      <c r="A988">
        <v>39</v>
      </c>
      <c r="B988">
        <v>1390</v>
      </c>
      <c r="C988" t="s">
        <v>36</v>
      </c>
      <c r="D988" t="s">
        <v>31</v>
      </c>
      <c r="E988">
        <v>21</v>
      </c>
      <c r="F988">
        <v>4</v>
      </c>
      <c r="G988" t="s">
        <v>32</v>
      </c>
      <c r="H988">
        <v>1</v>
      </c>
      <c r="I988" t="s">
        <v>38</v>
      </c>
      <c r="J988">
        <v>2</v>
      </c>
      <c r="K988">
        <v>2</v>
      </c>
      <c r="L988" t="s">
        <v>34</v>
      </c>
      <c r="M988">
        <v>4</v>
      </c>
      <c r="N988" t="s">
        <v>40</v>
      </c>
      <c r="O988">
        <v>6120</v>
      </c>
      <c r="P988">
        <v>3</v>
      </c>
      <c r="Q988" t="s">
        <v>30</v>
      </c>
      <c r="R988">
        <v>4</v>
      </c>
      <c r="S988">
        <v>8</v>
      </c>
      <c r="T988">
        <v>4</v>
      </c>
      <c r="U988">
        <v>5</v>
      </c>
      <c r="V988">
        <v>4</v>
      </c>
      <c r="W988">
        <v>1</v>
      </c>
      <c r="X988">
        <v>4</v>
      </c>
      <c r="Y988">
        <v>12</v>
      </c>
      <c r="Z988">
        <f>IF(H_A[[#This Row],[Attrition]]="Yes",1,0)</f>
        <v>0</v>
      </c>
      <c r="AA988" t="str">
        <f>IF(H_A[[#This Row],[Age]]&lt;30,"Young",IF(H_A[[#This Row],[Age]]&lt;45,"Mid","Senior"))</f>
        <v>Mid</v>
      </c>
      <c r="AB988" t="str">
        <f>IF(H_A[[#This Row],[MonthlyIncome]]&lt;5000,"Low",IF(H_A[[#This Row],[MonthlyIncome]]&lt;10000,"Medium","High"))</f>
        <v>Medium</v>
      </c>
      <c r="AC988" t="str">
        <f>IF(H_A[[#This Row],[YearsAtCompany]]&lt;3,"Early",IF(H_A[[#This Row],[YearsAtCompany]]&lt;7,"Mid","Long"))</f>
        <v>Mid</v>
      </c>
      <c r="AD988" t="str">
        <f>IF(H_A[[#This Row],[PercentSalaryHike]]&lt;13,"Low",IF(H_A[[#This Row],[PercentSalaryHike]]&lt;18,"Medium","High"))</f>
        <v>Low</v>
      </c>
    </row>
    <row r="989" spans="1:30" x14ac:dyDescent="0.3">
      <c r="A989">
        <v>51</v>
      </c>
      <c r="B989">
        <v>1391</v>
      </c>
      <c r="C989" t="s">
        <v>36</v>
      </c>
      <c r="D989" t="s">
        <v>31</v>
      </c>
      <c r="E989">
        <v>2</v>
      </c>
      <c r="F989">
        <v>3</v>
      </c>
      <c r="G989" t="s">
        <v>50</v>
      </c>
      <c r="H989">
        <v>2</v>
      </c>
      <c r="I989" t="s">
        <v>38</v>
      </c>
      <c r="J989">
        <v>3</v>
      </c>
      <c r="K989">
        <v>3</v>
      </c>
      <c r="L989" t="s">
        <v>34</v>
      </c>
      <c r="M989">
        <v>2</v>
      </c>
      <c r="N989" t="s">
        <v>40</v>
      </c>
      <c r="O989">
        <v>10596</v>
      </c>
      <c r="P989">
        <v>2</v>
      </c>
      <c r="Q989" t="s">
        <v>36</v>
      </c>
      <c r="R989">
        <v>2</v>
      </c>
      <c r="S989">
        <v>14</v>
      </c>
      <c r="T989">
        <v>3</v>
      </c>
      <c r="U989">
        <v>4</v>
      </c>
      <c r="V989">
        <v>2</v>
      </c>
      <c r="W989">
        <v>3</v>
      </c>
      <c r="X989">
        <v>2</v>
      </c>
      <c r="Y989">
        <v>11</v>
      </c>
      <c r="Z989">
        <f>IF(H_A[[#This Row],[Attrition]]="Yes",1,0)</f>
        <v>0</v>
      </c>
      <c r="AA989" t="str">
        <f>IF(H_A[[#This Row],[Age]]&lt;30,"Young",IF(H_A[[#This Row],[Age]]&lt;45,"Mid","Senior"))</f>
        <v>Senior</v>
      </c>
      <c r="AB989" t="str">
        <f>IF(H_A[[#This Row],[MonthlyIncome]]&lt;5000,"Low",IF(H_A[[#This Row],[MonthlyIncome]]&lt;10000,"Medium","High"))</f>
        <v>High</v>
      </c>
      <c r="AC989" t="str">
        <f>IF(H_A[[#This Row],[YearsAtCompany]]&lt;3,"Early",IF(H_A[[#This Row],[YearsAtCompany]]&lt;7,"Mid","Long"))</f>
        <v>Mid</v>
      </c>
      <c r="AD989" t="str">
        <f>IF(H_A[[#This Row],[PercentSalaryHike]]&lt;13,"Low",IF(H_A[[#This Row],[PercentSalaryHike]]&lt;18,"Medium","High"))</f>
        <v>Low</v>
      </c>
    </row>
    <row r="990" spans="1:30" x14ac:dyDescent="0.3">
      <c r="A990">
        <v>41</v>
      </c>
      <c r="B990">
        <v>1392</v>
      </c>
      <c r="C990" t="s">
        <v>36</v>
      </c>
      <c r="D990" t="s">
        <v>37</v>
      </c>
      <c r="E990">
        <v>22</v>
      </c>
      <c r="F990">
        <v>3</v>
      </c>
      <c r="G990" t="s">
        <v>32</v>
      </c>
      <c r="H990">
        <v>4</v>
      </c>
      <c r="I990" t="s">
        <v>33</v>
      </c>
      <c r="J990">
        <v>3</v>
      </c>
      <c r="K990">
        <v>2</v>
      </c>
      <c r="L990" t="s">
        <v>39</v>
      </c>
      <c r="M990">
        <v>4</v>
      </c>
      <c r="N990" t="s">
        <v>44</v>
      </c>
      <c r="O990">
        <v>5467</v>
      </c>
      <c r="P990">
        <v>3</v>
      </c>
      <c r="Q990" t="s">
        <v>30</v>
      </c>
      <c r="R990">
        <v>1</v>
      </c>
      <c r="S990">
        <v>12</v>
      </c>
      <c r="T990">
        <v>2</v>
      </c>
      <c r="U990">
        <v>6</v>
      </c>
      <c r="V990">
        <v>2</v>
      </c>
      <c r="W990">
        <v>3</v>
      </c>
      <c r="X990">
        <v>3</v>
      </c>
      <c r="Y990">
        <v>14</v>
      </c>
      <c r="Z990">
        <f>IF(H_A[[#This Row],[Attrition]]="Yes",1,0)</f>
        <v>0</v>
      </c>
      <c r="AA990" t="str">
        <f>IF(H_A[[#This Row],[Age]]&lt;30,"Young",IF(H_A[[#This Row],[Age]]&lt;45,"Mid","Senior"))</f>
        <v>Mid</v>
      </c>
      <c r="AB990" t="str">
        <f>IF(H_A[[#This Row],[MonthlyIncome]]&lt;5000,"Low",IF(H_A[[#This Row],[MonthlyIncome]]&lt;10000,"Medium","High"))</f>
        <v>Medium</v>
      </c>
      <c r="AC990" t="str">
        <f>IF(H_A[[#This Row],[YearsAtCompany]]&lt;3,"Early",IF(H_A[[#This Row],[YearsAtCompany]]&lt;7,"Mid","Long"))</f>
        <v>Mid</v>
      </c>
      <c r="AD990" t="str">
        <f>IF(H_A[[#This Row],[PercentSalaryHike]]&lt;13,"Low",IF(H_A[[#This Row],[PercentSalaryHike]]&lt;18,"Medium","High"))</f>
        <v>Medium</v>
      </c>
    </row>
    <row r="991" spans="1:30" x14ac:dyDescent="0.3">
      <c r="A991">
        <v>37</v>
      </c>
      <c r="B991">
        <v>1394</v>
      </c>
      <c r="C991" t="s">
        <v>36</v>
      </c>
      <c r="D991" t="s">
        <v>37</v>
      </c>
      <c r="E991">
        <v>4</v>
      </c>
      <c r="F991">
        <v>1</v>
      </c>
      <c r="G991" t="s">
        <v>32</v>
      </c>
      <c r="H991">
        <v>3</v>
      </c>
      <c r="I991" t="s">
        <v>38</v>
      </c>
      <c r="J991">
        <v>3</v>
      </c>
      <c r="K991">
        <v>1</v>
      </c>
      <c r="L991" t="s">
        <v>39</v>
      </c>
      <c r="M991">
        <v>3</v>
      </c>
      <c r="N991" t="s">
        <v>40</v>
      </c>
      <c r="O991">
        <v>2996</v>
      </c>
      <c r="P991">
        <v>7</v>
      </c>
      <c r="Q991" t="s">
        <v>30</v>
      </c>
      <c r="R991">
        <v>4</v>
      </c>
      <c r="S991">
        <v>8</v>
      </c>
      <c r="T991">
        <v>3</v>
      </c>
      <c r="U991">
        <v>6</v>
      </c>
      <c r="V991">
        <v>4</v>
      </c>
      <c r="W991">
        <v>1</v>
      </c>
      <c r="X991">
        <v>3</v>
      </c>
      <c r="Y991">
        <v>15</v>
      </c>
      <c r="Z991">
        <f>IF(H_A[[#This Row],[Attrition]]="Yes",1,0)</f>
        <v>0</v>
      </c>
      <c r="AA991" t="str">
        <f>IF(H_A[[#This Row],[Age]]&lt;30,"Young",IF(H_A[[#This Row],[Age]]&lt;45,"Mid","Senior"))</f>
        <v>Mid</v>
      </c>
      <c r="AB991" t="str">
        <f>IF(H_A[[#This Row],[MonthlyIncome]]&lt;5000,"Low",IF(H_A[[#This Row],[MonthlyIncome]]&lt;10000,"Medium","High"))</f>
        <v>Low</v>
      </c>
      <c r="AC991" t="str">
        <f>IF(H_A[[#This Row],[YearsAtCompany]]&lt;3,"Early",IF(H_A[[#This Row],[YearsAtCompany]]&lt;7,"Mid","Long"))</f>
        <v>Mid</v>
      </c>
      <c r="AD991" t="str">
        <f>IF(H_A[[#This Row],[PercentSalaryHike]]&lt;13,"Low",IF(H_A[[#This Row],[PercentSalaryHike]]&lt;18,"Medium","High"))</f>
        <v>Medium</v>
      </c>
    </row>
    <row r="992" spans="1:30" x14ac:dyDescent="0.3">
      <c r="A992">
        <v>33</v>
      </c>
      <c r="B992">
        <v>1395</v>
      </c>
      <c r="C992" t="s">
        <v>36</v>
      </c>
      <c r="D992" t="s">
        <v>31</v>
      </c>
      <c r="E992">
        <v>5</v>
      </c>
      <c r="F992">
        <v>1</v>
      </c>
      <c r="G992" t="s">
        <v>32</v>
      </c>
      <c r="H992">
        <v>2</v>
      </c>
      <c r="I992" t="s">
        <v>38</v>
      </c>
      <c r="J992">
        <v>3</v>
      </c>
      <c r="K992">
        <v>2</v>
      </c>
      <c r="L992" t="s">
        <v>34</v>
      </c>
      <c r="M992">
        <v>4</v>
      </c>
      <c r="N992" t="s">
        <v>40</v>
      </c>
      <c r="O992">
        <v>9998</v>
      </c>
      <c r="P992">
        <v>6</v>
      </c>
      <c r="Q992" t="s">
        <v>36</v>
      </c>
      <c r="R992">
        <v>1</v>
      </c>
      <c r="S992">
        <v>8</v>
      </c>
      <c r="T992">
        <v>4</v>
      </c>
      <c r="U992">
        <v>5</v>
      </c>
      <c r="V992">
        <v>4</v>
      </c>
      <c r="W992">
        <v>1</v>
      </c>
      <c r="X992">
        <v>2</v>
      </c>
      <c r="Y992">
        <v>13</v>
      </c>
      <c r="Z992">
        <f>IF(H_A[[#This Row],[Attrition]]="Yes",1,0)</f>
        <v>0</v>
      </c>
      <c r="AA992" t="str">
        <f>IF(H_A[[#This Row],[Age]]&lt;30,"Young",IF(H_A[[#This Row],[Age]]&lt;45,"Mid","Senior"))</f>
        <v>Mid</v>
      </c>
      <c r="AB992" t="str">
        <f>IF(H_A[[#This Row],[MonthlyIncome]]&lt;5000,"Low",IF(H_A[[#This Row],[MonthlyIncome]]&lt;10000,"Medium","High"))</f>
        <v>Medium</v>
      </c>
      <c r="AC992" t="str">
        <f>IF(H_A[[#This Row],[YearsAtCompany]]&lt;3,"Early",IF(H_A[[#This Row],[YearsAtCompany]]&lt;7,"Mid","Long"))</f>
        <v>Mid</v>
      </c>
      <c r="AD992" t="str">
        <f>IF(H_A[[#This Row],[PercentSalaryHike]]&lt;13,"Low",IF(H_A[[#This Row],[PercentSalaryHike]]&lt;18,"Medium","High"))</f>
        <v>Medium</v>
      </c>
    </row>
    <row r="993" spans="1:30" x14ac:dyDescent="0.3">
      <c r="A993">
        <v>32</v>
      </c>
      <c r="B993">
        <v>1396</v>
      </c>
      <c r="C993" t="s">
        <v>36</v>
      </c>
      <c r="D993" t="s">
        <v>31</v>
      </c>
      <c r="E993">
        <v>2</v>
      </c>
      <c r="F993">
        <v>1</v>
      </c>
      <c r="G993" t="s">
        <v>50</v>
      </c>
      <c r="H993">
        <v>3</v>
      </c>
      <c r="I993" t="s">
        <v>38</v>
      </c>
      <c r="J993">
        <v>3</v>
      </c>
      <c r="K993">
        <v>2</v>
      </c>
      <c r="L993" t="s">
        <v>34</v>
      </c>
      <c r="M993">
        <v>2</v>
      </c>
      <c r="N993" t="s">
        <v>40</v>
      </c>
      <c r="O993">
        <v>4078</v>
      </c>
      <c r="P993">
        <v>0</v>
      </c>
      <c r="Q993" t="s">
        <v>30</v>
      </c>
      <c r="R993">
        <v>1</v>
      </c>
      <c r="S993">
        <v>4</v>
      </c>
      <c r="T993">
        <v>2</v>
      </c>
      <c r="U993">
        <v>3</v>
      </c>
      <c r="V993">
        <v>2</v>
      </c>
      <c r="W993">
        <v>1</v>
      </c>
      <c r="X993">
        <v>2</v>
      </c>
      <c r="Y993">
        <v>13</v>
      </c>
      <c r="Z993">
        <f>IF(H_A[[#This Row],[Attrition]]="Yes",1,0)</f>
        <v>0</v>
      </c>
      <c r="AA993" t="str">
        <f>IF(H_A[[#This Row],[Age]]&lt;30,"Young",IF(H_A[[#This Row],[Age]]&lt;45,"Mid","Senior"))</f>
        <v>Mid</v>
      </c>
      <c r="AB993" t="str">
        <f>IF(H_A[[#This Row],[MonthlyIncome]]&lt;5000,"Low",IF(H_A[[#This Row],[MonthlyIncome]]&lt;10000,"Medium","High"))</f>
        <v>Low</v>
      </c>
      <c r="AC993" t="str">
        <f>IF(H_A[[#This Row],[YearsAtCompany]]&lt;3,"Early",IF(H_A[[#This Row],[YearsAtCompany]]&lt;7,"Mid","Long"))</f>
        <v>Mid</v>
      </c>
      <c r="AD993" t="str">
        <f>IF(H_A[[#This Row],[PercentSalaryHike]]&lt;13,"Low",IF(H_A[[#This Row],[PercentSalaryHike]]&lt;18,"Medium","High"))</f>
        <v>Medium</v>
      </c>
    </row>
    <row r="994" spans="1:30" x14ac:dyDescent="0.3">
      <c r="A994">
        <v>39</v>
      </c>
      <c r="B994">
        <v>1397</v>
      </c>
      <c r="C994" t="s">
        <v>36</v>
      </c>
      <c r="D994" t="s">
        <v>37</v>
      </c>
      <c r="E994">
        <v>25</v>
      </c>
      <c r="F994">
        <v>2</v>
      </c>
      <c r="G994" t="s">
        <v>32</v>
      </c>
      <c r="H994">
        <v>3</v>
      </c>
      <c r="I994" t="s">
        <v>38</v>
      </c>
      <c r="J994">
        <v>3</v>
      </c>
      <c r="K994">
        <v>3</v>
      </c>
      <c r="L994" t="s">
        <v>46</v>
      </c>
      <c r="M994">
        <v>3</v>
      </c>
      <c r="N994" t="s">
        <v>40</v>
      </c>
      <c r="O994">
        <v>10920</v>
      </c>
      <c r="P994">
        <v>3</v>
      </c>
      <c r="Q994" t="s">
        <v>36</v>
      </c>
      <c r="R994">
        <v>2</v>
      </c>
      <c r="S994">
        <v>13</v>
      </c>
      <c r="T994">
        <v>3</v>
      </c>
      <c r="U994">
        <v>6</v>
      </c>
      <c r="V994">
        <v>4</v>
      </c>
      <c r="W994">
        <v>0</v>
      </c>
      <c r="X994">
        <v>5</v>
      </c>
      <c r="Y994">
        <v>21</v>
      </c>
      <c r="Z994">
        <f>IF(H_A[[#This Row],[Attrition]]="Yes",1,0)</f>
        <v>0</v>
      </c>
      <c r="AA994" t="str">
        <f>IF(H_A[[#This Row],[Age]]&lt;30,"Young",IF(H_A[[#This Row],[Age]]&lt;45,"Mid","Senior"))</f>
        <v>Mid</v>
      </c>
      <c r="AB994" t="str">
        <f>IF(H_A[[#This Row],[MonthlyIncome]]&lt;5000,"Low",IF(H_A[[#This Row],[MonthlyIncome]]&lt;10000,"Medium","High"))</f>
        <v>High</v>
      </c>
      <c r="AC994" t="str">
        <f>IF(H_A[[#This Row],[YearsAtCompany]]&lt;3,"Early",IF(H_A[[#This Row],[YearsAtCompany]]&lt;7,"Mid","Long"))</f>
        <v>Mid</v>
      </c>
      <c r="AD994" t="str">
        <f>IF(H_A[[#This Row],[PercentSalaryHike]]&lt;13,"Low",IF(H_A[[#This Row],[PercentSalaryHike]]&lt;18,"Medium","High"))</f>
        <v>High</v>
      </c>
    </row>
    <row r="995" spans="1:30" x14ac:dyDescent="0.3">
      <c r="A995">
        <v>25</v>
      </c>
      <c r="B995">
        <v>1399</v>
      </c>
      <c r="C995" t="s">
        <v>36</v>
      </c>
      <c r="D995" t="s">
        <v>31</v>
      </c>
      <c r="E995">
        <v>18</v>
      </c>
      <c r="F995">
        <v>1</v>
      </c>
      <c r="G995" t="s">
        <v>32</v>
      </c>
      <c r="H995">
        <v>1</v>
      </c>
      <c r="I995" t="s">
        <v>38</v>
      </c>
      <c r="J995">
        <v>4</v>
      </c>
      <c r="K995">
        <v>2</v>
      </c>
      <c r="L995" t="s">
        <v>34</v>
      </c>
      <c r="M995">
        <v>3</v>
      </c>
      <c r="N995" t="s">
        <v>40</v>
      </c>
      <c r="O995">
        <v>6232</v>
      </c>
      <c r="P995">
        <v>2</v>
      </c>
      <c r="Q995" t="s">
        <v>36</v>
      </c>
      <c r="R995">
        <v>2</v>
      </c>
      <c r="S995">
        <v>6</v>
      </c>
      <c r="T995">
        <v>2</v>
      </c>
      <c r="U995">
        <v>3</v>
      </c>
      <c r="V995">
        <v>2</v>
      </c>
      <c r="W995">
        <v>1</v>
      </c>
      <c r="X995">
        <v>2</v>
      </c>
      <c r="Y995">
        <v>11</v>
      </c>
      <c r="Z995">
        <f>IF(H_A[[#This Row],[Attrition]]="Yes",1,0)</f>
        <v>0</v>
      </c>
      <c r="AA995" t="str">
        <f>IF(H_A[[#This Row],[Age]]&lt;30,"Young",IF(H_A[[#This Row],[Age]]&lt;45,"Mid","Senior"))</f>
        <v>Young</v>
      </c>
      <c r="AB995" t="str">
        <f>IF(H_A[[#This Row],[MonthlyIncome]]&lt;5000,"Low",IF(H_A[[#This Row],[MonthlyIncome]]&lt;10000,"Medium","High"))</f>
        <v>Medium</v>
      </c>
      <c r="AC995" t="str">
        <f>IF(H_A[[#This Row],[YearsAtCompany]]&lt;3,"Early",IF(H_A[[#This Row],[YearsAtCompany]]&lt;7,"Mid","Long"))</f>
        <v>Mid</v>
      </c>
      <c r="AD995" t="str">
        <f>IF(H_A[[#This Row],[PercentSalaryHike]]&lt;13,"Low",IF(H_A[[#This Row],[PercentSalaryHike]]&lt;18,"Medium","High"))</f>
        <v>Low</v>
      </c>
    </row>
    <row r="996" spans="1:30" x14ac:dyDescent="0.3">
      <c r="A996">
        <v>52</v>
      </c>
      <c r="B996">
        <v>1401</v>
      </c>
      <c r="C996" t="s">
        <v>36</v>
      </c>
      <c r="D996" t="s">
        <v>37</v>
      </c>
      <c r="E996">
        <v>28</v>
      </c>
      <c r="F996">
        <v>2</v>
      </c>
      <c r="G996" t="s">
        <v>43</v>
      </c>
      <c r="H996">
        <v>4</v>
      </c>
      <c r="I996" t="s">
        <v>33</v>
      </c>
      <c r="J996">
        <v>4</v>
      </c>
      <c r="K996">
        <v>4</v>
      </c>
      <c r="L996" t="s">
        <v>45</v>
      </c>
      <c r="M996">
        <v>3</v>
      </c>
      <c r="N996" t="s">
        <v>40</v>
      </c>
      <c r="O996">
        <v>13247</v>
      </c>
      <c r="P996">
        <v>2</v>
      </c>
      <c r="Q996" t="s">
        <v>30</v>
      </c>
      <c r="R996">
        <v>2</v>
      </c>
      <c r="S996">
        <v>24</v>
      </c>
      <c r="T996">
        <v>2</v>
      </c>
      <c r="U996">
        <v>5</v>
      </c>
      <c r="V996">
        <v>3</v>
      </c>
      <c r="W996">
        <v>0</v>
      </c>
      <c r="X996">
        <v>2</v>
      </c>
      <c r="Y996">
        <v>11</v>
      </c>
      <c r="Z996">
        <f>IF(H_A[[#This Row],[Attrition]]="Yes",1,0)</f>
        <v>0</v>
      </c>
      <c r="AA996" t="str">
        <f>IF(H_A[[#This Row],[Age]]&lt;30,"Young",IF(H_A[[#This Row],[Age]]&lt;45,"Mid","Senior"))</f>
        <v>Senior</v>
      </c>
      <c r="AB996" t="str">
        <f>IF(H_A[[#This Row],[MonthlyIncome]]&lt;5000,"Low",IF(H_A[[#This Row],[MonthlyIncome]]&lt;10000,"Medium","High"))</f>
        <v>High</v>
      </c>
      <c r="AC996" t="str">
        <f>IF(H_A[[#This Row],[YearsAtCompany]]&lt;3,"Early",IF(H_A[[#This Row],[YearsAtCompany]]&lt;7,"Mid","Long"))</f>
        <v>Mid</v>
      </c>
      <c r="AD996" t="str">
        <f>IF(H_A[[#This Row],[PercentSalaryHike]]&lt;13,"Low",IF(H_A[[#This Row],[PercentSalaryHike]]&lt;18,"Medium","High"))</f>
        <v>Low</v>
      </c>
    </row>
    <row r="997" spans="1:30" x14ac:dyDescent="0.3">
      <c r="A997">
        <v>43</v>
      </c>
      <c r="B997">
        <v>1402</v>
      </c>
      <c r="C997" t="s">
        <v>36</v>
      </c>
      <c r="D997" t="s">
        <v>37</v>
      </c>
      <c r="E997">
        <v>6</v>
      </c>
      <c r="F997">
        <v>3</v>
      </c>
      <c r="G997" t="s">
        <v>43</v>
      </c>
      <c r="H997">
        <v>1</v>
      </c>
      <c r="I997" t="s">
        <v>33</v>
      </c>
      <c r="J997">
        <v>2</v>
      </c>
      <c r="K997">
        <v>2</v>
      </c>
      <c r="L997" t="s">
        <v>39</v>
      </c>
      <c r="M997">
        <v>3</v>
      </c>
      <c r="N997" t="s">
        <v>35</v>
      </c>
      <c r="O997">
        <v>4081</v>
      </c>
      <c r="P997">
        <v>1</v>
      </c>
      <c r="Q997" t="s">
        <v>30</v>
      </c>
      <c r="R997">
        <v>1</v>
      </c>
      <c r="S997">
        <v>20</v>
      </c>
      <c r="T997">
        <v>1</v>
      </c>
      <c r="U997">
        <v>20</v>
      </c>
      <c r="V997">
        <v>7</v>
      </c>
      <c r="W997">
        <v>1</v>
      </c>
      <c r="X997">
        <v>8</v>
      </c>
      <c r="Y997">
        <v>14</v>
      </c>
      <c r="Z997">
        <f>IF(H_A[[#This Row],[Attrition]]="Yes",1,0)</f>
        <v>0</v>
      </c>
      <c r="AA997" t="str">
        <f>IF(H_A[[#This Row],[Age]]&lt;30,"Young",IF(H_A[[#This Row],[Age]]&lt;45,"Mid","Senior"))</f>
        <v>Mid</v>
      </c>
      <c r="AB997" t="str">
        <f>IF(H_A[[#This Row],[MonthlyIncome]]&lt;5000,"Low",IF(H_A[[#This Row],[MonthlyIncome]]&lt;10000,"Medium","High"))</f>
        <v>Low</v>
      </c>
      <c r="AC997" t="str">
        <f>IF(H_A[[#This Row],[YearsAtCompany]]&lt;3,"Early",IF(H_A[[#This Row],[YearsAtCompany]]&lt;7,"Mid","Long"))</f>
        <v>Long</v>
      </c>
      <c r="AD997" t="str">
        <f>IF(H_A[[#This Row],[PercentSalaryHike]]&lt;13,"Low",IF(H_A[[#This Row],[PercentSalaryHike]]&lt;18,"Medium","High"))</f>
        <v>Medium</v>
      </c>
    </row>
    <row r="998" spans="1:30" x14ac:dyDescent="0.3">
      <c r="A998">
        <v>27</v>
      </c>
      <c r="B998">
        <v>1403</v>
      </c>
      <c r="C998" t="s">
        <v>36</v>
      </c>
      <c r="D998" t="s">
        <v>31</v>
      </c>
      <c r="E998">
        <v>10</v>
      </c>
      <c r="F998">
        <v>3</v>
      </c>
      <c r="G998" t="s">
        <v>50</v>
      </c>
      <c r="H998">
        <v>4</v>
      </c>
      <c r="I998" t="s">
        <v>33</v>
      </c>
      <c r="J998">
        <v>2</v>
      </c>
      <c r="K998">
        <v>2</v>
      </c>
      <c r="L998" t="s">
        <v>34</v>
      </c>
      <c r="M998">
        <v>4</v>
      </c>
      <c r="N998" t="s">
        <v>40</v>
      </c>
      <c r="O998">
        <v>5769</v>
      </c>
      <c r="P998">
        <v>1</v>
      </c>
      <c r="Q998" t="s">
        <v>30</v>
      </c>
      <c r="R998">
        <v>4</v>
      </c>
      <c r="S998">
        <v>6</v>
      </c>
      <c r="T998">
        <v>3</v>
      </c>
      <c r="U998">
        <v>6</v>
      </c>
      <c r="V998">
        <v>2</v>
      </c>
      <c r="W998">
        <v>4</v>
      </c>
      <c r="X998">
        <v>4</v>
      </c>
      <c r="Y998">
        <v>11</v>
      </c>
      <c r="Z998">
        <f>IF(H_A[[#This Row],[Attrition]]="Yes",1,0)</f>
        <v>0</v>
      </c>
      <c r="AA998" t="str">
        <f>IF(H_A[[#This Row],[Age]]&lt;30,"Young",IF(H_A[[#This Row],[Age]]&lt;45,"Mid","Senior"))</f>
        <v>Young</v>
      </c>
      <c r="AB998" t="str">
        <f>IF(H_A[[#This Row],[MonthlyIncome]]&lt;5000,"Low",IF(H_A[[#This Row],[MonthlyIncome]]&lt;10000,"Medium","High"))</f>
        <v>Medium</v>
      </c>
      <c r="AC998" t="str">
        <f>IF(H_A[[#This Row],[YearsAtCompany]]&lt;3,"Early",IF(H_A[[#This Row],[YearsAtCompany]]&lt;7,"Mid","Long"))</f>
        <v>Mid</v>
      </c>
      <c r="AD998" t="str">
        <f>IF(H_A[[#This Row],[PercentSalaryHike]]&lt;13,"Low",IF(H_A[[#This Row],[PercentSalaryHike]]&lt;18,"Medium","High"))</f>
        <v>Low</v>
      </c>
    </row>
    <row r="999" spans="1:30" x14ac:dyDescent="0.3">
      <c r="A999">
        <v>27</v>
      </c>
      <c r="B999">
        <v>1405</v>
      </c>
      <c r="C999" t="s">
        <v>30</v>
      </c>
      <c r="D999" t="s">
        <v>37</v>
      </c>
      <c r="E999">
        <v>17</v>
      </c>
      <c r="F999">
        <v>4</v>
      </c>
      <c r="G999" t="s">
        <v>32</v>
      </c>
      <c r="H999">
        <v>4</v>
      </c>
      <c r="I999" t="s">
        <v>33</v>
      </c>
      <c r="J999">
        <v>3</v>
      </c>
      <c r="K999">
        <v>1</v>
      </c>
      <c r="L999" t="s">
        <v>39</v>
      </c>
      <c r="M999">
        <v>3</v>
      </c>
      <c r="N999" t="s">
        <v>35</v>
      </c>
      <c r="O999">
        <v>2394</v>
      </c>
      <c r="P999">
        <v>1</v>
      </c>
      <c r="Q999" t="s">
        <v>30</v>
      </c>
      <c r="R999">
        <v>4</v>
      </c>
      <c r="S999">
        <v>8</v>
      </c>
      <c r="T999">
        <v>3</v>
      </c>
      <c r="U999">
        <v>8</v>
      </c>
      <c r="V999">
        <v>2</v>
      </c>
      <c r="W999">
        <v>7</v>
      </c>
      <c r="X999">
        <v>7</v>
      </c>
      <c r="Y999">
        <v>13</v>
      </c>
      <c r="Z999">
        <f>IF(H_A[[#This Row],[Attrition]]="Yes",1,0)</f>
        <v>1</v>
      </c>
      <c r="AA999" t="str">
        <f>IF(H_A[[#This Row],[Age]]&lt;30,"Young",IF(H_A[[#This Row],[Age]]&lt;45,"Mid","Senior"))</f>
        <v>Young</v>
      </c>
      <c r="AB999" t="str">
        <f>IF(H_A[[#This Row],[MonthlyIncome]]&lt;5000,"Low",IF(H_A[[#This Row],[MonthlyIncome]]&lt;10000,"Medium","High"))</f>
        <v>Low</v>
      </c>
      <c r="AC999" t="str">
        <f>IF(H_A[[#This Row],[YearsAtCompany]]&lt;3,"Early",IF(H_A[[#This Row],[YearsAtCompany]]&lt;7,"Mid","Long"))</f>
        <v>Long</v>
      </c>
      <c r="AD999" t="str">
        <f>IF(H_A[[#This Row],[PercentSalaryHike]]&lt;13,"Low",IF(H_A[[#This Row],[PercentSalaryHike]]&lt;18,"Medium","High"))</f>
        <v>Medium</v>
      </c>
    </row>
    <row r="1000" spans="1:30" x14ac:dyDescent="0.3">
      <c r="A1000">
        <v>26</v>
      </c>
      <c r="B1000">
        <v>1407</v>
      </c>
      <c r="C1000" t="s">
        <v>36</v>
      </c>
      <c r="D1000" t="s">
        <v>37</v>
      </c>
      <c r="E1000">
        <v>2</v>
      </c>
      <c r="F1000">
        <v>1</v>
      </c>
      <c r="G1000" t="s">
        <v>43</v>
      </c>
      <c r="H1000">
        <v>1</v>
      </c>
      <c r="I1000" t="s">
        <v>38</v>
      </c>
      <c r="J1000">
        <v>2</v>
      </c>
      <c r="K1000">
        <v>1</v>
      </c>
      <c r="L1000" t="s">
        <v>39</v>
      </c>
      <c r="M1000">
        <v>4</v>
      </c>
      <c r="N1000" t="s">
        <v>35</v>
      </c>
      <c r="O1000">
        <v>3904</v>
      </c>
      <c r="P1000">
        <v>0</v>
      </c>
      <c r="Q1000" t="s">
        <v>36</v>
      </c>
      <c r="R1000">
        <v>4</v>
      </c>
      <c r="S1000">
        <v>5</v>
      </c>
      <c r="T1000">
        <v>3</v>
      </c>
      <c r="U1000">
        <v>4</v>
      </c>
      <c r="V1000">
        <v>3</v>
      </c>
      <c r="W1000">
        <v>1</v>
      </c>
      <c r="X1000">
        <v>1</v>
      </c>
      <c r="Y1000">
        <v>12</v>
      </c>
      <c r="Z1000">
        <f>IF(H_A[[#This Row],[Attrition]]="Yes",1,0)</f>
        <v>0</v>
      </c>
      <c r="AA1000" t="str">
        <f>IF(H_A[[#This Row],[Age]]&lt;30,"Young",IF(H_A[[#This Row],[Age]]&lt;45,"Mid","Senior"))</f>
        <v>Young</v>
      </c>
      <c r="AB1000" t="str">
        <f>IF(H_A[[#This Row],[MonthlyIncome]]&lt;5000,"Low",IF(H_A[[#This Row],[MonthlyIncome]]&lt;10000,"Medium","High"))</f>
        <v>Low</v>
      </c>
      <c r="AC1000" t="str">
        <f>IF(H_A[[#This Row],[YearsAtCompany]]&lt;3,"Early",IF(H_A[[#This Row],[YearsAtCompany]]&lt;7,"Mid","Long"))</f>
        <v>Mid</v>
      </c>
      <c r="AD1000" t="str">
        <f>IF(H_A[[#This Row],[PercentSalaryHike]]&lt;13,"Low",IF(H_A[[#This Row],[PercentSalaryHike]]&lt;18,"Medium","High"))</f>
        <v>Low</v>
      </c>
    </row>
    <row r="1001" spans="1:30" x14ac:dyDescent="0.3">
      <c r="A1001">
        <v>42</v>
      </c>
      <c r="B1001">
        <v>1408</v>
      </c>
      <c r="C1001" t="s">
        <v>36</v>
      </c>
      <c r="D1001" t="s">
        <v>52</v>
      </c>
      <c r="E1001">
        <v>10</v>
      </c>
      <c r="F1001">
        <v>3</v>
      </c>
      <c r="G1001" t="s">
        <v>52</v>
      </c>
      <c r="H1001">
        <v>3</v>
      </c>
      <c r="I1001" t="s">
        <v>33</v>
      </c>
      <c r="J1001">
        <v>3</v>
      </c>
      <c r="K1001">
        <v>4</v>
      </c>
      <c r="L1001" t="s">
        <v>47</v>
      </c>
      <c r="M1001">
        <v>1</v>
      </c>
      <c r="N1001" t="s">
        <v>40</v>
      </c>
      <c r="O1001">
        <v>16799</v>
      </c>
      <c r="P1001">
        <v>0</v>
      </c>
      <c r="Q1001" t="s">
        <v>36</v>
      </c>
      <c r="R1001">
        <v>3</v>
      </c>
      <c r="S1001">
        <v>21</v>
      </c>
      <c r="T1001">
        <v>3</v>
      </c>
      <c r="U1001">
        <v>20</v>
      </c>
      <c r="V1001">
        <v>7</v>
      </c>
      <c r="W1001">
        <v>0</v>
      </c>
      <c r="X1001">
        <v>9</v>
      </c>
      <c r="Y1001">
        <v>14</v>
      </c>
      <c r="Z1001">
        <f>IF(H_A[[#This Row],[Attrition]]="Yes",1,0)</f>
        <v>0</v>
      </c>
      <c r="AA1001" t="str">
        <f>IF(H_A[[#This Row],[Age]]&lt;30,"Young",IF(H_A[[#This Row],[Age]]&lt;45,"Mid","Senior"))</f>
        <v>Mid</v>
      </c>
      <c r="AB1001" t="str">
        <f>IF(H_A[[#This Row],[MonthlyIncome]]&lt;5000,"Low",IF(H_A[[#This Row],[MonthlyIncome]]&lt;10000,"Medium","High"))</f>
        <v>High</v>
      </c>
      <c r="AC1001" t="str">
        <f>IF(H_A[[#This Row],[YearsAtCompany]]&lt;3,"Early",IF(H_A[[#This Row],[YearsAtCompany]]&lt;7,"Mid","Long"))</f>
        <v>Long</v>
      </c>
      <c r="AD1001" t="str">
        <f>IF(H_A[[#This Row],[PercentSalaryHike]]&lt;13,"Low",IF(H_A[[#This Row],[PercentSalaryHike]]&lt;18,"Medium","High"))</f>
        <v>Medium</v>
      </c>
    </row>
    <row r="1002" spans="1:30" x14ac:dyDescent="0.3">
      <c r="A1002">
        <v>52</v>
      </c>
      <c r="B1002">
        <v>1409</v>
      </c>
      <c r="C1002" t="s">
        <v>36</v>
      </c>
      <c r="D1002" t="s">
        <v>37</v>
      </c>
      <c r="E1002">
        <v>8</v>
      </c>
      <c r="F1002">
        <v>4</v>
      </c>
      <c r="G1002" t="s">
        <v>41</v>
      </c>
      <c r="H1002">
        <v>3</v>
      </c>
      <c r="I1002" t="s">
        <v>33</v>
      </c>
      <c r="J1002">
        <v>3</v>
      </c>
      <c r="K1002">
        <v>1</v>
      </c>
      <c r="L1002" t="s">
        <v>42</v>
      </c>
      <c r="M1002">
        <v>1</v>
      </c>
      <c r="N1002" t="s">
        <v>40</v>
      </c>
      <c r="O1002">
        <v>2950</v>
      </c>
      <c r="P1002">
        <v>9</v>
      </c>
      <c r="Q1002" t="s">
        <v>36</v>
      </c>
      <c r="R1002">
        <v>3</v>
      </c>
      <c r="S1002">
        <v>12</v>
      </c>
      <c r="T1002">
        <v>1</v>
      </c>
      <c r="U1002">
        <v>5</v>
      </c>
      <c r="V1002">
        <v>4</v>
      </c>
      <c r="W1002">
        <v>0</v>
      </c>
      <c r="X1002">
        <v>4</v>
      </c>
      <c r="Y1002">
        <v>13</v>
      </c>
      <c r="Z1002">
        <f>IF(H_A[[#This Row],[Attrition]]="Yes",1,0)</f>
        <v>0</v>
      </c>
      <c r="AA1002" t="str">
        <f>IF(H_A[[#This Row],[Age]]&lt;30,"Young",IF(H_A[[#This Row],[Age]]&lt;45,"Mid","Senior"))</f>
        <v>Senior</v>
      </c>
      <c r="AB1002" t="str">
        <f>IF(H_A[[#This Row],[MonthlyIncome]]&lt;5000,"Low",IF(H_A[[#This Row],[MonthlyIncome]]&lt;10000,"Medium","High"))</f>
        <v>Low</v>
      </c>
      <c r="AC1002" t="str">
        <f>IF(H_A[[#This Row],[YearsAtCompany]]&lt;3,"Early",IF(H_A[[#This Row],[YearsAtCompany]]&lt;7,"Mid","Long"))</f>
        <v>Mid</v>
      </c>
      <c r="AD1002" t="str">
        <f>IF(H_A[[#This Row],[PercentSalaryHike]]&lt;13,"Low",IF(H_A[[#This Row],[PercentSalaryHike]]&lt;18,"Medium","High"))</f>
        <v>Medium</v>
      </c>
    </row>
    <row r="1003" spans="1:30" x14ac:dyDescent="0.3">
      <c r="A1003">
        <v>37</v>
      </c>
      <c r="B1003">
        <v>1411</v>
      </c>
      <c r="C1003" t="s">
        <v>36</v>
      </c>
      <c r="D1003" t="s">
        <v>37</v>
      </c>
      <c r="E1003">
        <v>11</v>
      </c>
      <c r="F1003">
        <v>3</v>
      </c>
      <c r="G1003" t="s">
        <v>43</v>
      </c>
      <c r="H1003">
        <v>1</v>
      </c>
      <c r="I1003" t="s">
        <v>33</v>
      </c>
      <c r="J1003">
        <v>3</v>
      </c>
      <c r="K1003">
        <v>1</v>
      </c>
      <c r="L1003" t="s">
        <v>42</v>
      </c>
      <c r="M1003">
        <v>3</v>
      </c>
      <c r="N1003" t="s">
        <v>35</v>
      </c>
      <c r="O1003">
        <v>3629</v>
      </c>
      <c r="P1003">
        <v>4</v>
      </c>
      <c r="Q1003" t="s">
        <v>36</v>
      </c>
      <c r="R1003">
        <v>1</v>
      </c>
      <c r="S1003">
        <v>8</v>
      </c>
      <c r="T1003">
        <v>3</v>
      </c>
      <c r="U1003">
        <v>3</v>
      </c>
      <c r="V1003">
        <v>2</v>
      </c>
      <c r="W1003">
        <v>0</v>
      </c>
      <c r="X1003">
        <v>2</v>
      </c>
      <c r="Y1003">
        <v>18</v>
      </c>
      <c r="Z1003">
        <f>IF(H_A[[#This Row],[Attrition]]="Yes",1,0)</f>
        <v>0</v>
      </c>
      <c r="AA1003" t="str">
        <f>IF(H_A[[#This Row],[Age]]&lt;30,"Young",IF(H_A[[#This Row],[Age]]&lt;45,"Mid","Senior"))</f>
        <v>Mid</v>
      </c>
      <c r="AB1003" t="str">
        <f>IF(H_A[[#This Row],[MonthlyIncome]]&lt;5000,"Low",IF(H_A[[#This Row],[MonthlyIncome]]&lt;10000,"Medium","High"))</f>
        <v>Low</v>
      </c>
      <c r="AC1003" t="str">
        <f>IF(H_A[[#This Row],[YearsAtCompany]]&lt;3,"Early",IF(H_A[[#This Row],[YearsAtCompany]]&lt;7,"Mid","Long"))</f>
        <v>Mid</v>
      </c>
      <c r="AD1003" t="str">
        <f>IF(H_A[[#This Row],[PercentSalaryHike]]&lt;13,"Low",IF(H_A[[#This Row],[PercentSalaryHike]]&lt;18,"Medium","High"))</f>
        <v>High</v>
      </c>
    </row>
    <row r="1004" spans="1:30" x14ac:dyDescent="0.3">
      <c r="A1004">
        <v>35</v>
      </c>
      <c r="B1004">
        <v>1412</v>
      </c>
      <c r="C1004" t="s">
        <v>36</v>
      </c>
      <c r="D1004" t="s">
        <v>37</v>
      </c>
      <c r="E1004">
        <v>18</v>
      </c>
      <c r="F1004">
        <v>2</v>
      </c>
      <c r="G1004" t="s">
        <v>32</v>
      </c>
      <c r="H1004">
        <v>3</v>
      </c>
      <c r="I1004" t="s">
        <v>38</v>
      </c>
      <c r="J1004">
        <v>3</v>
      </c>
      <c r="K1004">
        <v>3</v>
      </c>
      <c r="L1004" t="s">
        <v>45</v>
      </c>
      <c r="M1004">
        <v>4</v>
      </c>
      <c r="N1004" t="s">
        <v>35</v>
      </c>
      <c r="O1004">
        <v>9362</v>
      </c>
      <c r="P1004">
        <v>2</v>
      </c>
      <c r="Q1004" t="s">
        <v>36</v>
      </c>
      <c r="R1004">
        <v>3</v>
      </c>
      <c r="S1004">
        <v>10</v>
      </c>
      <c r="T1004">
        <v>3</v>
      </c>
      <c r="U1004">
        <v>2</v>
      </c>
      <c r="V1004">
        <v>2</v>
      </c>
      <c r="W1004">
        <v>2</v>
      </c>
      <c r="X1004">
        <v>2</v>
      </c>
      <c r="Y1004">
        <v>11</v>
      </c>
      <c r="Z1004">
        <f>IF(H_A[[#This Row],[Attrition]]="Yes",1,0)</f>
        <v>0</v>
      </c>
      <c r="AA1004" t="str">
        <f>IF(H_A[[#This Row],[Age]]&lt;30,"Young",IF(H_A[[#This Row],[Age]]&lt;45,"Mid","Senior"))</f>
        <v>Mid</v>
      </c>
      <c r="AB1004" t="str">
        <f>IF(H_A[[#This Row],[MonthlyIncome]]&lt;5000,"Low",IF(H_A[[#This Row],[MonthlyIncome]]&lt;10000,"Medium","High"))</f>
        <v>Medium</v>
      </c>
      <c r="AC1004" t="str">
        <f>IF(H_A[[#This Row],[YearsAtCompany]]&lt;3,"Early",IF(H_A[[#This Row],[YearsAtCompany]]&lt;7,"Mid","Long"))</f>
        <v>Early</v>
      </c>
      <c r="AD1004" t="str">
        <f>IF(H_A[[#This Row],[PercentSalaryHike]]&lt;13,"Low",IF(H_A[[#This Row],[PercentSalaryHike]]&lt;18,"Medium","High"))</f>
        <v>Low</v>
      </c>
    </row>
    <row r="1005" spans="1:30" x14ac:dyDescent="0.3">
      <c r="A1005">
        <v>25</v>
      </c>
      <c r="B1005">
        <v>1415</v>
      </c>
      <c r="C1005" t="s">
        <v>36</v>
      </c>
      <c r="D1005" t="s">
        <v>37</v>
      </c>
      <c r="E1005">
        <v>1</v>
      </c>
      <c r="F1005">
        <v>3</v>
      </c>
      <c r="G1005" t="s">
        <v>51</v>
      </c>
      <c r="H1005">
        <v>1</v>
      </c>
      <c r="I1005" t="s">
        <v>38</v>
      </c>
      <c r="J1005">
        <v>3</v>
      </c>
      <c r="K1005">
        <v>1</v>
      </c>
      <c r="L1005" t="s">
        <v>42</v>
      </c>
      <c r="M1005">
        <v>4</v>
      </c>
      <c r="N1005" t="s">
        <v>40</v>
      </c>
      <c r="O1005">
        <v>3229</v>
      </c>
      <c r="P1005">
        <v>4</v>
      </c>
      <c r="Q1005" t="s">
        <v>36</v>
      </c>
      <c r="R1005">
        <v>2</v>
      </c>
      <c r="S1005">
        <v>7</v>
      </c>
      <c r="T1005">
        <v>2</v>
      </c>
      <c r="U1005">
        <v>3</v>
      </c>
      <c r="V1005">
        <v>2</v>
      </c>
      <c r="W1005">
        <v>0</v>
      </c>
      <c r="X1005">
        <v>2</v>
      </c>
      <c r="Y1005">
        <v>11</v>
      </c>
      <c r="Z1005">
        <f>IF(H_A[[#This Row],[Attrition]]="Yes",1,0)</f>
        <v>0</v>
      </c>
      <c r="AA1005" t="str">
        <f>IF(H_A[[#This Row],[Age]]&lt;30,"Young",IF(H_A[[#This Row],[Age]]&lt;45,"Mid","Senior"))</f>
        <v>Young</v>
      </c>
      <c r="AB1005" t="str">
        <f>IF(H_A[[#This Row],[MonthlyIncome]]&lt;5000,"Low",IF(H_A[[#This Row],[MonthlyIncome]]&lt;10000,"Medium","High"))</f>
        <v>Low</v>
      </c>
      <c r="AC1005" t="str">
        <f>IF(H_A[[#This Row],[YearsAtCompany]]&lt;3,"Early",IF(H_A[[#This Row],[YearsAtCompany]]&lt;7,"Mid","Long"))</f>
        <v>Mid</v>
      </c>
      <c r="AD1005" t="str">
        <f>IF(H_A[[#This Row],[PercentSalaryHike]]&lt;13,"Low",IF(H_A[[#This Row],[PercentSalaryHike]]&lt;18,"Medium","High"))</f>
        <v>Low</v>
      </c>
    </row>
    <row r="1006" spans="1:30" x14ac:dyDescent="0.3">
      <c r="A1006">
        <v>26</v>
      </c>
      <c r="B1006">
        <v>1417</v>
      </c>
      <c r="C1006" t="s">
        <v>36</v>
      </c>
      <c r="D1006" t="s">
        <v>37</v>
      </c>
      <c r="E1006">
        <v>7</v>
      </c>
      <c r="F1006">
        <v>3</v>
      </c>
      <c r="G1006" t="s">
        <v>41</v>
      </c>
      <c r="H1006">
        <v>3</v>
      </c>
      <c r="I1006" t="s">
        <v>38</v>
      </c>
      <c r="J1006">
        <v>4</v>
      </c>
      <c r="K1006">
        <v>1</v>
      </c>
      <c r="L1006" t="s">
        <v>42</v>
      </c>
      <c r="M1006">
        <v>1</v>
      </c>
      <c r="N1006" t="s">
        <v>35</v>
      </c>
      <c r="O1006">
        <v>3578</v>
      </c>
      <c r="P1006">
        <v>0</v>
      </c>
      <c r="Q1006" t="s">
        <v>36</v>
      </c>
      <c r="R1006">
        <v>4</v>
      </c>
      <c r="S1006">
        <v>8</v>
      </c>
      <c r="T1006">
        <v>3</v>
      </c>
      <c r="U1006">
        <v>7</v>
      </c>
      <c r="V1006">
        <v>7</v>
      </c>
      <c r="W1006">
        <v>0</v>
      </c>
      <c r="X1006">
        <v>7</v>
      </c>
      <c r="Y1006">
        <v>12</v>
      </c>
      <c r="Z1006">
        <f>IF(H_A[[#This Row],[Attrition]]="Yes",1,0)</f>
        <v>0</v>
      </c>
      <c r="AA1006" t="str">
        <f>IF(H_A[[#This Row],[Age]]&lt;30,"Young",IF(H_A[[#This Row],[Age]]&lt;45,"Mid","Senior"))</f>
        <v>Young</v>
      </c>
      <c r="AB1006" t="str">
        <f>IF(H_A[[#This Row],[MonthlyIncome]]&lt;5000,"Low",IF(H_A[[#This Row],[MonthlyIncome]]&lt;10000,"Medium","High"))</f>
        <v>Low</v>
      </c>
      <c r="AC1006" t="str">
        <f>IF(H_A[[#This Row],[YearsAtCompany]]&lt;3,"Early",IF(H_A[[#This Row],[YearsAtCompany]]&lt;7,"Mid","Long"))</f>
        <v>Long</v>
      </c>
      <c r="AD1006" t="str">
        <f>IF(H_A[[#This Row],[PercentSalaryHike]]&lt;13,"Low",IF(H_A[[#This Row],[PercentSalaryHike]]&lt;18,"Medium","High"))</f>
        <v>Low</v>
      </c>
    </row>
    <row r="1007" spans="1:30" x14ac:dyDescent="0.3">
      <c r="A1007">
        <v>29</v>
      </c>
      <c r="B1007">
        <v>1419</v>
      </c>
      <c r="C1007" t="s">
        <v>36</v>
      </c>
      <c r="D1007" t="s">
        <v>52</v>
      </c>
      <c r="E1007">
        <v>17</v>
      </c>
      <c r="F1007">
        <v>3</v>
      </c>
      <c r="G1007" t="s">
        <v>41</v>
      </c>
      <c r="H1007">
        <v>2</v>
      </c>
      <c r="I1007" t="s">
        <v>38</v>
      </c>
      <c r="J1007">
        <v>2</v>
      </c>
      <c r="K1007">
        <v>3</v>
      </c>
      <c r="L1007" t="s">
        <v>52</v>
      </c>
      <c r="M1007">
        <v>1</v>
      </c>
      <c r="N1007" t="s">
        <v>35</v>
      </c>
      <c r="O1007">
        <v>7988</v>
      </c>
      <c r="P1007">
        <v>1</v>
      </c>
      <c r="Q1007" t="s">
        <v>36</v>
      </c>
      <c r="R1007">
        <v>1</v>
      </c>
      <c r="S1007">
        <v>10</v>
      </c>
      <c r="T1007">
        <v>2</v>
      </c>
      <c r="U1007">
        <v>10</v>
      </c>
      <c r="V1007">
        <v>9</v>
      </c>
      <c r="W1007">
        <v>0</v>
      </c>
      <c r="X1007">
        <v>9</v>
      </c>
      <c r="Y1007">
        <v>13</v>
      </c>
      <c r="Z1007">
        <f>IF(H_A[[#This Row],[Attrition]]="Yes",1,0)</f>
        <v>0</v>
      </c>
      <c r="AA1007" t="str">
        <f>IF(H_A[[#This Row],[Age]]&lt;30,"Young",IF(H_A[[#This Row],[Age]]&lt;45,"Mid","Senior"))</f>
        <v>Young</v>
      </c>
      <c r="AB1007" t="str">
        <f>IF(H_A[[#This Row],[MonthlyIncome]]&lt;5000,"Low",IF(H_A[[#This Row],[MonthlyIncome]]&lt;10000,"Medium","High"))</f>
        <v>Medium</v>
      </c>
      <c r="AC1007" t="str">
        <f>IF(H_A[[#This Row],[YearsAtCompany]]&lt;3,"Early",IF(H_A[[#This Row],[YearsAtCompany]]&lt;7,"Mid","Long"))</f>
        <v>Long</v>
      </c>
      <c r="AD1007" t="str">
        <f>IF(H_A[[#This Row],[PercentSalaryHike]]&lt;13,"Low",IF(H_A[[#This Row],[PercentSalaryHike]]&lt;18,"Medium","High"))</f>
        <v>Medium</v>
      </c>
    </row>
    <row r="1008" spans="1:30" x14ac:dyDescent="0.3">
      <c r="A1008">
        <v>49</v>
      </c>
      <c r="B1008">
        <v>1420</v>
      </c>
      <c r="C1008" t="s">
        <v>30</v>
      </c>
      <c r="D1008" t="s">
        <v>37</v>
      </c>
      <c r="E1008">
        <v>28</v>
      </c>
      <c r="F1008">
        <v>2</v>
      </c>
      <c r="G1008" t="s">
        <v>32</v>
      </c>
      <c r="H1008">
        <v>1</v>
      </c>
      <c r="I1008" t="s">
        <v>38</v>
      </c>
      <c r="J1008">
        <v>2</v>
      </c>
      <c r="K1008">
        <v>2</v>
      </c>
      <c r="L1008" t="s">
        <v>42</v>
      </c>
      <c r="M1008">
        <v>1</v>
      </c>
      <c r="N1008" t="s">
        <v>35</v>
      </c>
      <c r="O1008">
        <v>4284</v>
      </c>
      <c r="P1008">
        <v>3</v>
      </c>
      <c r="Q1008" t="s">
        <v>36</v>
      </c>
      <c r="R1008">
        <v>1</v>
      </c>
      <c r="S1008">
        <v>20</v>
      </c>
      <c r="T1008">
        <v>3</v>
      </c>
      <c r="U1008">
        <v>4</v>
      </c>
      <c r="V1008">
        <v>3</v>
      </c>
      <c r="W1008">
        <v>1</v>
      </c>
      <c r="X1008">
        <v>3</v>
      </c>
      <c r="Y1008">
        <v>20</v>
      </c>
      <c r="Z1008">
        <f>IF(H_A[[#This Row],[Attrition]]="Yes",1,0)</f>
        <v>1</v>
      </c>
      <c r="AA1008" t="str">
        <f>IF(H_A[[#This Row],[Age]]&lt;30,"Young",IF(H_A[[#This Row],[Age]]&lt;45,"Mid","Senior"))</f>
        <v>Senior</v>
      </c>
      <c r="AB1008" t="str">
        <f>IF(H_A[[#This Row],[MonthlyIncome]]&lt;5000,"Low",IF(H_A[[#This Row],[MonthlyIncome]]&lt;10000,"Medium","High"))</f>
        <v>Low</v>
      </c>
      <c r="AC1008" t="str">
        <f>IF(H_A[[#This Row],[YearsAtCompany]]&lt;3,"Early",IF(H_A[[#This Row],[YearsAtCompany]]&lt;7,"Mid","Long"))</f>
        <v>Mid</v>
      </c>
      <c r="AD1008" t="str">
        <f>IF(H_A[[#This Row],[PercentSalaryHike]]&lt;13,"Low",IF(H_A[[#This Row],[PercentSalaryHike]]&lt;18,"Medium","High"))</f>
        <v>High</v>
      </c>
    </row>
    <row r="1009" spans="1:30" x14ac:dyDescent="0.3">
      <c r="A1009">
        <v>29</v>
      </c>
      <c r="B1009">
        <v>1421</v>
      </c>
      <c r="C1009" t="s">
        <v>30</v>
      </c>
      <c r="D1009" t="s">
        <v>37</v>
      </c>
      <c r="E1009">
        <v>14</v>
      </c>
      <c r="F1009">
        <v>1</v>
      </c>
      <c r="G1009" t="s">
        <v>41</v>
      </c>
      <c r="H1009">
        <v>3</v>
      </c>
      <c r="I1009" t="s">
        <v>33</v>
      </c>
      <c r="J1009">
        <v>3</v>
      </c>
      <c r="K1009">
        <v>3</v>
      </c>
      <c r="L1009" t="s">
        <v>46</v>
      </c>
      <c r="M1009">
        <v>4</v>
      </c>
      <c r="N1009" t="s">
        <v>35</v>
      </c>
      <c r="O1009">
        <v>7553</v>
      </c>
      <c r="P1009">
        <v>0</v>
      </c>
      <c r="Q1009" t="s">
        <v>30</v>
      </c>
      <c r="R1009">
        <v>1</v>
      </c>
      <c r="S1009">
        <v>9</v>
      </c>
      <c r="T1009">
        <v>3</v>
      </c>
      <c r="U1009">
        <v>8</v>
      </c>
      <c r="V1009">
        <v>7</v>
      </c>
      <c r="W1009">
        <v>7</v>
      </c>
      <c r="X1009">
        <v>7</v>
      </c>
      <c r="Y1009">
        <v>12</v>
      </c>
      <c r="Z1009">
        <f>IF(H_A[[#This Row],[Attrition]]="Yes",1,0)</f>
        <v>1</v>
      </c>
      <c r="AA1009" t="str">
        <f>IF(H_A[[#This Row],[Age]]&lt;30,"Young",IF(H_A[[#This Row],[Age]]&lt;45,"Mid","Senior"))</f>
        <v>Young</v>
      </c>
      <c r="AB1009" t="str">
        <f>IF(H_A[[#This Row],[MonthlyIncome]]&lt;5000,"Low",IF(H_A[[#This Row],[MonthlyIncome]]&lt;10000,"Medium","High"))</f>
        <v>Medium</v>
      </c>
      <c r="AC1009" t="str">
        <f>IF(H_A[[#This Row],[YearsAtCompany]]&lt;3,"Early",IF(H_A[[#This Row],[YearsAtCompany]]&lt;7,"Mid","Long"))</f>
        <v>Long</v>
      </c>
      <c r="AD1009" t="str">
        <f>IF(H_A[[#This Row],[PercentSalaryHike]]&lt;13,"Low",IF(H_A[[#This Row],[PercentSalaryHike]]&lt;18,"Medium","High"))</f>
        <v>Low</v>
      </c>
    </row>
    <row r="1010" spans="1:30" x14ac:dyDescent="0.3">
      <c r="A1010">
        <v>54</v>
      </c>
      <c r="B1010">
        <v>1422</v>
      </c>
      <c r="C1010" t="s">
        <v>36</v>
      </c>
      <c r="D1010" t="s">
        <v>37</v>
      </c>
      <c r="E1010">
        <v>1</v>
      </c>
      <c r="F1010">
        <v>3</v>
      </c>
      <c r="G1010" t="s">
        <v>43</v>
      </c>
      <c r="H1010">
        <v>4</v>
      </c>
      <c r="I1010" t="s">
        <v>33</v>
      </c>
      <c r="J1010">
        <v>3</v>
      </c>
      <c r="K1010">
        <v>4</v>
      </c>
      <c r="L1010" t="s">
        <v>49</v>
      </c>
      <c r="M1010">
        <v>4</v>
      </c>
      <c r="N1010" t="s">
        <v>35</v>
      </c>
      <c r="O1010">
        <v>17328</v>
      </c>
      <c r="P1010">
        <v>6</v>
      </c>
      <c r="Q1010" t="s">
        <v>36</v>
      </c>
      <c r="R1010">
        <v>4</v>
      </c>
      <c r="S1010">
        <v>29</v>
      </c>
      <c r="T1010">
        <v>2</v>
      </c>
      <c r="U1010">
        <v>20</v>
      </c>
      <c r="V1010">
        <v>7</v>
      </c>
      <c r="W1010">
        <v>12</v>
      </c>
      <c r="X1010">
        <v>7</v>
      </c>
      <c r="Y1010">
        <v>19</v>
      </c>
      <c r="Z1010">
        <f>IF(H_A[[#This Row],[Attrition]]="Yes",1,0)</f>
        <v>0</v>
      </c>
      <c r="AA1010" t="str">
        <f>IF(H_A[[#This Row],[Age]]&lt;30,"Young",IF(H_A[[#This Row],[Age]]&lt;45,"Mid","Senior"))</f>
        <v>Senior</v>
      </c>
      <c r="AB1010" t="str">
        <f>IF(H_A[[#This Row],[MonthlyIncome]]&lt;5000,"Low",IF(H_A[[#This Row],[MonthlyIncome]]&lt;10000,"Medium","High"))</f>
        <v>High</v>
      </c>
      <c r="AC1010" t="str">
        <f>IF(H_A[[#This Row],[YearsAtCompany]]&lt;3,"Early",IF(H_A[[#This Row],[YearsAtCompany]]&lt;7,"Mid","Long"))</f>
        <v>Long</v>
      </c>
      <c r="AD1010" t="str">
        <f>IF(H_A[[#This Row],[PercentSalaryHike]]&lt;13,"Low",IF(H_A[[#This Row],[PercentSalaryHike]]&lt;18,"Medium","High"))</f>
        <v>High</v>
      </c>
    </row>
    <row r="1011" spans="1:30" x14ac:dyDescent="0.3">
      <c r="A1011">
        <v>58</v>
      </c>
      <c r="B1011">
        <v>1423</v>
      </c>
      <c r="C1011" t="s">
        <v>36</v>
      </c>
      <c r="D1011" t="s">
        <v>37</v>
      </c>
      <c r="E1011">
        <v>1</v>
      </c>
      <c r="F1011">
        <v>3</v>
      </c>
      <c r="G1011" t="s">
        <v>43</v>
      </c>
      <c r="H1011">
        <v>4</v>
      </c>
      <c r="I1011" t="s">
        <v>33</v>
      </c>
      <c r="J1011">
        <v>3</v>
      </c>
      <c r="K1011">
        <v>5</v>
      </c>
      <c r="L1011" t="s">
        <v>49</v>
      </c>
      <c r="M1011">
        <v>1</v>
      </c>
      <c r="N1011" t="s">
        <v>40</v>
      </c>
      <c r="O1011">
        <v>19701</v>
      </c>
      <c r="P1011">
        <v>3</v>
      </c>
      <c r="Q1011" t="s">
        <v>30</v>
      </c>
      <c r="R1011">
        <v>3</v>
      </c>
      <c r="S1011">
        <v>32</v>
      </c>
      <c r="T1011">
        <v>3</v>
      </c>
      <c r="U1011">
        <v>9</v>
      </c>
      <c r="V1011">
        <v>8</v>
      </c>
      <c r="W1011">
        <v>1</v>
      </c>
      <c r="X1011">
        <v>5</v>
      </c>
      <c r="Y1011">
        <v>21</v>
      </c>
      <c r="Z1011">
        <f>IF(H_A[[#This Row],[Attrition]]="Yes",1,0)</f>
        <v>0</v>
      </c>
      <c r="AA1011" t="str">
        <f>IF(H_A[[#This Row],[Age]]&lt;30,"Young",IF(H_A[[#This Row],[Age]]&lt;45,"Mid","Senior"))</f>
        <v>Senior</v>
      </c>
      <c r="AB1011" t="str">
        <f>IF(H_A[[#This Row],[MonthlyIncome]]&lt;5000,"Low",IF(H_A[[#This Row],[MonthlyIncome]]&lt;10000,"Medium","High"))</f>
        <v>High</v>
      </c>
      <c r="AC1011" t="str">
        <f>IF(H_A[[#This Row],[YearsAtCompany]]&lt;3,"Early",IF(H_A[[#This Row],[YearsAtCompany]]&lt;7,"Mid","Long"))</f>
        <v>Long</v>
      </c>
      <c r="AD1011" t="str">
        <f>IF(H_A[[#This Row],[PercentSalaryHike]]&lt;13,"Low",IF(H_A[[#This Row],[PercentSalaryHike]]&lt;18,"Medium","High"))</f>
        <v>High</v>
      </c>
    </row>
    <row r="1012" spans="1:30" x14ac:dyDescent="0.3">
      <c r="A1012">
        <v>55</v>
      </c>
      <c r="B1012">
        <v>1424</v>
      </c>
      <c r="C1012" t="s">
        <v>36</v>
      </c>
      <c r="D1012" t="s">
        <v>37</v>
      </c>
      <c r="E1012">
        <v>1</v>
      </c>
      <c r="F1012">
        <v>4</v>
      </c>
      <c r="G1012" t="s">
        <v>43</v>
      </c>
      <c r="H1012">
        <v>2</v>
      </c>
      <c r="I1012" t="s">
        <v>38</v>
      </c>
      <c r="J1012">
        <v>4</v>
      </c>
      <c r="K1012">
        <v>4</v>
      </c>
      <c r="L1012" t="s">
        <v>49</v>
      </c>
      <c r="M1012">
        <v>4</v>
      </c>
      <c r="N1012" t="s">
        <v>44</v>
      </c>
      <c r="O1012">
        <v>14732</v>
      </c>
      <c r="P1012">
        <v>2</v>
      </c>
      <c r="Q1012" t="s">
        <v>36</v>
      </c>
      <c r="R1012">
        <v>4</v>
      </c>
      <c r="S1012">
        <v>31</v>
      </c>
      <c r="T1012">
        <v>4</v>
      </c>
      <c r="U1012">
        <v>7</v>
      </c>
      <c r="V1012">
        <v>7</v>
      </c>
      <c r="W1012">
        <v>0</v>
      </c>
      <c r="X1012">
        <v>0</v>
      </c>
      <c r="Y1012">
        <v>13</v>
      </c>
      <c r="Z1012">
        <f>IF(H_A[[#This Row],[Attrition]]="Yes",1,0)</f>
        <v>0</v>
      </c>
      <c r="AA1012" t="str">
        <f>IF(H_A[[#This Row],[Age]]&lt;30,"Young",IF(H_A[[#This Row],[Age]]&lt;45,"Mid","Senior"))</f>
        <v>Senior</v>
      </c>
      <c r="AB1012" t="str">
        <f>IF(H_A[[#This Row],[MonthlyIncome]]&lt;5000,"Low",IF(H_A[[#This Row],[MonthlyIncome]]&lt;10000,"Medium","High"))</f>
        <v>High</v>
      </c>
      <c r="AC1012" t="str">
        <f>IF(H_A[[#This Row],[YearsAtCompany]]&lt;3,"Early",IF(H_A[[#This Row],[YearsAtCompany]]&lt;7,"Mid","Long"))</f>
        <v>Long</v>
      </c>
      <c r="AD1012" t="str">
        <f>IF(H_A[[#This Row],[PercentSalaryHike]]&lt;13,"Low",IF(H_A[[#This Row],[PercentSalaryHike]]&lt;18,"Medium","High"))</f>
        <v>Medium</v>
      </c>
    </row>
    <row r="1013" spans="1:30" x14ac:dyDescent="0.3">
      <c r="A1013">
        <v>36</v>
      </c>
      <c r="B1013">
        <v>1425</v>
      </c>
      <c r="C1013" t="s">
        <v>36</v>
      </c>
      <c r="D1013" t="s">
        <v>31</v>
      </c>
      <c r="E1013">
        <v>3</v>
      </c>
      <c r="F1013">
        <v>4</v>
      </c>
      <c r="G1013" t="s">
        <v>50</v>
      </c>
      <c r="H1013">
        <v>1</v>
      </c>
      <c r="I1013" t="s">
        <v>33</v>
      </c>
      <c r="J1013">
        <v>3</v>
      </c>
      <c r="K1013">
        <v>2</v>
      </c>
      <c r="L1013" t="s">
        <v>34</v>
      </c>
      <c r="M1013">
        <v>2</v>
      </c>
      <c r="N1013" t="s">
        <v>35</v>
      </c>
      <c r="O1013">
        <v>9278</v>
      </c>
      <c r="P1013">
        <v>3</v>
      </c>
      <c r="Q1013" t="s">
        <v>30</v>
      </c>
      <c r="R1013">
        <v>4</v>
      </c>
      <c r="S1013">
        <v>15</v>
      </c>
      <c r="T1013">
        <v>3</v>
      </c>
      <c r="U1013">
        <v>5</v>
      </c>
      <c r="V1013">
        <v>4</v>
      </c>
      <c r="W1013">
        <v>0</v>
      </c>
      <c r="X1013">
        <v>1</v>
      </c>
      <c r="Y1013">
        <v>16</v>
      </c>
      <c r="Z1013">
        <f>IF(H_A[[#This Row],[Attrition]]="Yes",1,0)</f>
        <v>0</v>
      </c>
      <c r="AA1013" t="str">
        <f>IF(H_A[[#This Row],[Age]]&lt;30,"Young",IF(H_A[[#This Row],[Age]]&lt;45,"Mid","Senior"))</f>
        <v>Mid</v>
      </c>
      <c r="AB1013" t="str">
        <f>IF(H_A[[#This Row],[MonthlyIncome]]&lt;5000,"Low",IF(H_A[[#This Row],[MonthlyIncome]]&lt;10000,"Medium","High"))</f>
        <v>Medium</v>
      </c>
      <c r="AC1013" t="str">
        <f>IF(H_A[[#This Row],[YearsAtCompany]]&lt;3,"Early",IF(H_A[[#This Row],[YearsAtCompany]]&lt;7,"Mid","Long"))</f>
        <v>Mid</v>
      </c>
      <c r="AD1013" t="str">
        <f>IF(H_A[[#This Row],[PercentSalaryHike]]&lt;13,"Low",IF(H_A[[#This Row],[PercentSalaryHike]]&lt;18,"Medium","High"))</f>
        <v>Medium</v>
      </c>
    </row>
    <row r="1014" spans="1:30" x14ac:dyDescent="0.3">
      <c r="A1014">
        <v>31</v>
      </c>
      <c r="B1014">
        <v>1427</v>
      </c>
      <c r="C1014" t="s">
        <v>30</v>
      </c>
      <c r="D1014" t="s">
        <v>31</v>
      </c>
      <c r="E1014">
        <v>1</v>
      </c>
      <c r="F1014">
        <v>4</v>
      </c>
      <c r="G1014" t="s">
        <v>32</v>
      </c>
      <c r="H1014">
        <v>2</v>
      </c>
      <c r="I1014" t="s">
        <v>33</v>
      </c>
      <c r="J1014">
        <v>1</v>
      </c>
      <c r="K1014">
        <v>1</v>
      </c>
      <c r="L1014" t="s">
        <v>48</v>
      </c>
      <c r="M1014">
        <v>3</v>
      </c>
      <c r="N1014" t="s">
        <v>35</v>
      </c>
      <c r="O1014">
        <v>1359</v>
      </c>
      <c r="P1014">
        <v>1</v>
      </c>
      <c r="Q1014" t="s">
        <v>36</v>
      </c>
      <c r="R1014">
        <v>2</v>
      </c>
      <c r="S1014">
        <v>1</v>
      </c>
      <c r="T1014">
        <v>3</v>
      </c>
      <c r="U1014">
        <v>1</v>
      </c>
      <c r="V1014">
        <v>0</v>
      </c>
      <c r="W1014">
        <v>0</v>
      </c>
      <c r="X1014">
        <v>0</v>
      </c>
      <c r="Y1014">
        <v>12</v>
      </c>
      <c r="Z1014">
        <f>IF(H_A[[#This Row],[Attrition]]="Yes",1,0)</f>
        <v>1</v>
      </c>
      <c r="AA1014" t="str">
        <f>IF(H_A[[#This Row],[Age]]&lt;30,"Young",IF(H_A[[#This Row],[Age]]&lt;45,"Mid","Senior"))</f>
        <v>Mid</v>
      </c>
      <c r="AB1014" t="str">
        <f>IF(H_A[[#This Row],[MonthlyIncome]]&lt;5000,"Low",IF(H_A[[#This Row],[MonthlyIncome]]&lt;10000,"Medium","High"))</f>
        <v>Low</v>
      </c>
      <c r="AC1014" t="str">
        <f>IF(H_A[[#This Row],[YearsAtCompany]]&lt;3,"Early",IF(H_A[[#This Row],[YearsAtCompany]]&lt;7,"Mid","Long"))</f>
        <v>Early</v>
      </c>
      <c r="AD1014" t="str">
        <f>IF(H_A[[#This Row],[PercentSalaryHike]]&lt;13,"Low",IF(H_A[[#This Row],[PercentSalaryHike]]&lt;18,"Medium","High"))</f>
        <v>Low</v>
      </c>
    </row>
    <row r="1015" spans="1:30" x14ac:dyDescent="0.3">
      <c r="A1015">
        <v>30</v>
      </c>
      <c r="B1015">
        <v>1428</v>
      </c>
      <c r="C1015" t="s">
        <v>36</v>
      </c>
      <c r="D1015" t="s">
        <v>31</v>
      </c>
      <c r="E1015">
        <v>7</v>
      </c>
      <c r="F1015">
        <v>4</v>
      </c>
      <c r="G1015" t="s">
        <v>50</v>
      </c>
      <c r="H1015">
        <v>4</v>
      </c>
      <c r="I1015" t="s">
        <v>33</v>
      </c>
      <c r="J1015">
        <v>3</v>
      </c>
      <c r="K1015">
        <v>2</v>
      </c>
      <c r="L1015" t="s">
        <v>34</v>
      </c>
      <c r="M1015">
        <v>1</v>
      </c>
      <c r="N1015" t="s">
        <v>44</v>
      </c>
      <c r="O1015">
        <v>4779</v>
      </c>
      <c r="P1015">
        <v>7</v>
      </c>
      <c r="Q1015" t="s">
        <v>36</v>
      </c>
      <c r="R1015">
        <v>2</v>
      </c>
      <c r="S1015">
        <v>8</v>
      </c>
      <c r="T1015">
        <v>3</v>
      </c>
      <c r="U1015">
        <v>3</v>
      </c>
      <c r="V1015">
        <v>2</v>
      </c>
      <c r="W1015">
        <v>0</v>
      </c>
      <c r="X1015">
        <v>2</v>
      </c>
      <c r="Y1015">
        <v>14</v>
      </c>
      <c r="Z1015">
        <f>IF(H_A[[#This Row],[Attrition]]="Yes",1,0)</f>
        <v>0</v>
      </c>
      <c r="AA1015" t="str">
        <f>IF(H_A[[#This Row],[Age]]&lt;30,"Young",IF(H_A[[#This Row],[Age]]&lt;45,"Mid","Senior"))</f>
        <v>Mid</v>
      </c>
      <c r="AB1015" t="str">
        <f>IF(H_A[[#This Row],[MonthlyIncome]]&lt;5000,"Low",IF(H_A[[#This Row],[MonthlyIncome]]&lt;10000,"Medium","High"))</f>
        <v>Low</v>
      </c>
      <c r="AC1015" t="str">
        <f>IF(H_A[[#This Row],[YearsAtCompany]]&lt;3,"Early",IF(H_A[[#This Row],[YearsAtCompany]]&lt;7,"Mid","Long"))</f>
        <v>Mid</v>
      </c>
      <c r="AD1015" t="str">
        <f>IF(H_A[[#This Row],[PercentSalaryHike]]&lt;13,"Low",IF(H_A[[#This Row],[PercentSalaryHike]]&lt;18,"Medium","High"))</f>
        <v>Medium</v>
      </c>
    </row>
    <row r="1016" spans="1:30" x14ac:dyDescent="0.3">
      <c r="A1016">
        <v>31</v>
      </c>
      <c r="B1016">
        <v>1430</v>
      </c>
      <c r="C1016" t="s">
        <v>36</v>
      </c>
      <c r="D1016" t="s">
        <v>37</v>
      </c>
      <c r="E1016">
        <v>8</v>
      </c>
      <c r="F1016">
        <v>5</v>
      </c>
      <c r="G1016" t="s">
        <v>32</v>
      </c>
      <c r="H1016">
        <v>1</v>
      </c>
      <c r="I1016" t="s">
        <v>33</v>
      </c>
      <c r="J1016">
        <v>3</v>
      </c>
      <c r="K1016">
        <v>4</v>
      </c>
      <c r="L1016" t="s">
        <v>49</v>
      </c>
      <c r="M1016">
        <v>2</v>
      </c>
      <c r="N1016" t="s">
        <v>35</v>
      </c>
      <c r="O1016">
        <v>16422</v>
      </c>
      <c r="P1016">
        <v>3</v>
      </c>
      <c r="Q1016" t="s">
        <v>36</v>
      </c>
      <c r="R1016">
        <v>3</v>
      </c>
      <c r="S1016">
        <v>9</v>
      </c>
      <c r="T1016">
        <v>4</v>
      </c>
      <c r="U1016">
        <v>3</v>
      </c>
      <c r="V1016">
        <v>2</v>
      </c>
      <c r="W1016">
        <v>1</v>
      </c>
      <c r="X1016">
        <v>0</v>
      </c>
      <c r="Y1016">
        <v>11</v>
      </c>
      <c r="Z1016">
        <f>IF(H_A[[#This Row],[Attrition]]="Yes",1,0)</f>
        <v>0</v>
      </c>
      <c r="AA1016" t="str">
        <f>IF(H_A[[#This Row],[Age]]&lt;30,"Young",IF(H_A[[#This Row],[Age]]&lt;45,"Mid","Senior"))</f>
        <v>Mid</v>
      </c>
      <c r="AB1016" t="str">
        <f>IF(H_A[[#This Row],[MonthlyIncome]]&lt;5000,"Low",IF(H_A[[#This Row],[MonthlyIncome]]&lt;10000,"Medium","High"))</f>
        <v>High</v>
      </c>
      <c r="AC1016" t="str">
        <f>IF(H_A[[#This Row],[YearsAtCompany]]&lt;3,"Early",IF(H_A[[#This Row],[YearsAtCompany]]&lt;7,"Mid","Long"))</f>
        <v>Mid</v>
      </c>
      <c r="AD1016" t="str">
        <f>IF(H_A[[#This Row],[PercentSalaryHike]]&lt;13,"Low",IF(H_A[[#This Row],[PercentSalaryHike]]&lt;18,"Medium","High"))</f>
        <v>Low</v>
      </c>
    </row>
    <row r="1017" spans="1:30" x14ac:dyDescent="0.3">
      <c r="A1017">
        <v>34</v>
      </c>
      <c r="B1017">
        <v>1431</v>
      </c>
      <c r="C1017" t="s">
        <v>36</v>
      </c>
      <c r="D1017" t="s">
        <v>37</v>
      </c>
      <c r="E1017">
        <v>1</v>
      </c>
      <c r="F1017">
        <v>4</v>
      </c>
      <c r="G1017" t="s">
        <v>41</v>
      </c>
      <c r="H1017">
        <v>4</v>
      </c>
      <c r="I1017" t="s">
        <v>38</v>
      </c>
      <c r="J1017">
        <v>3</v>
      </c>
      <c r="K1017">
        <v>1</v>
      </c>
      <c r="L1017" t="s">
        <v>39</v>
      </c>
      <c r="M1017">
        <v>1</v>
      </c>
      <c r="N1017" t="s">
        <v>44</v>
      </c>
      <c r="O1017">
        <v>2996</v>
      </c>
      <c r="P1017">
        <v>5</v>
      </c>
      <c r="Q1017" t="s">
        <v>36</v>
      </c>
      <c r="R1017">
        <v>3</v>
      </c>
      <c r="S1017">
        <v>10</v>
      </c>
      <c r="T1017">
        <v>3</v>
      </c>
      <c r="U1017">
        <v>4</v>
      </c>
      <c r="V1017">
        <v>3</v>
      </c>
      <c r="W1017">
        <v>1</v>
      </c>
      <c r="X1017">
        <v>3</v>
      </c>
      <c r="Y1017">
        <v>14</v>
      </c>
      <c r="Z1017">
        <f>IF(H_A[[#This Row],[Attrition]]="Yes",1,0)</f>
        <v>0</v>
      </c>
      <c r="AA1017" t="str">
        <f>IF(H_A[[#This Row],[Age]]&lt;30,"Young",IF(H_A[[#This Row],[Age]]&lt;45,"Mid","Senior"))</f>
        <v>Mid</v>
      </c>
      <c r="AB1017" t="str">
        <f>IF(H_A[[#This Row],[MonthlyIncome]]&lt;5000,"Low",IF(H_A[[#This Row],[MonthlyIncome]]&lt;10000,"Medium","High"))</f>
        <v>Low</v>
      </c>
      <c r="AC1017" t="str">
        <f>IF(H_A[[#This Row],[YearsAtCompany]]&lt;3,"Early",IF(H_A[[#This Row],[YearsAtCompany]]&lt;7,"Mid","Long"))</f>
        <v>Mid</v>
      </c>
      <c r="AD1017" t="str">
        <f>IF(H_A[[#This Row],[PercentSalaryHike]]&lt;13,"Low",IF(H_A[[#This Row],[PercentSalaryHike]]&lt;18,"Medium","High"))</f>
        <v>Medium</v>
      </c>
    </row>
    <row r="1018" spans="1:30" x14ac:dyDescent="0.3">
      <c r="A1018">
        <v>31</v>
      </c>
      <c r="B1018">
        <v>1433</v>
      </c>
      <c r="C1018" t="s">
        <v>30</v>
      </c>
      <c r="D1018" t="s">
        <v>37</v>
      </c>
      <c r="E1018">
        <v>8</v>
      </c>
      <c r="F1018">
        <v>3</v>
      </c>
      <c r="G1018" t="s">
        <v>32</v>
      </c>
      <c r="H1018">
        <v>1</v>
      </c>
      <c r="I1018" t="s">
        <v>33</v>
      </c>
      <c r="J1018">
        <v>2</v>
      </c>
      <c r="K1018">
        <v>1</v>
      </c>
      <c r="L1018" t="s">
        <v>39</v>
      </c>
      <c r="M1018">
        <v>2</v>
      </c>
      <c r="N1018" t="s">
        <v>35</v>
      </c>
      <c r="O1018">
        <v>1261</v>
      </c>
      <c r="P1018">
        <v>1</v>
      </c>
      <c r="Q1018" t="s">
        <v>36</v>
      </c>
      <c r="R1018">
        <v>3</v>
      </c>
      <c r="S1018">
        <v>1</v>
      </c>
      <c r="T1018">
        <v>4</v>
      </c>
      <c r="U1018">
        <v>1</v>
      </c>
      <c r="V1018">
        <v>0</v>
      </c>
      <c r="W1018">
        <v>0</v>
      </c>
      <c r="X1018">
        <v>0</v>
      </c>
      <c r="Y1018">
        <v>12</v>
      </c>
      <c r="Z1018">
        <f>IF(H_A[[#This Row],[Attrition]]="Yes",1,0)</f>
        <v>1</v>
      </c>
      <c r="AA1018" t="str">
        <f>IF(H_A[[#This Row],[Age]]&lt;30,"Young",IF(H_A[[#This Row],[Age]]&lt;45,"Mid","Senior"))</f>
        <v>Mid</v>
      </c>
      <c r="AB1018" t="str">
        <f>IF(H_A[[#This Row],[MonthlyIncome]]&lt;5000,"Low",IF(H_A[[#This Row],[MonthlyIncome]]&lt;10000,"Medium","High"))</f>
        <v>Low</v>
      </c>
      <c r="AC1018" t="str">
        <f>IF(H_A[[#This Row],[YearsAtCompany]]&lt;3,"Early",IF(H_A[[#This Row],[YearsAtCompany]]&lt;7,"Mid","Long"))</f>
        <v>Early</v>
      </c>
      <c r="AD1018" t="str">
        <f>IF(H_A[[#This Row],[PercentSalaryHike]]&lt;13,"Low",IF(H_A[[#This Row],[PercentSalaryHike]]&lt;18,"Medium","High"))</f>
        <v>Low</v>
      </c>
    </row>
    <row r="1019" spans="1:30" x14ac:dyDescent="0.3">
      <c r="A1019">
        <v>27</v>
      </c>
      <c r="B1019">
        <v>1434</v>
      </c>
      <c r="C1019" t="s">
        <v>36</v>
      </c>
      <c r="D1019" t="s">
        <v>37</v>
      </c>
      <c r="E1019">
        <v>11</v>
      </c>
      <c r="F1019">
        <v>1</v>
      </c>
      <c r="G1019" t="s">
        <v>32</v>
      </c>
      <c r="H1019">
        <v>2</v>
      </c>
      <c r="I1019" t="s">
        <v>38</v>
      </c>
      <c r="J1019">
        <v>3</v>
      </c>
      <c r="K1019">
        <v>1</v>
      </c>
      <c r="L1019" t="s">
        <v>42</v>
      </c>
      <c r="M1019">
        <v>1</v>
      </c>
      <c r="N1019" t="s">
        <v>40</v>
      </c>
      <c r="O1019">
        <v>2099</v>
      </c>
      <c r="P1019">
        <v>0</v>
      </c>
      <c r="Q1019" t="s">
        <v>36</v>
      </c>
      <c r="R1019">
        <v>2</v>
      </c>
      <c r="S1019">
        <v>6</v>
      </c>
      <c r="T1019">
        <v>4</v>
      </c>
      <c r="U1019">
        <v>5</v>
      </c>
      <c r="V1019">
        <v>0</v>
      </c>
      <c r="W1019">
        <v>1</v>
      </c>
      <c r="X1019">
        <v>4</v>
      </c>
      <c r="Y1019">
        <v>14</v>
      </c>
      <c r="Z1019">
        <f>IF(H_A[[#This Row],[Attrition]]="Yes",1,0)</f>
        <v>0</v>
      </c>
      <c r="AA1019" t="str">
        <f>IF(H_A[[#This Row],[Age]]&lt;30,"Young",IF(H_A[[#This Row],[Age]]&lt;45,"Mid","Senior"))</f>
        <v>Young</v>
      </c>
      <c r="AB1019" t="str">
        <f>IF(H_A[[#This Row],[MonthlyIncome]]&lt;5000,"Low",IF(H_A[[#This Row],[MonthlyIncome]]&lt;10000,"Medium","High"))</f>
        <v>Low</v>
      </c>
      <c r="AC1019" t="str">
        <f>IF(H_A[[#This Row],[YearsAtCompany]]&lt;3,"Early",IF(H_A[[#This Row],[YearsAtCompany]]&lt;7,"Mid","Long"))</f>
        <v>Mid</v>
      </c>
      <c r="AD1019" t="str">
        <f>IF(H_A[[#This Row],[PercentSalaryHike]]&lt;13,"Low",IF(H_A[[#This Row],[PercentSalaryHike]]&lt;18,"Medium","High"))</f>
        <v>Medium</v>
      </c>
    </row>
    <row r="1020" spans="1:30" x14ac:dyDescent="0.3">
      <c r="A1020">
        <v>36</v>
      </c>
      <c r="B1020">
        <v>1435</v>
      </c>
      <c r="C1020" t="s">
        <v>36</v>
      </c>
      <c r="D1020" t="s">
        <v>37</v>
      </c>
      <c r="E1020">
        <v>4</v>
      </c>
      <c r="F1020">
        <v>4</v>
      </c>
      <c r="G1020" t="s">
        <v>32</v>
      </c>
      <c r="H1020">
        <v>1</v>
      </c>
      <c r="I1020" t="s">
        <v>38</v>
      </c>
      <c r="J1020">
        <v>2</v>
      </c>
      <c r="K1020">
        <v>2</v>
      </c>
      <c r="L1020" t="s">
        <v>42</v>
      </c>
      <c r="M1020">
        <v>4</v>
      </c>
      <c r="N1020" t="s">
        <v>35</v>
      </c>
      <c r="O1020">
        <v>5810</v>
      </c>
      <c r="P1020">
        <v>1</v>
      </c>
      <c r="Q1020" t="s">
        <v>36</v>
      </c>
      <c r="R1020">
        <v>3</v>
      </c>
      <c r="S1020">
        <v>10</v>
      </c>
      <c r="T1020">
        <v>2</v>
      </c>
      <c r="U1020">
        <v>10</v>
      </c>
      <c r="V1020">
        <v>4</v>
      </c>
      <c r="W1020">
        <v>1</v>
      </c>
      <c r="X1020">
        <v>8</v>
      </c>
      <c r="Y1020">
        <v>16</v>
      </c>
      <c r="Z1020">
        <f>IF(H_A[[#This Row],[Attrition]]="Yes",1,0)</f>
        <v>0</v>
      </c>
      <c r="AA1020" t="str">
        <f>IF(H_A[[#This Row],[Age]]&lt;30,"Young",IF(H_A[[#This Row],[Age]]&lt;45,"Mid","Senior"))</f>
        <v>Mid</v>
      </c>
      <c r="AB1020" t="str">
        <f>IF(H_A[[#This Row],[MonthlyIncome]]&lt;5000,"Low",IF(H_A[[#This Row],[MonthlyIncome]]&lt;10000,"Medium","High"))</f>
        <v>Medium</v>
      </c>
      <c r="AC1020" t="str">
        <f>IF(H_A[[#This Row],[YearsAtCompany]]&lt;3,"Early",IF(H_A[[#This Row],[YearsAtCompany]]&lt;7,"Mid","Long"))</f>
        <v>Long</v>
      </c>
      <c r="AD1020" t="str">
        <f>IF(H_A[[#This Row],[PercentSalaryHike]]&lt;13,"Low",IF(H_A[[#This Row],[PercentSalaryHike]]&lt;18,"Medium","High"))</f>
        <v>Medium</v>
      </c>
    </row>
    <row r="1021" spans="1:30" x14ac:dyDescent="0.3">
      <c r="A1021">
        <v>36</v>
      </c>
      <c r="B1021">
        <v>1436</v>
      </c>
      <c r="C1021" t="s">
        <v>36</v>
      </c>
      <c r="D1021" t="s">
        <v>31</v>
      </c>
      <c r="E1021">
        <v>16</v>
      </c>
      <c r="F1021">
        <v>4</v>
      </c>
      <c r="G1021" t="s">
        <v>50</v>
      </c>
      <c r="H1021">
        <v>3</v>
      </c>
      <c r="I1021" t="s">
        <v>33</v>
      </c>
      <c r="J1021">
        <v>2</v>
      </c>
      <c r="K1021">
        <v>2</v>
      </c>
      <c r="L1021" t="s">
        <v>34</v>
      </c>
      <c r="M1021">
        <v>1</v>
      </c>
      <c r="N1021" t="s">
        <v>40</v>
      </c>
      <c r="O1021">
        <v>5647</v>
      </c>
      <c r="P1021">
        <v>4</v>
      </c>
      <c r="Q1021" t="s">
        <v>36</v>
      </c>
      <c r="R1021">
        <v>1</v>
      </c>
      <c r="S1021">
        <v>11</v>
      </c>
      <c r="T1021">
        <v>2</v>
      </c>
      <c r="U1021">
        <v>3</v>
      </c>
      <c r="V1021">
        <v>2</v>
      </c>
      <c r="W1021">
        <v>0</v>
      </c>
      <c r="X1021">
        <v>2</v>
      </c>
      <c r="Y1021">
        <v>13</v>
      </c>
      <c r="Z1021">
        <f>IF(H_A[[#This Row],[Attrition]]="Yes",1,0)</f>
        <v>0</v>
      </c>
      <c r="AA1021" t="str">
        <f>IF(H_A[[#This Row],[Age]]&lt;30,"Young",IF(H_A[[#This Row],[Age]]&lt;45,"Mid","Senior"))</f>
        <v>Mid</v>
      </c>
      <c r="AB1021" t="str">
        <f>IF(H_A[[#This Row],[MonthlyIncome]]&lt;5000,"Low",IF(H_A[[#This Row],[MonthlyIncome]]&lt;10000,"Medium","High"))</f>
        <v>Medium</v>
      </c>
      <c r="AC1021" t="str">
        <f>IF(H_A[[#This Row],[YearsAtCompany]]&lt;3,"Early",IF(H_A[[#This Row],[YearsAtCompany]]&lt;7,"Mid","Long"))</f>
        <v>Mid</v>
      </c>
      <c r="AD1021" t="str">
        <f>IF(H_A[[#This Row],[PercentSalaryHike]]&lt;13,"Low",IF(H_A[[#This Row],[PercentSalaryHike]]&lt;18,"Medium","High"))</f>
        <v>Medium</v>
      </c>
    </row>
    <row r="1022" spans="1:30" x14ac:dyDescent="0.3">
      <c r="A1022">
        <v>47</v>
      </c>
      <c r="B1022">
        <v>1438</v>
      </c>
      <c r="C1022" t="s">
        <v>36</v>
      </c>
      <c r="D1022" t="s">
        <v>37</v>
      </c>
      <c r="E1022">
        <v>1</v>
      </c>
      <c r="F1022">
        <v>3</v>
      </c>
      <c r="G1022" t="s">
        <v>51</v>
      </c>
      <c r="H1022">
        <v>1</v>
      </c>
      <c r="I1022" t="s">
        <v>38</v>
      </c>
      <c r="J1022">
        <v>3</v>
      </c>
      <c r="K1022">
        <v>1</v>
      </c>
      <c r="L1022" t="s">
        <v>39</v>
      </c>
      <c r="M1022">
        <v>4</v>
      </c>
      <c r="N1022" t="s">
        <v>40</v>
      </c>
      <c r="O1022">
        <v>3420</v>
      </c>
      <c r="P1022">
        <v>7</v>
      </c>
      <c r="Q1022" t="s">
        <v>36</v>
      </c>
      <c r="R1022">
        <v>3</v>
      </c>
      <c r="S1022">
        <v>17</v>
      </c>
      <c r="T1022">
        <v>2</v>
      </c>
      <c r="U1022">
        <v>6</v>
      </c>
      <c r="V1022">
        <v>5</v>
      </c>
      <c r="W1022">
        <v>1</v>
      </c>
      <c r="X1022">
        <v>2</v>
      </c>
      <c r="Y1022">
        <v>12</v>
      </c>
      <c r="Z1022">
        <f>IF(H_A[[#This Row],[Attrition]]="Yes",1,0)</f>
        <v>0</v>
      </c>
      <c r="AA1022" t="str">
        <f>IF(H_A[[#This Row],[Age]]&lt;30,"Young",IF(H_A[[#This Row],[Age]]&lt;45,"Mid","Senior"))</f>
        <v>Senior</v>
      </c>
      <c r="AB1022" t="str">
        <f>IF(H_A[[#This Row],[MonthlyIncome]]&lt;5000,"Low",IF(H_A[[#This Row],[MonthlyIncome]]&lt;10000,"Medium","High"))</f>
        <v>Low</v>
      </c>
      <c r="AC1022" t="str">
        <f>IF(H_A[[#This Row],[YearsAtCompany]]&lt;3,"Early",IF(H_A[[#This Row],[YearsAtCompany]]&lt;7,"Mid","Long"))</f>
        <v>Mid</v>
      </c>
      <c r="AD1022" t="str">
        <f>IF(H_A[[#This Row],[PercentSalaryHike]]&lt;13,"Low",IF(H_A[[#This Row],[PercentSalaryHike]]&lt;18,"Medium","High"))</f>
        <v>Low</v>
      </c>
    </row>
    <row r="1023" spans="1:30" x14ac:dyDescent="0.3">
      <c r="A1023">
        <v>25</v>
      </c>
      <c r="B1023">
        <v>1439</v>
      </c>
      <c r="C1023" t="s">
        <v>30</v>
      </c>
      <c r="D1023" t="s">
        <v>31</v>
      </c>
      <c r="E1023">
        <v>9</v>
      </c>
      <c r="F1023">
        <v>2</v>
      </c>
      <c r="G1023" t="s">
        <v>32</v>
      </c>
      <c r="H1023">
        <v>1</v>
      </c>
      <c r="I1023" t="s">
        <v>38</v>
      </c>
      <c r="J1023">
        <v>2</v>
      </c>
      <c r="K1023">
        <v>1</v>
      </c>
      <c r="L1023" t="s">
        <v>48</v>
      </c>
      <c r="M1023">
        <v>1</v>
      </c>
      <c r="N1023" t="s">
        <v>40</v>
      </c>
      <c r="O1023">
        <v>4400</v>
      </c>
      <c r="P1023">
        <v>3</v>
      </c>
      <c r="Q1023" t="s">
        <v>36</v>
      </c>
      <c r="R1023">
        <v>1</v>
      </c>
      <c r="S1023">
        <v>6</v>
      </c>
      <c r="T1023">
        <v>3</v>
      </c>
      <c r="U1023">
        <v>3</v>
      </c>
      <c r="V1023">
        <v>2</v>
      </c>
      <c r="W1023">
        <v>2</v>
      </c>
      <c r="X1023">
        <v>2</v>
      </c>
      <c r="Y1023">
        <v>12</v>
      </c>
      <c r="Z1023">
        <f>IF(H_A[[#This Row],[Attrition]]="Yes",1,0)</f>
        <v>1</v>
      </c>
      <c r="AA1023" t="str">
        <f>IF(H_A[[#This Row],[Age]]&lt;30,"Young",IF(H_A[[#This Row],[Age]]&lt;45,"Mid","Senior"))</f>
        <v>Young</v>
      </c>
      <c r="AB1023" t="str">
        <f>IF(H_A[[#This Row],[MonthlyIncome]]&lt;5000,"Low",IF(H_A[[#This Row],[MonthlyIncome]]&lt;10000,"Medium","High"))</f>
        <v>Low</v>
      </c>
      <c r="AC1023" t="str">
        <f>IF(H_A[[#This Row],[YearsAtCompany]]&lt;3,"Early",IF(H_A[[#This Row],[YearsAtCompany]]&lt;7,"Mid","Long"))</f>
        <v>Mid</v>
      </c>
      <c r="AD1023" t="str">
        <f>IF(H_A[[#This Row],[PercentSalaryHike]]&lt;13,"Low",IF(H_A[[#This Row],[PercentSalaryHike]]&lt;18,"Medium","High"))</f>
        <v>Low</v>
      </c>
    </row>
    <row r="1024" spans="1:30" x14ac:dyDescent="0.3">
      <c r="A1024">
        <v>37</v>
      </c>
      <c r="B1024">
        <v>1440</v>
      </c>
      <c r="C1024" t="s">
        <v>36</v>
      </c>
      <c r="D1024" t="s">
        <v>37</v>
      </c>
      <c r="E1024">
        <v>5</v>
      </c>
      <c r="F1024">
        <v>2</v>
      </c>
      <c r="G1024" t="s">
        <v>51</v>
      </c>
      <c r="H1024">
        <v>3</v>
      </c>
      <c r="I1024" t="s">
        <v>38</v>
      </c>
      <c r="J1024">
        <v>4</v>
      </c>
      <c r="K1024">
        <v>1</v>
      </c>
      <c r="L1024" t="s">
        <v>42</v>
      </c>
      <c r="M1024">
        <v>3</v>
      </c>
      <c r="N1024" t="s">
        <v>35</v>
      </c>
      <c r="O1024">
        <v>3500</v>
      </c>
      <c r="P1024">
        <v>0</v>
      </c>
      <c r="Q1024" t="s">
        <v>36</v>
      </c>
      <c r="R1024">
        <v>1</v>
      </c>
      <c r="S1024">
        <v>7</v>
      </c>
      <c r="T1024">
        <v>1</v>
      </c>
      <c r="U1024">
        <v>6</v>
      </c>
      <c r="V1024">
        <v>5</v>
      </c>
      <c r="W1024">
        <v>1</v>
      </c>
      <c r="X1024">
        <v>3</v>
      </c>
      <c r="Y1024">
        <v>14</v>
      </c>
      <c r="Z1024">
        <f>IF(H_A[[#This Row],[Attrition]]="Yes",1,0)</f>
        <v>0</v>
      </c>
      <c r="AA1024" t="str">
        <f>IF(H_A[[#This Row],[Age]]&lt;30,"Young",IF(H_A[[#This Row],[Age]]&lt;45,"Mid","Senior"))</f>
        <v>Mid</v>
      </c>
      <c r="AB1024" t="str">
        <f>IF(H_A[[#This Row],[MonthlyIncome]]&lt;5000,"Low",IF(H_A[[#This Row],[MonthlyIncome]]&lt;10000,"Medium","High"))</f>
        <v>Low</v>
      </c>
      <c r="AC1024" t="str">
        <f>IF(H_A[[#This Row],[YearsAtCompany]]&lt;3,"Early",IF(H_A[[#This Row],[YearsAtCompany]]&lt;7,"Mid","Long"))</f>
        <v>Mid</v>
      </c>
      <c r="AD1024" t="str">
        <f>IF(H_A[[#This Row],[PercentSalaryHike]]&lt;13,"Low",IF(H_A[[#This Row],[PercentSalaryHike]]&lt;18,"Medium","High"))</f>
        <v>Medium</v>
      </c>
    </row>
    <row r="1025" spans="1:30" x14ac:dyDescent="0.3">
      <c r="A1025">
        <v>56</v>
      </c>
      <c r="B1025">
        <v>1441</v>
      </c>
      <c r="C1025" t="s">
        <v>36</v>
      </c>
      <c r="D1025" t="s">
        <v>37</v>
      </c>
      <c r="E1025">
        <v>1</v>
      </c>
      <c r="F1025">
        <v>2</v>
      </c>
      <c r="G1025" t="s">
        <v>32</v>
      </c>
      <c r="H1025">
        <v>1</v>
      </c>
      <c r="I1025" t="s">
        <v>33</v>
      </c>
      <c r="J1025">
        <v>3</v>
      </c>
      <c r="K1025">
        <v>1</v>
      </c>
      <c r="L1025" t="s">
        <v>39</v>
      </c>
      <c r="M1025">
        <v>1</v>
      </c>
      <c r="N1025" t="s">
        <v>40</v>
      </c>
      <c r="O1025">
        <v>2066</v>
      </c>
      <c r="P1025">
        <v>2</v>
      </c>
      <c r="Q1025" t="s">
        <v>36</v>
      </c>
      <c r="R1025">
        <v>4</v>
      </c>
      <c r="S1025">
        <v>5</v>
      </c>
      <c r="T1025">
        <v>4</v>
      </c>
      <c r="U1025">
        <v>3</v>
      </c>
      <c r="V1025">
        <v>2</v>
      </c>
      <c r="W1025">
        <v>1</v>
      </c>
      <c r="X1025">
        <v>0</v>
      </c>
      <c r="Y1025">
        <v>22</v>
      </c>
      <c r="Z1025">
        <f>IF(H_A[[#This Row],[Attrition]]="Yes",1,0)</f>
        <v>0</v>
      </c>
      <c r="AA1025" t="str">
        <f>IF(H_A[[#This Row],[Age]]&lt;30,"Young",IF(H_A[[#This Row],[Age]]&lt;45,"Mid","Senior"))</f>
        <v>Senior</v>
      </c>
      <c r="AB1025" t="str">
        <f>IF(H_A[[#This Row],[MonthlyIncome]]&lt;5000,"Low",IF(H_A[[#This Row],[MonthlyIncome]]&lt;10000,"Medium","High"))</f>
        <v>Low</v>
      </c>
      <c r="AC1025" t="str">
        <f>IF(H_A[[#This Row],[YearsAtCompany]]&lt;3,"Early",IF(H_A[[#This Row],[YearsAtCompany]]&lt;7,"Mid","Long"))</f>
        <v>Mid</v>
      </c>
      <c r="AD1025" t="str">
        <f>IF(H_A[[#This Row],[PercentSalaryHike]]&lt;13,"Low",IF(H_A[[#This Row],[PercentSalaryHike]]&lt;18,"Medium","High"))</f>
        <v>High</v>
      </c>
    </row>
    <row r="1026" spans="1:30" x14ac:dyDescent="0.3">
      <c r="A1026">
        <v>47</v>
      </c>
      <c r="B1026">
        <v>1443</v>
      </c>
      <c r="C1026" t="s">
        <v>36</v>
      </c>
      <c r="D1026" t="s">
        <v>37</v>
      </c>
      <c r="E1026">
        <v>2</v>
      </c>
      <c r="F1026">
        <v>4</v>
      </c>
      <c r="G1026" t="s">
        <v>43</v>
      </c>
      <c r="H1026">
        <v>1</v>
      </c>
      <c r="I1026" t="s">
        <v>33</v>
      </c>
      <c r="J1026">
        <v>3</v>
      </c>
      <c r="K1026">
        <v>4</v>
      </c>
      <c r="L1026" t="s">
        <v>49</v>
      </c>
      <c r="M1026">
        <v>3</v>
      </c>
      <c r="N1026" t="s">
        <v>40</v>
      </c>
      <c r="O1026">
        <v>17169</v>
      </c>
      <c r="P1026">
        <v>3</v>
      </c>
      <c r="Q1026" t="s">
        <v>36</v>
      </c>
      <c r="R1026">
        <v>2</v>
      </c>
      <c r="S1026">
        <v>26</v>
      </c>
      <c r="T1026">
        <v>4</v>
      </c>
      <c r="U1026">
        <v>20</v>
      </c>
      <c r="V1026">
        <v>17</v>
      </c>
      <c r="W1026">
        <v>5</v>
      </c>
      <c r="X1026">
        <v>6</v>
      </c>
      <c r="Y1026">
        <v>19</v>
      </c>
      <c r="Z1026">
        <f>IF(H_A[[#This Row],[Attrition]]="Yes",1,0)</f>
        <v>0</v>
      </c>
      <c r="AA1026" t="str">
        <f>IF(H_A[[#This Row],[Age]]&lt;30,"Young",IF(H_A[[#This Row],[Age]]&lt;45,"Mid","Senior"))</f>
        <v>Senior</v>
      </c>
      <c r="AB1026" t="str">
        <f>IF(H_A[[#This Row],[MonthlyIncome]]&lt;5000,"Low",IF(H_A[[#This Row],[MonthlyIncome]]&lt;10000,"Medium","High"))</f>
        <v>High</v>
      </c>
      <c r="AC1026" t="str">
        <f>IF(H_A[[#This Row],[YearsAtCompany]]&lt;3,"Early",IF(H_A[[#This Row],[YearsAtCompany]]&lt;7,"Mid","Long"))</f>
        <v>Long</v>
      </c>
      <c r="AD1026" t="str">
        <f>IF(H_A[[#This Row],[PercentSalaryHike]]&lt;13,"Low",IF(H_A[[#This Row],[PercentSalaryHike]]&lt;18,"Medium","High"))</f>
        <v>High</v>
      </c>
    </row>
    <row r="1027" spans="1:30" x14ac:dyDescent="0.3">
      <c r="A1027">
        <v>24</v>
      </c>
      <c r="B1027">
        <v>1445</v>
      </c>
      <c r="C1027" t="s">
        <v>36</v>
      </c>
      <c r="D1027" t="s">
        <v>31</v>
      </c>
      <c r="E1027">
        <v>4</v>
      </c>
      <c r="F1027">
        <v>1</v>
      </c>
      <c r="G1027" t="s">
        <v>43</v>
      </c>
      <c r="H1027">
        <v>4</v>
      </c>
      <c r="I1027" t="s">
        <v>33</v>
      </c>
      <c r="J1027">
        <v>3</v>
      </c>
      <c r="K1027">
        <v>2</v>
      </c>
      <c r="L1027" t="s">
        <v>34</v>
      </c>
      <c r="M1027">
        <v>3</v>
      </c>
      <c r="N1027" t="s">
        <v>40</v>
      </c>
      <c r="O1027">
        <v>4162</v>
      </c>
      <c r="P1027">
        <v>1</v>
      </c>
      <c r="Q1027" t="s">
        <v>30</v>
      </c>
      <c r="R1027">
        <v>3</v>
      </c>
      <c r="S1027">
        <v>5</v>
      </c>
      <c r="T1027">
        <v>3</v>
      </c>
      <c r="U1027">
        <v>5</v>
      </c>
      <c r="V1027">
        <v>4</v>
      </c>
      <c r="W1027">
        <v>0</v>
      </c>
      <c r="X1027">
        <v>3</v>
      </c>
      <c r="Y1027">
        <v>12</v>
      </c>
      <c r="Z1027">
        <f>IF(H_A[[#This Row],[Attrition]]="Yes",1,0)</f>
        <v>0</v>
      </c>
      <c r="AA1027" t="str">
        <f>IF(H_A[[#This Row],[Age]]&lt;30,"Young",IF(H_A[[#This Row],[Age]]&lt;45,"Mid","Senior"))</f>
        <v>Young</v>
      </c>
      <c r="AB1027" t="str">
        <f>IF(H_A[[#This Row],[MonthlyIncome]]&lt;5000,"Low",IF(H_A[[#This Row],[MonthlyIncome]]&lt;10000,"Medium","High"))</f>
        <v>Low</v>
      </c>
      <c r="AC1027" t="str">
        <f>IF(H_A[[#This Row],[YearsAtCompany]]&lt;3,"Early",IF(H_A[[#This Row],[YearsAtCompany]]&lt;7,"Mid","Long"))</f>
        <v>Mid</v>
      </c>
      <c r="AD1027" t="str">
        <f>IF(H_A[[#This Row],[PercentSalaryHike]]&lt;13,"Low",IF(H_A[[#This Row],[PercentSalaryHike]]&lt;18,"Medium","High"))</f>
        <v>Low</v>
      </c>
    </row>
    <row r="1028" spans="1:30" x14ac:dyDescent="0.3">
      <c r="A1028">
        <v>32</v>
      </c>
      <c r="B1028">
        <v>1446</v>
      </c>
      <c r="C1028" t="s">
        <v>36</v>
      </c>
      <c r="D1028" t="s">
        <v>31</v>
      </c>
      <c r="E1028">
        <v>7</v>
      </c>
      <c r="F1028">
        <v>5</v>
      </c>
      <c r="G1028" t="s">
        <v>50</v>
      </c>
      <c r="H1028">
        <v>4</v>
      </c>
      <c r="I1028" t="s">
        <v>38</v>
      </c>
      <c r="J1028">
        <v>3</v>
      </c>
      <c r="K1028">
        <v>2</v>
      </c>
      <c r="L1028" t="s">
        <v>34</v>
      </c>
      <c r="M1028">
        <v>4</v>
      </c>
      <c r="N1028" t="s">
        <v>40</v>
      </c>
      <c r="O1028">
        <v>9204</v>
      </c>
      <c r="P1028">
        <v>4</v>
      </c>
      <c r="Q1028" t="s">
        <v>36</v>
      </c>
      <c r="R1028">
        <v>3</v>
      </c>
      <c r="S1028">
        <v>7</v>
      </c>
      <c r="T1028">
        <v>2</v>
      </c>
      <c r="U1028">
        <v>4</v>
      </c>
      <c r="V1028">
        <v>3</v>
      </c>
      <c r="W1028">
        <v>0</v>
      </c>
      <c r="X1028">
        <v>3</v>
      </c>
      <c r="Y1028">
        <v>12</v>
      </c>
      <c r="Z1028">
        <f>IF(H_A[[#This Row],[Attrition]]="Yes",1,0)</f>
        <v>0</v>
      </c>
      <c r="AA1028" t="str">
        <f>IF(H_A[[#This Row],[Age]]&lt;30,"Young",IF(H_A[[#This Row],[Age]]&lt;45,"Mid","Senior"))</f>
        <v>Mid</v>
      </c>
      <c r="AB1028" t="str">
        <f>IF(H_A[[#This Row],[MonthlyIncome]]&lt;5000,"Low",IF(H_A[[#This Row],[MonthlyIncome]]&lt;10000,"Medium","High"))</f>
        <v>Medium</v>
      </c>
      <c r="AC1028" t="str">
        <f>IF(H_A[[#This Row],[YearsAtCompany]]&lt;3,"Early",IF(H_A[[#This Row],[YearsAtCompany]]&lt;7,"Mid","Long"))</f>
        <v>Mid</v>
      </c>
      <c r="AD1028" t="str">
        <f>IF(H_A[[#This Row],[PercentSalaryHike]]&lt;13,"Low",IF(H_A[[#This Row],[PercentSalaryHike]]&lt;18,"Medium","High"))</f>
        <v>Low</v>
      </c>
    </row>
    <row r="1029" spans="1:30" x14ac:dyDescent="0.3">
      <c r="A1029">
        <v>34</v>
      </c>
      <c r="B1029">
        <v>1447</v>
      </c>
      <c r="C1029" t="s">
        <v>36</v>
      </c>
      <c r="D1029" t="s">
        <v>37</v>
      </c>
      <c r="E1029">
        <v>1</v>
      </c>
      <c r="F1029">
        <v>3</v>
      </c>
      <c r="G1029" t="s">
        <v>32</v>
      </c>
      <c r="H1029">
        <v>4</v>
      </c>
      <c r="I1029" t="s">
        <v>33</v>
      </c>
      <c r="J1029">
        <v>2</v>
      </c>
      <c r="K1029">
        <v>1</v>
      </c>
      <c r="L1029" t="s">
        <v>42</v>
      </c>
      <c r="M1029">
        <v>2</v>
      </c>
      <c r="N1029" t="s">
        <v>40</v>
      </c>
      <c r="O1029">
        <v>3294</v>
      </c>
      <c r="P1029">
        <v>5</v>
      </c>
      <c r="Q1029" t="s">
        <v>36</v>
      </c>
      <c r="R1029">
        <v>1</v>
      </c>
      <c r="S1029">
        <v>7</v>
      </c>
      <c r="T1029">
        <v>2</v>
      </c>
      <c r="U1029">
        <v>5</v>
      </c>
      <c r="V1029">
        <v>4</v>
      </c>
      <c r="W1029">
        <v>0</v>
      </c>
      <c r="X1029">
        <v>2</v>
      </c>
      <c r="Y1029">
        <v>17</v>
      </c>
      <c r="Z1029">
        <f>IF(H_A[[#This Row],[Attrition]]="Yes",1,0)</f>
        <v>0</v>
      </c>
      <c r="AA1029" t="str">
        <f>IF(H_A[[#This Row],[Age]]&lt;30,"Young",IF(H_A[[#This Row],[Age]]&lt;45,"Mid","Senior"))</f>
        <v>Mid</v>
      </c>
      <c r="AB1029" t="str">
        <f>IF(H_A[[#This Row],[MonthlyIncome]]&lt;5000,"Low",IF(H_A[[#This Row],[MonthlyIncome]]&lt;10000,"Medium","High"))</f>
        <v>Low</v>
      </c>
      <c r="AC1029" t="str">
        <f>IF(H_A[[#This Row],[YearsAtCompany]]&lt;3,"Early",IF(H_A[[#This Row],[YearsAtCompany]]&lt;7,"Mid","Long"))</f>
        <v>Mid</v>
      </c>
      <c r="AD1029" t="str">
        <f>IF(H_A[[#This Row],[PercentSalaryHike]]&lt;13,"Low",IF(H_A[[#This Row],[PercentSalaryHike]]&lt;18,"Medium","High"))</f>
        <v>Medium</v>
      </c>
    </row>
    <row r="1030" spans="1:30" x14ac:dyDescent="0.3">
      <c r="A1030">
        <v>41</v>
      </c>
      <c r="B1030">
        <v>1448</v>
      </c>
      <c r="C1030" t="s">
        <v>36</v>
      </c>
      <c r="D1030" t="s">
        <v>37</v>
      </c>
      <c r="E1030">
        <v>5</v>
      </c>
      <c r="F1030">
        <v>5</v>
      </c>
      <c r="G1030" t="s">
        <v>43</v>
      </c>
      <c r="H1030">
        <v>2</v>
      </c>
      <c r="I1030" t="s">
        <v>38</v>
      </c>
      <c r="J1030">
        <v>4</v>
      </c>
      <c r="K1030">
        <v>1</v>
      </c>
      <c r="L1030" t="s">
        <v>39</v>
      </c>
      <c r="M1030">
        <v>3</v>
      </c>
      <c r="N1030" t="s">
        <v>40</v>
      </c>
      <c r="O1030">
        <v>2127</v>
      </c>
      <c r="P1030">
        <v>2</v>
      </c>
      <c r="Q1030" t="s">
        <v>30</v>
      </c>
      <c r="R1030">
        <v>1</v>
      </c>
      <c r="S1030">
        <v>7</v>
      </c>
      <c r="T1030">
        <v>2</v>
      </c>
      <c r="U1030">
        <v>4</v>
      </c>
      <c r="V1030">
        <v>2</v>
      </c>
      <c r="W1030">
        <v>0</v>
      </c>
      <c r="X1030">
        <v>3</v>
      </c>
      <c r="Y1030">
        <v>12</v>
      </c>
      <c r="Z1030">
        <f>IF(H_A[[#This Row],[Attrition]]="Yes",1,0)</f>
        <v>0</v>
      </c>
      <c r="AA1030" t="str">
        <f>IF(H_A[[#This Row],[Age]]&lt;30,"Young",IF(H_A[[#This Row],[Age]]&lt;45,"Mid","Senior"))</f>
        <v>Mid</v>
      </c>
      <c r="AB1030" t="str">
        <f>IF(H_A[[#This Row],[MonthlyIncome]]&lt;5000,"Low",IF(H_A[[#This Row],[MonthlyIncome]]&lt;10000,"Medium","High"))</f>
        <v>Low</v>
      </c>
      <c r="AC1030" t="str">
        <f>IF(H_A[[#This Row],[YearsAtCompany]]&lt;3,"Early",IF(H_A[[#This Row],[YearsAtCompany]]&lt;7,"Mid","Long"))</f>
        <v>Mid</v>
      </c>
      <c r="AD1030" t="str">
        <f>IF(H_A[[#This Row],[PercentSalaryHike]]&lt;13,"Low",IF(H_A[[#This Row],[PercentSalaryHike]]&lt;18,"Medium","High"))</f>
        <v>Low</v>
      </c>
    </row>
    <row r="1031" spans="1:30" x14ac:dyDescent="0.3">
      <c r="A1031">
        <v>40</v>
      </c>
      <c r="B1031">
        <v>1449</v>
      </c>
      <c r="C1031" t="s">
        <v>36</v>
      </c>
      <c r="D1031" t="s">
        <v>37</v>
      </c>
      <c r="E1031">
        <v>9</v>
      </c>
      <c r="F1031">
        <v>4</v>
      </c>
      <c r="G1031" t="s">
        <v>41</v>
      </c>
      <c r="H1031">
        <v>3</v>
      </c>
      <c r="I1031" t="s">
        <v>38</v>
      </c>
      <c r="J1031">
        <v>3</v>
      </c>
      <c r="K1031">
        <v>2</v>
      </c>
      <c r="L1031" t="s">
        <v>42</v>
      </c>
      <c r="M1031">
        <v>3</v>
      </c>
      <c r="N1031" t="s">
        <v>44</v>
      </c>
      <c r="O1031">
        <v>3975</v>
      </c>
      <c r="P1031">
        <v>3</v>
      </c>
      <c r="Q1031" t="s">
        <v>36</v>
      </c>
      <c r="R1031">
        <v>3</v>
      </c>
      <c r="S1031">
        <v>11</v>
      </c>
      <c r="T1031">
        <v>4</v>
      </c>
      <c r="U1031">
        <v>8</v>
      </c>
      <c r="V1031">
        <v>7</v>
      </c>
      <c r="W1031">
        <v>0</v>
      </c>
      <c r="X1031">
        <v>7</v>
      </c>
      <c r="Y1031">
        <v>11</v>
      </c>
      <c r="Z1031">
        <f>IF(H_A[[#This Row],[Attrition]]="Yes",1,0)</f>
        <v>0</v>
      </c>
      <c r="AA1031" t="str">
        <f>IF(H_A[[#This Row],[Age]]&lt;30,"Young",IF(H_A[[#This Row],[Age]]&lt;45,"Mid","Senior"))</f>
        <v>Mid</v>
      </c>
      <c r="AB1031" t="str">
        <f>IF(H_A[[#This Row],[MonthlyIncome]]&lt;5000,"Low",IF(H_A[[#This Row],[MonthlyIncome]]&lt;10000,"Medium","High"))</f>
        <v>Low</v>
      </c>
      <c r="AC1031" t="str">
        <f>IF(H_A[[#This Row],[YearsAtCompany]]&lt;3,"Early",IF(H_A[[#This Row],[YearsAtCompany]]&lt;7,"Mid","Long"))</f>
        <v>Long</v>
      </c>
      <c r="AD1031" t="str">
        <f>IF(H_A[[#This Row],[PercentSalaryHike]]&lt;13,"Low",IF(H_A[[#This Row],[PercentSalaryHike]]&lt;18,"Medium","High"))</f>
        <v>Low</v>
      </c>
    </row>
    <row r="1032" spans="1:30" x14ac:dyDescent="0.3">
      <c r="A1032">
        <v>31</v>
      </c>
      <c r="B1032">
        <v>1453</v>
      </c>
      <c r="C1032" t="s">
        <v>36</v>
      </c>
      <c r="D1032" t="s">
        <v>31</v>
      </c>
      <c r="E1032">
        <v>8</v>
      </c>
      <c r="F1032">
        <v>2</v>
      </c>
      <c r="G1032" t="s">
        <v>32</v>
      </c>
      <c r="H1032">
        <v>1</v>
      </c>
      <c r="I1032" t="s">
        <v>38</v>
      </c>
      <c r="J1032">
        <v>3</v>
      </c>
      <c r="K1032">
        <v>3</v>
      </c>
      <c r="L1032" t="s">
        <v>34</v>
      </c>
      <c r="M1032">
        <v>4</v>
      </c>
      <c r="N1032" t="s">
        <v>44</v>
      </c>
      <c r="O1032">
        <v>10793</v>
      </c>
      <c r="P1032">
        <v>1</v>
      </c>
      <c r="Q1032" t="s">
        <v>36</v>
      </c>
      <c r="R1032">
        <v>1</v>
      </c>
      <c r="S1032">
        <v>13</v>
      </c>
      <c r="T1032">
        <v>3</v>
      </c>
      <c r="U1032">
        <v>13</v>
      </c>
      <c r="V1032">
        <v>7</v>
      </c>
      <c r="W1032">
        <v>9</v>
      </c>
      <c r="X1032">
        <v>9</v>
      </c>
      <c r="Y1032">
        <v>18</v>
      </c>
      <c r="Z1032">
        <f>IF(H_A[[#This Row],[Attrition]]="Yes",1,0)</f>
        <v>0</v>
      </c>
      <c r="AA1032" t="str">
        <f>IF(H_A[[#This Row],[Age]]&lt;30,"Young",IF(H_A[[#This Row],[Age]]&lt;45,"Mid","Senior"))</f>
        <v>Mid</v>
      </c>
      <c r="AB1032" t="str">
        <f>IF(H_A[[#This Row],[MonthlyIncome]]&lt;5000,"Low",IF(H_A[[#This Row],[MonthlyIncome]]&lt;10000,"Medium","High"))</f>
        <v>High</v>
      </c>
      <c r="AC1032" t="str">
        <f>IF(H_A[[#This Row],[YearsAtCompany]]&lt;3,"Early",IF(H_A[[#This Row],[YearsAtCompany]]&lt;7,"Mid","Long"))</f>
        <v>Long</v>
      </c>
      <c r="AD1032" t="str">
        <f>IF(H_A[[#This Row],[PercentSalaryHike]]&lt;13,"Low",IF(H_A[[#This Row],[PercentSalaryHike]]&lt;18,"Medium","High"))</f>
        <v>High</v>
      </c>
    </row>
    <row r="1033" spans="1:30" x14ac:dyDescent="0.3">
      <c r="A1033">
        <v>46</v>
      </c>
      <c r="B1033">
        <v>1457</v>
      </c>
      <c r="C1033" t="s">
        <v>30</v>
      </c>
      <c r="D1033" t="s">
        <v>31</v>
      </c>
      <c r="E1033">
        <v>9</v>
      </c>
      <c r="F1033">
        <v>3</v>
      </c>
      <c r="G1033" t="s">
        <v>50</v>
      </c>
      <c r="H1033">
        <v>1</v>
      </c>
      <c r="I1033" t="s">
        <v>38</v>
      </c>
      <c r="J1033">
        <v>3</v>
      </c>
      <c r="K1033">
        <v>3</v>
      </c>
      <c r="L1033" t="s">
        <v>34</v>
      </c>
      <c r="M1033">
        <v>4</v>
      </c>
      <c r="N1033" t="s">
        <v>44</v>
      </c>
      <c r="O1033">
        <v>10096</v>
      </c>
      <c r="P1033">
        <v>4</v>
      </c>
      <c r="Q1033" t="s">
        <v>36</v>
      </c>
      <c r="R1033">
        <v>1</v>
      </c>
      <c r="S1033">
        <v>28</v>
      </c>
      <c r="T1033">
        <v>4</v>
      </c>
      <c r="U1033">
        <v>7</v>
      </c>
      <c r="V1033">
        <v>7</v>
      </c>
      <c r="W1033">
        <v>4</v>
      </c>
      <c r="X1033">
        <v>3</v>
      </c>
      <c r="Y1033">
        <v>11</v>
      </c>
      <c r="Z1033">
        <f>IF(H_A[[#This Row],[Attrition]]="Yes",1,0)</f>
        <v>1</v>
      </c>
      <c r="AA1033" t="str">
        <f>IF(H_A[[#This Row],[Age]]&lt;30,"Young",IF(H_A[[#This Row],[Age]]&lt;45,"Mid","Senior"))</f>
        <v>Senior</v>
      </c>
      <c r="AB1033" t="str">
        <f>IF(H_A[[#This Row],[MonthlyIncome]]&lt;5000,"Low",IF(H_A[[#This Row],[MonthlyIncome]]&lt;10000,"Medium","High"))</f>
        <v>High</v>
      </c>
      <c r="AC1033" t="str">
        <f>IF(H_A[[#This Row],[YearsAtCompany]]&lt;3,"Early",IF(H_A[[#This Row],[YearsAtCompany]]&lt;7,"Mid","Long"))</f>
        <v>Long</v>
      </c>
      <c r="AD1033" t="str">
        <f>IF(H_A[[#This Row],[PercentSalaryHike]]&lt;13,"Low",IF(H_A[[#This Row],[PercentSalaryHike]]&lt;18,"Medium","High"))</f>
        <v>Low</v>
      </c>
    </row>
    <row r="1034" spans="1:30" x14ac:dyDescent="0.3">
      <c r="A1034">
        <v>39</v>
      </c>
      <c r="B1034">
        <v>1458</v>
      </c>
      <c r="C1034" t="s">
        <v>30</v>
      </c>
      <c r="D1034" t="s">
        <v>37</v>
      </c>
      <c r="E1034">
        <v>2</v>
      </c>
      <c r="F1034">
        <v>3</v>
      </c>
      <c r="G1034" t="s">
        <v>32</v>
      </c>
      <c r="H1034">
        <v>1</v>
      </c>
      <c r="I1034" t="s">
        <v>33</v>
      </c>
      <c r="J1034">
        <v>2</v>
      </c>
      <c r="K1034">
        <v>1</v>
      </c>
      <c r="L1034" t="s">
        <v>42</v>
      </c>
      <c r="M1034">
        <v>1</v>
      </c>
      <c r="N1034" t="s">
        <v>35</v>
      </c>
      <c r="O1034">
        <v>3646</v>
      </c>
      <c r="P1034">
        <v>2</v>
      </c>
      <c r="Q1034" t="s">
        <v>30</v>
      </c>
      <c r="R1034">
        <v>2</v>
      </c>
      <c r="S1034">
        <v>11</v>
      </c>
      <c r="T1034">
        <v>4</v>
      </c>
      <c r="U1034">
        <v>1</v>
      </c>
      <c r="V1034">
        <v>0</v>
      </c>
      <c r="W1034">
        <v>0</v>
      </c>
      <c r="X1034">
        <v>0</v>
      </c>
      <c r="Y1034">
        <v>23</v>
      </c>
      <c r="Z1034">
        <f>IF(H_A[[#This Row],[Attrition]]="Yes",1,0)</f>
        <v>1</v>
      </c>
      <c r="AA1034" t="str">
        <f>IF(H_A[[#This Row],[Age]]&lt;30,"Young",IF(H_A[[#This Row],[Age]]&lt;45,"Mid","Senior"))</f>
        <v>Mid</v>
      </c>
      <c r="AB1034" t="str">
        <f>IF(H_A[[#This Row],[MonthlyIncome]]&lt;5000,"Low",IF(H_A[[#This Row],[MonthlyIncome]]&lt;10000,"Medium","High"))</f>
        <v>Low</v>
      </c>
      <c r="AC1034" t="str">
        <f>IF(H_A[[#This Row],[YearsAtCompany]]&lt;3,"Early",IF(H_A[[#This Row],[YearsAtCompany]]&lt;7,"Mid","Long"))</f>
        <v>Early</v>
      </c>
      <c r="AD1034" t="str">
        <f>IF(H_A[[#This Row],[PercentSalaryHike]]&lt;13,"Low",IF(H_A[[#This Row],[PercentSalaryHike]]&lt;18,"Medium","High"))</f>
        <v>High</v>
      </c>
    </row>
    <row r="1035" spans="1:30" x14ac:dyDescent="0.3">
      <c r="A1035">
        <v>31</v>
      </c>
      <c r="B1035">
        <v>1459</v>
      </c>
      <c r="C1035" t="s">
        <v>30</v>
      </c>
      <c r="D1035" t="s">
        <v>37</v>
      </c>
      <c r="E1035">
        <v>1</v>
      </c>
      <c r="F1035">
        <v>5</v>
      </c>
      <c r="G1035" t="s">
        <v>32</v>
      </c>
      <c r="H1035">
        <v>3</v>
      </c>
      <c r="I1035" t="s">
        <v>33</v>
      </c>
      <c r="J1035">
        <v>4</v>
      </c>
      <c r="K1035">
        <v>3</v>
      </c>
      <c r="L1035" t="s">
        <v>45</v>
      </c>
      <c r="M1035">
        <v>2</v>
      </c>
      <c r="N1035" t="s">
        <v>35</v>
      </c>
      <c r="O1035">
        <v>7446</v>
      </c>
      <c r="P1035">
        <v>1</v>
      </c>
      <c r="Q1035" t="s">
        <v>36</v>
      </c>
      <c r="R1035">
        <v>1</v>
      </c>
      <c r="S1035">
        <v>10</v>
      </c>
      <c r="T1035">
        <v>3</v>
      </c>
      <c r="U1035">
        <v>10</v>
      </c>
      <c r="V1035">
        <v>8</v>
      </c>
      <c r="W1035">
        <v>4</v>
      </c>
      <c r="X1035">
        <v>7</v>
      </c>
      <c r="Y1035">
        <v>11</v>
      </c>
      <c r="Z1035">
        <f>IF(H_A[[#This Row],[Attrition]]="Yes",1,0)</f>
        <v>1</v>
      </c>
      <c r="AA1035" t="str">
        <f>IF(H_A[[#This Row],[Age]]&lt;30,"Young",IF(H_A[[#This Row],[Age]]&lt;45,"Mid","Senior"))</f>
        <v>Mid</v>
      </c>
      <c r="AB1035" t="str">
        <f>IF(H_A[[#This Row],[MonthlyIncome]]&lt;5000,"Low",IF(H_A[[#This Row],[MonthlyIncome]]&lt;10000,"Medium","High"))</f>
        <v>Medium</v>
      </c>
      <c r="AC1035" t="str">
        <f>IF(H_A[[#This Row],[YearsAtCompany]]&lt;3,"Early",IF(H_A[[#This Row],[YearsAtCompany]]&lt;7,"Mid","Long"))</f>
        <v>Long</v>
      </c>
      <c r="AD1035" t="str">
        <f>IF(H_A[[#This Row],[PercentSalaryHike]]&lt;13,"Low",IF(H_A[[#This Row],[PercentSalaryHike]]&lt;18,"Medium","High"))</f>
        <v>Low</v>
      </c>
    </row>
    <row r="1036" spans="1:30" x14ac:dyDescent="0.3">
      <c r="A1036">
        <v>45</v>
      </c>
      <c r="B1036">
        <v>1460</v>
      </c>
      <c r="C1036" t="s">
        <v>36</v>
      </c>
      <c r="D1036" t="s">
        <v>37</v>
      </c>
      <c r="E1036">
        <v>20</v>
      </c>
      <c r="F1036">
        <v>3</v>
      </c>
      <c r="G1036" t="s">
        <v>43</v>
      </c>
      <c r="H1036">
        <v>2</v>
      </c>
      <c r="I1036" t="s">
        <v>38</v>
      </c>
      <c r="J1036">
        <v>1</v>
      </c>
      <c r="K1036">
        <v>3</v>
      </c>
      <c r="L1036" t="s">
        <v>46</v>
      </c>
      <c r="M1036">
        <v>1</v>
      </c>
      <c r="N1036" t="s">
        <v>44</v>
      </c>
      <c r="O1036">
        <v>10851</v>
      </c>
      <c r="P1036">
        <v>2</v>
      </c>
      <c r="Q1036" t="s">
        <v>30</v>
      </c>
      <c r="R1036">
        <v>2</v>
      </c>
      <c r="S1036">
        <v>24</v>
      </c>
      <c r="T1036">
        <v>3</v>
      </c>
      <c r="U1036">
        <v>7</v>
      </c>
      <c r="V1036">
        <v>7</v>
      </c>
      <c r="W1036">
        <v>0</v>
      </c>
      <c r="X1036">
        <v>7</v>
      </c>
      <c r="Y1036">
        <v>18</v>
      </c>
      <c r="Z1036">
        <f>IF(H_A[[#This Row],[Attrition]]="Yes",1,0)</f>
        <v>0</v>
      </c>
      <c r="AA1036" t="str">
        <f>IF(H_A[[#This Row],[Age]]&lt;30,"Young",IF(H_A[[#This Row],[Age]]&lt;45,"Mid","Senior"))</f>
        <v>Senior</v>
      </c>
      <c r="AB1036" t="str">
        <f>IF(H_A[[#This Row],[MonthlyIncome]]&lt;5000,"Low",IF(H_A[[#This Row],[MonthlyIncome]]&lt;10000,"Medium","High"))</f>
        <v>High</v>
      </c>
      <c r="AC1036" t="str">
        <f>IF(H_A[[#This Row],[YearsAtCompany]]&lt;3,"Early",IF(H_A[[#This Row],[YearsAtCompany]]&lt;7,"Mid","Long"))</f>
        <v>Long</v>
      </c>
      <c r="AD1036" t="str">
        <f>IF(H_A[[#This Row],[PercentSalaryHike]]&lt;13,"Low",IF(H_A[[#This Row],[PercentSalaryHike]]&lt;18,"Medium","High"))</f>
        <v>High</v>
      </c>
    </row>
    <row r="1037" spans="1:30" x14ac:dyDescent="0.3">
      <c r="A1037">
        <v>31</v>
      </c>
      <c r="B1037">
        <v>1461</v>
      </c>
      <c r="C1037" t="s">
        <v>36</v>
      </c>
      <c r="D1037" t="s">
        <v>52</v>
      </c>
      <c r="E1037">
        <v>8</v>
      </c>
      <c r="F1037">
        <v>2</v>
      </c>
      <c r="G1037" t="s">
        <v>43</v>
      </c>
      <c r="H1037">
        <v>4</v>
      </c>
      <c r="I1037" t="s">
        <v>33</v>
      </c>
      <c r="J1037">
        <v>4</v>
      </c>
      <c r="K1037">
        <v>1</v>
      </c>
      <c r="L1037" t="s">
        <v>52</v>
      </c>
      <c r="M1037">
        <v>2</v>
      </c>
      <c r="N1037" t="s">
        <v>35</v>
      </c>
      <c r="O1037">
        <v>2109</v>
      </c>
      <c r="P1037">
        <v>9</v>
      </c>
      <c r="Q1037" t="s">
        <v>36</v>
      </c>
      <c r="R1037">
        <v>4</v>
      </c>
      <c r="S1037">
        <v>8</v>
      </c>
      <c r="T1037">
        <v>3</v>
      </c>
      <c r="U1037">
        <v>3</v>
      </c>
      <c r="V1037">
        <v>2</v>
      </c>
      <c r="W1037">
        <v>0</v>
      </c>
      <c r="X1037">
        <v>2</v>
      </c>
      <c r="Y1037">
        <v>18</v>
      </c>
      <c r="Z1037">
        <f>IF(H_A[[#This Row],[Attrition]]="Yes",1,0)</f>
        <v>0</v>
      </c>
      <c r="AA1037" t="str">
        <f>IF(H_A[[#This Row],[Age]]&lt;30,"Young",IF(H_A[[#This Row],[Age]]&lt;45,"Mid","Senior"))</f>
        <v>Mid</v>
      </c>
      <c r="AB1037" t="str">
        <f>IF(H_A[[#This Row],[MonthlyIncome]]&lt;5000,"Low",IF(H_A[[#This Row],[MonthlyIncome]]&lt;10000,"Medium","High"))</f>
        <v>Low</v>
      </c>
      <c r="AC1037" t="str">
        <f>IF(H_A[[#This Row],[YearsAtCompany]]&lt;3,"Early",IF(H_A[[#This Row],[YearsAtCompany]]&lt;7,"Mid","Long"))</f>
        <v>Mid</v>
      </c>
      <c r="AD1037" t="str">
        <f>IF(H_A[[#This Row],[PercentSalaryHike]]&lt;13,"Low",IF(H_A[[#This Row],[PercentSalaryHike]]&lt;18,"Medium","High"))</f>
        <v>High</v>
      </c>
    </row>
    <row r="1038" spans="1:30" x14ac:dyDescent="0.3">
      <c r="A1038">
        <v>31</v>
      </c>
      <c r="B1038">
        <v>1464</v>
      </c>
      <c r="C1038" t="s">
        <v>30</v>
      </c>
      <c r="D1038" t="s">
        <v>37</v>
      </c>
      <c r="E1038">
        <v>2</v>
      </c>
      <c r="F1038">
        <v>3</v>
      </c>
      <c r="G1038" t="s">
        <v>32</v>
      </c>
      <c r="H1038">
        <v>2</v>
      </c>
      <c r="I1038" t="s">
        <v>38</v>
      </c>
      <c r="J1038">
        <v>3</v>
      </c>
      <c r="K1038">
        <v>1</v>
      </c>
      <c r="L1038" t="s">
        <v>42</v>
      </c>
      <c r="M1038">
        <v>4</v>
      </c>
      <c r="N1038" t="s">
        <v>40</v>
      </c>
      <c r="O1038">
        <v>3722</v>
      </c>
      <c r="P1038">
        <v>6</v>
      </c>
      <c r="Q1038" t="s">
        <v>30</v>
      </c>
      <c r="R1038">
        <v>3</v>
      </c>
      <c r="S1038">
        <v>7</v>
      </c>
      <c r="T1038">
        <v>1</v>
      </c>
      <c r="U1038">
        <v>2</v>
      </c>
      <c r="V1038">
        <v>2</v>
      </c>
      <c r="W1038">
        <v>2</v>
      </c>
      <c r="X1038">
        <v>2</v>
      </c>
      <c r="Y1038">
        <v>13</v>
      </c>
      <c r="Z1038">
        <f>IF(H_A[[#This Row],[Attrition]]="Yes",1,0)</f>
        <v>1</v>
      </c>
      <c r="AA1038" t="str">
        <f>IF(H_A[[#This Row],[Age]]&lt;30,"Young",IF(H_A[[#This Row],[Age]]&lt;45,"Mid","Senior"))</f>
        <v>Mid</v>
      </c>
      <c r="AB1038" t="str">
        <f>IF(H_A[[#This Row],[MonthlyIncome]]&lt;5000,"Low",IF(H_A[[#This Row],[MonthlyIncome]]&lt;10000,"Medium","High"))</f>
        <v>Low</v>
      </c>
      <c r="AC1038" t="str">
        <f>IF(H_A[[#This Row],[YearsAtCompany]]&lt;3,"Early",IF(H_A[[#This Row],[YearsAtCompany]]&lt;7,"Mid","Long"))</f>
        <v>Early</v>
      </c>
      <c r="AD1038" t="str">
        <f>IF(H_A[[#This Row],[PercentSalaryHike]]&lt;13,"Low",IF(H_A[[#This Row],[PercentSalaryHike]]&lt;18,"Medium","High"))</f>
        <v>Medium</v>
      </c>
    </row>
    <row r="1039" spans="1:30" x14ac:dyDescent="0.3">
      <c r="A1039">
        <v>45</v>
      </c>
      <c r="B1039">
        <v>1465</v>
      </c>
      <c r="C1039" t="s">
        <v>36</v>
      </c>
      <c r="D1039" t="s">
        <v>37</v>
      </c>
      <c r="E1039">
        <v>29</v>
      </c>
      <c r="F1039">
        <v>3</v>
      </c>
      <c r="G1039" t="s">
        <v>51</v>
      </c>
      <c r="H1039">
        <v>2</v>
      </c>
      <c r="I1039" t="s">
        <v>38</v>
      </c>
      <c r="J1039">
        <v>3</v>
      </c>
      <c r="K1039">
        <v>3</v>
      </c>
      <c r="L1039" t="s">
        <v>45</v>
      </c>
      <c r="M1039">
        <v>4</v>
      </c>
      <c r="N1039" t="s">
        <v>40</v>
      </c>
      <c r="O1039">
        <v>9380</v>
      </c>
      <c r="P1039">
        <v>4</v>
      </c>
      <c r="Q1039" t="s">
        <v>30</v>
      </c>
      <c r="R1039">
        <v>4</v>
      </c>
      <c r="S1039">
        <v>10</v>
      </c>
      <c r="T1039">
        <v>4</v>
      </c>
      <c r="U1039">
        <v>3</v>
      </c>
      <c r="V1039">
        <v>1</v>
      </c>
      <c r="W1039">
        <v>1</v>
      </c>
      <c r="X1039">
        <v>2</v>
      </c>
      <c r="Y1039">
        <v>18</v>
      </c>
      <c r="Z1039">
        <f>IF(H_A[[#This Row],[Attrition]]="Yes",1,0)</f>
        <v>0</v>
      </c>
      <c r="AA1039" t="str">
        <f>IF(H_A[[#This Row],[Age]]&lt;30,"Young",IF(H_A[[#This Row],[Age]]&lt;45,"Mid","Senior"))</f>
        <v>Senior</v>
      </c>
      <c r="AB1039" t="str">
        <f>IF(H_A[[#This Row],[MonthlyIncome]]&lt;5000,"Low",IF(H_A[[#This Row],[MonthlyIncome]]&lt;10000,"Medium","High"))</f>
        <v>Medium</v>
      </c>
      <c r="AC1039" t="str">
        <f>IF(H_A[[#This Row],[YearsAtCompany]]&lt;3,"Early",IF(H_A[[#This Row],[YearsAtCompany]]&lt;7,"Mid","Long"))</f>
        <v>Mid</v>
      </c>
      <c r="AD1039" t="str">
        <f>IF(H_A[[#This Row],[PercentSalaryHike]]&lt;13,"Low",IF(H_A[[#This Row],[PercentSalaryHike]]&lt;18,"Medium","High"))</f>
        <v>High</v>
      </c>
    </row>
    <row r="1040" spans="1:30" x14ac:dyDescent="0.3">
      <c r="A1040">
        <v>48</v>
      </c>
      <c r="B1040">
        <v>1466</v>
      </c>
      <c r="C1040" t="s">
        <v>36</v>
      </c>
      <c r="D1040" t="s">
        <v>31</v>
      </c>
      <c r="E1040">
        <v>7</v>
      </c>
      <c r="F1040">
        <v>3</v>
      </c>
      <c r="G1040" t="s">
        <v>50</v>
      </c>
      <c r="H1040">
        <v>3</v>
      </c>
      <c r="I1040" t="s">
        <v>38</v>
      </c>
      <c r="J1040">
        <v>3</v>
      </c>
      <c r="K1040">
        <v>2</v>
      </c>
      <c r="L1040" t="s">
        <v>34</v>
      </c>
      <c r="M1040">
        <v>1</v>
      </c>
      <c r="N1040" t="s">
        <v>44</v>
      </c>
      <c r="O1040">
        <v>5486</v>
      </c>
      <c r="P1040">
        <v>4</v>
      </c>
      <c r="Q1040" t="s">
        <v>36</v>
      </c>
      <c r="R1040">
        <v>1</v>
      </c>
      <c r="S1040">
        <v>15</v>
      </c>
      <c r="T1040">
        <v>3</v>
      </c>
      <c r="U1040">
        <v>2</v>
      </c>
      <c r="V1040">
        <v>2</v>
      </c>
      <c r="W1040">
        <v>2</v>
      </c>
      <c r="X1040">
        <v>2</v>
      </c>
      <c r="Y1040">
        <v>11</v>
      </c>
      <c r="Z1040">
        <f>IF(H_A[[#This Row],[Attrition]]="Yes",1,0)</f>
        <v>0</v>
      </c>
      <c r="AA1040" t="str">
        <f>IF(H_A[[#This Row],[Age]]&lt;30,"Young",IF(H_A[[#This Row],[Age]]&lt;45,"Mid","Senior"))</f>
        <v>Senior</v>
      </c>
      <c r="AB1040" t="str">
        <f>IF(H_A[[#This Row],[MonthlyIncome]]&lt;5000,"Low",IF(H_A[[#This Row],[MonthlyIncome]]&lt;10000,"Medium","High"))</f>
        <v>Medium</v>
      </c>
      <c r="AC1040" t="str">
        <f>IF(H_A[[#This Row],[YearsAtCompany]]&lt;3,"Early",IF(H_A[[#This Row],[YearsAtCompany]]&lt;7,"Mid","Long"))</f>
        <v>Early</v>
      </c>
      <c r="AD1040" t="str">
        <f>IF(H_A[[#This Row],[PercentSalaryHike]]&lt;13,"Low",IF(H_A[[#This Row],[PercentSalaryHike]]&lt;18,"Medium","High"))</f>
        <v>Low</v>
      </c>
    </row>
    <row r="1041" spans="1:30" x14ac:dyDescent="0.3">
      <c r="A1041">
        <v>34</v>
      </c>
      <c r="B1041">
        <v>1467</v>
      </c>
      <c r="C1041" t="s">
        <v>30</v>
      </c>
      <c r="D1041" t="s">
        <v>52</v>
      </c>
      <c r="E1041">
        <v>9</v>
      </c>
      <c r="F1041">
        <v>4</v>
      </c>
      <c r="G1041" t="s">
        <v>51</v>
      </c>
      <c r="H1041">
        <v>1</v>
      </c>
      <c r="I1041" t="s">
        <v>33</v>
      </c>
      <c r="J1041">
        <v>3</v>
      </c>
      <c r="K1041">
        <v>1</v>
      </c>
      <c r="L1041" t="s">
        <v>52</v>
      </c>
      <c r="M1041">
        <v>3</v>
      </c>
      <c r="N1041" t="s">
        <v>40</v>
      </c>
      <c r="O1041">
        <v>2742</v>
      </c>
      <c r="P1041">
        <v>1</v>
      </c>
      <c r="Q1041" t="s">
        <v>36</v>
      </c>
      <c r="R1041">
        <v>4</v>
      </c>
      <c r="S1041">
        <v>2</v>
      </c>
      <c r="T1041">
        <v>3</v>
      </c>
      <c r="U1041">
        <v>2</v>
      </c>
      <c r="V1041">
        <v>2</v>
      </c>
      <c r="W1041">
        <v>2</v>
      </c>
      <c r="X1041">
        <v>2</v>
      </c>
      <c r="Y1041">
        <v>15</v>
      </c>
      <c r="Z1041">
        <f>IF(H_A[[#This Row],[Attrition]]="Yes",1,0)</f>
        <v>1</v>
      </c>
      <c r="AA1041" t="str">
        <f>IF(H_A[[#This Row],[Age]]&lt;30,"Young",IF(H_A[[#This Row],[Age]]&lt;45,"Mid","Senior"))</f>
        <v>Mid</v>
      </c>
      <c r="AB1041" t="str">
        <f>IF(H_A[[#This Row],[MonthlyIncome]]&lt;5000,"Low",IF(H_A[[#This Row],[MonthlyIncome]]&lt;10000,"Medium","High"))</f>
        <v>Low</v>
      </c>
      <c r="AC1041" t="str">
        <f>IF(H_A[[#This Row],[YearsAtCompany]]&lt;3,"Early",IF(H_A[[#This Row],[YearsAtCompany]]&lt;7,"Mid","Long"))</f>
        <v>Early</v>
      </c>
      <c r="AD1041" t="str">
        <f>IF(H_A[[#This Row],[PercentSalaryHike]]&lt;13,"Low",IF(H_A[[#This Row],[PercentSalaryHike]]&lt;18,"Medium","High"))</f>
        <v>Medium</v>
      </c>
    </row>
    <row r="1042" spans="1:30" x14ac:dyDescent="0.3">
      <c r="A1042">
        <v>40</v>
      </c>
      <c r="B1042">
        <v>1468</v>
      </c>
      <c r="C1042" t="s">
        <v>36</v>
      </c>
      <c r="D1042" t="s">
        <v>37</v>
      </c>
      <c r="E1042">
        <v>8</v>
      </c>
      <c r="F1042">
        <v>1</v>
      </c>
      <c r="G1042" t="s">
        <v>43</v>
      </c>
      <c r="H1042">
        <v>4</v>
      </c>
      <c r="I1042" t="s">
        <v>38</v>
      </c>
      <c r="J1042">
        <v>2</v>
      </c>
      <c r="K1042">
        <v>3</v>
      </c>
      <c r="L1042" t="s">
        <v>49</v>
      </c>
      <c r="M1042">
        <v>2</v>
      </c>
      <c r="N1042" t="s">
        <v>44</v>
      </c>
      <c r="O1042">
        <v>13757</v>
      </c>
      <c r="P1042">
        <v>2</v>
      </c>
      <c r="Q1042" t="s">
        <v>36</v>
      </c>
      <c r="R1042">
        <v>3</v>
      </c>
      <c r="S1042">
        <v>16</v>
      </c>
      <c r="T1042">
        <v>3</v>
      </c>
      <c r="U1042">
        <v>9</v>
      </c>
      <c r="V1042">
        <v>8</v>
      </c>
      <c r="W1042">
        <v>4</v>
      </c>
      <c r="X1042">
        <v>8</v>
      </c>
      <c r="Y1042">
        <v>11</v>
      </c>
      <c r="Z1042">
        <f>IF(H_A[[#This Row],[Attrition]]="Yes",1,0)</f>
        <v>0</v>
      </c>
      <c r="AA1042" t="str">
        <f>IF(H_A[[#This Row],[Age]]&lt;30,"Young",IF(H_A[[#This Row],[Age]]&lt;45,"Mid","Senior"))</f>
        <v>Mid</v>
      </c>
      <c r="AB1042" t="str">
        <f>IF(H_A[[#This Row],[MonthlyIncome]]&lt;5000,"Low",IF(H_A[[#This Row],[MonthlyIncome]]&lt;10000,"Medium","High"))</f>
        <v>High</v>
      </c>
      <c r="AC1042" t="str">
        <f>IF(H_A[[#This Row],[YearsAtCompany]]&lt;3,"Early",IF(H_A[[#This Row],[YearsAtCompany]]&lt;7,"Mid","Long"))</f>
        <v>Long</v>
      </c>
      <c r="AD1042" t="str">
        <f>IF(H_A[[#This Row],[PercentSalaryHike]]&lt;13,"Low",IF(H_A[[#This Row],[PercentSalaryHike]]&lt;18,"Medium","High"))</f>
        <v>Low</v>
      </c>
    </row>
    <row r="1043" spans="1:30" x14ac:dyDescent="0.3">
      <c r="A1043">
        <v>28</v>
      </c>
      <c r="B1043">
        <v>1469</v>
      </c>
      <c r="C1043" t="s">
        <v>36</v>
      </c>
      <c r="D1043" t="s">
        <v>31</v>
      </c>
      <c r="E1043">
        <v>5</v>
      </c>
      <c r="F1043">
        <v>3</v>
      </c>
      <c r="G1043" t="s">
        <v>43</v>
      </c>
      <c r="H1043">
        <v>4</v>
      </c>
      <c r="I1043" t="s">
        <v>38</v>
      </c>
      <c r="J1043">
        <v>3</v>
      </c>
      <c r="K1043">
        <v>2</v>
      </c>
      <c r="L1043" t="s">
        <v>34</v>
      </c>
      <c r="M1043">
        <v>1</v>
      </c>
      <c r="N1043" t="s">
        <v>35</v>
      </c>
      <c r="O1043">
        <v>8463</v>
      </c>
      <c r="P1043">
        <v>0</v>
      </c>
      <c r="Q1043" t="s">
        <v>36</v>
      </c>
      <c r="R1043">
        <v>4</v>
      </c>
      <c r="S1043">
        <v>6</v>
      </c>
      <c r="T1043">
        <v>3</v>
      </c>
      <c r="U1043">
        <v>5</v>
      </c>
      <c r="V1043">
        <v>4</v>
      </c>
      <c r="W1043">
        <v>1</v>
      </c>
      <c r="X1043">
        <v>3</v>
      </c>
      <c r="Y1043">
        <v>18</v>
      </c>
      <c r="Z1043">
        <f>IF(H_A[[#This Row],[Attrition]]="Yes",1,0)</f>
        <v>0</v>
      </c>
      <c r="AA1043" t="str">
        <f>IF(H_A[[#This Row],[Age]]&lt;30,"Young",IF(H_A[[#This Row],[Age]]&lt;45,"Mid","Senior"))</f>
        <v>Young</v>
      </c>
      <c r="AB1043" t="str">
        <f>IF(H_A[[#This Row],[MonthlyIncome]]&lt;5000,"Low",IF(H_A[[#This Row],[MonthlyIncome]]&lt;10000,"Medium","High"))</f>
        <v>Medium</v>
      </c>
      <c r="AC1043" t="str">
        <f>IF(H_A[[#This Row],[YearsAtCompany]]&lt;3,"Early",IF(H_A[[#This Row],[YearsAtCompany]]&lt;7,"Mid","Long"))</f>
        <v>Mid</v>
      </c>
      <c r="AD1043" t="str">
        <f>IF(H_A[[#This Row],[PercentSalaryHike]]&lt;13,"Low",IF(H_A[[#This Row],[PercentSalaryHike]]&lt;18,"Medium","High"))</f>
        <v>High</v>
      </c>
    </row>
    <row r="1044" spans="1:30" x14ac:dyDescent="0.3">
      <c r="A1044">
        <v>44</v>
      </c>
      <c r="B1044">
        <v>1471</v>
      </c>
      <c r="C1044" t="s">
        <v>36</v>
      </c>
      <c r="D1044" t="s">
        <v>37</v>
      </c>
      <c r="E1044">
        <v>5</v>
      </c>
      <c r="F1044">
        <v>3</v>
      </c>
      <c r="G1044" t="s">
        <v>32</v>
      </c>
      <c r="H1044">
        <v>3</v>
      </c>
      <c r="I1044" t="s">
        <v>38</v>
      </c>
      <c r="J1044">
        <v>2</v>
      </c>
      <c r="K1044">
        <v>1</v>
      </c>
      <c r="L1044" t="s">
        <v>42</v>
      </c>
      <c r="M1044">
        <v>3</v>
      </c>
      <c r="N1044" t="s">
        <v>35</v>
      </c>
      <c r="O1044">
        <v>3162</v>
      </c>
      <c r="P1044">
        <v>3</v>
      </c>
      <c r="Q1044" t="s">
        <v>36</v>
      </c>
      <c r="R1044">
        <v>4</v>
      </c>
      <c r="S1044">
        <v>7</v>
      </c>
      <c r="T1044">
        <v>3</v>
      </c>
      <c r="U1044">
        <v>5</v>
      </c>
      <c r="V1044">
        <v>2</v>
      </c>
      <c r="W1044">
        <v>0</v>
      </c>
      <c r="X1044">
        <v>3</v>
      </c>
      <c r="Y1044">
        <v>14</v>
      </c>
      <c r="Z1044">
        <f>IF(H_A[[#This Row],[Attrition]]="Yes",1,0)</f>
        <v>0</v>
      </c>
      <c r="AA1044" t="str">
        <f>IF(H_A[[#This Row],[Age]]&lt;30,"Young",IF(H_A[[#This Row],[Age]]&lt;45,"Mid","Senior"))</f>
        <v>Mid</v>
      </c>
      <c r="AB1044" t="str">
        <f>IF(H_A[[#This Row],[MonthlyIncome]]&lt;5000,"Low",IF(H_A[[#This Row],[MonthlyIncome]]&lt;10000,"Medium","High"))</f>
        <v>Low</v>
      </c>
      <c r="AC1044" t="str">
        <f>IF(H_A[[#This Row],[YearsAtCompany]]&lt;3,"Early",IF(H_A[[#This Row],[YearsAtCompany]]&lt;7,"Mid","Long"))</f>
        <v>Mid</v>
      </c>
      <c r="AD1044" t="str">
        <f>IF(H_A[[#This Row],[PercentSalaryHike]]&lt;13,"Low",IF(H_A[[#This Row],[PercentSalaryHike]]&lt;18,"Medium","High"))</f>
        <v>Medium</v>
      </c>
    </row>
    <row r="1045" spans="1:30" x14ac:dyDescent="0.3">
      <c r="A1045">
        <v>53</v>
      </c>
      <c r="B1045">
        <v>1472</v>
      </c>
      <c r="C1045" t="s">
        <v>36</v>
      </c>
      <c r="D1045" t="s">
        <v>37</v>
      </c>
      <c r="E1045">
        <v>2</v>
      </c>
      <c r="F1045">
        <v>3</v>
      </c>
      <c r="G1045" t="s">
        <v>43</v>
      </c>
      <c r="H1045">
        <v>4</v>
      </c>
      <c r="I1045" t="s">
        <v>38</v>
      </c>
      <c r="J1045">
        <v>4</v>
      </c>
      <c r="K1045">
        <v>4</v>
      </c>
      <c r="L1045" t="s">
        <v>49</v>
      </c>
      <c r="M1045">
        <v>2</v>
      </c>
      <c r="N1045" t="s">
        <v>35</v>
      </c>
      <c r="O1045">
        <v>16598</v>
      </c>
      <c r="P1045">
        <v>4</v>
      </c>
      <c r="Q1045" t="s">
        <v>36</v>
      </c>
      <c r="R1045">
        <v>2</v>
      </c>
      <c r="S1045">
        <v>35</v>
      </c>
      <c r="T1045">
        <v>2</v>
      </c>
      <c r="U1045">
        <v>9</v>
      </c>
      <c r="V1045">
        <v>8</v>
      </c>
      <c r="W1045">
        <v>8</v>
      </c>
      <c r="X1045">
        <v>8</v>
      </c>
      <c r="Y1045">
        <v>12</v>
      </c>
      <c r="Z1045">
        <f>IF(H_A[[#This Row],[Attrition]]="Yes",1,0)</f>
        <v>0</v>
      </c>
      <c r="AA1045" t="str">
        <f>IF(H_A[[#This Row],[Age]]&lt;30,"Young",IF(H_A[[#This Row],[Age]]&lt;45,"Mid","Senior"))</f>
        <v>Senior</v>
      </c>
      <c r="AB1045" t="str">
        <f>IF(H_A[[#This Row],[MonthlyIncome]]&lt;5000,"Low",IF(H_A[[#This Row],[MonthlyIncome]]&lt;10000,"Medium","High"))</f>
        <v>High</v>
      </c>
      <c r="AC1045" t="str">
        <f>IF(H_A[[#This Row],[YearsAtCompany]]&lt;3,"Early",IF(H_A[[#This Row],[YearsAtCompany]]&lt;7,"Mid","Long"))</f>
        <v>Long</v>
      </c>
      <c r="AD1045" t="str">
        <f>IF(H_A[[#This Row],[PercentSalaryHike]]&lt;13,"Low",IF(H_A[[#This Row],[PercentSalaryHike]]&lt;18,"Medium","High"))</f>
        <v>Low</v>
      </c>
    </row>
    <row r="1046" spans="1:30" x14ac:dyDescent="0.3">
      <c r="A1046">
        <v>49</v>
      </c>
      <c r="B1046">
        <v>1473</v>
      </c>
      <c r="C1046" t="s">
        <v>36</v>
      </c>
      <c r="D1046" t="s">
        <v>37</v>
      </c>
      <c r="E1046">
        <v>5</v>
      </c>
      <c r="F1046">
        <v>4</v>
      </c>
      <c r="G1046" t="s">
        <v>51</v>
      </c>
      <c r="H1046">
        <v>1</v>
      </c>
      <c r="I1046" t="s">
        <v>38</v>
      </c>
      <c r="J1046">
        <v>3</v>
      </c>
      <c r="K1046">
        <v>2</v>
      </c>
      <c r="L1046" t="s">
        <v>46</v>
      </c>
      <c r="M1046">
        <v>3</v>
      </c>
      <c r="N1046" t="s">
        <v>40</v>
      </c>
      <c r="O1046">
        <v>6651</v>
      </c>
      <c r="P1046">
        <v>2</v>
      </c>
      <c r="Q1046" t="s">
        <v>36</v>
      </c>
      <c r="R1046">
        <v>2</v>
      </c>
      <c r="S1046">
        <v>20</v>
      </c>
      <c r="T1046">
        <v>2</v>
      </c>
      <c r="U1046">
        <v>3</v>
      </c>
      <c r="V1046">
        <v>2</v>
      </c>
      <c r="W1046">
        <v>1</v>
      </c>
      <c r="X1046">
        <v>2</v>
      </c>
      <c r="Y1046">
        <v>14</v>
      </c>
      <c r="Z1046">
        <f>IF(H_A[[#This Row],[Attrition]]="Yes",1,0)</f>
        <v>0</v>
      </c>
      <c r="AA1046" t="str">
        <f>IF(H_A[[#This Row],[Age]]&lt;30,"Young",IF(H_A[[#This Row],[Age]]&lt;45,"Mid","Senior"))</f>
        <v>Senior</v>
      </c>
      <c r="AB1046" t="str">
        <f>IF(H_A[[#This Row],[MonthlyIncome]]&lt;5000,"Low",IF(H_A[[#This Row],[MonthlyIncome]]&lt;10000,"Medium","High"))</f>
        <v>Medium</v>
      </c>
      <c r="AC1046" t="str">
        <f>IF(H_A[[#This Row],[YearsAtCompany]]&lt;3,"Early",IF(H_A[[#This Row],[YearsAtCompany]]&lt;7,"Mid","Long"))</f>
        <v>Mid</v>
      </c>
      <c r="AD1046" t="str">
        <f>IF(H_A[[#This Row],[PercentSalaryHike]]&lt;13,"Low",IF(H_A[[#This Row],[PercentSalaryHike]]&lt;18,"Medium","High"))</f>
        <v>Medium</v>
      </c>
    </row>
    <row r="1047" spans="1:30" x14ac:dyDescent="0.3">
      <c r="A1047">
        <v>40</v>
      </c>
      <c r="B1047">
        <v>1474</v>
      </c>
      <c r="C1047" t="s">
        <v>36</v>
      </c>
      <c r="D1047" t="s">
        <v>37</v>
      </c>
      <c r="E1047">
        <v>2</v>
      </c>
      <c r="F1047">
        <v>3</v>
      </c>
      <c r="G1047" t="s">
        <v>43</v>
      </c>
      <c r="H1047">
        <v>3</v>
      </c>
      <c r="I1047" t="s">
        <v>38</v>
      </c>
      <c r="J1047">
        <v>3</v>
      </c>
      <c r="K1047">
        <v>1</v>
      </c>
      <c r="L1047" t="s">
        <v>39</v>
      </c>
      <c r="M1047">
        <v>3</v>
      </c>
      <c r="N1047" t="s">
        <v>44</v>
      </c>
      <c r="O1047">
        <v>2345</v>
      </c>
      <c r="P1047">
        <v>2</v>
      </c>
      <c r="Q1047" t="s">
        <v>36</v>
      </c>
      <c r="R1047">
        <v>3</v>
      </c>
      <c r="S1047">
        <v>8</v>
      </c>
      <c r="T1047">
        <v>4</v>
      </c>
      <c r="U1047">
        <v>3</v>
      </c>
      <c r="V1047">
        <v>1</v>
      </c>
      <c r="W1047">
        <v>1</v>
      </c>
      <c r="X1047">
        <v>2</v>
      </c>
      <c r="Y1047">
        <v>14</v>
      </c>
      <c r="Z1047">
        <f>IF(H_A[[#This Row],[Attrition]]="Yes",1,0)</f>
        <v>0</v>
      </c>
      <c r="AA1047" t="str">
        <f>IF(H_A[[#This Row],[Age]]&lt;30,"Young",IF(H_A[[#This Row],[Age]]&lt;45,"Mid","Senior"))</f>
        <v>Mid</v>
      </c>
      <c r="AB1047" t="str">
        <f>IF(H_A[[#This Row],[MonthlyIncome]]&lt;5000,"Low",IF(H_A[[#This Row],[MonthlyIncome]]&lt;10000,"Medium","High"))</f>
        <v>Low</v>
      </c>
      <c r="AC1047" t="str">
        <f>IF(H_A[[#This Row],[YearsAtCompany]]&lt;3,"Early",IF(H_A[[#This Row],[YearsAtCompany]]&lt;7,"Mid","Long"))</f>
        <v>Mid</v>
      </c>
      <c r="AD1047" t="str">
        <f>IF(H_A[[#This Row],[PercentSalaryHike]]&lt;13,"Low",IF(H_A[[#This Row],[PercentSalaryHike]]&lt;18,"Medium","High"))</f>
        <v>Medium</v>
      </c>
    </row>
    <row r="1048" spans="1:30" x14ac:dyDescent="0.3">
      <c r="A1048">
        <v>44</v>
      </c>
      <c r="B1048">
        <v>1475</v>
      </c>
      <c r="C1048" t="s">
        <v>36</v>
      </c>
      <c r="D1048" t="s">
        <v>37</v>
      </c>
      <c r="E1048">
        <v>20</v>
      </c>
      <c r="F1048">
        <v>3</v>
      </c>
      <c r="G1048" t="s">
        <v>32</v>
      </c>
      <c r="H1048">
        <v>4</v>
      </c>
      <c r="I1048" t="s">
        <v>38</v>
      </c>
      <c r="J1048">
        <v>3</v>
      </c>
      <c r="K1048">
        <v>1</v>
      </c>
      <c r="L1048" t="s">
        <v>39</v>
      </c>
      <c r="M1048">
        <v>2</v>
      </c>
      <c r="N1048" t="s">
        <v>35</v>
      </c>
      <c r="O1048">
        <v>3420</v>
      </c>
      <c r="P1048">
        <v>1</v>
      </c>
      <c r="Q1048" t="s">
        <v>36</v>
      </c>
      <c r="R1048">
        <v>3</v>
      </c>
      <c r="S1048">
        <v>6</v>
      </c>
      <c r="T1048">
        <v>2</v>
      </c>
      <c r="U1048">
        <v>5</v>
      </c>
      <c r="V1048">
        <v>2</v>
      </c>
      <c r="W1048">
        <v>1</v>
      </c>
      <c r="X1048">
        <v>3</v>
      </c>
      <c r="Y1048">
        <v>13</v>
      </c>
      <c r="Z1048">
        <f>IF(H_A[[#This Row],[Attrition]]="Yes",1,0)</f>
        <v>0</v>
      </c>
      <c r="AA1048" t="str">
        <f>IF(H_A[[#This Row],[Age]]&lt;30,"Young",IF(H_A[[#This Row],[Age]]&lt;45,"Mid","Senior"))</f>
        <v>Mid</v>
      </c>
      <c r="AB1048" t="str">
        <f>IF(H_A[[#This Row],[MonthlyIncome]]&lt;5000,"Low",IF(H_A[[#This Row],[MonthlyIncome]]&lt;10000,"Medium","High"))</f>
        <v>Low</v>
      </c>
      <c r="AC1048" t="str">
        <f>IF(H_A[[#This Row],[YearsAtCompany]]&lt;3,"Early",IF(H_A[[#This Row],[YearsAtCompany]]&lt;7,"Mid","Long"))</f>
        <v>Mid</v>
      </c>
      <c r="AD1048" t="str">
        <f>IF(H_A[[#This Row],[PercentSalaryHike]]&lt;13,"Low",IF(H_A[[#This Row],[PercentSalaryHike]]&lt;18,"Medium","High"))</f>
        <v>Medium</v>
      </c>
    </row>
    <row r="1049" spans="1:30" x14ac:dyDescent="0.3">
      <c r="A1049">
        <v>33</v>
      </c>
      <c r="B1049">
        <v>1477</v>
      </c>
      <c r="C1049" t="s">
        <v>36</v>
      </c>
      <c r="D1049" t="s">
        <v>31</v>
      </c>
      <c r="E1049">
        <v>7</v>
      </c>
      <c r="F1049">
        <v>3</v>
      </c>
      <c r="G1049" t="s">
        <v>43</v>
      </c>
      <c r="H1049">
        <v>4</v>
      </c>
      <c r="I1049" t="s">
        <v>38</v>
      </c>
      <c r="J1049">
        <v>3</v>
      </c>
      <c r="K1049">
        <v>2</v>
      </c>
      <c r="L1049" t="s">
        <v>34</v>
      </c>
      <c r="M1049">
        <v>1</v>
      </c>
      <c r="N1049" t="s">
        <v>40</v>
      </c>
      <c r="O1049">
        <v>4373</v>
      </c>
      <c r="P1049">
        <v>0</v>
      </c>
      <c r="Q1049" t="s">
        <v>36</v>
      </c>
      <c r="R1049">
        <v>1</v>
      </c>
      <c r="S1049">
        <v>5</v>
      </c>
      <c r="T1049">
        <v>3</v>
      </c>
      <c r="U1049">
        <v>4</v>
      </c>
      <c r="V1049">
        <v>3</v>
      </c>
      <c r="W1049">
        <v>0</v>
      </c>
      <c r="X1049">
        <v>3</v>
      </c>
      <c r="Y1049">
        <v>14</v>
      </c>
      <c r="Z1049">
        <f>IF(H_A[[#This Row],[Attrition]]="Yes",1,0)</f>
        <v>0</v>
      </c>
      <c r="AA1049" t="str">
        <f>IF(H_A[[#This Row],[Age]]&lt;30,"Young",IF(H_A[[#This Row],[Age]]&lt;45,"Mid","Senior"))</f>
        <v>Mid</v>
      </c>
      <c r="AB1049" t="str">
        <f>IF(H_A[[#This Row],[MonthlyIncome]]&lt;5000,"Low",IF(H_A[[#This Row],[MonthlyIncome]]&lt;10000,"Medium","High"))</f>
        <v>Low</v>
      </c>
      <c r="AC1049" t="str">
        <f>IF(H_A[[#This Row],[YearsAtCompany]]&lt;3,"Early",IF(H_A[[#This Row],[YearsAtCompany]]&lt;7,"Mid","Long"))</f>
        <v>Mid</v>
      </c>
      <c r="AD1049" t="str">
        <f>IF(H_A[[#This Row],[PercentSalaryHike]]&lt;13,"Low",IF(H_A[[#This Row],[PercentSalaryHike]]&lt;18,"Medium","High"))</f>
        <v>Medium</v>
      </c>
    </row>
    <row r="1050" spans="1:30" x14ac:dyDescent="0.3">
      <c r="A1050">
        <v>34</v>
      </c>
      <c r="B1050">
        <v>1478</v>
      </c>
      <c r="C1050" t="s">
        <v>36</v>
      </c>
      <c r="D1050" t="s">
        <v>31</v>
      </c>
      <c r="E1050">
        <v>3</v>
      </c>
      <c r="F1050">
        <v>3</v>
      </c>
      <c r="G1050" t="s">
        <v>41</v>
      </c>
      <c r="H1050">
        <v>4</v>
      </c>
      <c r="I1050" t="s">
        <v>38</v>
      </c>
      <c r="J1050">
        <v>1</v>
      </c>
      <c r="K1050">
        <v>2</v>
      </c>
      <c r="L1050" t="s">
        <v>34</v>
      </c>
      <c r="M1050">
        <v>1</v>
      </c>
      <c r="N1050" t="s">
        <v>35</v>
      </c>
      <c r="O1050">
        <v>4759</v>
      </c>
      <c r="P1050">
        <v>3</v>
      </c>
      <c r="Q1050" t="s">
        <v>36</v>
      </c>
      <c r="R1050">
        <v>4</v>
      </c>
      <c r="S1050">
        <v>15</v>
      </c>
      <c r="T1050">
        <v>3</v>
      </c>
      <c r="U1050">
        <v>13</v>
      </c>
      <c r="V1050">
        <v>9</v>
      </c>
      <c r="W1050">
        <v>3</v>
      </c>
      <c r="X1050">
        <v>12</v>
      </c>
      <c r="Y1050">
        <v>18</v>
      </c>
      <c r="Z1050">
        <f>IF(H_A[[#This Row],[Attrition]]="Yes",1,0)</f>
        <v>0</v>
      </c>
      <c r="AA1050" t="str">
        <f>IF(H_A[[#This Row],[Age]]&lt;30,"Young",IF(H_A[[#This Row],[Age]]&lt;45,"Mid","Senior"))</f>
        <v>Mid</v>
      </c>
      <c r="AB1050" t="str">
        <f>IF(H_A[[#This Row],[MonthlyIncome]]&lt;5000,"Low",IF(H_A[[#This Row],[MonthlyIncome]]&lt;10000,"Medium","High"))</f>
        <v>Low</v>
      </c>
      <c r="AC1050" t="str">
        <f>IF(H_A[[#This Row],[YearsAtCompany]]&lt;3,"Early",IF(H_A[[#This Row],[YearsAtCompany]]&lt;7,"Mid","Long"))</f>
        <v>Long</v>
      </c>
      <c r="AD1050" t="str">
        <f>IF(H_A[[#This Row],[PercentSalaryHike]]&lt;13,"Low",IF(H_A[[#This Row],[PercentSalaryHike]]&lt;18,"Medium","High"))</f>
        <v>High</v>
      </c>
    </row>
    <row r="1051" spans="1:30" x14ac:dyDescent="0.3">
      <c r="A1051">
        <v>30</v>
      </c>
      <c r="B1051">
        <v>1479</v>
      </c>
      <c r="C1051" t="s">
        <v>36</v>
      </c>
      <c r="D1051" t="s">
        <v>31</v>
      </c>
      <c r="E1051">
        <v>16</v>
      </c>
      <c r="F1051">
        <v>1</v>
      </c>
      <c r="G1051" t="s">
        <v>32</v>
      </c>
      <c r="H1051">
        <v>4</v>
      </c>
      <c r="I1051" t="s">
        <v>38</v>
      </c>
      <c r="J1051">
        <v>3</v>
      </c>
      <c r="K1051">
        <v>2</v>
      </c>
      <c r="L1051" t="s">
        <v>34</v>
      </c>
      <c r="M1051">
        <v>3</v>
      </c>
      <c r="N1051" t="s">
        <v>40</v>
      </c>
      <c r="O1051">
        <v>5301</v>
      </c>
      <c r="P1051">
        <v>8</v>
      </c>
      <c r="Q1051" t="s">
        <v>36</v>
      </c>
      <c r="R1051">
        <v>3</v>
      </c>
      <c r="S1051">
        <v>4</v>
      </c>
      <c r="T1051">
        <v>2</v>
      </c>
      <c r="U1051">
        <v>2</v>
      </c>
      <c r="V1051">
        <v>1</v>
      </c>
      <c r="W1051">
        <v>2</v>
      </c>
      <c r="X1051">
        <v>2</v>
      </c>
      <c r="Y1051">
        <v>15</v>
      </c>
      <c r="Z1051">
        <f>IF(H_A[[#This Row],[Attrition]]="Yes",1,0)</f>
        <v>0</v>
      </c>
      <c r="AA1051" t="str">
        <f>IF(H_A[[#This Row],[Age]]&lt;30,"Young",IF(H_A[[#This Row],[Age]]&lt;45,"Mid","Senior"))</f>
        <v>Mid</v>
      </c>
      <c r="AB1051" t="str">
        <f>IF(H_A[[#This Row],[MonthlyIncome]]&lt;5000,"Low",IF(H_A[[#This Row],[MonthlyIncome]]&lt;10000,"Medium","High"))</f>
        <v>Medium</v>
      </c>
      <c r="AC1051" t="str">
        <f>IF(H_A[[#This Row],[YearsAtCompany]]&lt;3,"Early",IF(H_A[[#This Row],[YearsAtCompany]]&lt;7,"Mid","Long"))</f>
        <v>Early</v>
      </c>
      <c r="AD1051" t="str">
        <f>IF(H_A[[#This Row],[PercentSalaryHike]]&lt;13,"Low",IF(H_A[[#This Row],[PercentSalaryHike]]&lt;18,"Medium","High"))</f>
        <v>Medium</v>
      </c>
    </row>
    <row r="1052" spans="1:30" x14ac:dyDescent="0.3">
      <c r="A1052">
        <v>42</v>
      </c>
      <c r="B1052">
        <v>1480</v>
      </c>
      <c r="C1052" t="s">
        <v>36</v>
      </c>
      <c r="D1052" t="s">
        <v>37</v>
      </c>
      <c r="E1052">
        <v>9</v>
      </c>
      <c r="F1052">
        <v>2</v>
      </c>
      <c r="G1052" t="s">
        <v>43</v>
      </c>
      <c r="H1052">
        <v>1</v>
      </c>
      <c r="I1052" t="s">
        <v>33</v>
      </c>
      <c r="J1052">
        <v>3</v>
      </c>
      <c r="K1052">
        <v>1</v>
      </c>
      <c r="L1052" t="s">
        <v>42</v>
      </c>
      <c r="M1052">
        <v>4</v>
      </c>
      <c r="N1052" t="s">
        <v>35</v>
      </c>
      <c r="O1052">
        <v>3673</v>
      </c>
      <c r="P1052">
        <v>1</v>
      </c>
      <c r="Q1052" t="s">
        <v>36</v>
      </c>
      <c r="R1052">
        <v>3</v>
      </c>
      <c r="S1052">
        <v>12</v>
      </c>
      <c r="T1052">
        <v>3</v>
      </c>
      <c r="U1052">
        <v>12</v>
      </c>
      <c r="V1052">
        <v>9</v>
      </c>
      <c r="W1052">
        <v>5</v>
      </c>
      <c r="X1052">
        <v>8</v>
      </c>
      <c r="Y1052">
        <v>13</v>
      </c>
      <c r="Z1052">
        <f>IF(H_A[[#This Row],[Attrition]]="Yes",1,0)</f>
        <v>0</v>
      </c>
      <c r="AA1052" t="str">
        <f>IF(H_A[[#This Row],[Age]]&lt;30,"Young",IF(H_A[[#This Row],[Age]]&lt;45,"Mid","Senior"))</f>
        <v>Mid</v>
      </c>
      <c r="AB1052" t="str">
        <f>IF(H_A[[#This Row],[MonthlyIncome]]&lt;5000,"Low",IF(H_A[[#This Row],[MonthlyIncome]]&lt;10000,"Medium","High"))</f>
        <v>Low</v>
      </c>
      <c r="AC1052" t="str">
        <f>IF(H_A[[#This Row],[YearsAtCompany]]&lt;3,"Early",IF(H_A[[#This Row],[YearsAtCompany]]&lt;7,"Mid","Long"))</f>
        <v>Long</v>
      </c>
      <c r="AD1052" t="str">
        <f>IF(H_A[[#This Row],[PercentSalaryHike]]&lt;13,"Low",IF(H_A[[#This Row],[PercentSalaryHike]]&lt;18,"Medium","High"))</f>
        <v>Medium</v>
      </c>
    </row>
    <row r="1053" spans="1:30" x14ac:dyDescent="0.3">
      <c r="A1053">
        <v>44</v>
      </c>
      <c r="B1053">
        <v>1481</v>
      </c>
      <c r="C1053" t="s">
        <v>36</v>
      </c>
      <c r="D1053" t="s">
        <v>31</v>
      </c>
      <c r="E1053">
        <v>1</v>
      </c>
      <c r="F1053">
        <v>5</v>
      </c>
      <c r="G1053" t="s">
        <v>50</v>
      </c>
      <c r="H1053">
        <v>1</v>
      </c>
      <c r="I1053" t="s">
        <v>33</v>
      </c>
      <c r="J1053">
        <v>3</v>
      </c>
      <c r="K1053">
        <v>2</v>
      </c>
      <c r="L1053" t="s">
        <v>34</v>
      </c>
      <c r="M1053">
        <v>3</v>
      </c>
      <c r="N1053" t="s">
        <v>40</v>
      </c>
      <c r="O1053">
        <v>4768</v>
      </c>
      <c r="P1053">
        <v>7</v>
      </c>
      <c r="Q1053" t="s">
        <v>36</v>
      </c>
      <c r="R1053">
        <v>3</v>
      </c>
      <c r="S1053">
        <v>11</v>
      </c>
      <c r="T1053">
        <v>2</v>
      </c>
      <c r="U1053">
        <v>1</v>
      </c>
      <c r="V1053">
        <v>0</v>
      </c>
      <c r="W1053">
        <v>0</v>
      </c>
      <c r="X1053">
        <v>0</v>
      </c>
      <c r="Y1053">
        <v>12</v>
      </c>
      <c r="Z1053">
        <f>IF(H_A[[#This Row],[Attrition]]="Yes",1,0)</f>
        <v>0</v>
      </c>
      <c r="AA1053" t="str">
        <f>IF(H_A[[#This Row],[Age]]&lt;30,"Young",IF(H_A[[#This Row],[Age]]&lt;45,"Mid","Senior"))</f>
        <v>Mid</v>
      </c>
      <c r="AB1053" t="str">
        <f>IF(H_A[[#This Row],[MonthlyIncome]]&lt;5000,"Low",IF(H_A[[#This Row],[MonthlyIncome]]&lt;10000,"Medium","High"))</f>
        <v>Low</v>
      </c>
      <c r="AC1053" t="str">
        <f>IF(H_A[[#This Row],[YearsAtCompany]]&lt;3,"Early",IF(H_A[[#This Row],[YearsAtCompany]]&lt;7,"Mid","Long"))</f>
        <v>Early</v>
      </c>
      <c r="AD1053" t="str">
        <f>IF(H_A[[#This Row],[PercentSalaryHike]]&lt;13,"Low",IF(H_A[[#This Row],[PercentSalaryHike]]&lt;18,"Medium","High"))</f>
        <v>Low</v>
      </c>
    </row>
    <row r="1054" spans="1:30" x14ac:dyDescent="0.3">
      <c r="A1054">
        <v>30</v>
      </c>
      <c r="B1054">
        <v>1482</v>
      </c>
      <c r="C1054" t="s">
        <v>36</v>
      </c>
      <c r="D1054" t="s">
        <v>37</v>
      </c>
      <c r="E1054">
        <v>7</v>
      </c>
      <c r="F1054">
        <v>3</v>
      </c>
      <c r="G1054" t="s">
        <v>51</v>
      </c>
      <c r="H1054">
        <v>3</v>
      </c>
      <c r="I1054" t="s">
        <v>38</v>
      </c>
      <c r="J1054">
        <v>3</v>
      </c>
      <c r="K1054">
        <v>1</v>
      </c>
      <c r="L1054" t="s">
        <v>39</v>
      </c>
      <c r="M1054">
        <v>3</v>
      </c>
      <c r="N1054" t="s">
        <v>44</v>
      </c>
      <c r="O1054">
        <v>1274</v>
      </c>
      <c r="P1054">
        <v>1</v>
      </c>
      <c r="Q1054" t="s">
        <v>36</v>
      </c>
      <c r="R1054">
        <v>2</v>
      </c>
      <c r="S1054">
        <v>1</v>
      </c>
      <c r="T1054">
        <v>2</v>
      </c>
      <c r="U1054">
        <v>1</v>
      </c>
      <c r="V1054">
        <v>0</v>
      </c>
      <c r="W1054">
        <v>0</v>
      </c>
      <c r="X1054">
        <v>0</v>
      </c>
      <c r="Y1054">
        <v>13</v>
      </c>
      <c r="Z1054">
        <f>IF(H_A[[#This Row],[Attrition]]="Yes",1,0)</f>
        <v>0</v>
      </c>
      <c r="AA1054" t="str">
        <f>IF(H_A[[#This Row],[Age]]&lt;30,"Young",IF(H_A[[#This Row],[Age]]&lt;45,"Mid","Senior"))</f>
        <v>Mid</v>
      </c>
      <c r="AB1054" t="str">
        <f>IF(H_A[[#This Row],[MonthlyIncome]]&lt;5000,"Low",IF(H_A[[#This Row],[MonthlyIncome]]&lt;10000,"Medium","High"))</f>
        <v>Low</v>
      </c>
      <c r="AC1054" t="str">
        <f>IF(H_A[[#This Row],[YearsAtCompany]]&lt;3,"Early",IF(H_A[[#This Row],[YearsAtCompany]]&lt;7,"Mid","Long"))</f>
        <v>Early</v>
      </c>
      <c r="AD1054" t="str">
        <f>IF(H_A[[#This Row],[PercentSalaryHike]]&lt;13,"Low",IF(H_A[[#This Row],[PercentSalaryHike]]&lt;18,"Medium","High"))</f>
        <v>Medium</v>
      </c>
    </row>
    <row r="1055" spans="1:30" x14ac:dyDescent="0.3">
      <c r="A1055">
        <v>57</v>
      </c>
      <c r="B1055">
        <v>1483</v>
      </c>
      <c r="C1055" t="s">
        <v>36</v>
      </c>
      <c r="D1055" t="s">
        <v>37</v>
      </c>
      <c r="E1055">
        <v>1</v>
      </c>
      <c r="F1055">
        <v>2</v>
      </c>
      <c r="G1055" t="s">
        <v>32</v>
      </c>
      <c r="H1055">
        <v>2</v>
      </c>
      <c r="I1055" t="s">
        <v>38</v>
      </c>
      <c r="J1055">
        <v>4</v>
      </c>
      <c r="K1055">
        <v>2</v>
      </c>
      <c r="L1055" t="s">
        <v>39</v>
      </c>
      <c r="M1055">
        <v>3</v>
      </c>
      <c r="N1055" t="s">
        <v>40</v>
      </c>
      <c r="O1055">
        <v>4900</v>
      </c>
      <c r="P1055">
        <v>0</v>
      </c>
      <c r="Q1055" t="s">
        <v>36</v>
      </c>
      <c r="R1055">
        <v>1</v>
      </c>
      <c r="S1055">
        <v>13</v>
      </c>
      <c r="T1055">
        <v>2</v>
      </c>
      <c r="U1055">
        <v>12</v>
      </c>
      <c r="V1055">
        <v>9</v>
      </c>
      <c r="W1055">
        <v>2</v>
      </c>
      <c r="X1055">
        <v>8</v>
      </c>
      <c r="Y1055">
        <v>24</v>
      </c>
      <c r="Z1055">
        <f>IF(H_A[[#This Row],[Attrition]]="Yes",1,0)</f>
        <v>0</v>
      </c>
      <c r="AA1055" t="str">
        <f>IF(H_A[[#This Row],[Age]]&lt;30,"Young",IF(H_A[[#This Row],[Age]]&lt;45,"Mid","Senior"))</f>
        <v>Senior</v>
      </c>
      <c r="AB1055" t="str">
        <f>IF(H_A[[#This Row],[MonthlyIncome]]&lt;5000,"Low",IF(H_A[[#This Row],[MonthlyIncome]]&lt;10000,"Medium","High"))</f>
        <v>Low</v>
      </c>
      <c r="AC1055" t="str">
        <f>IF(H_A[[#This Row],[YearsAtCompany]]&lt;3,"Early",IF(H_A[[#This Row],[YearsAtCompany]]&lt;7,"Mid","Long"))</f>
        <v>Long</v>
      </c>
      <c r="AD1055" t="str">
        <f>IF(H_A[[#This Row],[PercentSalaryHike]]&lt;13,"Low",IF(H_A[[#This Row],[PercentSalaryHike]]&lt;18,"Medium","High"))</f>
        <v>High</v>
      </c>
    </row>
    <row r="1056" spans="1:30" x14ac:dyDescent="0.3">
      <c r="A1056">
        <v>49</v>
      </c>
      <c r="B1056">
        <v>1484</v>
      </c>
      <c r="C1056" t="s">
        <v>36</v>
      </c>
      <c r="D1056" t="s">
        <v>37</v>
      </c>
      <c r="E1056">
        <v>7</v>
      </c>
      <c r="F1056">
        <v>4</v>
      </c>
      <c r="G1056" t="s">
        <v>32</v>
      </c>
      <c r="H1056">
        <v>3</v>
      </c>
      <c r="I1056" t="s">
        <v>38</v>
      </c>
      <c r="J1056">
        <v>3</v>
      </c>
      <c r="K1056">
        <v>3</v>
      </c>
      <c r="L1056" t="s">
        <v>46</v>
      </c>
      <c r="M1056">
        <v>2</v>
      </c>
      <c r="N1056" t="s">
        <v>44</v>
      </c>
      <c r="O1056">
        <v>10466</v>
      </c>
      <c r="P1056">
        <v>3</v>
      </c>
      <c r="Q1056" t="s">
        <v>36</v>
      </c>
      <c r="R1056">
        <v>2</v>
      </c>
      <c r="S1056">
        <v>29</v>
      </c>
      <c r="T1056">
        <v>3</v>
      </c>
      <c r="U1056">
        <v>8</v>
      </c>
      <c r="V1056">
        <v>7</v>
      </c>
      <c r="W1056">
        <v>0</v>
      </c>
      <c r="X1056">
        <v>7</v>
      </c>
      <c r="Y1056">
        <v>14</v>
      </c>
      <c r="Z1056">
        <f>IF(H_A[[#This Row],[Attrition]]="Yes",1,0)</f>
        <v>0</v>
      </c>
      <c r="AA1056" t="str">
        <f>IF(H_A[[#This Row],[Age]]&lt;30,"Young",IF(H_A[[#This Row],[Age]]&lt;45,"Mid","Senior"))</f>
        <v>Senior</v>
      </c>
      <c r="AB1056" t="str">
        <f>IF(H_A[[#This Row],[MonthlyIncome]]&lt;5000,"Low",IF(H_A[[#This Row],[MonthlyIncome]]&lt;10000,"Medium","High"))</f>
        <v>High</v>
      </c>
      <c r="AC1056" t="str">
        <f>IF(H_A[[#This Row],[YearsAtCompany]]&lt;3,"Early",IF(H_A[[#This Row],[YearsAtCompany]]&lt;7,"Mid","Long"))</f>
        <v>Long</v>
      </c>
      <c r="AD1056" t="str">
        <f>IF(H_A[[#This Row],[PercentSalaryHike]]&lt;13,"Low",IF(H_A[[#This Row],[PercentSalaryHike]]&lt;18,"Medium","High"))</f>
        <v>Medium</v>
      </c>
    </row>
    <row r="1057" spans="1:30" x14ac:dyDescent="0.3">
      <c r="A1057">
        <v>34</v>
      </c>
      <c r="B1057">
        <v>1485</v>
      </c>
      <c r="C1057" t="s">
        <v>36</v>
      </c>
      <c r="D1057" t="s">
        <v>37</v>
      </c>
      <c r="E1057">
        <v>15</v>
      </c>
      <c r="F1057">
        <v>3</v>
      </c>
      <c r="G1057" t="s">
        <v>43</v>
      </c>
      <c r="H1057">
        <v>2</v>
      </c>
      <c r="I1057" t="s">
        <v>38</v>
      </c>
      <c r="J1057">
        <v>3</v>
      </c>
      <c r="K1057">
        <v>4</v>
      </c>
      <c r="L1057" t="s">
        <v>49</v>
      </c>
      <c r="M1057">
        <v>1</v>
      </c>
      <c r="N1057" t="s">
        <v>44</v>
      </c>
      <c r="O1057">
        <v>17007</v>
      </c>
      <c r="P1057">
        <v>7</v>
      </c>
      <c r="Q1057" t="s">
        <v>36</v>
      </c>
      <c r="R1057">
        <v>4</v>
      </c>
      <c r="S1057">
        <v>16</v>
      </c>
      <c r="T1057">
        <v>2</v>
      </c>
      <c r="U1057">
        <v>14</v>
      </c>
      <c r="V1057">
        <v>8</v>
      </c>
      <c r="W1057">
        <v>6</v>
      </c>
      <c r="X1057">
        <v>9</v>
      </c>
      <c r="Y1057">
        <v>14</v>
      </c>
      <c r="Z1057">
        <f>IF(H_A[[#This Row],[Attrition]]="Yes",1,0)</f>
        <v>0</v>
      </c>
      <c r="AA1057" t="str">
        <f>IF(H_A[[#This Row],[Age]]&lt;30,"Young",IF(H_A[[#This Row],[Age]]&lt;45,"Mid","Senior"))</f>
        <v>Mid</v>
      </c>
      <c r="AB1057" t="str">
        <f>IF(H_A[[#This Row],[MonthlyIncome]]&lt;5000,"Low",IF(H_A[[#This Row],[MonthlyIncome]]&lt;10000,"Medium","High"))</f>
        <v>High</v>
      </c>
      <c r="AC1057" t="str">
        <f>IF(H_A[[#This Row],[YearsAtCompany]]&lt;3,"Early",IF(H_A[[#This Row],[YearsAtCompany]]&lt;7,"Mid","Long"))</f>
        <v>Long</v>
      </c>
      <c r="AD1057" t="str">
        <f>IF(H_A[[#This Row],[PercentSalaryHike]]&lt;13,"Low",IF(H_A[[#This Row],[PercentSalaryHike]]&lt;18,"Medium","High"))</f>
        <v>Medium</v>
      </c>
    </row>
    <row r="1058" spans="1:30" x14ac:dyDescent="0.3">
      <c r="A1058">
        <v>28</v>
      </c>
      <c r="B1058">
        <v>1486</v>
      </c>
      <c r="C1058" t="s">
        <v>30</v>
      </c>
      <c r="D1058" t="s">
        <v>31</v>
      </c>
      <c r="E1058">
        <v>1</v>
      </c>
      <c r="F1058">
        <v>3</v>
      </c>
      <c r="G1058" t="s">
        <v>51</v>
      </c>
      <c r="H1058">
        <v>1</v>
      </c>
      <c r="I1058" t="s">
        <v>38</v>
      </c>
      <c r="J1058">
        <v>3</v>
      </c>
      <c r="K1058">
        <v>1</v>
      </c>
      <c r="L1058" t="s">
        <v>48</v>
      </c>
      <c r="M1058">
        <v>3</v>
      </c>
      <c r="N1058" t="s">
        <v>40</v>
      </c>
      <c r="O1058">
        <v>2909</v>
      </c>
      <c r="P1058">
        <v>3</v>
      </c>
      <c r="Q1058" t="s">
        <v>36</v>
      </c>
      <c r="R1058">
        <v>4</v>
      </c>
      <c r="S1058">
        <v>5</v>
      </c>
      <c r="T1058">
        <v>4</v>
      </c>
      <c r="U1058">
        <v>3</v>
      </c>
      <c r="V1058">
        <v>2</v>
      </c>
      <c r="W1058">
        <v>1</v>
      </c>
      <c r="X1058">
        <v>2</v>
      </c>
      <c r="Y1058">
        <v>15</v>
      </c>
      <c r="Z1058">
        <f>IF(H_A[[#This Row],[Attrition]]="Yes",1,0)</f>
        <v>1</v>
      </c>
      <c r="AA1058" t="str">
        <f>IF(H_A[[#This Row],[Age]]&lt;30,"Young",IF(H_A[[#This Row],[Age]]&lt;45,"Mid","Senior"))</f>
        <v>Young</v>
      </c>
      <c r="AB1058" t="str">
        <f>IF(H_A[[#This Row],[MonthlyIncome]]&lt;5000,"Low",IF(H_A[[#This Row],[MonthlyIncome]]&lt;10000,"Medium","High"))</f>
        <v>Low</v>
      </c>
      <c r="AC1058" t="str">
        <f>IF(H_A[[#This Row],[YearsAtCompany]]&lt;3,"Early",IF(H_A[[#This Row],[YearsAtCompany]]&lt;7,"Mid","Long"))</f>
        <v>Mid</v>
      </c>
      <c r="AD1058" t="str">
        <f>IF(H_A[[#This Row],[PercentSalaryHike]]&lt;13,"Low",IF(H_A[[#This Row],[PercentSalaryHike]]&lt;18,"Medium","High"))</f>
        <v>Medium</v>
      </c>
    </row>
    <row r="1059" spans="1:30" x14ac:dyDescent="0.3">
      <c r="A1059">
        <v>29</v>
      </c>
      <c r="B1059">
        <v>1487</v>
      </c>
      <c r="C1059" t="s">
        <v>30</v>
      </c>
      <c r="D1059" t="s">
        <v>31</v>
      </c>
      <c r="E1059">
        <v>13</v>
      </c>
      <c r="F1059">
        <v>3</v>
      </c>
      <c r="G1059" t="s">
        <v>51</v>
      </c>
      <c r="H1059">
        <v>1</v>
      </c>
      <c r="I1059" t="s">
        <v>33</v>
      </c>
      <c r="J1059">
        <v>3</v>
      </c>
      <c r="K1059">
        <v>2</v>
      </c>
      <c r="L1059" t="s">
        <v>34</v>
      </c>
      <c r="M1059">
        <v>2</v>
      </c>
      <c r="N1059" t="s">
        <v>35</v>
      </c>
      <c r="O1059">
        <v>5765</v>
      </c>
      <c r="P1059">
        <v>5</v>
      </c>
      <c r="Q1059" t="s">
        <v>36</v>
      </c>
      <c r="R1059">
        <v>1</v>
      </c>
      <c r="S1059">
        <v>7</v>
      </c>
      <c r="T1059">
        <v>1</v>
      </c>
      <c r="U1059">
        <v>5</v>
      </c>
      <c r="V1059">
        <v>3</v>
      </c>
      <c r="W1059">
        <v>0</v>
      </c>
      <c r="X1059">
        <v>0</v>
      </c>
      <c r="Y1059">
        <v>11</v>
      </c>
      <c r="Z1059">
        <f>IF(H_A[[#This Row],[Attrition]]="Yes",1,0)</f>
        <v>1</v>
      </c>
      <c r="AA1059" t="str">
        <f>IF(H_A[[#This Row],[Age]]&lt;30,"Young",IF(H_A[[#This Row],[Age]]&lt;45,"Mid","Senior"))</f>
        <v>Young</v>
      </c>
      <c r="AB1059" t="str">
        <f>IF(H_A[[#This Row],[MonthlyIncome]]&lt;5000,"Low",IF(H_A[[#This Row],[MonthlyIncome]]&lt;10000,"Medium","High"))</f>
        <v>Medium</v>
      </c>
      <c r="AC1059" t="str">
        <f>IF(H_A[[#This Row],[YearsAtCompany]]&lt;3,"Early",IF(H_A[[#This Row],[YearsAtCompany]]&lt;7,"Mid","Long"))</f>
        <v>Mid</v>
      </c>
      <c r="AD1059" t="str">
        <f>IF(H_A[[#This Row],[PercentSalaryHike]]&lt;13,"Low",IF(H_A[[#This Row],[PercentSalaryHike]]&lt;18,"Medium","High"))</f>
        <v>Low</v>
      </c>
    </row>
    <row r="1060" spans="1:30" x14ac:dyDescent="0.3">
      <c r="A1060">
        <v>34</v>
      </c>
      <c r="B1060">
        <v>1489</v>
      </c>
      <c r="C1060" t="s">
        <v>30</v>
      </c>
      <c r="D1060" t="s">
        <v>31</v>
      </c>
      <c r="E1060">
        <v>24</v>
      </c>
      <c r="F1060">
        <v>4</v>
      </c>
      <c r="G1060" t="s">
        <v>43</v>
      </c>
      <c r="H1060">
        <v>1</v>
      </c>
      <c r="I1060" t="s">
        <v>33</v>
      </c>
      <c r="J1060">
        <v>2</v>
      </c>
      <c r="K1060">
        <v>2</v>
      </c>
      <c r="L1060" t="s">
        <v>34</v>
      </c>
      <c r="M1060">
        <v>2</v>
      </c>
      <c r="N1060" t="s">
        <v>35</v>
      </c>
      <c r="O1060">
        <v>4599</v>
      </c>
      <c r="P1060">
        <v>0</v>
      </c>
      <c r="Q1060" t="s">
        <v>30</v>
      </c>
      <c r="R1060">
        <v>3</v>
      </c>
      <c r="S1060">
        <v>16</v>
      </c>
      <c r="T1060">
        <v>4</v>
      </c>
      <c r="U1060">
        <v>15</v>
      </c>
      <c r="V1060">
        <v>9</v>
      </c>
      <c r="W1060">
        <v>10</v>
      </c>
      <c r="X1060">
        <v>10</v>
      </c>
      <c r="Y1060">
        <v>23</v>
      </c>
      <c r="Z1060">
        <f>IF(H_A[[#This Row],[Attrition]]="Yes",1,0)</f>
        <v>1</v>
      </c>
      <c r="AA1060" t="str">
        <f>IF(H_A[[#This Row],[Age]]&lt;30,"Young",IF(H_A[[#This Row],[Age]]&lt;45,"Mid","Senior"))</f>
        <v>Mid</v>
      </c>
      <c r="AB1060" t="str">
        <f>IF(H_A[[#This Row],[MonthlyIncome]]&lt;5000,"Low",IF(H_A[[#This Row],[MonthlyIncome]]&lt;10000,"Medium","High"))</f>
        <v>Low</v>
      </c>
      <c r="AC1060" t="str">
        <f>IF(H_A[[#This Row],[YearsAtCompany]]&lt;3,"Early",IF(H_A[[#This Row],[YearsAtCompany]]&lt;7,"Mid","Long"))</f>
        <v>Long</v>
      </c>
      <c r="AD1060" t="str">
        <f>IF(H_A[[#This Row],[PercentSalaryHike]]&lt;13,"Low",IF(H_A[[#This Row],[PercentSalaryHike]]&lt;18,"Medium","High"))</f>
        <v>High</v>
      </c>
    </row>
    <row r="1061" spans="1:30" x14ac:dyDescent="0.3">
      <c r="A1061">
        <v>35</v>
      </c>
      <c r="B1061">
        <v>1492</v>
      </c>
      <c r="C1061" t="s">
        <v>36</v>
      </c>
      <c r="D1061" t="s">
        <v>31</v>
      </c>
      <c r="E1061">
        <v>7</v>
      </c>
      <c r="F1061">
        <v>1</v>
      </c>
      <c r="G1061" t="s">
        <v>32</v>
      </c>
      <c r="H1061">
        <v>4</v>
      </c>
      <c r="I1061" t="s">
        <v>38</v>
      </c>
      <c r="J1061">
        <v>3</v>
      </c>
      <c r="K1061">
        <v>1</v>
      </c>
      <c r="L1061" t="s">
        <v>48</v>
      </c>
      <c r="M1061">
        <v>3</v>
      </c>
      <c r="N1061" t="s">
        <v>40</v>
      </c>
      <c r="O1061">
        <v>2404</v>
      </c>
      <c r="P1061">
        <v>1</v>
      </c>
      <c r="Q1061" t="s">
        <v>36</v>
      </c>
      <c r="R1061">
        <v>1</v>
      </c>
      <c r="S1061">
        <v>1</v>
      </c>
      <c r="T1061">
        <v>3</v>
      </c>
      <c r="U1061">
        <v>1</v>
      </c>
      <c r="V1061">
        <v>0</v>
      </c>
      <c r="W1061">
        <v>0</v>
      </c>
      <c r="X1061">
        <v>0</v>
      </c>
      <c r="Y1061">
        <v>13</v>
      </c>
      <c r="Z1061">
        <f>IF(H_A[[#This Row],[Attrition]]="Yes",1,0)</f>
        <v>0</v>
      </c>
      <c r="AA1061" t="str">
        <f>IF(H_A[[#This Row],[Age]]&lt;30,"Young",IF(H_A[[#This Row],[Age]]&lt;45,"Mid","Senior"))</f>
        <v>Mid</v>
      </c>
      <c r="AB1061" t="str">
        <f>IF(H_A[[#This Row],[MonthlyIncome]]&lt;5000,"Low",IF(H_A[[#This Row],[MonthlyIncome]]&lt;10000,"Medium","High"))</f>
        <v>Low</v>
      </c>
      <c r="AC1061" t="str">
        <f>IF(H_A[[#This Row],[YearsAtCompany]]&lt;3,"Early",IF(H_A[[#This Row],[YearsAtCompany]]&lt;7,"Mid","Long"))</f>
        <v>Early</v>
      </c>
      <c r="AD1061" t="str">
        <f>IF(H_A[[#This Row],[PercentSalaryHike]]&lt;13,"Low",IF(H_A[[#This Row],[PercentSalaryHike]]&lt;18,"Medium","High"))</f>
        <v>Medium</v>
      </c>
    </row>
    <row r="1062" spans="1:30" x14ac:dyDescent="0.3">
      <c r="A1062">
        <v>24</v>
      </c>
      <c r="B1062">
        <v>1494</v>
      </c>
      <c r="C1062" t="s">
        <v>30</v>
      </c>
      <c r="D1062" t="s">
        <v>37</v>
      </c>
      <c r="E1062">
        <v>9</v>
      </c>
      <c r="F1062">
        <v>3</v>
      </c>
      <c r="G1062" t="s">
        <v>43</v>
      </c>
      <c r="H1062">
        <v>2</v>
      </c>
      <c r="I1062" t="s">
        <v>38</v>
      </c>
      <c r="J1062">
        <v>3</v>
      </c>
      <c r="K1062">
        <v>1</v>
      </c>
      <c r="L1062" t="s">
        <v>42</v>
      </c>
      <c r="M1062">
        <v>1</v>
      </c>
      <c r="N1062" t="s">
        <v>35</v>
      </c>
      <c r="O1062">
        <v>3172</v>
      </c>
      <c r="P1062">
        <v>2</v>
      </c>
      <c r="Q1062" t="s">
        <v>30</v>
      </c>
      <c r="R1062">
        <v>3</v>
      </c>
      <c r="S1062">
        <v>4</v>
      </c>
      <c r="T1062">
        <v>2</v>
      </c>
      <c r="U1062">
        <v>0</v>
      </c>
      <c r="V1062">
        <v>0</v>
      </c>
      <c r="W1062">
        <v>0</v>
      </c>
      <c r="X1062">
        <v>0</v>
      </c>
      <c r="Y1062">
        <v>11</v>
      </c>
      <c r="Z1062">
        <f>IF(H_A[[#This Row],[Attrition]]="Yes",1,0)</f>
        <v>1</v>
      </c>
      <c r="AA1062" t="str">
        <f>IF(H_A[[#This Row],[Age]]&lt;30,"Young",IF(H_A[[#This Row],[Age]]&lt;45,"Mid","Senior"))</f>
        <v>Young</v>
      </c>
      <c r="AB1062" t="str">
        <f>IF(H_A[[#This Row],[MonthlyIncome]]&lt;5000,"Low",IF(H_A[[#This Row],[MonthlyIncome]]&lt;10000,"Medium","High"))</f>
        <v>Low</v>
      </c>
      <c r="AC1062" t="str">
        <f>IF(H_A[[#This Row],[YearsAtCompany]]&lt;3,"Early",IF(H_A[[#This Row],[YearsAtCompany]]&lt;7,"Mid","Long"))</f>
        <v>Early</v>
      </c>
      <c r="AD1062" t="str">
        <f>IF(H_A[[#This Row],[PercentSalaryHike]]&lt;13,"Low",IF(H_A[[#This Row],[PercentSalaryHike]]&lt;18,"Medium","High"))</f>
        <v>Low</v>
      </c>
    </row>
    <row r="1063" spans="1:30" x14ac:dyDescent="0.3">
      <c r="A1063">
        <v>24</v>
      </c>
      <c r="B1063">
        <v>1495</v>
      </c>
      <c r="C1063" t="s">
        <v>36</v>
      </c>
      <c r="D1063" t="s">
        <v>31</v>
      </c>
      <c r="E1063">
        <v>13</v>
      </c>
      <c r="F1063">
        <v>2</v>
      </c>
      <c r="G1063" t="s">
        <v>32</v>
      </c>
      <c r="H1063">
        <v>4</v>
      </c>
      <c r="I1063" t="s">
        <v>33</v>
      </c>
      <c r="J1063">
        <v>3</v>
      </c>
      <c r="K1063">
        <v>1</v>
      </c>
      <c r="L1063" t="s">
        <v>48</v>
      </c>
      <c r="M1063">
        <v>2</v>
      </c>
      <c r="N1063" t="s">
        <v>40</v>
      </c>
      <c r="O1063">
        <v>2033</v>
      </c>
      <c r="P1063">
        <v>1</v>
      </c>
      <c r="Q1063" t="s">
        <v>36</v>
      </c>
      <c r="R1063">
        <v>3</v>
      </c>
      <c r="S1063">
        <v>1</v>
      </c>
      <c r="T1063">
        <v>3</v>
      </c>
      <c r="U1063">
        <v>1</v>
      </c>
      <c r="V1063">
        <v>0</v>
      </c>
      <c r="W1063">
        <v>0</v>
      </c>
      <c r="X1063">
        <v>0</v>
      </c>
      <c r="Y1063">
        <v>13</v>
      </c>
      <c r="Z1063">
        <f>IF(H_A[[#This Row],[Attrition]]="Yes",1,0)</f>
        <v>0</v>
      </c>
      <c r="AA1063" t="str">
        <f>IF(H_A[[#This Row],[Age]]&lt;30,"Young",IF(H_A[[#This Row],[Age]]&lt;45,"Mid","Senior"))</f>
        <v>Young</v>
      </c>
      <c r="AB1063" t="str">
        <f>IF(H_A[[#This Row],[MonthlyIncome]]&lt;5000,"Low",IF(H_A[[#This Row],[MonthlyIncome]]&lt;10000,"Medium","High"))</f>
        <v>Low</v>
      </c>
      <c r="AC1063" t="str">
        <f>IF(H_A[[#This Row],[YearsAtCompany]]&lt;3,"Early",IF(H_A[[#This Row],[YearsAtCompany]]&lt;7,"Mid","Long"))</f>
        <v>Early</v>
      </c>
      <c r="AD1063" t="str">
        <f>IF(H_A[[#This Row],[PercentSalaryHike]]&lt;13,"Low",IF(H_A[[#This Row],[PercentSalaryHike]]&lt;18,"Medium","High"))</f>
        <v>Medium</v>
      </c>
    </row>
    <row r="1064" spans="1:30" x14ac:dyDescent="0.3">
      <c r="A1064">
        <v>44</v>
      </c>
      <c r="B1064">
        <v>1496</v>
      </c>
      <c r="C1064" t="s">
        <v>36</v>
      </c>
      <c r="D1064" t="s">
        <v>37</v>
      </c>
      <c r="E1064">
        <v>2</v>
      </c>
      <c r="F1064">
        <v>1</v>
      </c>
      <c r="G1064" t="s">
        <v>43</v>
      </c>
      <c r="H1064">
        <v>2</v>
      </c>
      <c r="I1064" t="s">
        <v>38</v>
      </c>
      <c r="J1064">
        <v>3</v>
      </c>
      <c r="K1064">
        <v>3</v>
      </c>
      <c r="L1064" t="s">
        <v>45</v>
      </c>
      <c r="M1064">
        <v>3</v>
      </c>
      <c r="N1064" t="s">
        <v>35</v>
      </c>
      <c r="O1064">
        <v>10209</v>
      </c>
      <c r="P1064">
        <v>5</v>
      </c>
      <c r="Q1064" t="s">
        <v>30</v>
      </c>
      <c r="R1064">
        <v>2</v>
      </c>
      <c r="S1064">
        <v>16</v>
      </c>
      <c r="T1064">
        <v>2</v>
      </c>
      <c r="U1064">
        <v>2</v>
      </c>
      <c r="V1064">
        <v>2</v>
      </c>
      <c r="W1064">
        <v>2</v>
      </c>
      <c r="X1064">
        <v>2</v>
      </c>
      <c r="Y1064">
        <v>18</v>
      </c>
      <c r="Z1064">
        <f>IF(H_A[[#This Row],[Attrition]]="Yes",1,0)</f>
        <v>0</v>
      </c>
      <c r="AA1064" t="str">
        <f>IF(H_A[[#This Row],[Age]]&lt;30,"Young",IF(H_A[[#This Row],[Age]]&lt;45,"Mid","Senior"))</f>
        <v>Mid</v>
      </c>
      <c r="AB1064" t="str">
        <f>IF(H_A[[#This Row],[MonthlyIncome]]&lt;5000,"Low",IF(H_A[[#This Row],[MonthlyIncome]]&lt;10000,"Medium","High"))</f>
        <v>High</v>
      </c>
      <c r="AC1064" t="str">
        <f>IF(H_A[[#This Row],[YearsAtCompany]]&lt;3,"Early",IF(H_A[[#This Row],[YearsAtCompany]]&lt;7,"Mid","Long"))</f>
        <v>Early</v>
      </c>
      <c r="AD1064" t="str">
        <f>IF(H_A[[#This Row],[PercentSalaryHike]]&lt;13,"Low",IF(H_A[[#This Row],[PercentSalaryHike]]&lt;18,"Medium","High"))</f>
        <v>High</v>
      </c>
    </row>
    <row r="1065" spans="1:30" x14ac:dyDescent="0.3">
      <c r="A1065">
        <v>29</v>
      </c>
      <c r="B1065">
        <v>1497</v>
      </c>
      <c r="C1065" t="s">
        <v>36</v>
      </c>
      <c r="D1065" t="s">
        <v>31</v>
      </c>
      <c r="E1065">
        <v>19</v>
      </c>
      <c r="F1065">
        <v>3</v>
      </c>
      <c r="G1065" t="s">
        <v>32</v>
      </c>
      <c r="H1065">
        <v>3</v>
      </c>
      <c r="I1065" t="s">
        <v>38</v>
      </c>
      <c r="J1065">
        <v>2</v>
      </c>
      <c r="K1065">
        <v>2</v>
      </c>
      <c r="L1065" t="s">
        <v>34</v>
      </c>
      <c r="M1065">
        <v>3</v>
      </c>
      <c r="N1065" t="s">
        <v>44</v>
      </c>
      <c r="O1065">
        <v>8620</v>
      </c>
      <c r="P1065">
        <v>1</v>
      </c>
      <c r="Q1065" t="s">
        <v>36</v>
      </c>
      <c r="R1065">
        <v>3</v>
      </c>
      <c r="S1065">
        <v>10</v>
      </c>
      <c r="T1065">
        <v>3</v>
      </c>
      <c r="U1065">
        <v>10</v>
      </c>
      <c r="V1065">
        <v>7</v>
      </c>
      <c r="W1065">
        <v>0</v>
      </c>
      <c r="X1065">
        <v>4</v>
      </c>
      <c r="Y1065">
        <v>14</v>
      </c>
      <c r="Z1065">
        <f>IF(H_A[[#This Row],[Attrition]]="Yes",1,0)</f>
        <v>0</v>
      </c>
      <c r="AA1065" t="str">
        <f>IF(H_A[[#This Row],[Age]]&lt;30,"Young",IF(H_A[[#This Row],[Age]]&lt;45,"Mid","Senior"))</f>
        <v>Young</v>
      </c>
      <c r="AB1065" t="str">
        <f>IF(H_A[[#This Row],[MonthlyIncome]]&lt;5000,"Low",IF(H_A[[#This Row],[MonthlyIncome]]&lt;10000,"Medium","High"))</f>
        <v>Medium</v>
      </c>
      <c r="AC1065" t="str">
        <f>IF(H_A[[#This Row],[YearsAtCompany]]&lt;3,"Early",IF(H_A[[#This Row],[YearsAtCompany]]&lt;7,"Mid","Long"))</f>
        <v>Long</v>
      </c>
      <c r="AD1065" t="str">
        <f>IF(H_A[[#This Row],[PercentSalaryHike]]&lt;13,"Low",IF(H_A[[#This Row],[PercentSalaryHike]]&lt;18,"Medium","High"))</f>
        <v>Medium</v>
      </c>
    </row>
    <row r="1066" spans="1:30" x14ac:dyDescent="0.3">
      <c r="A1066">
        <v>30</v>
      </c>
      <c r="B1066">
        <v>1499</v>
      </c>
      <c r="C1066" t="s">
        <v>36</v>
      </c>
      <c r="D1066" t="s">
        <v>52</v>
      </c>
      <c r="E1066">
        <v>1</v>
      </c>
      <c r="F1066">
        <v>3</v>
      </c>
      <c r="G1066" t="s">
        <v>32</v>
      </c>
      <c r="H1066">
        <v>3</v>
      </c>
      <c r="I1066" t="s">
        <v>38</v>
      </c>
      <c r="J1066">
        <v>3</v>
      </c>
      <c r="K1066">
        <v>1</v>
      </c>
      <c r="L1066" t="s">
        <v>52</v>
      </c>
      <c r="M1066">
        <v>3</v>
      </c>
      <c r="N1066" t="s">
        <v>44</v>
      </c>
      <c r="O1066">
        <v>2064</v>
      </c>
      <c r="P1066">
        <v>0</v>
      </c>
      <c r="Q1066" t="s">
        <v>36</v>
      </c>
      <c r="R1066">
        <v>1</v>
      </c>
      <c r="S1066">
        <v>6</v>
      </c>
      <c r="T1066">
        <v>4</v>
      </c>
      <c r="U1066">
        <v>5</v>
      </c>
      <c r="V1066">
        <v>3</v>
      </c>
      <c r="W1066">
        <v>1</v>
      </c>
      <c r="X1066">
        <v>3</v>
      </c>
      <c r="Y1066">
        <v>21</v>
      </c>
      <c r="Z1066">
        <f>IF(H_A[[#This Row],[Attrition]]="Yes",1,0)</f>
        <v>0</v>
      </c>
      <c r="AA1066" t="str">
        <f>IF(H_A[[#This Row],[Age]]&lt;30,"Young",IF(H_A[[#This Row],[Age]]&lt;45,"Mid","Senior"))</f>
        <v>Mid</v>
      </c>
      <c r="AB1066" t="str">
        <f>IF(H_A[[#This Row],[MonthlyIncome]]&lt;5000,"Low",IF(H_A[[#This Row],[MonthlyIncome]]&lt;10000,"Medium","High"))</f>
        <v>Low</v>
      </c>
      <c r="AC1066" t="str">
        <f>IF(H_A[[#This Row],[YearsAtCompany]]&lt;3,"Early",IF(H_A[[#This Row],[YearsAtCompany]]&lt;7,"Mid","Long"))</f>
        <v>Mid</v>
      </c>
      <c r="AD1066" t="str">
        <f>IF(H_A[[#This Row],[PercentSalaryHike]]&lt;13,"Low",IF(H_A[[#This Row],[PercentSalaryHike]]&lt;18,"Medium","High"))</f>
        <v>High</v>
      </c>
    </row>
    <row r="1067" spans="1:30" x14ac:dyDescent="0.3">
      <c r="A1067">
        <v>55</v>
      </c>
      <c r="B1067">
        <v>1501</v>
      </c>
      <c r="C1067" t="s">
        <v>36</v>
      </c>
      <c r="D1067" t="s">
        <v>37</v>
      </c>
      <c r="E1067">
        <v>4</v>
      </c>
      <c r="F1067">
        <v>4</v>
      </c>
      <c r="G1067" t="s">
        <v>32</v>
      </c>
      <c r="H1067">
        <v>4</v>
      </c>
      <c r="I1067" t="s">
        <v>38</v>
      </c>
      <c r="J1067">
        <v>3</v>
      </c>
      <c r="K1067">
        <v>2</v>
      </c>
      <c r="L1067" t="s">
        <v>46</v>
      </c>
      <c r="M1067">
        <v>3</v>
      </c>
      <c r="N1067" t="s">
        <v>40</v>
      </c>
      <c r="O1067">
        <v>4035</v>
      </c>
      <c r="P1067">
        <v>0</v>
      </c>
      <c r="Q1067" t="s">
        <v>30</v>
      </c>
      <c r="R1067">
        <v>2</v>
      </c>
      <c r="S1067">
        <v>4</v>
      </c>
      <c r="T1067">
        <v>3</v>
      </c>
      <c r="U1067">
        <v>3</v>
      </c>
      <c r="V1067">
        <v>2</v>
      </c>
      <c r="W1067">
        <v>1</v>
      </c>
      <c r="X1067">
        <v>2</v>
      </c>
      <c r="Y1067">
        <v>16</v>
      </c>
      <c r="Z1067">
        <f>IF(H_A[[#This Row],[Attrition]]="Yes",1,0)</f>
        <v>0</v>
      </c>
      <c r="AA1067" t="str">
        <f>IF(H_A[[#This Row],[Age]]&lt;30,"Young",IF(H_A[[#This Row],[Age]]&lt;45,"Mid","Senior"))</f>
        <v>Senior</v>
      </c>
      <c r="AB1067" t="str">
        <f>IF(H_A[[#This Row],[MonthlyIncome]]&lt;5000,"Low",IF(H_A[[#This Row],[MonthlyIncome]]&lt;10000,"Medium","High"))</f>
        <v>Low</v>
      </c>
      <c r="AC1067" t="str">
        <f>IF(H_A[[#This Row],[YearsAtCompany]]&lt;3,"Early",IF(H_A[[#This Row],[YearsAtCompany]]&lt;7,"Mid","Long"))</f>
        <v>Mid</v>
      </c>
      <c r="AD1067" t="str">
        <f>IF(H_A[[#This Row],[PercentSalaryHike]]&lt;13,"Low",IF(H_A[[#This Row],[PercentSalaryHike]]&lt;18,"Medium","High"))</f>
        <v>Medium</v>
      </c>
    </row>
    <row r="1068" spans="1:30" x14ac:dyDescent="0.3">
      <c r="A1068">
        <v>33</v>
      </c>
      <c r="B1068">
        <v>1502</v>
      </c>
      <c r="C1068" t="s">
        <v>36</v>
      </c>
      <c r="D1068" t="s">
        <v>37</v>
      </c>
      <c r="E1068">
        <v>4</v>
      </c>
      <c r="F1068">
        <v>4</v>
      </c>
      <c r="G1068" t="s">
        <v>43</v>
      </c>
      <c r="H1068">
        <v>1</v>
      </c>
      <c r="I1068" t="s">
        <v>33</v>
      </c>
      <c r="J1068">
        <v>2</v>
      </c>
      <c r="K1068">
        <v>1</v>
      </c>
      <c r="L1068" t="s">
        <v>42</v>
      </c>
      <c r="M1068">
        <v>2</v>
      </c>
      <c r="N1068" t="s">
        <v>40</v>
      </c>
      <c r="O1068">
        <v>3838</v>
      </c>
      <c r="P1068">
        <v>8</v>
      </c>
      <c r="Q1068" t="s">
        <v>36</v>
      </c>
      <c r="R1068">
        <v>4</v>
      </c>
      <c r="S1068">
        <v>8</v>
      </c>
      <c r="T1068">
        <v>3</v>
      </c>
      <c r="U1068">
        <v>5</v>
      </c>
      <c r="V1068">
        <v>4</v>
      </c>
      <c r="W1068">
        <v>0</v>
      </c>
      <c r="X1068">
        <v>2</v>
      </c>
      <c r="Y1068">
        <v>11</v>
      </c>
      <c r="Z1068">
        <f>IF(H_A[[#This Row],[Attrition]]="Yes",1,0)</f>
        <v>0</v>
      </c>
      <c r="AA1068" t="str">
        <f>IF(H_A[[#This Row],[Age]]&lt;30,"Young",IF(H_A[[#This Row],[Age]]&lt;45,"Mid","Senior"))</f>
        <v>Mid</v>
      </c>
      <c r="AB1068" t="str">
        <f>IF(H_A[[#This Row],[MonthlyIncome]]&lt;5000,"Low",IF(H_A[[#This Row],[MonthlyIncome]]&lt;10000,"Medium","High"))</f>
        <v>Low</v>
      </c>
      <c r="AC1068" t="str">
        <f>IF(H_A[[#This Row],[YearsAtCompany]]&lt;3,"Early",IF(H_A[[#This Row],[YearsAtCompany]]&lt;7,"Mid","Long"))</f>
        <v>Mid</v>
      </c>
      <c r="AD1068" t="str">
        <f>IF(H_A[[#This Row],[PercentSalaryHike]]&lt;13,"Low",IF(H_A[[#This Row],[PercentSalaryHike]]&lt;18,"Medium","High"))</f>
        <v>Low</v>
      </c>
    </row>
    <row r="1069" spans="1:30" x14ac:dyDescent="0.3">
      <c r="A1069">
        <v>47</v>
      </c>
      <c r="B1069">
        <v>1503</v>
      </c>
      <c r="C1069" t="s">
        <v>36</v>
      </c>
      <c r="D1069" t="s">
        <v>31</v>
      </c>
      <c r="E1069">
        <v>14</v>
      </c>
      <c r="F1069">
        <v>3</v>
      </c>
      <c r="G1069" t="s">
        <v>43</v>
      </c>
      <c r="H1069">
        <v>3</v>
      </c>
      <c r="I1069" t="s">
        <v>33</v>
      </c>
      <c r="J1069">
        <v>3</v>
      </c>
      <c r="K1069">
        <v>2</v>
      </c>
      <c r="L1069" t="s">
        <v>34</v>
      </c>
      <c r="M1069">
        <v>3</v>
      </c>
      <c r="N1069" t="s">
        <v>40</v>
      </c>
      <c r="O1069">
        <v>4591</v>
      </c>
      <c r="P1069">
        <v>3</v>
      </c>
      <c r="Q1069" t="s">
        <v>30</v>
      </c>
      <c r="R1069">
        <v>3</v>
      </c>
      <c r="S1069">
        <v>11</v>
      </c>
      <c r="T1069">
        <v>2</v>
      </c>
      <c r="U1069">
        <v>5</v>
      </c>
      <c r="V1069">
        <v>4</v>
      </c>
      <c r="W1069">
        <v>1</v>
      </c>
      <c r="X1069">
        <v>2</v>
      </c>
      <c r="Y1069">
        <v>17</v>
      </c>
      <c r="Z1069">
        <f>IF(H_A[[#This Row],[Attrition]]="Yes",1,0)</f>
        <v>0</v>
      </c>
      <c r="AA1069" t="str">
        <f>IF(H_A[[#This Row],[Age]]&lt;30,"Young",IF(H_A[[#This Row],[Age]]&lt;45,"Mid","Senior"))</f>
        <v>Senior</v>
      </c>
      <c r="AB1069" t="str">
        <f>IF(H_A[[#This Row],[MonthlyIncome]]&lt;5000,"Low",IF(H_A[[#This Row],[MonthlyIncome]]&lt;10000,"Medium","High"))</f>
        <v>Low</v>
      </c>
      <c r="AC1069" t="str">
        <f>IF(H_A[[#This Row],[YearsAtCompany]]&lt;3,"Early",IF(H_A[[#This Row],[YearsAtCompany]]&lt;7,"Mid","Long"))</f>
        <v>Mid</v>
      </c>
      <c r="AD1069" t="str">
        <f>IF(H_A[[#This Row],[PercentSalaryHike]]&lt;13,"Low",IF(H_A[[#This Row],[PercentSalaryHike]]&lt;18,"Medium","High"))</f>
        <v>Medium</v>
      </c>
    </row>
    <row r="1070" spans="1:30" x14ac:dyDescent="0.3">
      <c r="A1070">
        <v>28</v>
      </c>
      <c r="B1070">
        <v>1504</v>
      </c>
      <c r="C1070" t="s">
        <v>30</v>
      </c>
      <c r="D1070" t="s">
        <v>37</v>
      </c>
      <c r="E1070">
        <v>2</v>
      </c>
      <c r="F1070">
        <v>2</v>
      </c>
      <c r="G1070" t="s">
        <v>43</v>
      </c>
      <c r="H1070">
        <v>3</v>
      </c>
      <c r="I1070" t="s">
        <v>38</v>
      </c>
      <c r="J1070">
        <v>2</v>
      </c>
      <c r="K1070">
        <v>1</v>
      </c>
      <c r="L1070" t="s">
        <v>42</v>
      </c>
      <c r="M1070">
        <v>1</v>
      </c>
      <c r="N1070" t="s">
        <v>35</v>
      </c>
      <c r="O1070">
        <v>2561</v>
      </c>
      <c r="P1070">
        <v>7</v>
      </c>
      <c r="Q1070" t="s">
        <v>36</v>
      </c>
      <c r="R1070">
        <v>3</v>
      </c>
      <c r="S1070">
        <v>8</v>
      </c>
      <c r="T1070">
        <v>2</v>
      </c>
      <c r="U1070">
        <v>0</v>
      </c>
      <c r="V1070">
        <v>0</v>
      </c>
      <c r="W1070">
        <v>0</v>
      </c>
      <c r="X1070">
        <v>0</v>
      </c>
      <c r="Y1070">
        <v>11</v>
      </c>
      <c r="Z1070">
        <f>IF(H_A[[#This Row],[Attrition]]="Yes",1,0)</f>
        <v>1</v>
      </c>
      <c r="AA1070" t="str">
        <f>IF(H_A[[#This Row],[Age]]&lt;30,"Young",IF(H_A[[#This Row],[Age]]&lt;45,"Mid","Senior"))</f>
        <v>Young</v>
      </c>
      <c r="AB1070" t="str">
        <f>IF(H_A[[#This Row],[MonthlyIncome]]&lt;5000,"Low",IF(H_A[[#This Row],[MonthlyIncome]]&lt;10000,"Medium","High"))</f>
        <v>Low</v>
      </c>
      <c r="AC1070" t="str">
        <f>IF(H_A[[#This Row],[YearsAtCompany]]&lt;3,"Early",IF(H_A[[#This Row],[YearsAtCompany]]&lt;7,"Mid","Long"))</f>
        <v>Early</v>
      </c>
      <c r="AD1070" t="str">
        <f>IF(H_A[[#This Row],[PercentSalaryHike]]&lt;13,"Low",IF(H_A[[#This Row],[PercentSalaryHike]]&lt;18,"Medium","High"))</f>
        <v>Low</v>
      </c>
    </row>
    <row r="1071" spans="1:30" x14ac:dyDescent="0.3">
      <c r="A1071">
        <v>28</v>
      </c>
      <c r="B1071">
        <v>1506</v>
      </c>
      <c r="C1071" t="s">
        <v>36</v>
      </c>
      <c r="D1071" t="s">
        <v>37</v>
      </c>
      <c r="E1071">
        <v>1</v>
      </c>
      <c r="F1071">
        <v>3</v>
      </c>
      <c r="G1071" t="s">
        <v>32</v>
      </c>
      <c r="H1071">
        <v>1</v>
      </c>
      <c r="I1071" t="s">
        <v>38</v>
      </c>
      <c r="J1071">
        <v>2</v>
      </c>
      <c r="K1071">
        <v>1</v>
      </c>
      <c r="L1071" t="s">
        <v>39</v>
      </c>
      <c r="M1071">
        <v>3</v>
      </c>
      <c r="N1071" t="s">
        <v>44</v>
      </c>
      <c r="O1071">
        <v>1563</v>
      </c>
      <c r="P1071">
        <v>1</v>
      </c>
      <c r="Q1071" t="s">
        <v>36</v>
      </c>
      <c r="R1071">
        <v>4</v>
      </c>
      <c r="S1071">
        <v>1</v>
      </c>
      <c r="T1071">
        <v>1</v>
      </c>
      <c r="U1071">
        <v>1</v>
      </c>
      <c r="V1071">
        <v>0</v>
      </c>
      <c r="W1071">
        <v>0</v>
      </c>
      <c r="X1071">
        <v>0</v>
      </c>
      <c r="Y1071">
        <v>14</v>
      </c>
      <c r="Z1071">
        <f>IF(H_A[[#This Row],[Attrition]]="Yes",1,0)</f>
        <v>0</v>
      </c>
      <c r="AA1071" t="str">
        <f>IF(H_A[[#This Row],[Age]]&lt;30,"Young",IF(H_A[[#This Row],[Age]]&lt;45,"Mid","Senior"))</f>
        <v>Young</v>
      </c>
      <c r="AB1071" t="str">
        <f>IF(H_A[[#This Row],[MonthlyIncome]]&lt;5000,"Low",IF(H_A[[#This Row],[MonthlyIncome]]&lt;10000,"Medium","High"))</f>
        <v>Low</v>
      </c>
      <c r="AC1071" t="str">
        <f>IF(H_A[[#This Row],[YearsAtCompany]]&lt;3,"Early",IF(H_A[[#This Row],[YearsAtCompany]]&lt;7,"Mid","Long"))</f>
        <v>Early</v>
      </c>
      <c r="AD1071" t="str">
        <f>IF(H_A[[#This Row],[PercentSalaryHike]]&lt;13,"Low",IF(H_A[[#This Row],[PercentSalaryHike]]&lt;18,"Medium","High"))</f>
        <v>Medium</v>
      </c>
    </row>
    <row r="1072" spans="1:30" x14ac:dyDescent="0.3">
      <c r="A1072">
        <v>28</v>
      </c>
      <c r="B1072">
        <v>1507</v>
      </c>
      <c r="C1072" t="s">
        <v>36</v>
      </c>
      <c r="D1072" t="s">
        <v>31</v>
      </c>
      <c r="E1072">
        <v>7</v>
      </c>
      <c r="F1072">
        <v>3</v>
      </c>
      <c r="G1072" t="s">
        <v>32</v>
      </c>
      <c r="H1072">
        <v>3</v>
      </c>
      <c r="I1072" t="s">
        <v>38</v>
      </c>
      <c r="J1072">
        <v>3</v>
      </c>
      <c r="K1072">
        <v>2</v>
      </c>
      <c r="L1072" t="s">
        <v>34</v>
      </c>
      <c r="M1072">
        <v>1</v>
      </c>
      <c r="N1072" t="s">
        <v>35</v>
      </c>
      <c r="O1072">
        <v>4898</v>
      </c>
      <c r="P1072">
        <v>0</v>
      </c>
      <c r="Q1072" t="s">
        <v>36</v>
      </c>
      <c r="R1072">
        <v>4</v>
      </c>
      <c r="S1072">
        <v>5</v>
      </c>
      <c r="T1072">
        <v>3</v>
      </c>
      <c r="U1072">
        <v>4</v>
      </c>
      <c r="V1072">
        <v>2</v>
      </c>
      <c r="W1072">
        <v>1</v>
      </c>
      <c r="X1072">
        <v>3</v>
      </c>
      <c r="Y1072">
        <v>14</v>
      </c>
      <c r="Z1072">
        <f>IF(H_A[[#This Row],[Attrition]]="Yes",1,0)</f>
        <v>0</v>
      </c>
      <c r="AA1072" t="str">
        <f>IF(H_A[[#This Row],[Age]]&lt;30,"Young",IF(H_A[[#This Row],[Age]]&lt;45,"Mid","Senior"))</f>
        <v>Young</v>
      </c>
      <c r="AB1072" t="str">
        <f>IF(H_A[[#This Row],[MonthlyIncome]]&lt;5000,"Low",IF(H_A[[#This Row],[MonthlyIncome]]&lt;10000,"Medium","High"))</f>
        <v>Low</v>
      </c>
      <c r="AC1072" t="str">
        <f>IF(H_A[[#This Row],[YearsAtCompany]]&lt;3,"Early",IF(H_A[[#This Row],[YearsAtCompany]]&lt;7,"Mid","Long"))</f>
        <v>Mid</v>
      </c>
      <c r="AD1072" t="str">
        <f>IF(H_A[[#This Row],[PercentSalaryHike]]&lt;13,"Low",IF(H_A[[#This Row],[PercentSalaryHike]]&lt;18,"Medium","High"))</f>
        <v>Medium</v>
      </c>
    </row>
    <row r="1073" spans="1:30" x14ac:dyDescent="0.3">
      <c r="A1073">
        <v>49</v>
      </c>
      <c r="B1073">
        <v>1509</v>
      </c>
      <c r="C1073" t="s">
        <v>36</v>
      </c>
      <c r="D1073" t="s">
        <v>37</v>
      </c>
      <c r="E1073">
        <v>3</v>
      </c>
      <c r="F1073">
        <v>2</v>
      </c>
      <c r="G1073" t="s">
        <v>43</v>
      </c>
      <c r="H1073">
        <v>3</v>
      </c>
      <c r="I1073" t="s">
        <v>33</v>
      </c>
      <c r="J1073">
        <v>2</v>
      </c>
      <c r="K1073">
        <v>2</v>
      </c>
      <c r="L1073" t="s">
        <v>42</v>
      </c>
      <c r="M1073">
        <v>1</v>
      </c>
      <c r="N1073" t="s">
        <v>40</v>
      </c>
      <c r="O1073">
        <v>4789</v>
      </c>
      <c r="P1073">
        <v>4</v>
      </c>
      <c r="Q1073" t="s">
        <v>36</v>
      </c>
      <c r="R1073">
        <v>1</v>
      </c>
      <c r="S1073">
        <v>10</v>
      </c>
      <c r="T1073">
        <v>3</v>
      </c>
      <c r="U1073">
        <v>3</v>
      </c>
      <c r="V1073">
        <v>2</v>
      </c>
      <c r="W1073">
        <v>1</v>
      </c>
      <c r="X1073">
        <v>2</v>
      </c>
      <c r="Y1073">
        <v>25</v>
      </c>
      <c r="Z1073">
        <f>IF(H_A[[#This Row],[Attrition]]="Yes",1,0)</f>
        <v>0</v>
      </c>
      <c r="AA1073" t="str">
        <f>IF(H_A[[#This Row],[Age]]&lt;30,"Young",IF(H_A[[#This Row],[Age]]&lt;45,"Mid","Senior"))</f>
        <v>Senior</v>
      </c>
      <c r="AB1073" t="str">
        <f>IF(H_A[[#This Row],[MonthlyIncome]]&lt;5000,"Low",IF(H_A[[#This Row],[MonthlyIncome]]&lt;10000,"Medium","High"))</f>
        <v>Low</v>
      </c>
      <c r="AC1073" t="str">
        <f>IF(H_A[[#This Row],[YearsAtCompany]]&lt;3,"Early",IF(H_A[[#This Row],[YearsAtCompany]]&lt;7,"Mid","Long"))</f>
        <v>Mid</v>
      </c>
      <c r="AD1073" t="str">
        <f>IF(H_A[[#This Row],[PercentSalaryHike]]&lt;13,"Low",IF(H_A[[#This Row],[PercentSalaryHike]]&lt;18,"Medium","High"))</f>
        <v>High</v>
      </c>
    </row>
    <row r="1074" spans="1:30" x14ac:dyDescent="0.3">
      <c r="A1074">
        <v>29</v>
      </c>
      <c r="B1074">
        <v>1513</v>
      </c>
      <c r="C1074" t="s">
        <v>36</v>
      </c>
      <c r="D1074" t="s">
        <v>37</v>
      </c>
      <c r="E1074">
        <v>2</v>
      </c>
      <c r="F1074">
        <v>1</v>
      </c>
      <c r="G1074" t="s">
        <v>32</v>
      </c>
      <c r="H1074">
        <v>4</v>
      </c>
      <c r="I1074" t="s">
        <v>33</v>
      </c>
      <c r="J1074">
        <v>3</v>
      </c>
      <c r="K1074">
        <v>1</v>
      </c>
      <c r="L1074" t="s">
        <v>42</v>
      </c>
      <c r="M1074">
        <v>2</v>
      </c>
      <c r="N1074" t="s">
        <v>40</v>
      </c>
      <c r="O1074">
        <v>3180</v>
      </c>
      <c r="P1074">
        <v>0</v>
      </c>
      <c r="Q1074" t="s">
        <v>36</v>
      </c>
      <c r="R1074">
        <v>3</v>
      </c>
      <c r="S1074">
        <v>4</v>
      </c>
      <c r="T1074">
        <v>3</v>
      </c>
      <c r="U1074">
        <v>3</v>
      </c>
      <c r="V1074">
        <v>2</v>
      </c>
      <c r="W1074">
        <v>0</v>
      </c>
      <c r="X1074">
        <v>2</v>
      </c>
      <c r="Y1074">
        <v>13</v>
      </c>
      <c r="Z1074">
        <f>IF(H_A[[#This Row],[Attrition]]="Yes",1,0)</f>
        <v>0</v>
      </c>
      <c r="AA1074" t="str">
        <f>IF(H_A[[#This Row],[Age]]&lt;30,"Young",IF(H_A[[#This Row],[Age]]&lt;45,"Mid","Senior"))</f>
        <v>Young</v>
      </c>
      <c r="AB1074" t="str">
        <f>IF(H_A[[#This Row],[MonthlyIncome]]&lt;5000,"Low",IF(H_A[[#This Row],[MonthlyIncome]]&lt;10000,"Medium","High"))</f>
        <v>Low</v>
      </c>
      <c r="AC1074" t="str">
        <f>IF(H_A[[#This Row],[YearsAtCompany]]&lt;3,"Early",IF(H_A[[#This Row],[YearsAtCompany]]&lt;7,"Mid","Long"))</f>
        <v>Mid</v>
      </c>
      <c r="AD1074" t="str">
        <f>IF(H_A[[#This Row],[PercentSalaryHike]]&lt;13,"Low",IF(H_A[[#This Row],[PercentSalaryHike]]&lt;18,"Medium","High"))</f>
        <v>Medium</v>
      </c>
    </row>
    <row r="1075" spans="1:30" x14ac:dyDescent="0.3">
      <c r="A1075">
        <v>28</v>
      </c>
      <c r="B1075">
        <v>1514</v>
      </c>
      <c r="C1075" t="s">
        <v>36</v>
      </c>
      <c r="D1075" t="s">
        <v>37</v>
      </c>
      <c r="E1075">
        <v>29</v>
      </c>
      <c r="F1075">
        <v>1</v>
      </c>
      <c r="G1075" t="s">
        <v>32</v>
      </c>
      <c r="H1075">
        <v>3</v>
      </c>
      <c r="I1075" t="s">
        <v>38</v>
      </c>
      <c r="J1075">
        <v>1</v>
      </c>
      <c r="K1075">
        <v>2</v>
      </c>
      <c r="L1075" t="s">
        <v>45</v>
      </c>
      <c r="M1075">
        <v>2</v>
      </c>
      <c r="N1075" t="s">
        <v>40</v>
      </c>
      <c r="O1075">
        <v>6549</v>
      </c>
      <c r="P1075">
        <v>1</v>
      </c>
      <c r="Q1075" t="s">
        <v>36</v>
      </c>
      <c r="R1075">
        <v>2</v>
      </c>
      <c r="S1075">
        <v>8</v>
      </c>
      <c r="T1075">
        <v>2</v>
      </c>
      <c r="U1075">
        <v>8</v>
      </c>
      <c r="V1075">
        <v>6</v>
      </c>
      <c r="W1075">
        <v>1</v>
      </c>
      <c r="X1075">
        <v>7</v>
      </c>
      <c r="Y1075">
        <v>14</v>
      </c>
      <c r="Z1075">
        <f>IF(H_A[[#This Row],[Attrition]]="Yes",1,0)</f>
        <v>0</v>
      </c>
      <c r="AA1075" t="str">
        <f>IF(H_A[[#This Row],[Age]]&lt;30,"Young",IF(H_A[[#This Row],[Age]]&lt;45,"Mid","Senior"))</f>
        <v>Young</v>
      </c>
      <c r="AB1075" t="str">
        <f>IF(H_A[[#This Row],[MonthlyIncome]]&lt;5000,"Low",IF(H_A[[#This Row],[MonthlyIncome]]&lt;10000,"Medium","High"))</f>
        <v>Medium</v>
      </c>
      <c r="AC1075" t="str">
        <f>IF(H_A[[#This Row],[YearsAtCompany]]&lt;3,"Early",IF(H_A[[#This Row],[YearsAtCompany]]&lt;7,"Mid","Long"))</f>
        <v>Long</v>
      </c>
      <c r="AD1075" t="str">
        <f>IF(H_A[[#This Row],[PercentSalaryHike]]&lt;13,"Low",IF(H_A[[#This Row],[PercentSalaryHike]]&lt;18,"Medium","High"))</f>
        <v>Medium</v>
      </c>
    </row>
    <row r="1076" spans="1:30" x14ac:dyDescent="0.3">
      <c r="A1076">
        <v>33</v>
      </c>
      <c r="B1076">
        <v>1515</v>
      </c>
      <c r="C1076" t="s">
        <v>36</v>
      </c>
      <c r="D1076" t="s">
        <v>37</v>
      </c>
      <c r="E1076">
        <v>8</v>
      </c>
      <c r="F1076">
        <v>5</v>
      </c>
      <c r="G1076" t="s">
        <v>32</v>
      </c>
      <c r="H1076">
        <v>4</v>
      </c>
      <c r="I1076" t="s">
        <v>38</v>
      </c>
      <c r="J1076">
        <v>3</v>
      </c>
      <c r="K1076">
        <v>2</v>
      </c>
      <c r="L1076" t="s">
        <v>46</v>
      </c>
      <c r="M1076">
        <v>3</v>
      </c>
      <c r="N1076" t="s">
        <v>35</v>
      </c>
      <c r="O1076">
        <v>6388</v>
      </c>
      <c r="P1076">
        <v>2</v>
      </c>
      <c r="Q1076" t="s">
        <v>30</v>
      </c>
      <c r="R1076">
        <v>1</v>
      </c>
      <c r="S1076">
        <v>14</v>
      </c>
      <c r="T1076">
        <v>3</v>
      </c>
      <c r="U1076">
        <v>0</v>
      </c>
      <c r="V1076">
        <v>0</v>
      </c>
      <c r="W1076">
        <v>0</v>
      </c>
      <c r="X1076">
        <v>0</v>
      </c>
      <c r="Y1076">
        <v>17</v>
      </c>
      <c r="Z1076">
        <f>IF(H_A[[#This Row],[Attrition]]="Yes",1,0)</f>
        <v>0</v>
      </c>
      <c r="AA1076" t="str">
        <f>IF(H_A[[#This Row],[Age]]&lt;30,"Young",IF(H_A[[#This Row],[Age]]&lt;45,"Mid","Senior"))</f>
        <v>Mid</v>
      </c>
      <c r="AB1076" t="str">
        <f>IF(H_A[[#This Row],[MonthlyIncome]]&lt;5000,"Low",IF(H_A[[#This Row],[MonthlyIncome]]&lt;10000,"Medium","High"))</f>
        <v>Medium</v>
      </c>
      <c r="AC1076" t="str">
        <f>IF(H_A[[#This Row],[YearsAtCompany]]&lt;3,"Early",IF(H_A[[#This Row],[YearsAtCompany]]&lt;7,"Mid","Long"))</f>
        <v>Early</v>
      </c>
      <c r="AD1076" t="str">
        <f>IF(H_A[[#This Row],[PercentSalaryHike]]&lt;13,"Low",IF(H_A[[#This Row],[PercentSalaryHike]]&lt;18,"Medium","High"))</f>
        <v>Medium</v>
      </c>
    </row>
    <row r="1077" spans="1:30" x14ac:dyDescent="0.3">
      <c r="A1077">
        <v>32</v>
      </c>
      <c r="B1077">
        <v>1516</v>
      </c>
      <c r="C1077" t="s">
        <v>36</v>
      </c>
      <c r="D1077" t="s">
        <v>37</v>
      </c>
      <c r="E1077">
        <v>10</v>
      </c>
      <c r="F1077">
        <v>3</v>
      </c>
      <c r="G1077" t="s">
        <v>43</v>
      </c>
      <c r="H1077">
        <v>3</v>
      </c>
      <c r="I1077" t="s">
        <v>38</v>
      </c>
      <c r="J1077">
        <v>3</v>
      </c>
      <c r="K1077">
        <v>3</v>
      </c>
      <c r="L1077" t="s">
        <v>47</v>
      </c>
      <c r="M1077">
        <v>4</v>
      </c>
      <c r="N1077" t="s">
        <v>35</v>
      </c>
      <c r="O1077">
        <v>11244</v>
      </c>
      <c r="P1077">
        <v>2</v>
      </c>
      <c r="Q1077" t="s">
        <v>36</v>
      </c>
      <c r="R1077">
        <v>2</v>
      </c>
      <c r="S1077">
        <v>10</v>
      </c>
      <c r="T1077">
        <v>4</v>
      </c>
      <c r="U1077">
        <v>5</v>
      </c>
      <c r="V1077">
        <v>2</v>
      </c>
      <c r="W1077">
        <v>0</v>
      </c>
      <c r="X1077">
        <v>0</v>
      </c>
      <c r="Y1077">
        <v>25</v>
      </c>
      <c r="Z1077">
        <f>IF(H_A[[#This Row],[Attrition]]="Yes",1,0)</f>
        <v>0</v>
      </c>
      <c r="AA1077" t="str">
        <f>IF(H_A[[#This Row],[Age]]&lt;30,"Young",IF(H_A[[#This Row],[Age]]&lt;45,"Mid","Senior"))</f>
        <v>Mid</v>
      </c>
      <c r="AB1077" t="str">
        <f>IF(H_A[[#This Row],[MonthlyIncome]]&lt;5000,"Low",IF(H_A[[#This Row],[MonthlyIncome]]&lt;10000,"Medium","High"))</f>
        <v>High</v>
      </c>
      <c r="AC1077" t="str">
        <f>IF(H_A[[#This Row],[YearsAtCompany]]&lt;3,"Early",IF(H_A[[#This Row],[YearsAtCompany]]&lt;7,"Mid","Long"))</f>
        <v>Mid</v>
      </c>
      <c r="AD1077" t="str">
        <f>IF(H_A[[#This Row],[PercentSalaryHike]]&lt;13,"Low",IF(H_A[[#This Row],[PercentSalaryHike]]&lt;18,"Medium","High"))</f>
        <v>High</v>
      </c>
    </row>
    <row r="1078" spans="1:30" x14ac:dyDescent="0.3">
      <c r="A1078">
        <v>54</v>
      </c>
      <c r="B1078">
        <v>1520</v>
      </c>
      <c r="C1078" t="s">
        <v>36</v>
      </c>
      <c r="D1078" t="s">
        <v>37</v>
      </c>
      <c r="E1078">
        <v>11</v>
      </c>
      <c r="F1078">
        <v>4</v>
      </c>
      <c r="G1078" t="s">
        <v>43</v>
      </c>
      <c r="H1078">
        <v>2</v>
      </c>
      <c r="I1078" t="s">
        <v>33</v>
      </c>
      <c r="J1078">
        <v>3</v>
      </c>
      <c r="K1078">
        <v>4</v>
      </c>
      <c r="L1078" t="s">
        <v>47</v>
      </c>
      <c r="M1078">
        <v>4</v>
      </c>
      <c r="N1078" t="s">
        <v>44</v>
      </c>
      <c r="O1078">
        <v>16032</v>
      </c>
      <c r="P1078">
        <v>3</v>
      </c>
      <c r="Q1078" t="s">
        <v>36</v>
      </c>
      <c r="R1078">
        <v>1</v>
      </c>
      <c r="S1078">
        <v>26</v>
      </c>
      <c r="T1078">
        <v>3</v>
      </c>
      <c r="U1078">
        <v>14</v>
      </c>
      <c r="V1078">
        <v>9</v>
      </c>
      <c r="W1078">
        <v>1</v>
      </c>
      <c r="X1078">
        <v>12</v>
      </c>
      <c r="Y1078">
        <v>20</v>
      </c>
      <c r="Z1078">
        <f>IF(H_A[[#This Row],[Attrition]]="Yes",1,0)</f>
        <v>0</v>
      </c>
      <c r="AA1078" t="str">
        <f>IF(H_A[[#This Row],[Age]]&lt;30,"Young",IF(H_A[[#This Row],[Age]]&lt;45,"Mid","Senior"))</f>
        <v>Senior</v>
      </c>
      <c r="AB1078" t="str">
        <f>IF(H_A[[#This Row],[MonthlyIncome]]&lt;5000,"Low",IF(H_A[[#This Row],[MonthlyIncome]]&lt;10000,"Medium","High"))</f>
        <v>High</v>
      </c>
      <c r="AC1078" t="str">
        <f>IF(H_A[[#This Row],[YearsAtCompany]]&lt;3,"Early",IF(H_A[[#This Row],[YearsAtCompany]]&lt;7,"Mid","Long"))</f>
        <v>Long</v>
      </c>
      <c r="AD1078" t="str">
        <f>IF(H_A[[#This Row],[PercentSalaryHike]]&lt;13,"Low",IF(H_A[[#This Row],[PercentSalaryHike]]&lt;18,"Medium","High"))</f>
        <v>High</v>
      </c>
    </row>
    <row r="1079" spans="1:30" x14ac:dyDescent="0.3">
      <c r="A1079">
        <v>29</v>
      </c>
      <c r="B1079">
        <v>1522</v>
      </c>
      <c r="C1079" t="s">
        <v>30</v>
      </c>
      <c r="D1079" t="s">
        <v>37</v>
      </c>
      <c r="E1079">
        <v>1</v>
      </c>
      <c r="F1079">
        <v>4</v>
      </c>
      <c r="G1079" t="s">
        <v>51</v>
      </c>
      <c r="H1079">
        <v>1</v>
      </c>
      <c r="I1079" t="s">
        <v>38</v>
      </c>
      <c r="J1079">
        <v>2</v>
      </c>
      <c r="K1079">
        <v>1</v>
      </c>
      <c r="L1079" t="s">
        <v>39</v>
      </c>
      <c r="M1079">
        <v>1</v>
      </c>
      <c r="N1079" t="s">
        <v>35</v>
      </c>
      <c r="O1079">
        <v>2362</v>
      </c>
      <c r="P1079">
        <v>6</v>
      </c>
      <c r="Q1079" t="s">
        <v>36</v>
      </c>
      <c r="R1079">
        <v>3</v>
      </c>
      <c r="S1079">
        <v>11</v>
      </c>
      <c r="T1079">
        <v>1</v>
      </c>
      <c r="U1079">
        <v>9</v>
      </c>
      <c r="V1079">
        <v>7</v>
      </c>
      <c r="W1079">
        <v>0</v>
      </c>
      <c r="X1079">
        <v>7</v>
      </c>
      <c r="Y1079">
        <v>13</v>
      </c>
      <c r="Z1079">
        <f>IF(H_A[[#This Row],[Attrition]]="Yes",1,0)</f>
        <v>1</v>
      </c>
      <c r="AA1079" t="str">
        <f>IF(H_A[[#This Row],[Age]]&lt;30,"Young",IF(H_A[[#This Row],[Age]]&lt;45,"Mid","Senior"))</f>
        <v>Young</v>
      </c>
      <c r="AB1079" t="str">
        <f>IF(H_A[[#This Row],[MonthlyIncome]]&lt;5000,"Low",IF(H_A[[#This Row],[MonthlyIncome]]&lt;10000,"Medium","High"))</f>
        <v>Low</v>
      </c>
      <c r="AC1079" t="str">
        <f>IF(H_A[[#This Row],[YearsAtCompany]]&lt;3,"Early",IF(H_A[[#This Row],[YearsAtCompany]]&lt;7,"Mid","Long"))</f>
        <v>Long</v>
      </c>
      <c r="AD1079" t="str">
        <f>IF(H_A[[#This Row],[PercentSalaryHike]]&lt;13,"Low",IF(H_A[[#This Row],[PercentSalaryHike]]&lt;18,"Medium","High"))</f>
        <v>Medium</v>
      </c>
    </row>
    <row r="1080" spans="1:30" x14ac:dyDescent="0.3">
      <c r="A1080">
        <v>44</v>
      </c>
      <c r="B1080">
        <v>1523</v>
      </c>
      <c r="C1080" t="s">
        <v>36</v>
      </c>
      <c r="D1080" t="s">
        <v>37</v>
      </c>
      <c r="E1080">
        <v>28</v>
      </c>
      <c r="F1080">
        <v>3</v>
      </c>
      <c r="G1080" t="s">
        <v>32</v>
      </c>
      <c r="H1080">
        <v>4</v>
      </c>
      <c r="I1080" t="s">
        <v>38</v>
      </c>
      <c r="J1080">
        <v>3</v>
      </c>
      <c r="K1080">
        <v>4</v>
      </c>
      <c r="L1080" t="s">
        <v>49</v>
      </c>
      <c r="M1080">
        <v>1</v>
      </c>
      <c r="N1080" t="s">
        <v>40</v>
      </c>
      <c r="O1080">
        <v>16328</v>
      </c>
      <c r="P1080">
        <v>3</v>
      </c>
      <c r="Q1080" t="s">
        <v>36</v>
      </c>
      <c r="R1080">
        <v>3</v>
      </c>
      <c r="S1080">
        <v>24</v>
      </c>
      <c r="T1080">
        <v>4</v>
      </c>
      <c r="U1080">
        <v>20</v>
      </c>
      <c r="V1080">
        <v>6</v>
      </c>
      <c r="W1080">
        <v>14</v>
      </c>
      <c r="X1080">
        <v>17</v>
      </c>
      <c r="Y1080">
        <v>13</v>
      </c>
      <c r="Z1080">
        <f>IF(H_A[[#This Row],[Attrition]]="Yes",1,0)</f>
        <v>0</v>
      </c>
      <c r="AA1080" t="str">
        <f>IF(H_A[[#This Row],[Age]]&lt;30,"Young",IF(H_A[[#This Row],[Age]]&lt;45,"Mid","Senior"))</f>
        <v>Mid</v>
      </c>
      <c r="AB1080" t="str">
        <f>IF(H_A[[#This Row],[MonthlyIncome]]&lt;5000,"Low",IF(H_A[[#This Row],[MonthlyIncome]]&lt;10000,"Medium","High"))</f>
        <v>High</v>
      </c>
      <c r="AC1080" t="str">
        <f>IF(H_A[[#This Row],[YearsAtCompany]]&lt;3,"Early",IF(H_A[[#This Row],[YearsAtCompany]]&lt;7,"Mid","Long"))</f>
        <v>Long</v>
      </c>
      <c r="AD1080" t="str">
        <f>IF(H_A[[#This Row],[PercentSalaryHike]]&lt;13,"Low",IF(H_A[[#This Row],[PercentSalaryHike]]&lt;18,"Medium","High"))</f>
        <v>Medium</v>
      </c>
    </row>
    <row r="1081" spans="1:30" x14ac:dyDescent="0.3">
      <c r="A1081">
        <v>39</v>
      </c>
      <c r="B1081">
        <v>1525</v>
      </c>
      <c r="C1081" t="s">
        <v>36</v>
      </c>
      <c r="D1081" t="s">
        <v>37</v>
      </c>
      <c r="E1081">
        <v>6</v>
      </c>
      <c r="F1081">
        <v>3</v>
      </c>
      <c r="G1081" t="s">
        <v>32</v>
      </c>
      <c r="H1081">
        <v>2</v>
      </c>
      <c r="I1081" t="s">
        <v>33</v>
      </c>
      <c r="J1081">
        <v>3</v>
      </c>
      <c r="K1081">
        <v>3</v>
      </c>
      <c r="L1081" t="s">
        <v>45</v>
      </c>
      <c r="M1081">
        <v>2</v>
      </c>
      <c r="N1081" t="s">
        <v>35</v>
      </c>
      <c r="O1081">
        <v>8376</v>
      </c>
      <c r="P1081">
        <v>4</v>
      </c>
      <c r="Q1081" t="s">
        <v>36</v>
      </c>
      <c r="R1081">
        <v>4</v>
      </c>
      <c r="S1081">
        <v>9</v>
      </c>
      <c r="T1081">
        <v>3</v>
      </c>
      <c r="U1081">
        <v>2</v>
      </c>
      <c r="V1081">
        <v>0</v>
      </c>
      <c r="W1081">
        <v>2</v>
      </c>
      <c r="X1081">
        <v>2</v>
      </c>
      <c r="Y1081">
        <v>18</v>
      </c>
      <c r="Z1081">
        <f>IF(H_A[[#This Row],[Attrition]]="Yes",1,0)</f>
        <v>0</v>
      </c>
      <c r="AA1081" t="str">
        <f>IF(H_A[[#This Row],[Age]]&lt;30,"Young",IF(H_A[[#This Row],[Age]]&lt;45,"Mid","Senior"))</f>
        <v>Mid</v>
      </c>
      <c r="AB1081" t="str">
        <f>IF(H_A[[#This Row],[MonthlyIncome]]&lt;5000,"Low",IF(H_A[[#This Row],[MonthlyIncome]]&lt;10000,"Medium","High"))</f>
        <v>Medium</v>
      </c>
      <c r="AC1081" t="str">
        <f>IF(H_A[[#This Row],[YearsAtCompany]]&lt;3,"Early",IF(H_A[[#This Row],[YearsAtCompany]]&lt;7,"Mid","Long"))</f>
        <v>Early</v>
      </c>
      <c r="AD1081" t="str">
        <f>IF(H_A[[#This Row],[PercentSalaryHike]]&lt;13,"Low",IF(H_A[[#This Row],[PercentSalaryHike]]&lt;18,"Medium","High"))</f>
        <v>High</v>
      </c>
    </row>
    <row r="1082" spans="1:30" x14ac:dyDescent="0.3">
      <c r="A1082">
        <v>46</v>
      </c>
      <c r="B1082">
        <v>1527</v>
      </c>
      <c r="C1082" t="s">
        <v>36</v>
      </c>
      <c r="D1082" t="s">
        <v>31</v>
      </c>
      <c r="E1082">
        <v>3</v>
      </c>
      <c r="F1082">
        <v>3</v>
      </c>
      <c r="G1082" t="s">
        <v>32</v>
      </c>
      <c r="H1082">
        <v>3</v>
      </c>
      <c r="I1082" t="s">
        <v>33</v>
      </c>
      <c r="J1082">
        <v>3</v>
      </c>
      <c r="K1082">
        <v>4</v>
      </c>
      <c r="L1082" t="s">
        <v>47</v>
      </c>
      <c r="M1082">
        <v>2</v>
      </c>
      <c r="N1082" t="s">
        <v>40</v>
      </c>
      <c r="O1082">
        <v>16606</v>
      </c>
      <c r="P1082">
        <v>8</v>
      </c>
      <c r="Q1082" t="s">
        <v>36</v>
      </c>
      <c r="R1082">
        <v>4</v>
      </c>
      <c r="S1082">
        <v>23</v>
      </c>
      <c r="T1082">
        <v>4</v>
      </c>
      <c r="U1082">
        <v>13</v>
      </c>
      <c r="V1082">
        <v>12</v>
      </c>
      <c r="W1082">
        <v>5</v>
      </c>
      <c r="X1082">
        <v>1</v>
      </c>
      <c r="Y1082">
        <v>12</v>
      </c>
      <c r="Z1082">
        <f>IF(H_A[[#This Row],[Attrition]]="Yes",1,0)</f>
        <v>0</v>
      </c>
      <c r="AA1082" t="str">
        <f>IF(H_A[[#This Row],[Age]]&lt;30,"Young",IF(H_A[[#This Row],[Age]]&lt;45,"Mid","Senior"))</f>
        <v>Senior</v>
      </c>
      <c r="AB1082" t="str">
        <f>IF(H_A[[#This Row],[MonthlyIncome]]&lt;5000,"Low",IF(H_A[[#This Row],[MonthlyIncome]]&lt;10000,"Medium","High"))</f>
        <v>High</v>
      </c>
      <c r="AC1082" t="str">
        <f>IF(H_A[[#This Row],[YearsAtCompany]]&lt;3,"Early",IF(H_A[[#This Row],[YearsAtCompany]]&lt;7,"Mid","Long"))</f>
        <v>Long</v>
      </c>
      <c r="AD1082" t="str">
        <f>IF(H_A[[#This Row],[PercentSalaryHike]]&lt;13,"Low",IF(H_A[[#This Row],[PercentSalaryHike]]&lt;18,"Medium","High"))</f>
        <v>Low</v>
      </c>
    </row>
    <row r="1083" spans="1:30" x14ac:dyDescent="0.3">
      <c r="A1083">
        <v>35</v>
      </c>
      <c r="B1083">
        <v>1529</v>
      </c>
      <c r="C1083" t="s">
        <v>36</v>
      </c>
      <c r="D1083" t="s">
        <v>37</v>
      </c>
      <c r="E1083">
        <v>16</v>
      </c>
      <c r="F1083">
        <v>3</v>
      </c>
      <c r="G1083" t="s">
        <v>32</v>
      </c>
      <c r="H1083">
        <v>4</v>
      </c>
      <c r="I1083" t="s">
        <v>33</v>
      </c>
      <c r="J1083">
        <v>2</v>
      </c>
      <c r="K1083">
        <v>3</v>
      </c>
      <c r="L1083" t="s">
        <v>46</v>
      </c>
      <c r="M1083">
        <v>2</v>
      </c>
      <c r="N1083" t="s">
        <v>35</v>
      </c>
      <c r="O1083">
        <v>8606</v>
      </c>
      <c r="P1083">
        <v>1</v>
      </c>
      <c r="Q1083" t="s">
        <v>36</v>
      </c>
      <c r="R1083">
        <v>4</v>
      </c>
      <c r="S1083">
        <v>11</v>
      </c>
      <c r="T1083">
        <v>1</v>
      </c>
      <c r="U1083">
        <v>11</v>
      </c>
      <c r="V1083">
        <v>8</v>
      </c>
      <c r="W1083">
        <v>3</v>
      </c>
      <c r="X1083">
        <v>3</v>
      </c>
      <c r="Y1083">
        <v>19</v>
      </c>
      <c r="Z1083">
        <f>IF(H_A[[#This Row],[Attrition]]="Yes",1,0)</f>
        <v>0</v>
      </c>
      <c r="AA1083" t="str">
        <f>IF(H_A[[#This Row],[Age]]&lt;30,"Young",IF(H_A[[#This Row],[Age]]&lt;45,"Mid","Senior"))</f>
        <v>Mid</v>
      </c>
      <c r="AB1083" t="str">
        <f>IF(H_A[[#This Row],[MonthlyIncome]]&lt;5000,"Low",IF(H_A[[#This Row],[MonthlyIncome]]&lt;10000,"Medium","High"))</f>
        <v>Medium</v>
      </c>
      <c r="AC1083" t="str">
        <f>IF(H_A[[#This Row],[YearsAtCompany]]&lt;3,"Early",IF(H_A[[#This Row],[YearsAtCompany]]&lt;7,"Mid","Long"))</f>
        <v>Long</v>
      </c>
      <c r="AD1083" t="str">
        <f>IF(H_A[[#This Row],[PercentSalaryHike]]&lt;13,"Low",IF(H_A[[#This Row],[PercentSalaryHike]]&lt;18,"Medium","High"))</f>
        <v>High</v>
      </c>
    </row>
    <row r="1084" spans="1:30" x14ac:dyDescent="0.3">
      <c r="A1084">
        <v>23</v>
      </c>
      <c r="B1084">
        <v>1533</v>
      </c>
      <c r="C1084" t="s">
        <v>36</v>
      </c>
      <c r="D1084" t="s">
        <v>37</v>
      </c>
      <c r="E1084">
        <v>20</v>
      </c>
      <c r="F1084">
        <v>1</v>
      </c>
      <c r="G1084" t="s">
        <v>32</v>
      </c>
      <c r="H1084">
        <v>1</v>
      </c>
      <c r="I1084" t="s">
        <v>38</v>
      </c>
      <c r="J1084">
        <v>3</v>
      </c>
      <c r="K1084">
        <v>2</v>
      </c>
      <c r="L1084" t="s">
        <v>42</v>
      </c>
      <c r="M1084">
        <v>3</v>
      </c>
      <c r="N1084" t="s">
        <v>35</v>
      </c>
      <c r="O1084">
        <v>2272</v>
      </c>
      <c r="P1084">
        <v>0</v>
      </c>
      <c r="Q1084" t="s">
        <v>36</v>
      </c>
      <c r="R1084">
        <v>2</v>
      </c>
      <c r="S1084">
        <v>5</v>
      </c>
      <c r="T1084">
        <v>3</v>
      </c>
      <c r="U1084">
        <v>4</v>
      </c>
      <c r="V1084">
        <v>3</v>
      </c>
      <c r="W1084">
        <v>1</v>
      </c>
      <c r="X1084">
        <v>2</v>
      </c>
      <c r="Y1084">
        <v>14</v>
      </c>
      <c r="Z1084">
        <f>IF(H_A[[#This Row],[Attrition]]="Yes",1,0)</f>
        <v>0</v>
      </c>
      <c r="AA1084" t="str">
        <f>IF(H_A[[#This Row],[Age]]&lt;30,"Young",IF(H_A[[#This Row],[Age]]&lt;45,"Mid","Senior"))</f>
        <v>Young</v>
      </c>
      <c r="AB1084" t="str">
        <f>IF(H_A[[#This Row],[MonthlyIncome]]&lt;5000,"Low",IF(H_A[[#This Row],[MonthlyIncome]]&lt;10000,"Medium","High"))</f>
        <v>Low</v>
      </c>
      <c r="AC1084" t="str">
        <f>IF(H_A[[#This Row],[YearsAtCompany]]&lt;3,"Early",IF(H_A[[#This Row],[YearsAtCompany]]&lt;7,"Mid","Long"))</f>
        <v>Mid</v>
      </c>
      <c r="AD1084" t="str">
        <f>IF(H_A[[#This Row],[PercentSalaryHike]]&lt;13,"Low",IF(H_A[[#This Row],[PercentSalaryHike]]&lt;18,"Medium","High"))</f>
        <v>Medium</v>
      </c>
    </row>
    <row r="1085" spans="1:30" x14ac:dyDescent="0.3">
      <c r="A1085">
        <v>40</v>
      </c>
      <c r="B1085">
        <v>1534</v>
      </c>
      <c r="C1085" t="s">
        <v>30</v>
      </c>
      <c r="D1085" t="s">
        <v>37</v>
      </c>
      <c r="E1085">
        <v>9</v>
      </c>
      <c r="F1085">
        <v>4</v>
      </c>
      <c r="G1085" t="s">
        <v>32</v>
      </c>
      <c r="H1085">
        <v>4</v>
      </c>
      <c r="I1085" t="s">
        <v>38</v>
      </c>
      <c r="J1085">
        <v>3</v>
      </c>
      <c r="K1085">
        <v>1</v>
      </c>
      <c r="L1085" t="s">
        <v>42</v>
      </c>
      <c r="M1085">
        <v>1</v>
      </c>
      <c r="N1085" t="s">
        <v>35</v>
      </c>
      <c r="O1085">
        <v>2018</v>
      </c>
      <c r="P1085">
        <v>3</v>
      </c>
      <c r="Q1085" t="s">
        <v>36</v>
      </c>
      <c r="R1085">
        <v>2</v>
      </c>
      <c r="S1085">
        <v>15</v>
      </c>
      <c r="T1085">
        <v>1</v>
      </c>
      <c r="U1085">
        <v>5</v>
      </c>
      <c r="V1085">
        <v>4</v>
      </c>
      <c r="W1085">
        <v>1</v>
      </c>
      <c r="X1085">
        <v>0</v>
      </c>
      <c r="Y1085">
        <v>14</v>
      </c>
      <c r="Z1085">
        <f>IF(H_A[[#This Row],[Attrition]]="Yes",1,0)</f>
        <v>1</v>
      </c>
      <c r="AA1085" t="str">
        <f>IF(H_A[[#This Row],[Age]]&lt;30,"Young",IF(H_A[[#This Row],[Age]]&lt;45,"Mid","Senior"))</f>
        <v>Mid</v>
      </c>
      <c r="AB1085" t="str">
        <f>IF(H_A[[#This Row],[MonthlyIncome]]&lt;5000,"Low",IF(H_A[[#This Row],[MonthlyIncome]]&lt;10000,"Medium","High"))</f>
        <v>Low</v>
      </c>
      <c r="AC1085" t="str">
        <f>IF(H_A[[#This Row],[YearsAtCompany]]&lt;3,"Early",IF(H_A[[#This Row],[YearsAtCompany]]&lt;7,"Mid","Long"))</f>
        <v>Mid</v>
      </c>
      <c r="AD1085" t="str">
        <f>IF(H_A[[#This Row],[PercentSalaryHike]]&lt;13,"Low",IF(H_A[[#This Row],[PercentSalaryHike]]&lt;18,"Medium","High"))</f>
        <v>Medium</v>
      </c>
    </row>
    <row r="1086" spans="1:30" x14ac:dyDescent="0.3">
      <c r="A1086">
        <v>34</v>
      </c>
      <c r="B1086">
        <v>1535</v>
      </c>
      <c r="C1086" t="s">
        <v>36</v>
      </c>
      <c r="D1086" t="s">
        <v>31</v>
      </c>
      <c r="E1086">
        <v>1</v>
      </c>
      <c r="F1086">
        <v>3</v>
      </c>
      <c r="G1086" t="s">
        <v>51</v>
      </c>
      <c r="H1086">
        <v>4</v>
      </c>
      <c r="I1086" t="s">
        <v>38</v>
      </c>
      <c r="J1086">
        <v>2</v>
      </c>
      <c r="K1086">
        <v>3</v>
      </c>
      <c r="L1086" t="s">
        <v>34</v>
      </c>
      <c r="M1086">
        <v>3</v>
      </c>
      <c r="N1086" t="s">
        <v>40</v>
      </c>
      <c r="O1086">
        <v>7083</v>
      </c>
      <c r="P1086">
        <v>1</v>
      </c>
      <c r="Q1086" t="s">
        <v>30</v>
      </c>
      <c r="R1086">
        <v>4</v>
      </c>
      <c r="S1086">
        <v>10</v>
      </c>
      <c r="T1086">
        <v>3</v>
      </c>
      <c r="U1086">
        <v>10</v>
      </c>
      <c r="V1086">
        <v>9</v>
      </c>
      <c r="W1086">
        <v>8</v>
      </c>
      <c r="X1086">
        <v>6</v>
      </c>
      <c r="Y1086">
        <v>14</v>
      </c>
      <c r="Z1086">
        <f>IF(H_A[[#This Row],[Attrition]]="Yes",1,0)</f>
        <v>0</v>
      </c>
      <c r="AA1086" t="str">
        <f>IF(H_A[[#This Row],[Age]]&lt;30,"Young",IF(H_A[[#This Row],[Age]]&lt;45,"Mid","Senior"))</f>
        <v>Mid</v>
      </c>
      <c r="AB1086" t="str">
        <f>IF(H_A[[#This Row],[MonthlyIncome]]&lt;5000,"Low",IF(H_A[[#This Row],[MonthlyIncome]]&lt;10000,"Medium","High"))</f>
        <v>Medium</v>
      </c>
      <c r="AC1086" t="str">
        <f>IF(H_A[[#This Row],[YearsAtCompany]]&lt;3,"Early",IF(H_A[[#This Row],[YearsAtCompany]]&lt;7,"Mid","Long"))</f>
        <v>Long</v>
      </c>
      <c r="AD1086" t="str">
        <f>IF(H_A[[#This Row],[PercentSalaryHike]]&lt;13,"Low",IF(H_A[[#This Row],[PercentSalaryHike]]&lt;18,"Medium","High"))</f>
        <v>Medium</v>
      </c>
    </row>
    <row r="1087" spans="1:30" x14ac:dyDescent="0.3">
      <c r="A1087">
        <v>31</v>
      </c>
      <c r="B1087">
        <v>1537</v>
      </c>
      <c r="C1087" t="s">
        <v>30</v>
      </c>
      <c r="D1087" t="s">
        <v>37</v>
      </c>
      <c r="E1087">
        <v>3</v>
      </c>
      <c r="F1087">
        <v>3</v>
      </c>
      <c r="G1087" t="s">
        <v>32</v>
      </c>
      <c r="H1087">
        <v>4</v>
      </c>
      <c r="I1087" t="s">
        <v>33</v>
      </c>
      <c r="J1087">
        <v>3</v>
      </c>
      <c r="K1087">
        <v>1</v>
      </c>
      <c r="L1087" t="s">
        <v>39</v>
      </c>
      <c r="M1087">
        <v>3</v>
      </c>
      <c r="N1087" t="s">
        <v>35</v>
      </c>
      <c r="O1087">
        <v>4084</v>
      </c>
      <c r="P1087">
        <v>1</v>
      </c>
      <c r="Q1087" t="s">
        <v>36</v>
      </c>
      <c r="R1087">
        <v>1</v>
      </c>
      <c r="S1087">
        <v>7</v>
      </c>
      <c r="T1087">
        <v>1</v>
      </c>
      <c r="U1087">
        <v>7</v>
      </c>
      <c r="V1087">
        <v>2</v>
      </c>
      <c r="W1087">
        <v>7</v>
      </c>
      <c r="X1087">
        <v>7</v>
      </c>
      <c r="Y1087">
        <v>12</v>
      </c>
      <c r="Z1087">
        <f>IF(H_A[[#This Row],[Attrition]]="Yes",1,0)</f>
        <v>1</v>
      </c>
      <c r="AA1087" t="str">
        <f>IF(H_A[[#This Row],[Age]]&lt;30,"Young",IF(H_A[[#This Row],[Age]]&lt;45,"Mid","Senior"))</f>
        <v>Mid</v>
      </c>
      <c r="AB1087" t="str">
        <f>IF(H_A[[#This Row],[MonthlyIncome]]&lt;5000,"Low",IF(H_A[[#This Row],[MonthlyIncome]]&lt;10000,"Medium","High"))</f>
        <v>Low</v>
      </c>
      <c r="AC1087" t="str">
        <f>IF(H_A[[#This Row],[YearsAtCompany]]&lt;3,"Early",IF(H_A[[#This Row],[YearsAtCompany]]&lt;7,"Mid","Long"))</f>
        <v>Long</v>
      </c>
      <c r="AD1087" t="str">
        <f>IF(H_A[[#This Row],[PercentSalaryHike]]&lt;13,"Low",IF(H_A[[#This Row],[PercentSalaryHike]]&lt;18,"Medium","High"))</f>
        <v>Low</v>
      </c>
    </row>
    <row r="1088" spans="1:30" x14ac:dyDescent="0.3">
      <c r="A1088">
        <v>50</v>
      </c>
      <c r="B1088">
        <v>1539</v>
      </c>
      <c r="C1088" t="s">
        <v>36</v>
      </c>
      <c r="D1088" t="s">
        <v>37</v>
      </c>
      <c r="E1088">
        <v>22</v>
      </c>
      <c r="F1088">
        <v>5</v>
      </c>
      <c r="G1088" t="s">
        <v>43</v>
      </c>
      <c r="H1088">
        <v>3</v>
      </c>
      <c r="I1088" t="s">
        <v>38</v>
      </c>
      <c r="J1088">
        <v>1</v>
      </c>
      <c r="K1088">
        <v>4</v>
      </c>
      <c r="L1088" t="s">
        <v>49</v>
      </c>
      <c r="M1088">
        <v>4</v>
      </c>
      <c r="N1088" t="s">
        <v>35</v>
      </c>
      <c r="O1088">
        <v>14411</v>
      </c>
      <c r="P1088">
        <v>1</v>
      </c>
      <c r="Q1088" t="s">
        <v>30</v>
      </c>
      <c r="R1088">
        <v>4</v>
      </c>
      <c r="S1088">
        <v>32</v>
      </c>
      <c r="T1088">
        <v>3</v>
      </c>
      <c r="U1088">
        <v>32</v>
      </c>
      <c r="V1088">
        <v>6</v>
      </c>
      <c r="W1088">
        <v>13</v>
      </c>
      <c r="X1088">
        <v>9</v>
      </c>
      <c r="Y1088">
        <v>13</v>
      </c>
      <c r="Z1088">
        <f>IF(H_A[[#This Row],[Attrition]]="Yes",1,0)</f>
        <v>0</v>
      </c>
      <c r="AA1088" t="str">
        <f>IF(H_A[[#This Row],[Age]]&lt;30,"Young",IF(H_A[[#This Row],[Age]]&lt;45,"Mid","Senior"))</f>
        <v>Senior</v>
      </c>
      <c r="AB1088" t="str">
        <f>IF(H_A[[#This Row],[MonthlyIncome]]&lt;5000,"Low",IF(H_A[[#This Row],[MonthlyIncome]]&lt;10000,"Medium","High"))</f>
        <v>High</v>
      </c>
      <c r="AC1088" t="str">
        <f>IF(H_A[[#This Row],[YearsAtCompany]]&lt;3,"Early",IF(H_A[[#This Row],[YearsAtCompany]]&lt;7,"Mid","Long"))</f>
        <v>Long</v>
      </c>
      <c r="AD1088" t="str">
        <f>IF(H_A[[#This Row],[PercentSalaryHike]]&lt;13,"Low",IF(H_A[[#This Row],[PercentSalaryHike]]&lt;18,"Medium","High"))</f>
        <v>Medium</v>
      </c>
    </row>
    <row r="1089" spans="1:30" x14ac:dyDescent="0.3">
      <c r="A1089">
        <v>34</v>
      </c>
      <c r="B1089">
        <v>1541</v>
      </c>
      <c r="C1089" t="s">
        <v>36</v>
      </c>
      <c r="D1089" t="s">
        <v>31</v>
      </c>
      <c r="E1089">
        <v>7</v>
      </c>
      <c r="F1089">
        <v>2</v>
      </c>
      <c r="G1089" t="s">
        <v>51</v>
      </c>
      <c r="H1089">
        <v>2</v>
      </c>
      <c r="I1089" t="s">
        <v>38</v>
      </c>
      <c r="J1089">
        <v>3</v>
      </c>
      <c r="K1089">
        <v>1</v>
      </c>
      <c r="L1089" t="s">
        <v>48</v>
      </c>
      <c r="M1089">
        <v>3</v>
      </c>
      <c r="N1089" t="s">
        <v>40</v>
      </c>
      <c r="O1089">
        <v>2308</v>
      </c>
      <c r="P1089">
        <v>0</v>
      </c>
      <c r="Q1089" t="s">
        <v>30</v>
      </c>
      <c r="R1089">
        <v>2</v>
      </c>
      <c r="S1089">
        <v>12</v>
      </c>
      <c r="T1089">
        <v>3</v>
      </c>
      <c r="U1089">
        <v>11</v>
      </c>
      <c r="V1089">
        <v>10</v>
      </c>
      <c r="W1089">
        <v>5</v>
      </c>
      <c r="X1089">
        <v>7</v>
      </c>
      <c r="Y1089">
        <v>25</v>
      </c>
      <c r="Z1089">
        <f>IF(H_A[[#This Row],[Attrition]]="Yes",1,0)</f>
        <v>0</v>
      </c>
      <c r="AA1089" t="str">
        <f>IF(H_A[[#This Row],[Age]]&lt;30,"Young",IF(H_A[[#This Row],[Age]]&lt;45,"Mid","Senior"))</f>
        <v>Mid</v>
      </c>
      <c r="AB1089" t="str">
        <f>IF(H_A[[#This Row],[MonthlyIncome]]&lt;5000,"Low",IF(H_A[[#This Row],[MonthlyIncome]]&lt;10000,"Medium","High"))</f>
        <v>Low</v>
      </c>
      <c r="AC1089" t="str">
        <f>IF(H_A[[#This Row],[YearsAtCompany]]&lt;3,"Early",IF(H_A[[#This Row],[YearsAtCompany]]&lt;7,"Mid","Long"))</f>
        <v>Long</v>
      </c>
      <c r="AD1089" t="str">
        <f>IF(H_A[[#This Row],[PercentSalaryHike]]&lt;13,"Low",IF(H_A[[#This Row],[PercentSalaryHike]]&lt;18,"Medium","High"))</f>
        <v>High</v>
      </c>
    </row>
    <row r="1090" spans="1:30" x14ac:dyDescent="0.3">
      <c r="A1090">
        <v>42</v>
      </c>
      <c r="B1090">
        <v>1542</v>
      </c>
      <c r="C1090" t="s">
        <v>36</v>
      </c>
      <c r="D1090" t="s">
        <v>37</v>
      </c>
      <c r="E1090">
        <v>2</v>
      </c>
      <c r="F1090">
        <v>3</v>
      </c>
      <c r="G1090" t="s">
        <v>43</v>
      </c>
      <c r="H1090">
        <v>3</v>
      </c>
      <c r="I1090" t="s">
        <v>38</v>
      </c>
      <c r="J1090">
        <v>2</v>
      </c>
      <c r="K1090">
        <v>1</v>
      </c>
      <c r="L1090" t="s">
        <v>42</v>
      </c>
      <c r="M1090">
        <v>2</v>
      </c>
      <c r="N1090" t="s">
        <v>40</v>
      </c>
      <c r="O1090">
        <v>4841</v>
      </c>
      <c r="P1090">
        <v>4</v>
      </c>
      <c r="Q1090" t="s">
        <v>36</v>
      </c>
      <c r="R1090">
        <v>2</v>
      </c>
      <c r="S1090">
        <v>4</v>
      </c>
      <c r="T1090">
        <v>3</v>
      </c>
      <c r="U1090">
        <v>1</v>
      </c>
      <c r="V1090">
        <v>0</v>
      </c>
      <c r="W1090">
        <v>0</v>
      </c>
      <c r="X1090">
        <v>0</v>
      </c>
      <c r="Y1090">
        <v>14</v>
      </c>
      <c r="Z1090">
        <f>IF(H_A[[#This Row],[Attrition]]="Yes",1,0)</f>
        <v>0</v>
      </c>
      <c r="AA1090" t="str">
        <f>IF(H_A[[#This Row],[Age]]&lt;30,"Young",IF(H_A[[#This Row],[Age]]&lt;45,"Mid","Senior"))</f>
        <v>Mid</v>
      </c>
      <c r="AB1090" t="str">
        <f>IF(H_A[[#This Row],[MonthlyIncome]]&lt;5000,"Low",IF(H_A[[#This Row],[MonthlyIncome]]&lt;10000,"Medium","High"))</f>
        <v>Low</v>
      </c>
      <c r="AC1090" t="str">
        <f>IF(H_A[[#This Row],[YearsAtCompany]]&lt;3,"Early",IF(H_A[[#This Row],[YearsAtCompany]]&lt;7,"Mid","Long"))</f>
        <v>Early</v>
      </c>
      <c r="AD1090" t="str">
        <f>IF(H_A[[#This Row],[PercentSalaryHike]]&lt;13,"Low",IF(H_A[[#This Row],[PercentSalaryHike]]&lt;18,"Medium","High"))</f>
        <v>Medium</v>
      </c>
    </row>
    <row r="1091" spans="1:30" x14ac:dyDescent="0.3">
      <c r="A1091">
        <v>37</v>
      </c>
      <c r="B1091">
        <v>1543</v>
      </c>
      <c r="C1091" t="s">
        <v>36</v>
      </c>
      <c r="D1091" t="s">
        <v>37</v>
      </c>
      <c r="E1091">
        <v>13</v>
      </c>
      <c r="F1091">
        <v>3</v>
      </c>
      <c r="G1091" t="s">
        <v>43</v>
      </c>
      <c r="H1091">
        <v>1</v>
      </c>
      <c r="I1091" t="s">
        <v>38</v>
      </c>
      <c r="J1091">
        <v>3</v>
      </c>
      <c r="K1091">
        <v>2</v>
      </c>
      <c r="L1091" t="s">
        <v>39</v>
      </c>
      <c r="M1091">
        <v>4</v>
      </c>
      <c r="N1091" t="s">
        <v>40</v>
      </c>
      <c r="O1091">
        <v>4285</v>
      </c>
      <c r="P1091">
        <v>1</v>
      </c>
      <c r="Q1091" t="s">
        <v>36</v>
      </c>
      <c r="R1091">
        <v>1</v>
      </c>
      <c r="S1091">
        <v>10</v>
      </c>
      <c r="T1091">
        <v>3</v>
      </c>
      <c r="U1091">
        <v>10</v>
      </c>
      <c r="V1091">
        <v>8</v>
      </c>
      <c r="W1091">
        <v>3</v>
      </c>
      <c r="X1091">
        <v>7</v>
      </c>
      <c r="Y1091">
        <v>17</v>
      </c>
      <c r="Z1091">
        <f>IF(H_A[[#This Row],[Attrition]]="Yes",1,0)</f>
        <v>0</v>
      </c>
      <c r="AA1091" t="str">
        <f>IF(H_A[[#This Row],[Age]]&lt;30,"Young",IF(H_A[[#This Row],[Age]]&lt;45,"Mid","Senior"))</f>
        <v>Mid</v>
      </c>
      <c r="AB1091" t="str">
        <f>IF(H_A[[#This Row],[MonthlyIncome]]&lt;5000,"Low",IF(H_A[[#This Row],[MonthlyIncome]]&lt;10000,"Medium","High"))</f>
        <v>Low</v>
      </c>
      <c r="AC1091" t="str">
        <f>IF(H_A[[#This Row],[YearsAtCompany]]&lt;3,"Early",IF(H_A[[#This Row],[YearsAtCompany]]&lt;7,"Mid","Long"))</f>
        <v>Long</v>
      </c>
      <c r="AD1091" t="str">
        <f>IF(H_A[[#This Row],[PercentSalaryHike]]&lt;13,"Low",IF(H_A[[#This Row],[PercentSalaryHike]]&lt;18,"Medium","High"))</f>
        <v>Medium</v>
      </c>
    </row>
    <row r="1092" spans="1:30" x14ac:dyDescent="0.3">
      <c r="A1092">
        <v>29</v>
      </c>
      <c r="B1092">
        <v>1544</v>
      </c>
      <c r="C1092" t="s">
        <v>36</v>
      </c>
      <c r="D1092" t="s">
        <v>37</v>
      </c>
      <c r="E1092">
        <v>8</v>
      </c>
      <c r="F1092">
        <v>1</v>
      </c>
      <c r="G1092" t="s">
        <v>41</v>
      </c>
      <c r="H1092">
        <v>3</v>
      </c>
      <c r="I1092" t="s">
        <v>33</v>
      </c>
      <c r="J1092">
        <v>1</v>
      </c>
      <c r="K1092">
        <v>2</v>
      </c>
      <c r="L1092" t="s">
        <v>46</v>
      </c>
      <c r="M1092">
        <v>1</v>
      </c>
      <c r="N1092" t="s">
        <v>40</v>
      </c>
      <c r="O1092">
        <v>9715</v>
      </c>
      <c r="P1092">
        <v>3</v>
      </c>
      <c r="Q1092" t="s">
        <v>36</v>
      </c>
      <c r="R1092">
        <v>3</v>
      </c>
      <c r="S1092">
        <v>9</v>
      </c>
      <c r="T1092">
        <v>3</v>
      </c>
      <c r="U1092">
        <v>7</v>
      </c>
      <c r="V1092">
        <v>7</v>
      </c>
      <c r="W1092">
        <v>0</v>
      </c>
      <c r="X1092">
        <v>7</v>
      </c>
      <c r="Y1092">
        <v>13</v>
      </c>
      <c r="Z1092">
        <f>IF(H_A[[#This Row],[Attrition]]="Yes",1,0)</f>
        <v>0</v>
      </c>
      <c r="AA1092" t="str">
        <f>IF(H_A[[#This Row],[Age]]&lt;30,"Young",IF(H_A[[#This Row],[Age]]&lt;45,"Mid","Senior"))</f>
        <v>Young</v>
      </c>
      <c r="AB1092" t="str">
        <f>IF(H_A[[#This Row],[MonthlyIncome]]&lt;5000,"Low",IF(H_A[[#This Row],[MonthlyIncome]]&lt;10000,"Medium","High"))</f>
        <v>Medium</v>
      </c>
      <c r="AC1092" t="str">
        <f>IF(H_A[[#This Row],[YearsAtCompany]]&lt;3,"Early",IF(H_A[[#This Row],[YearsAtCompany]]&lt;7,"Mid","Long"))</f>
        <v>Long</v>
      </c>
      <c r="AD1092" t="str">
        <f>IF(H_A[[#This Row],[PercentSalaryHike]]&lt;13,"Low",IF(H_A[[#This Row],[PercentSalaryHike]]&lt;18,"Medium","High"))</f>
        <v>Medium</v>
      </c>
    </row>
    <row r="1093" spans="1:30" x14ac:dyDescent="0.3">
      <c r="A1093">
        <v>33</v>
      </c>
      <c r="B1093">
        <v>1545</v>
      </c>
      <c r="C1093" t="s">
        <v>36</v>
      </c>
      <c r="D1093" t="s">
        <v>37</v>
      </c>
      <c r="E1093">
        <v>25</v>
      </c>
      <c r="F1093">
        <v>3</v>
      </c>
      <c r="G1093" t="s">
        <v>32</v>
      </c>
      <c r="H1093">
        <v>4</v>
      </c>
      <c r="I1093" t="s">
        <v>38</v>
      </c>
      <c r="J1093">
        <v>2</v>
      </c>
      <c r="K1093">
        <v>2</v>
      </c>
      <c r="L1093" t="s">
        <v>45</v>
      </c>
      <c r="M1093">
        <v>2</v>
      </c>
      <c r="N1093" t="s">
        <v>35</v>
      </c>
      <c r="O1093">
        <v>4320</v>
      </c>
      <c r="P1093">
        <v>1</v>
      </c>
      <c r="Q1093" t="s">
        <v>36</v>
      </c>
      <c r="R1093">
        <v>4</v>
      </c>
      <c r="S1093">
        <v>5</v>
      </c>
      <c r="T1093">
        <v>3</v>
      </c>
      <c r="U1093">
        <v>5</v>
      </c>
      <c r="V1093">
        <v>3</v>
      </c>
      <c r="W1093">
        <v>0</v>
      </c>
      <c r="X1093">
        <v>2</v>
      </c>
      <c r="Y1093">
        <v>13</v>
      </c>
      <c r="Z1093">
        <f>IF(H_A[[#This Row],[Attrition]]="Yes",1,0)</f>
        <v>0</v>
      </c>
      <c r="AA1093" t="str">
        <f>IF(H_A[[#This Row],[Age]]&lt;30,"Young",IF(H_A[[#This Row],[Age]]&lt;45,"Mid","Senior"))</f>
        <v>Mid</v>
      </c>
      <c r="AB1093" t="str">
        <f>IF(H_A[[#This Row],[MonthlyIncome]]&lt;5000,"Low",IF(H_A[[#This Row],[MonthlyIncome]]&lt;10000,"Medium","High"))</f>
        <v>Low</v>
      </c>
      <c r="AC1093" t="str">
        <f>IF(H_A[[#This Row],[YearsAtCompany]]&lt;3,"Early",IF(H_A[[#This Row],[YearsAtCompany]]&lt;7,"Mid","Long"))</f>
        <v>Mid</v>
      </c>
      <c r="AD1093" t="str">
        <f>IF(H_A[[#This Row],[PercentSalaryHike]]&lt;13,"Low",IF(H_A[[#This Row],[PercentSalaryHike]]&lt;18,"Medium","High"))</f>
        <v>Medium</v>
      </c>
    </row>
    <row r="1094" spans="1:30" x14ac:dyDescent="0.3">
      <c r="A1094">
        <v>45</v>
      </c>
      <c r="B1094">
        <v>1546</v>
      </c>
      <c r="C1094" t="s">
        <v>36</v>
      </c>
      <c r="D1094" t="s">
        <v>37</v>
      </c>
      <c r="E1094">
        <v>28</v>
      </c>
      <c r="F1094">
        <v>3</v>
      </c>
      <c r="G1094" t="s">
        <v>51</v>
      </c>
      <c r="H1094">
        <v>4</v>
      </c>
      <c r="I1094" t="s">
        <v>38</v>
      </c>
      <c r="J1094">
        <v>3</v>
      </c>
      <c r="K1094">
        <v>1</v>
      </c>
      <c r="L1094" t="s">
        <v>39</v>
      </c>
      <c r="M1094">
        <v>4</v>
      </c>
      <c r="N1094" t="s">
        <v>40</v>
      </c>
      <c r="O1094">
        <v>2132</v>
      </c>
      <c r="P1094">
        <v>4</v>
      </c>
      <c r="Q1094" t="s">
        <v>36</v>
      </c>
      <c r="R1094">
        <v>4</v>
      </c>
      <c r="S1094">
        <v>8</v>
      </c>
      <c r="T1094">
        <v>3</v>
      </c>
      <c r="U1094">
        <v>5</v>
      </c>
      <c r="V1094">
        <v>4</v>
      </c>
      <c r="W1094">
        <v>0</v>
      </c>
      <c r="X1094">
        <v>3</v>
      </c>
      <c r="Y1094">
        <v>20</v>
      </c>
      <c r="Z1094">
        <f>IF(H_A[[#This Row],[Attrition]]="Yes",1,0)</f>
        <v>0</v>
      </c>
      <c r="AA1094" t="str">
        <f>IF(H_A[[#This Row],[Age]]&lt;30,"Young",IF(H_A[[#This Row],[Age]]&lt;45,"Mid","Senior"))</f>
        <v>Senior</v>
      </c>
      <c r="AB1094" t="str">
        <f>IF(H_A[[#This Row],[MonthlyIncome]]&lt;5000,"Low",IF(H_A[[#This Row],[MonthlyIncome]]&lt;10000,"Medium","High"))</f>
        <v>Low</v>
      </c>
      <c r="AC1094" t="str">
        <f>IF(H_A[[#This Row],[YearsAtCompany]]&lt;3,"Early",IF(H_A[[#This Row],[YearsAtCompany]]&lt;7,"Mid","Long"))</f>
        <v>Mid</v>
      </c>
      <c r="AD1094" t="str">
        <f>IF(H_A[[#This Row],[PercentSalaryHike]]&lt;13,"Low",IF(H_A[[#This Row],[PercentSalaryHike]]&lt;18,"Medium","High"))</f>
        <v>High</v>
      </c>
    </row>
    <row r="1095" spans="1:30" x14ac:dyDescent="0.3">
      <c r="A1095">
        <v>42</v>
      </c>
      <c r="B1095">
        <v>1547</v>
      </c>
      <c r="C1095" t="s">
        <v>36</v>
      </c>
      <c r="D1095" t="s">
        <v>37</v>
      </c>
      <c r="E1095">
        <v>2</v>
      </c>
      <c r="F1095">
        <v>3</v>
      </c>
      <c r="G1095" t="s">
        <v>32</v>
      </c>
      <c r="H1095">
        <v>4</v>
      </c>
      <c r="I1095" t="s">
        <v>38</v>
      </c>
      <c r="J1095">
        <v>3</v>
      </c>
      <c r="K1095">
        <v>3</v>
      </c>
      <c r="L1095" t="s">
        <v>46</v>
      </c>
      <c r="M1095">
        <v>4</v>
      </c>
      <c r="N1095" t="s">
        <v>40</v>
      </c>
      <c r="O1095">
        <v>10124</v>
      </c>
      <c r="P1095">
        <v>2</v>
      </c>
      <c r="Q1095" t="s">
        <v>30</v>
      </c>
      <c r="R1095">
        <v>3</v>
      </c>
      <c r="S1095">
        <v>24</v>
      </c>
      <c r="T1095">
        <v>1</v>
      </c>
      <c r="U1095">
        <v>20</v>
      </c>
      <c r="V1095">
        <v>8</v>
      </c>
      <c r="W1095">
        <v>13</v>
      </c>
      <c r="X1095">
        <v>9</v>
      </c>
      <c r="Y1095">
        <v>14</v>
      </c>
      <c r="Z1095">
        <f>IF(H_A[[#This Row],[Attrition]]="Yes",1,0)</f>
        <v>0</v>
      </c>
      <c r="AA1095" t="str">
        <f>IF(H_A[[#This Row],[Age]]&lt;30,"Young",IF(H_A[[#This Row],[Age]]&lt;45,"Mid","Senior"))</f>
        <v>Mid</v>
      </c>
      <c r="AB1095" t="str">
        <f>IF(H_A[[#This Row],[MonthlyIncome]]&lt;5000,"Low",IF(H_A[[#This Row],[MonthlyIncome]]&lt;10000,"Medium","High"))</f>
        <v>High</v>
      </c>
      <c r="AC1095" t="str">
        <f>IF(H_A[[#This Row],[YearsAtCompany]]&lt;3,"Early",IF(H_A[[#This Row],[YearsAtCompany]]&lt;7,"Mid","Long"))</f>
        <v>Long</v>
      </c>
      <c r="AD1095" t="str">
        <f>IF(H_A[[#This Row],[PercentSalaryHike]]&lt;13,"Low",IF(H_A[[#This Row],[PercentSalaryHike]]&lt;18,"Medium","High"))</f>
        <v>Medium</v>
      </c>
    </row>
    <row r="1096" spans="1:30" x14ac:dyDescent="0.3">
      <c r="A1096">
        <v>40</v>
      </c>
      <c r="B1096">
        <v>1548</v>
      </c>
      <c r="C1096" t="s">
        <v>36</v>
      </c>
      <c r="D1096" t="s">
        <v>31</v>
      </c>
      <c r="E1096">
        <v>9</v>
      </c>
      <c r="F1096">
        <v>2</v>
      </c>
      <c r="G1096" t="s">
        <v>43</v>
      </c>
      <c r="H1096">
        <v>1</v>
      </c>
      <c r="I1096" t="s">
        <v>38</v>
      </c>
      <c r="J1096">
        <v>3</v>
      </c>
      <c r="K1096">
        <v>2</v>
      </c>
      <c r="L1096" t="s">
        <v>34</v>
      </c>
      <c r="M1096">
        <v>1</v>
      </c>
      <c r="N1096" t="s">
        <v>40</v>
      </c>
      <c r="O1096">
        <v>5473</v>
      </c>
      <c r="P1096">
        <v>0</v>
      </c>
      <c r="Q1096" t="s">
        <v>36</v>
      </c>
      <c r="R1096">
        <v>4</v>
      </c>
      <c r="S1096">
        <v>9</v>
      </c>
      <c r="T1096">
        <v>4</v>
      </c>
      <c r="U1096">
        <v>8</v>
      </c>
      <c r="V1096">
        <v>4</v>
      </c>
      <c r="W1096">
        <v>7</v>
      </c>
      <c r="X1096">
        <v>1</v>
      </c>
      <c r="Y1096">
        <v>12</v>
      </c>
      <c r="Z1096">
        <f>IF(H_A[[#This Row],[Attrition]]="Yes",1,0)</f>
        <v>0</v>
      </c>
      <c r="AA1096" t="str">
        <f>IF(H_A[[#This Row],[Age]]&lt;30,"Young",IF(H_A[[#This Row],[Age]]&lt;45,"Mid","Senior"))</f>
        <v>Mid</v>
      </c>
      <c r="AB1096" t="str">
        <f>IF(H_A[[#This Row],[MonthlyIncome]]&lt;5000,"Low",IF(H_A[[#This Row],[MonthlyIncome]]&lt;10000,"Medium","High"))</f>
        <v>Medium</v>
      </c>
      <c r="AC1096" t="str">
        <f>IF(H_A[[#This Row],[YearsAtCompany]]&lt;3,"Early",IF(H_A[[#This Row],[YearsAtCompany]]&lt;7,"Mid","Long"))</f>
        <v>Long</v>
      </c>
      <c r="AD1096" t="str">
        <f>IF(H_A[[#This Row],[PercentSalaryHike]]&lt;13,"Low",IF(H_A[[#This Row],[PercentSalaryHike]]&lt;18,"Medium","High"))</f>
        <v>Low</v>
      </c>
    </row>
    <row r="1097" spans="1:30" x14ac:dyDescent="0.3">
      <c r="A1097">
        <v>33</v>
      </c>
      <c r="B1097">
        <v>1549</v>
      </c>
      <c r="C1097" t="s">
        <v>36</v>
      </c>
      <c r="D1097" t="s">
        <v>37</v>
      </c>
      <c r="E1097">
        <v>28</v>
      </c>
      <c r="F1097">
        <v>4</v>
      </c>
      <c r="G1097" t="s">
        <v>32</v>
      </c>
      <c r="H1097">
        <v>2</v>
      </c>
      <c r="I1097" t="s">
        <v>38</v>
      </c>
      <c r="J1097">
        <v>3</v>
      </c>
      <c r="K1097">
        <v>2</v>
      </c>
      <c r="L1097" t="s">
        <v>42</v>
      </c>
      <c r="M1097">
        <v>3</v>
      </c>
      <c r="N1097" t="s">
        <v>40</v>
      </c>
      <c r="O1097">
        <v>5207</v>
      </c>
      <c r="P1097">
        <v>1</v>
      </c>
      <c r="Q1097" t="s">
        <v>30</v>
      </c>
      <c r="R1097">
        <v>2</v>
      </c>
      <c r="S1097">
        <v>15</v>
      </c>
      <c r="T1097">
        <v>3</v>
      </c>
      <c r="U1097">
        <v>15</v>
      </c>
      <c r="V1097">
        <v>14</v>
      </c>
      <c r="W1097">
        <v>5</v>
      </c>
      <c r="X1097">
        <v>7</v>
      </c>
      <c r="Y1097">
        <v>12</v>
      </c>
      <c r="Z1097">
        <f>IF(H_A[[#This Row],[Attrition]]="Yes",1,0)</f>
        <v>0</v>
      </c>
      <c r="AA1097" t="str">
        <f>IF(H_A[[#This Row],[Age]]&lt;30,"Young",IF(H_A[[#This Row],[Age]]&lt;45,"Mid","Senior"))</f>
        <v>Mid</v>
      </c>
      <c r="AB1097" t="str">
        <f>IF(H_A[[#This Row],[MonthlyIncome]]&lt;5000,"Low",IF(H_A[[#This Row],[MonthlyIncome]]&lt;10000,"Medium","High"))</f>
        <v>Medium</v>
      </c>
      <c r="AC1097" t="str">
        <f>IF(H_A[[#This Row],[YearsAtCompany]]&lt;3,"Early",IF(H_A[[#This Row],[YearsAtCompany]]&lt;7,"Mid","Long"))</f>
        <v>Long</v>
      </c>
      <c r="AD1097" t="str">
        <f>IF(H_A[[#This Row],[PercentSalaryHike]]&lt;13,"Low",IF(H_A[[#This Row],[PercentSalaryHike]]&lt;18,"Medium","High"))</f>
        <v>Low</v>
      </c>
    </row>
    <row r="1098" spans="1:30" x14ac:dyDescent="0.3">
      <c r="A1098">
        <v>40</v>
      </c>
      <c r="B1098">
        <v>1550</v>
      </c>
      <c r="C1098" t="s">
        <v>36</v>
      </c>
      <c r="D1098" t="s">
        <v>52</v>
      </c>
      <c r="E1098">
        <v>6</v>
      </c>
      <c r="F1098">
        <v>2</v>
      </c>
      <c r="G1098" t="s">
        <v>43</v>
      </c>
      <c r="H1098">
        <v>3</v>
      </c>
      <c r="I1098" t="s">
        <v>38</v>
      </c>
      <c r="J1098">
        <v>3</v>
      </c>
      <c r="K1098">
        <v>4</v>
      </c>
      <c r="L1098" t="s">
        <v>47</v>
      </c>
      <c r="M1098">
        <v>4</v>
      </c>
      <c r="N1098" t="s">
        <v>35</v>
      </c>
      <c r="O1098">
        <v>16437</v>
      </c>
      <c r="P1098">
        <v>1</v>
      </c>
      <c r="Q1098" t="s">
        <v>30</v>
      </c>
      <c r="R1098">
        <v>4</v>
      </c>
      <c r="S1098">
        <v>21</v>
      </c>
      <c r="T1098">
        <v>3</v>
      </c>
      <c r="U1098">
        <v>21</v>
      </c>
      <c r="V1098">
        <v>7</v>
      </c>
      <c r="W1098">
        <v>7</v>
      </c>
      <c r="X1098">
        <v>7</v>
      </c>
      <c r="Y1098">
        <v>21</v>
      </c>
      <c r="Z1098">
        <f>IF(H_A[[#This Row],[Attrition]]="Yes",1,0)</f>
        <v>0</v>
      </c>
      <c r="AA1098" t="str">
        <f>IF(H_A[[#This Row],[Age]]&lt;30,"Young",IF(H_A[[#This Row],[Age]]&lt;45,"Mid","Senior"))</f>
        <v>Mid</v>
      </c>
      <c r="AB1098" t="str">
        <f>IF(H_A[[#This Row],[MonthlyIncome]]&lt;5000,"Low",IF(H_A[[#This Row],[MonthlyIncome]]&lt;10000,"Medium","High"))</f>
        <v>High</v>
      </c>
      <c r="AC1098" t="str">
        <f>IF(H_A[[#This Row],[YearsAtCompany]]&lt;3,"Early",IF(H_A[[#This Row],[YearsAtCompany]]&lt;7,"Mid","Long"))</f>
        <v>Long</v>
      </c>
      <c r="AD1098" t="str">
        <f>IF(H_A[[#This Row],[PercentSalaryHike]]&lt;13,"Low",IF(H_A[[#This Row],[PercentSalaryHike]]&lt;18,"Medium","High"))</f>
        <v>High</v>
      </c>
    </row>
    <row r="1099" spans="1:30" x14ac:dyDescent="0.3">
      <c r="A1099">
        <v>24</v>
      </c>
      <c r="B1099">
        <v>1551</v>
      </c>
      <c r="C1099" t="s">
        <v>36</v>
      </c>
      <c r="D1099" t="s">
        <v>37</v>
      </c>
      <c r="E1099">
        <v>21</v>
      </c>
      <c r="F1099">
        <v>2</v>
      </c>
      <c r="G1099" t="s">
        <v>51</v>
      </c>
      <c r="H1099">
        <v>3</v>
      </c>
      <c r="I1099" t="s">
        <v>38</v>
      </c>
      <c r="J1099">
        <v>2</v>
      </c>
      <c r="K1099">
        <v>1</v>
      </c>
      <c r="L1099" t="s">
        <v>42</v>
      </c>
      <c r="M1099">
        <v>1</v>
      </c>
      <c r="N1099" t="s">
        <v>44</v>
      </c>
      <c r="O1099">
        <v>2296</v>
      </c>
      <c r="P1099">
        <v>0</v>
      </c>
      <c r="Q1099" t="s">
        <v>36</v>
      </c>
      <c r="R1099">
        <v>2</v>
      </c>
      <c r="S1099">
        <v>2</v>
      </c>
      <c r="T1099">
        <v>3</v>
      </c>
      <c r="U1099">
        <v>1</v>
      </c>
      <c r="V1099">
        <v>1</v>
      </c>
      <c r="W1099">
        <v>0</v>
      </c>
      <c r="X1099">
        <v>0</v>
      </c>
      <c r="Y1099">
        <v>14</v>
      </c>
      <c r="Z1099">
        <f>IF(H_A[[#This Row],[Attrition]]="Yes",1,0)</f>
        <v>0</v>
      </c>
      <c r="AA1099" t="str">
        <f>IF(H_A[[#This Row],[Age]]&lt;30,"Young",IF(H_A[[#This Row],[Age]]&lt;45,"Mid","Senior"))</f>
        <v>Young</v>
      </c>
      <c r="AB1099" t="str">
        <f>IF(H_A[[#This Row],[MonthlyIncome]]&lt;5000,"Low",IF(H_A[[#This Row],[MonthlyIncome]]&lt;10000,"Medium","High"))</f>
        <v>Low</v>
      </c>
      <c r="AC1099" t="str">
        <f>IF(H_A[[#This Row],[YearsAtCompany]]&lt;3,"Early",IF(H_A[[#This Row],[YearsAtCompany]]&lt;7,"Mid","Long"))</f>
        <v>Early</v>
      </c>
      <c r="AD1099" t="str">
        <f>IF(H_A[[#This Row],[PercentSalaryHike]]&lt;13,"Low",IF(H_A[[#This Row],[PercentSalaryHike]]&lt;18,"Medium","High"))</f>
        <v>Medium</v>
      </c>
    </row>
    <row r="1100" spans="1:30" x14ac:dyDescent="0.3">
      <c r="A1100">
        <v>40</v>
      </c>
      <c r="B1100">
        <v>1552</v>
      </c>
      <c r="C1100" t="s">
        <v>36</v>
      </c>
      <c r="D1100" t="s">
        <v>37</v>
      </c>
      <c r="E1100">
        <v>8</v>
      </c>
      <c r="F1100">
        <v>2</v>
      </c>
      <c r="G1100" t="s">
        <v>32</v>
      </c>
      <c r="H1100">
        <v>4</v>
      </c>
      <c r="I1100" t="s">
        <v>38</v>
      </c>
      <c r="J1100">
        <v>3</v>
      </c>
      <c r="K1100">
        <v>2</v>
      </c>
      <c r="L1100" t="s">
        <v>46</v>
      </c>
      <c r="M1100">
        <v>4</v>
      </c>
      <c r="N1100" t="s">
        <v>44</v>
      </c>
      <c r="O1100">
        <v>4069</v>
      </c>
      <c r="P1100">
        <v>3</v>
      </c>
      <c r="Q1100" t="s">
        <v>30</v>
      </c>
      <c r="R1100">
        <v>3</v>
      </c>
      <c r="S1100">
        <v>8</v>
      </c>
      <c r="T1100">
        <v>3</v>
      </c>
      <c r="U1100">
        <v>2</v>
      </c>
      <c r="V1100">
        <v>2</v>
      </c>
      <c r="W1100">
        <v>2</v>
      </c>
      <c r="X1100">
        <v>2</v>
      </c>
      <c r="Y1100">
        <v>18</v>
      </c>
      <c r="Z1100">
        <f>IF(H_A[[#This Row],[Attrition]]="Yes",1,0)</f>
        <v>0</v>
      </c>
      <c r="AA1100" t="str">
        <f>IF(H_A[[#This Row],[Age]]&lt;30,"Young",IF(H_A[[#This Row],[Age]]&lt;45,"Mid","Senior"))</f>
        <v>Mid</v>
      </c>
      <c r="AB1100" t="str">
        <f>IF(H_A[[#This Row],[MonthlyIncome]]&lt;5000,"Low",IF(H_A[[#This Row],[MonthlyIncome]]&lt;10000,"Medium","High"))</f>
        <v>Low</v>
      </c>
      <c r="AC1100" t="str">
        <f>IF(H_A[[#This Row],[YearsAtCompany]]&lt;3,"Early",IF(H_A[[#This Row],[YearsAtCompany]]&lt;7,"Mid","Long"))</f>
        <v>Early</v>
      </c>
      <c r="AD1100" t="str">
        <f>IF(H_A[[#This Row],[PercentSalaryHike]]&lt;13,"Low",IF(H_A[[#This Row],[PercentSalaryHike]]&lt;18,"Medium","High"))</f>
        <v>High</v>
      </c>
    </row>
    <row r="1101" spans="1:30" x14ac:dyDescent="0.3">
      <c r="A1101">
        <v>45</v>
      </c>
      <c r="B1101">
        <v>1553</v>
      </c>
      <c r="C1101" t="s">
        <v>36</v>
      </c>
      <c r="D1101" t="s">
        <v>37</v>
      </c>
      <c r="E1101">
        <v>1</v>
      </c>
      <c r="F1101">
        <v>4</v>
      </c>
      <c r="G1101" t="s">
        <v>51</v>
      </c>
      <c r="H1101">
        <v>1</v>
      </c>
      <c r="I1101" t="s">
        <v>38</v>
      </c>
      <c r="J1101">
        <v>3</v>
      </c>
      <c r="K1101">
        <v>3</v>
      </c>
      <c r="L1101" t="s">
        <v>46</v>
      </c>
      <c r="M1101">
        <v>2</v>
      </c>
      <c r="N1101" t="s">
        <v>44</v>
      </c>
      <c r="O1101">
        <v>7441</v>
      </c>
      <c r="P1101">
        <v>1</v>
      </c>
      <c r="Q1101" t="s">
        <v>36</v>
      </c>
      <c r="R1101">
        <v>1</v>
      </c>
      <c r="S1101">
        <v>10</v>
      </c>
      <c r="T1101">
        <v>3</v>
      </c>
      <c r="U1101">
        <v>10</v>
      </c>
      <c r="V1101">
        <v>8</v>
      </c>
      <c r="W1101">
        <v>7</v>
      </c>
      <c r="X1101">
        <v>7</v>
      </c>
      <c r="Y1101">
        <v>12</v>
      </c>
      <c r="Z1101">
        <f>IF(H_A[[#This Row],[Attrition]]="Yes",1,0)</f>
        <v>0</v>
      </c>
      <c r="AA1101" t="str">
        <f>IF(H_A[[#This Row],[Age]]&lt;30,"Young",IF(H_A[[#This Row],[Age]]&lt;45,"Mid","Senior"))</f>
        <v>Senior</v>
      </c>
      <c r="AB1101" t="str">
        <f>IF(H_A[[#This Row],[MonthlyIncome]]&lt;5000,"Low",IF(H_A[[#This Row],[MonthlyIncome]]&lt;10000,"Medium","High"))</f>
        <v>Medium</v>
      </c>
      <c r="AC1101" t="str">
        <f>IF(H_A[[#This Row],[YearsAtCompany]]&lt;3,"Early",IF(H_A[[#This Row],[YearsAtCompany]]&lt;7,"Mid","Long"))</f>
        <v>Long</v>
      </c>
      <c r="AD1101" t="str">
        <f>IF(H_A[[#This Row],[PercentSalaryHike]]&lt;13,"Low",IF(H_A[[#This Row],[PercentSalaryHike]]&lt;18,"Medium","High"))</f>
        <v>Low</v>
      </c>
    </row>
    <row r="1102" spans="1:30" x14ac:dyDescent="0.3">
      <c r="A1102">
        <v>35</v>
      </c>
      <c r="B1102">
        <v>1554</v>
      </c>
      <c r="C1102" t="s">
        <v>36</v>
      </c>
      <c r="D1102" t="s">
        <v>31</v>
      </c>
      <c r="E1102">
        <v>28</v>
      </c>
      <c r="F1102">
        <v>4</v>
      </c>
      <c r="G1102" t="s">
        <v>32</v>
      </c>
      <c r="H1102">
        <v>2</v>
      </c>
      <c r="I1102" t="s">
        <v>33</v>
      </c>
      <c r="J1102">
        <v>2</v>
      </c>
      <c r="K1102">
        <v>1</v>
      </c>
      <c r="L1102" t="s">
        <v>48</v>
      </c>
      <c r="M1102">
        <v>3</v>
      </c>
      <c r="N1102" t="s">
        <v>40</v>
      </c>
      <c r="O1102">
        <v>2430</v>
      </c>
      <c r="P1102">
        <v>0</v>
      </c>
      <c r="Q1102" t="s">
        <v>36</v>
      </c>
      <c r="R1102">
        <v>1</v>
      </c>
      <c r="S1102">
        <v>6</v>
      </c>
      <c r="T1102">
        <v>3</v>
      </c>
      <c r="U1102">
        <v>5</v>
      </c>
      <c r="V1102">
        <v>3</v>
      </c>
      <c r="W1102">
        <v>4</v>
      </c>
      <c r="X1102">
        <v>2</v>
      </c>
      <c r="Y1102">
        <v>23</v>
      </c>
      <c r="Z1102">
        <f>IF(H_A[[#This Row],[Attrition]]="Yes",1,0)</f>
        <v>0</v>
      </c>
      <c r="AA1102" t="str">
        <f>IF(H_A[[#This Row],[Age]]&lt;30,"Young",IF(H_A[[#This Row],[Age]]&lt;45,"Mid","Senior"))</f>
        <v>Mid</v>
      </c>
      <c r="AB1102" t="str">
        <f>IF(H_A[[#This Row],[MonthlyIncome]]&lt;5000,"Low",IF(H_A[[#This Row],[MonthlyIncome]]&lt;10000,"Medium","High"))</f>
        <v>Low</v>
      </c>
      <c r="AC1102" t="str">
        <f>IF(H_A[[#This Row],[YearsAtCompany]]&lt;3,"Early",IF(H_A[[#This Row],[YearsAtCompany]]&lt;7,"Mid","Long"))</f>
        <v>Mid</v>
      </c>
      <c r="AD1102" t="str">
        <f>IF(H_A[[#This Row],[PercentSalaryHike]]&lt;13,"Low",IF(H_A[[#This Row],[PercentSalaryHike]]&lt;18,"Medium","High"))</f>
        <v>High</v>
      </c>
    </row>
    <row r="1103" spans="1:30" x14ac:dyDescent="0.3">
      <c r="A1103">
        <v>32</v>
      </c>
      <c r="B1103">
        <v>1555</v>
      </c>
      <c r="C1103" t="s">
        <v>36</v>
      </c>
      <c r="D1103" t="s">
        <v>37</v>
      </c>
      <c r="E1103">
        <v>5</v>
      </c>
      <c r="F1103">
        <v>2</v>
      </c>
      <c r="G1103" t="s">
        <v>32</v>
      </c>
      <c r="H1103">
        <v>4</v>
      </c>
      <c r="I1103" t="s">
        <v>33</v>
      </c>
      <c r="J1103">
        <v>2</v>
      </c>
      <c r="K1103">
        <v>2</v>
      </c>
      <c r="L1103" t="s">
        <v>39</v>
      </c>
      <c r="M1103">
        <v>2</v>
      </c>
      <c r="N1103" t="s">
        <v>40</v>
      </c>
      <c r="O1103">
        <v>5878</v>
      </c>
      <c r="P1103">
        <v>3</v>
      </c>
      <c r="Q1103" t="s">
        <v>36</v>
      </c>
      <c r="R1103">
        <v>1</v>
      </c>
      <c r="S1103">
        <v>12</v>
      </c>
      <c r="T1103">
        <v>3</v>
      </c>
      <c r="U1103">
        <v>7</v>
      </c>
      <c r="V1103">
        <v>1</v>
      </c>
      <c r="W1103">
        <v>2</v>
      </c>
      <c r="X1103">
        <v>5</v>
      </c>
      <c r="Y1103">
        <v>12</v>
      </c>
      <c r="Z1103">
        <f>IF(H_A[[#This Row],[Attrition]]="Yes",1,0)</f>
        <v>0</v>
      </c>
      <c r="AA1103" t="str">
        <f>IF(H_A[[#This Row],[Age]]&lt;30,"Young",IF(H_A[[#This Row],[Age]]&lt;45,"Mid","Senior"))</f>
        <v>Mid</v>
      </c>
      <c r="AB1103" t="str">
        <f>IF(H_A[[#This Row],[MonthlyIncome]]&lt;5000,"Low",IF(H_A[[#This Row],[MonthlyIncome]]&lt;10000,"Medium","High"))</f>
        <v>Medium</v>
      </c>
      <c r="AC1103" t="str">
        <f>IF(H_A[[#This Row],[YearsAtCompany]]&lt;3,"Early",IF(H_A[[#This Row],[YearsAtCompany]]&lt;7,"Mid","Long"))</f>
        <v>Long</v>
      </c>
      <c r="AD1103" t="str">
        <f>IF(H_A[[#This Row],[PercentSalaryHike]]&lt;13,"Low",IF(H_A[[#This Row],[PercentSalaryHike]]&lt;18,"Medium","High"))</f>
        <v>Low</v>
      </c>
    </row>
    <row r="1104" spans="1:30" x14ac:dyDescent="0.3">
      <c r="A1104">
        <v>36</v>
      </c>
      <c r="B1104">
        <v>1556</v>
      </c>
      <c r="C1104" t="s">
        <v>36</v>
      </c>
      <c r="D1104" t="s">
        <v>31</v>
      </c>
      <c r="E1104">
        <v>2</v>
      </c>
      <c r="F1104">
        <v>4</v>
      </c>
      <c r="G1104" t="s">
        <v>32</v>
      </c>
      <c r="H1104">
        <v>3</v>
      </c>
      <c r="I1104" t="s">
        <v>38</v>
      </c>
      <c r="J1104">
        <v>3</v>
      </c>
      <c r="K1104">
        <v>1</v>
      </c>
      <c r="L1104" t="s">
        <v>48</v>
      </c>
      <c r="M1104">
        <v>4</v>
      </c>
      <c r="N1104" t="s">
        <v>35</v>
      </c>
      <c r="O1104">
        <v>2644</v>
      </c>
      <c r="P1104">
        <v>3</v>
      </c>
      <c r="Q1104" t="s">
        <v>30</v>
      </c>
      <c r="R1104">
        <v>4</v>
      </c>
      <c r="S1104">
        <v>7</v>
      </c>
      <c r="T1104">
        <v>2</v>
      </c>
      <c r="U1104">
        <v>3</v>
      </c>
      <c r="V1104">
        <v>2</v>
      </c>
      <c r="W1104">
        <v>1</v>
      </c>
      <c r="X1104">
        <v>2</v>
      </c>
      <c r="Y1104">
        <v>21</v>
      </c>
      <c r="Z1104">
        <f>IF(H_A[[#This Row],[Attrition]]="Yes",1,0)</f>
        <v>0</v>
      </c>
      <c r="AA1104" t="str">
        <f>IF(H_A[[#This Row],[Age]]&lt;30,"Young",IF(H_A[[#This Row],[Age]]&lt;45,"Mid","Senior"))</f>
        <v>Mid</v>
      </c>
      <c r="AB1104" t="str">
        <f>IF(H_A[[#This Row],[MonthlyIncome]]&lt;5000,"Low",IF(H_A[[#This Row],[MonthlyIncome]]&lt;10000,"Medium","High"))</f>
        <v>Low</v>
      </c>
      <c r="AC1104" t="str">
        <f>IF(H_A[[#This Row],[YearsAtCompany]]&lt;3,"Early",IF(H_A[[#This Row],[YearsAtCompany]]&lt;7,"Mid","Long"))</f>
        <v>Mid</v>
      </c>
      <c r="AD1104" t="str">
        <f>IF(H_A[[#This Row],[PercentSalaryHike]]&lt;13,"Low",IF(H_A[[#This Row],[PercentSalaryHike]]&lt;18,"Medium","High"))</f>
        <v>High</v>
      </c>
    </row>
    <row r="1105" spans="1:30" x14ac:dyDescent="0.3">
      <c r="A1105">
        <v>48</v>
      </c>
      <c r="B1105">
        <v>1557</v>
      </c>
      <c r="C1105" t="s">
        <v>36</v>
      </c>
      <c r="D1105" t="s">
        <v>31</v>
      </c>
      <c r="E1105">
        <v>16</v>
      </c>
      <c r="F1105">
        <v>4</v>
      </c>
      <c r="G1105" t="s">
        <v>32</v>
      </c>
      <c r="H1105">
        <v>3</v>
      </c>
      <c r="I1105" t="s">
        <v>33</v>
      </c>
      <c r="J1105">
        <v>3</v>
      </c>
      <c r="K1105">
        <v>2</v>
      </c>
      <c r="L1105" t="s">
        <v>34</v>
      </c>
      <c r="M1105">
        <v>3</v>
      </c>
      <c r="N1105" t="s">
        <v>44</v>
      </c>
      <c r="O1105">
        <v>6439</v>
      </c>
      <c r="P1105">
        <v>8</v>
      </c>
      <c r="Q1105" t="s">
        <v>36</v>
      </c>
      <c r="R1105">
        <v>3</v>
      </c>
      <c r="S1105">
        <v>18</v>
      </c>
      <c r="T1105">
        <v>3</v>
      </c>
      <c r="U1105">
        <v>8</v>
      </c>
      <c r="V1105">
        <v>7</v>
      </c>
      <c r="W1105">
        <v>7</v>
      </c>
      <c r="X1105">
        <v>7</v>
      </c>
      <c r="Y1105">
        <v>14</v>
      </c>
      <c r="Z1105">
        <f>IF(H_A[[#This Row],[Attrition]]="Yes",1,0)</f>
        <v>0</v>
      </c>
      <c r="AA1105" t="str">
        <f>IF(H_A[[#This Row],[Age]]&lt;30,"Young",IF(H_A[[#This Row],[Age]]&lt;45,"Mid","Senior"))</f>
        <v>Senior</v>
      </c>
      <c r="AB1105" t="str">
        <f>IF(H_A[[#This Row],[MonthlyIncome]]&lt;5000,"Low",IF(H_A[[#This Row],[MonthlyIncome]]&lt;10000,"Medium","High"))</f>
        <v>Medium</v>
      </c>
      <c r="AC1105" t="str">
        <f>IF(H_A[[#This Row],[YearsAtCompany]]&lt;3,"Early",IF(H_A[[#This Row],[YearsAtCompany]]&lt;7,"Mid","Long"))</f>
        <v>Long</v>
      </c>
      <c r="AD1105" t="str">
        <f>IF(H_A[[#This Row],[PercentSalaryHike]]&lt;13,"Low",IF(H_A[[#This Row],[PercentSalaryHike]]&lt;18,"Medium","High"))</f>
        <v>Medium</v>
      </c>
    </row>
    <row r="1106" spans="1:30" x14ac:dyDescent="0.3">
      <c r="A1106">
        <v>29</v>
      </c>
      <c r="B1106">
        <v>1558</v>
      </c>
      <c r="C1106" t="s">
        <v>36</v>
      </c>
      <c r="D1106" t="s">
        <v>37</v>
      </c>
      <c r="E1106">
        <v>9</v>
      </c>
      <c r="F1106">
        <v>3</v>
      </c>
      <c r="G1106" t="s">
        <v>32</v>
      </c>
      <c r="H1106">
        <v>3</v>
      </c>
      <c r="I1106" t="s">
        <v>38</v>
      </c>
      <c r="J1106">
        <v>4</v>
      </c>
      <c r="K1106">
        <v>1</v>
      </c>
      <c r="L1106" t="s">
        <v>39</v>
      </c>
      <c r="M1106">
        <v>3</v>
      </c>
      <c r="N1106" t="s">
        <v>40</v>
      </c>
      <c r="O1106">
        <v>2451</v>
      </c>
      <c r="P1106">
        <v>6</v>
      </c>
      <c r="Q1106" t="s">
        <v>36</v>
      </c>
      <c r="R1106">
        <v>1</v>
      </c>
      <c r="S1106">
        <v>5</v>
      </c>
      <c r="T1106">
        <v>2</v>
      </c>
      <c r="U1106">
        <v>1</v>
      </c>
      <c r="V1106">
        <v>0</v>
      </c>
      <c r="W1106">
        <v>0</v>
      </c>
      <c r="X1106">
        <v>0</v>
      </c>
      <c r="Y1106">
        <v>18</v>
      </c>
      <c r="Z1106">
        <f>IF(H_A[[#This Row],[Attrition]]="Yes",1,0)</f>
        <v>0</v>
      </c>
      <c r="AA1106" t="str">
        <f>IF(H_A[[#This Row],[Age]]&lt;30,"Young",IF(H_A[[#This Row],[Age]]&lt;45,"Mid","Senior"))</f>
        <v>Young</v>
      </c>
      <c r="AB1106" t="str">
        <f>IF(H_A[[#This Row],[MonthlyIncome]]&lt;5000,"Low",IF(H_A[[#This Row],[MonthlyIncome]]&lt;10000,"Medium","High"))</f>
        <v>Low</v>
      </c>
      <c r="AC1106" t="str">
        <f>IF(H_A[[#This Row],[YearsAtCompany]]&lt;3,"Early",IF(H_A[[#This Row],[YearsAtCompany]]&lt;7,"Mid","Long"))</f>
        <v>Early</v>
      </c>
      <c r="AD1106" t="str">
        <f>IF(H_A[[#This Row],[PercentSalaryHike]]&lt;13,"Low",IF(H_A[[#This Row],[PercentSalaryHike]]&lt;18,"Medium","High"))</f>
        <v>High</v>
      </c>
    </row>
    <row r="1107" spans="1:30" x14ac:dyDescent="0.3">
      <c r="A1107">
        <v>33</v>
      </c>
      <c r="B1107">
        <v>1560</v>
      </c>
      <c r="C1107" t="s">
        <v>36</v>
      </c>
      <c r="D1107" t="s">
        <v>31</v>
      </c>
      <c r="E1107">
        <v>8</v>
      </c>
      <c r="F1107">
        <v>4</v>
      </c>
      <c r="G1107" t="s">
        <v>32</v>
      </c>
      <c r="H1107">
        <v>1</v>
      </c>
      <c r="I1107" t="s">
        <v>38</v>
      </c>
      <c r="J1107">
        <v>3</v>
      </c>
      <c r="K1107">
        <v>2</v>
      </c>
      <c r="L1107" t="s">
        <v>34</v>
      </c>
      <c r="M1107">
        <v>1</v>
      </c>
      <c r="N1107" t="s">
        <v>40</v>
      </c>
      <c r="O1107">
        <v>6392</v>
      </c>
      <c r="P1107">
        <v>2</v>
      </c>
      <c r="Q1107" t="s">
        <v>36</v>
      </c>
      <c r="R1107">
        <v>4</v>
      </c>
      <c r="S1107">
        <v>8</v>
      </c>
      <c r="T1107">
        <v>1</v>
      </c>
      <c r="U1107">
        <v>2</v>
      </c>
      <c r="V1107">
        <v>2</v>
      </c>
      <c r="W1107">
        <v>2</v>
      </c>
      <c r="X1107">
        <v>2</v>
      </c>
      <c r="Y1107">
        <v>13</v>
      </c>
      <c r="Z1107">
        <f>IF(H_A[[#This Row],[Attrition]]="Yes",1,0)</f>
        <v>0</v>
      </c>
      <c r="AA1107" t="str">
        <f>IF(H_A[[#This Row],[Age]]&lt;30,"Young",IF(H_A[[#This Row],[Age]]&lt;45,"Mid","Senior"))</f>
        <v>Mid</v>
      </c>
      <c r="AB1107" t="str">
        <f>IF(H_A[[#This Row],[MonthlyIncome]]&lt;5000,"Low",IF(H_A[[#This Row],[MonthlyIncome]]&lt;10000,"Medium","High"))</f>
        <v>Medium</v>
      </c>
      <c r="AC1107" t="str">
        <f>IF(H_A[[#This Row],[YearsAtCompany]]&lt;3,"Early",IF(H_A[[#This Row],[YearsAtCompany]]&lt;7,"Mid","Long"))</f>
        <v>Early</v>
      </c>
      <c r="AD1107" t="str">
        <f>IF(H_A[[#This Row],[PercentSalaryHike]]&lt;13,"Low",IF(H_A[[#This Row],[PercentSalaryHike]]&lt;18,"Medium","High"))</f>
        <v>Medium</v>
      </c>
    </row>
    <row r="1108" spans="1:30" x14ac:dyDescent="0.3">
      <c r="A1108">
        <v>30</v>
      </c>
      <c r="B1108">
        <v>1562</v>
      </c>
      <c r="C1108" t="s">
        <v>30</v>
      </c>
      <c r="D1108" t="s">
        <v>31</v>
      </c>
      <c r="E1108">
        <v>1</v>
      </c>
      <c r="F1108">
        <v>3</v>
      </c>
      <c r="G1108" t="s">
        <v>32</v>
      </c>
      <c r="H1108">
        <v>2</v>
      </c>
      <c r="I1108" t="s">
        <v>38</v>
      </c>
      <c r="J1108">
        <v>2</v>
      </c>
      <c r="K1108">
        <v>2</v>
      </c>
      <c r="L1108" t="s">
        <v>34</v>
      </c>
      <c r="M1108">
        <v>1</v>
      </c>
      <c r="N1108" t="s">
        <v>40</v>
      </c>
      <c r="O1108">
        <v>9714</v>
      </c>
      <c r="P1108">
        <v>1</v>
      </c>
      <c r="Q1108" t="s">
        <v>36</v>
      </c>
      <c r="R1108">
        <v>4</v>
      </c>
      <c r="S1108">
        <v>10</v>
      </c>
      <c r="T1108">
        <v>3</v>
      </c>
      <c r="U1108">
        <v>10</v>
      </c>
      <c r="V1108">
        <v>8</v>
      </c>
      <c r="W1108">
        <v>6</v>
      </c>
      <c r="X1108">
        <v>7</v>
      </c>
      <c r="Y1108">
        <v>11</v>
      </c>
      <c r="Z1108">
        <f>IF(H_A[[#This Row],[Attrition]]="Yes",1,0)</f>
        <v>1</v>
      </c>
      <c r="AA1108" t="str">
        <f>IF(H_A[[#This Row],[Age]]&lt;30,"Young",IF(H_A[[#This Row],[Age]]&lt;45,"Mid","Senior"))</f>
        <v>Mid</v>
      </c>
      <c r="AB1108" t="str">
        <f>IF(H_A[[#This Row],[MonthlyIncome]]&lt;5000,"Low",IF(H_A[[#This Row],[MonthlyIncome]]&lt;10000,"Medium","High"))</f>
        <v>Medium</v>
      </c>
      <c r="AC1108" t="str">
        <f>IF(H_A[[#This Row],[YearsAtCompany]]&lt;3,"Early",IF(H_A[[#This Row],[YearsAtCompany]]&lt;7,"Mid","Long"))</f>
        <v>Long</v>
      </c>
      <c r="AD1108" t="str">
        <f>IF(H_A[[#This Row],[PercentSalaryHike]]&lt;13,"Low",IF(H_A[[#This Row],[PercentSalaryHike]]&lt;18,"Medium","High"))</f>
        <v>Low</v>
      </c>
    </row>
    <row r="1109" spans="1:30" x14ac:dyDescent="0.3">
      <c r="A1109">
        <v>38</v>
      </c>
      <c r="B1109">
        <v>1563</v>
      </c>
      <c r="C1109" t="s">
        <v>36</v>
      </c>
      <c r="D1109" t="s">
        <v>52</v>
      </c>
      <c r="E1109">
        <v>10</v>
      </c>
      <c r="F1109">
        <v>4</v>
      </c>
      <c r="G1109" t="s">
        <v>52</v>
      </c>
      <c r="H1109">
        <v>3</v>
      </c>
      <c r="I1109" t="s">
        <v>38</v>
      </c>
      <c r="J1109">
        <v>3</v>
      </c>
      <c r="K1109">
        <v>2</v>
      </c>
      <c r="L1109" t="s">
        <v>52</v>
      </c>
      <c r="M1109">
        <v>3</v>
      </c>
      <c r="N1109" t="s">
        <v>40</v>
      </c>
      <c r="O1109">
        <v>6077</v>
      </c>
      <c r="P1109">
        <v>3</v>
      </c>
      <c r="Q1109" t="s">
        <v>36</v>
      </c>
      <c r="R1109">
        <v>3</v>
      </c>
      <c r="S1109">
        <v>10</v>
      </c>
      <c r="T1109">
        <v>3</v>
      </c>
      <c r="U1109">
        <v>6</v>
      </c>
      <c r="V1109">
        <v>3</v>
      </c>
      <c r="W1109">
        <v>1</v>
      </c>
      <c r="X1109">
        <v>2</v>
      </c>
      <c r="Y1109">
        <v>11</v>
      </c>
      <c r="Z1109">
        <f>IF(H_A[[#This Row],[Attrition]]="Yes",1,0)</f>
        <v>0</v>
      </c>
      <c r="AA1109" t="str">
        <f>IF(H_A[[#This Row],[Age]]&lt;30,"Young",IF(H_A[[#This Row],[Age]]&lt;45,"Mid","Senior"))</f>
        <v>Mid</v>
      </c>
      <c r="AB1109" t="str">
        <f>IF(H_A[[#This Row],[MonthlyIncome]]&lt;5000,"Low",IF(H_A[[#This Row],[MonthlyIncome]]&lt;10000,"Medium","High"))</f>
        <v>Medium</v>
      </c>
      <c r="AC1109" t="str">
        <f>IF(H_A[[#This Row],[YearsAtCompany]]&lt;3,"Early",IF(H_A[[#This Row],[YearsAtCompany]]&lt;7,"Mid","Long"))</f>
        <v>Mid</v>
      </c>
      <c r="AD1109" t="str">
        <f>IF(H_A[[#This Row],[PercentSalaryHike]]&lt;13,"Low",IF(H_A[[#This Row],[PercentSalaryHike]]&lt;18,"Medium","High"))</f>
        <v>Low</v>
      </c>
    </row>
    <row r="1110" spans="1:30" x14ac:dyDescent="0.3">
      <c r="A1110">
        <v>35</v>
      </c>
      <c r="B1110">
        <v>1564</v>
      </c>
      <c r="C1110" t="s">
        <v>36</v>
      </c>
      <c r="D1110" t="s">
        <v>37</v>
      </c>
      <c r="E1110">
        <v>1</v>
      </c>
      <c r="F1110">
        <v>3</v>
      </c>
      <c r="G1110" t="s">
        <v>43</v>
      </c>
      <c r="H1110">
        <v>4</v>
      </c>
      <c r="I1110" t="s">
        <v>38</v>
      </c>
      <c r="J1110">
        <v>2</v>
      </c>
      <c r="K1110">
        <v>1</v>
      </c>
      <c r="L1110" t="s">
        <v>42</v>
      </c>
      <c r="M1110">
        <v>1</v>
      </c>
      <c r="N1110" t="s">
        <v>35</v>
      </c>
      <c r="O1110">
        <v>2450</v>
      </c>
      <c r="P1110">
        <v>1</v>
      </c>
      <c r="Q1110" t="s">
        <v>36</v>
      </c>
      <c r="R1110">
        <v>2</v>
      </c>
      <c r="S1110">
        <v>3</v>
      </c>
      <c r="T1110">
        <v>3</v>
      </c>
      <c r="U1110">
        <v>3</v>
      </c>
      <c r="V1110">
        <v>0</v>
      </c>
      <c r="W1110">
        <v>1</v>
      </c>
      <c r="X1110">
        <v>2</v>
      </c>
      <c r="Y1110">
        <v>19</v>
      </c>
      <c r="Z1110">
        <f>IF(H_A[[#This Row],[Attrition]]="Yes",1,0)</f>
        <v>0</v>
      </c>
      <c r="AA1110" t="str">
        <f>IF(H_A[[#This Row],[Age]]&lt;30,"Young",IF(H_A[[#This Row],[Age]]&lt;45,"Mid","Senior"))</f>
        <v>Mid</v>
      </c>
      <c r="AB1110" t="str">
        <f>IF(H_A[[#This Row],[MonthlyIncome]]&lt;5000,"Low",IF(H_A[[#This Row],[MonthlyIncome]]&lt;10000,"Medium","High"))</f>
        <v>Low</v>
      </c>
      <c r="AC1110" t="str">
        <f>IF(H_A[[#This Row],[YearsAtCompany]]&lt;3,"Early",IF(H_A[[#This Row],[YearsAtCompany]]&lt;7,"Mid","Long"))</f>
        <v>Mid</v>
      </c>
      <c r="AD1110" t="str">
        <f>IF(H_A[[#This Row],[PercentSalaryHike]]&lt;13,"Low",IF(H_A[[#This Row],[PercentSalaryHike]]&lt;18,"Medium","High"))</f>
        <v>High</v>
      </c>
    </row>
    <row r="1111" spans="1:30" x14ac:dyDescent="0.3">
      <c r="A1111">
        <v>30</v>
      </c>
      <c r="B1111">
        <v>1568</v>
      </c>
      <c r="C1111" t="s">
        <v>36</v>
      </c>
      <c r="D1111" t="s">
        <v>31</v>
      </c>
      <c r="E1111">
        <v>29</v>
      </c>
      <c r="F1111">
        <v>4</v>
      </c>
      <c r="G1111" t="s">
        <v>51</v>
      </c>
      <c r="H1111">
        <v>3</v>
      </c>
      <c r="I1111" t="s">
        <v>38</v>
      </c>
      <c r="J1111">
        <v>3</v>
      </c>
      <c r="K1111">
        <v>3</v>
      </c>
      <c r="L1111" t="s">
        <v>34</v>
      </c>
      <c r="M1111">
        <v>2</v>
      </c>
      <c r="N1111" t="s">
        <v>40</v>
      </c>
      <c r="O1111">
        <v>9250</v>
      </c>
      <c r="P1111">
        <v>3</v>
      </c>
      <c r="Q1111" t="s">
        <v>36</v>
      </c>
      <c r="R1111">
        <v>2</v>
      </c>
      <c r="S1111">
        <v>9</v>
      </c>
      <c r="T1111">
        <v>3</v>
      </c>
      <c r="U1111">
        <v>4</v>
      </c>
      <c r="V1111">
        <v>2</v>
      </c>
      <c r="W1111">
        <v>1</v>
      </c>
      <c r="X1111">
        <v>3</v>
      </c>
      <c r="Y1111">
        <v>12</v>
      </c>
      <c r="Z1111">
        <f>IF(H_A[[#This Row],[Attrition]]="Yes",1,0)</f>
        <v>0</v>
      </c>
      <c r="AA1111" t="str">
        <f>IF(H_A[[#This Row],[Age]]&lt;30,"Young",IF(H_A[[#This Row],[Age]]&lt;45,"Mid","Senior"))</f>
        <v>Mid</v>
      </c>
      <c r="AB1111" t="str">
        <f>IF(H_A[[#This Row],[MonthlyIncome]]&lt;5000,"Low",IF(H_A[[#This Row],[MonthlyIncome]]&lt;10000,"Medium","High"))</f>
        <v>Medium</v>
      </c>
      <c r="AC1111" t="str">
        <f>IF(H_A[[#This Row],[YearsAtCompany]]&lt;3,"Early",IF(H_A[[#This Row],[YearsAtCompany]]&lt;7,"Mid","Long"))</f>
        <v>Mid</v>
      </c>
      <c r="AD1111" t="str">
        <f>IF(H_A[[#This Row],[PercentSalaryHike]]&lt;13,"Low",IF(H_A[[#This Row],[PercentSalaryHike]]&lt;18,"Medium","High"))</f>
        <v>Low</v>
      </c>
    </row>
    <row r="1112" spans="1:30" x14ac:dyDescent="0.3">
      <c r="A1112">
        <v>35</v>
      </c>
      <c r="B1112">
        <v>1569</v>
      </c>
      <c r="C1112" t="s">
        <v>30</v>
      </c>
      <c r="D1112" t="s">
        <v>37</v>
      </c>
      <c r="E1112">
        <v>2</v>
      </c>
      <c r="F1112">
        <v>3</v>
      </c>
      <c r="G1112" t="s">
        <v>32</v>
      </c>
      <c r="H1112">
        <v>1</v>
      </c>
      <c r="I1112" t="s">
        <v>33</v>
      </c>
      <c r="J1112">
        <v>3</v>
      </c>
      <c r="K1112">
        <v>1</v>
      </c>
      <c r="L1112" t="s">
        <v>42</v>
      </c>
      <c r="M1112">
        <v>1</v>
      </c>
      <c r="N1112" t="s">
        <v>44</v>
      </c>
      <c r="O1112">
        <v>2074</v>
      </c>
      <c r="P1112">
        <v>1</v>
      </c>
      <c r="Q1112" t="s">
        <v>30</v>
      </c>
      <c r="R1112">
        <v>4</v>
      </c>
      <c r="S1112">
        <v>1</v>
      </c>
      <c r="T1112">
        <v>3</v>
      </c>
      <c r="U1112">
        <v>1</v>
      </c>
      <c r="V1112">
        <v>0</v>
      </c>
      <c r="W1112">
        <v>0</v>
      </c>
      <c r="X1112">
        <v>0</v>
      </c>
      <c r="Y1112">
        <v>12</v>
      </c>
      <c r="Z1112">
        <f>IF(H_A[[#This Row],[Attrition]]="Yes",1,0)</f>
        <v>1</v>
      </c>
      <c r="AA1112" t="str">
        <f>IF(H_A[[#This Row],[Age]]&lt;30,"Young",IF(H_A[[#This Row],[Age]]&lt;45,"Mid","Senior"))</f>
        <v>Mid</v>
      </c>
      <c r="AB1112" t="str">
        <f>IF(H_A[[#This Row],[MonthlyIncome]]&lt;5000,"Low",IF(H_A[[#This Row],[MonthlyIncome]]&lt;10000,"Medium","High"))</f>
        <v>Low</v>
      </c>
      <c r="AC1112" t="str">
        <f>IF(H_A[[#This Row],[YearsAtCompany]]&lt;3,"Early",IF(H_A[[#This Row],[YearsAtCompany]]&lt;7,"Mid","Long"))</f>
        <v>Early</v>
      </c>
      <c r="AD1112" t="str">
        <f>IF(H_A[[#This Row],[PercentSalaryHike]]&lt;13,"Low",IF(H_A[[#This Row],[PercentSalaryHike]]&lt;18,"Medium","High"))</f>
        <v>Low</v>
      </c>
    </row>
    <row r="1113" spans="1:30" x14ac:dyDescent="0.3">
      <c r="A1113">
        <v>53</v>
      </c>
      <c r="B1113">
        <v>1572</v>
      </c>
      <c r="C1113" t="s">
        <v>30</v>
      </c>
      <c r="D1113" t="s">
        <v>37</v>
      </c>
      <c r="E1113">
        <v>2</v>
      </c>
      <c r="F1113">
        <v>5</v>
      </c>
      <c r="G1113" t="s">
        <v>51</v>
      </c>
      <c r="H1113">
        <v>3</v>
      </c>
      <c r="I1113" t="s">
        <v>33</v>
      </c>
      <c r="J1113">
        <v>2</v>
      </c>
      <c r="K1113">
        <v>3</v>
      </c>
      <c r="L1113" t="s">
        <v>45</v>
      </c>
      <c r="M1113">
        <v>4</v>
      </c>
      <c r="N1113" t="s">
        <v>40</v>
      </c>
      <c r="O1113">
        <v>10169</v>
      </c>
      <c r="P1113">
        <v>0</v>
      </c>
      <c r="Q1113" t="s">
        <v>36</v>
      </c>
      <c r="R1113">
        <v>2</v>
      </c>
      <c r="S1113">
        <v>34</v>
      </c>
      <c r="T1113">
        <v>3</v>
      </c>
      <c r="U1113">
        <v>33</v>
      </c>
      <c r="V1113">
        <v>7</v>
      </c>
      <c r="W1113">
        <v>1</v>
      </c>
      <c r="X1113">
        <v>9</v>
      </c>
      <c r="Y1113">
        <v>16</v>
      </c>
      <c r="Z1113">
        <f>IF(H_A[[#This Row],[Attrition]]="Yes",1,0)</f>
        <v>1</v>
      </c>
      <c r="AA1113" t="str">
        <f>IF(H_A[[#This Row],[Age]]&lt;30,"Young",IF(H_A[[#This Row],[Age]]&lt;45,"Mid","Senior"))</f>
        <v>Senior</v>
      </c>
      <c r="AB1113" t="str">
        <f>IF(H_A[[#This Row],[MonthlyIncome]]&lt;5000,"Low",IF(H_A[[#This Row],[MonthlyIncome]]&lt;10000,"Medium","High"))</f>
        <v>High</v>
      </c>
      <c r="AC1113" t="str">
        <f>IF(H_A[[#This Row],[YearsAtCompany]]&lt;3,"Early",IF(H_A[[#This Row],[YearsAtCompany]]&lt;7,"Mid","Long"))</f>
        <v>Long</v>
      </c>
      <c r="AD1113" t="str">
        <f>IF(H_A[[#This Row],[PercentSalaryHike]]&lt;13,"Low",IF(H_A[[#This Row],[PercentSalaryHike]]&lt;18,"Medium","High"))</f>
        <v>Medium</v>
      </c>
    </row>
    <row r="1114" spans="1:30" x14ac:dyDescent="0.3">
      <c r="A1114">
        <v>38</v>
      </c>
      <c r="B1114">
        <v>1573</v>
      </c>
      <c r="C1114" t="s">
        <v>30</v>
      </c>
      <c r="D1114" t="s">
        <v>37</v>
      </c>
      <c r="E1114">
        <v>2</v>
      </c>
      <c r="F1114">
        <v>3</v>
      </c>
      <c r="G1114" t="s">
        <v>43</v>
      </c>
      <c r="H1114">
        <v>3</v>
      </c>
      <c r="I1114" t="s">
        <v>38</v>
      </c>
      <c r="J1114">
        <v>3</v>
      </c>
      <c r="K1114">
        <v>2</v>
      </c>
      <c r="L1114" t="s">
        <v>45</v>
      </c>
      <c r="M1114">
        <v>2</v>
      </c>
      <c r="N1114" t="s">
        <v>40</v>
      </c>
      <c r="O1114">
        <v>4855</v>
      </c>
      <c r="P1114">
        <v>4</v>
      </c>
      <c r="Q1114" t="s">
        <v>36</v>
      </c>
      <c r="R1114">
        <v>1</v>
      </c>
      <c r="S1114">
        <v>7</v>
      </c>
      <c r="T1114">
        <v>3</v>
      </c>
      <c r="U1114">
        <v>5</v>
      </c>
      <c r="V1114">
        <v>2</v>
      </c>
      <c r="W1114">
        <v>1</v>
      </c>
      <c r="X1114">
        <v>4</v>
      </c>
      <c r="Y1114">
        <v>11</v>
      </c>
      <c r="Z1114">
        <f>IF(H_A[[#This Row],[Attrition]]="Yes",1,0)</f>
        <v>1</v>
      </c>
      <c r="AA1114" t="str">
        <f>IF(H_A[[#This Row],[Age]]&lt;30,"Young",IF(H_A[[#This Row],[Age]]&lt;45,"Mid","Senior"))</f>
        <v>Mid</v>
      </c>
      <c r="AB1114" t="str">
        <f>IF(H_A[[#This Row],[MonthlyIncome]]&lt;5000,"Low",IF(H_A[[#This Row],[MonthlyIncome]]&lt;10000,"Medium","High"))</f>
        <v>Low</v>
      </c>
      <c r="AC1114" t="str">
        <f>IF(H_A[[#This Row],[YearsAtCompany]]&lt;3,"Early",IF(H_A[[#This Row],[YearsAtCompany]]&lt;7,"Mid","Long"))</f>
        <v>Mid</v>
      </c>
      <c r="AD1114" t="str">
        <f>IF(H_A[[#This Row],[PercentSalaryHike]]&lt;13,"Low",IF(H_A[[#This Row],[PercentSalaryHike]]&lt;18,"Medium","High"))</f>
        <v>Low</v>
      </c>
    </row>
    <row r="1115" spans="1:30" x14ac:dyDescent="0.3">
      <c r="A1115">
        <v>32</v>
      </c>
      <c r="B1115">
        <v>1574</v>
      </c>
      <c r="C1115" t="s">
        <v>36</v>
      </c>
      <c r="D1115" t="s">
        <v>37</v>
      </c>
      <c r="E1115">
        <v>1</v>
      </c>
      <c r="F1115">
        <v>4</v>
      </c>
      <c r="G1115" t="s">
        <v>51</v>
      </c>
      <c r="H1115">
        <v>4</v>
      </c>
      <c r="I1115" t="s">
        <v>38</v>
      </c>
      <c r="J1115">
        <v>3</v>
      </c>
      <c r="K1115">
        <v>2</v>
      </c>
      <c r="L1115" t="s">
        <v>39</v>
      </c>
      <c r="M1115">
        <v>1</v>
      </c>
      <c r="N1115" t="s">
        <v>40</v>
      </c>
      <c r="O1115">
        <v>4087</v>
      </c>
      <c r="P1115">
        <v>4</v>
      </c>
      <c r="Q1115" t="s">
        <v>36</v>
      </c>
      <c r="R1115">
        <v>2</v>
      </c>
      <c r="S1115">
        <v>9</v>
      </c>
      <c r="T1115">
        <v>2</v>
      </c>
      <c r="U1115">
        <v>6</v>
      </c>
      <c r="V1115">
        <v>5</v>
      </c>
      <c r="W1115">
        <v>1</v>
      </c>
      <c r="X1115">
        <v>2</v>
      </c>
      <c r="Y1115">
        <v>14</v>
      </c>
      <c r="Z1115">
        <f>IF(H_A[[#This Row],[Attrition]]="Yes",1,0)</f>
        <v>0</v>
      </c>
      <c r="AA1115" t="str">
        <f>IF(H_A[[#This Row],[Age]]&lt;30,"Young",IF(H_A[[#This Row],[Age]]&lt;45,"Mid","Senior"))</f>
        <v>Mid</v>
      </c>
      <c r="AB1115" t="str">
        <f>IF(H_A[[#This Row],[MonthlyIncome]]&lt;5000,"Low",IF(H_A[[#This Row],[MonthlyIncome]]&lt;10000,"Medium","High"))</f>
        <v>Low</v>
      </c>
      <c r="AC1115" t="str">
        <f>IF(H_A[[#This Row],[YearsAtCompany]]&lt;3,"Early",IF(H_A[[#This Row],[YearsAtCompany]]&lt;7,"Mid","Long"))</f>
        <v>Mid</v>
      </c>
      <c r="AD1115" t="str">
        <f>IF(H_A[[#This Row],[PercentSalaryHike]]&lt;13,"Low",IF(H_A[[#This Row],[PercentSalaryHike]]&lt;18,"Medium","High"))</f>
        <v>Medium</v>
      </c>
    </row>
    <row r="1116" spans="1:30" x14ac:dyDescent="0.3">
      <c r="A1116">
        <v>48</v>
      </c>
      <c r="B1116">
        <v>1576</v>
      </c>
      <c r="C1116" t="s">
        <v>36</v>
      </c>
      <c r="D1116" t="s">
        <v>37</v>
      </c>
      <c r="E1116">
        <v>15</v>
      </c>
      <c r="F1116">
        <v>4</v>
      </c>
      <c r="G1116" t="s">
        <v>41</v>
      </c>
      <c r="H1116">
        <v>3</v>
      </c>
      <c r="I1116" t="s">
        <v>33</v>
      </c>
      <c r="J1116">
        <v>3</v>
      </c>
      <c r="K1116">
        <v>1</v>
      </c>
      <c r="L1116" t="s">
        <v>39</v>
      </c>
      <c r="M1116">
        <v>1</v>
      </c>
      <c r="N1116" t="s">
        <v>40</v>
      </c>
      <c r="O1116">
        <v>2367</v>
      </c>
      <c r="P1116">
        <v>8</v>
      </c>
      <c r="Q1116" t="s">
        <v>36</v>
      </c>
      <c r="R1116">
        <v>4</v>
      </c>
      <c r="S1116">
        <v>10</v>
      </c>
      <c r="T1116">
        <v>2</v>
      </c>
      <c r="U1116">
        <v>8</v>
      </c>
      <c r="V1116">
        <v>2</v>
      </c>
      <c r="W1116">
        <v>7</v>
      </c>
      <c r="X1116">
        <v>6</v>
      </c>
      <c r="Y1116">
        <v>12</v>
      </c>
      <c r="Z1116">
        <f>IF(H_A[[#This Row],[Attrition]]="Yes",1,0)</f>
        <v>0</v>
      </c>
      <c r="AA1116" t="str">
        <f>IF(H_A[[#This Row],[Age]]&lt;30,"Young",IF(H_A[[#This Row],[Age]]&lt;45,"Mid","Senior"))</f>
        <v>Senior</v>
      </c>
      <c r="AB1116" t="str">
        <f>IF(H_A[[#This Row],[MonthlyIncome]]&lt;5000,"Low",IF(H_A[[#This Row],[MonthlyIncome]]&lt;10000,"Medium","High"))</f>
        <v>Low</v>
      </c>
      <c r="AC1116" t="str">
        <f>IF(H_A[[#This Row],[YearsAtCompany]]&lt;3,"Early",IF(H_A[[#This Row],[YearsAtCompany]]&lt;7,"Mid","Long"))</f>
        <v>Long</v>
      </c>
      <c r="AD1116" t="str">
        <f>IF(H_A[[#This Row],[PercentSalaryHike]]&lt;13,"Low",IF(H_A[[#This Row],[PercentSalaryHike]]&lt;18,"Medium","High"))</f>
        <v>Low</v>
      </c>
    </row>
    <row r="1117" spans="1:30" x14ac:dyDescent="0.3">
      <c r="A1117">
        <v>34</v>
      </c>
      <c r="B1117">
        <v>1577</v>
      </c>
      <c r="C1117" t="s">
        <v>36</v>
      </c>
      <c r="D1117" t="s">
        <v>37</v>
      </c>
      <c r="E1117">
        <v>7</v>
      </c>
      <c r="F1117">
        <v>4</v>
      </c>
      <c r="G1117" t="s">
        <v>43</v>
      </c>
      <c r="H1117">
        <v>1</v>
      </c>
      <c r="I1117" t="s">
        <v>38</v>
      </c>
      <c r="J1117">
        <v>3</v>
      </c>
      <c r="K1117">
        <v>1</v>
      </c>
      <c r="L1117" t="s">
        <v>39</v>
      </c>
      <c r="M1117">
        <v>4</v>
      </c>
      <c r="N1117" t="s">
        <v>35</v>
      </c>
      <c r="O1117">
        <v>2972</v>
      </c>
      <c r="P1117">
        <v>1</v>
      </c>
      <c r="Q1117" t="s">
        <v>36</v>
      </c>
      <c r="R1117">
        <v>3</v>
      </c>
      <c r="S1117">
        <v>1</v>
      </c>
      <c r="T1117">
        <v>1</v>
      </c>
      <c r="U1117">
        <v>1</v>
      </c>
      <c r="V1117">
        <v>0</v>
      </c>
      <c r="W1117">
        <v>0</v>
      </c>
      <c r="X1117">
        <v>0</v>
      </c>
      <c r="Y1117">
        <v>13</v>
      </c>
      <c r="Z1117">
        <f>IF(H_A[[#This Row],[Attrition]]="Yes",1,0)</f>
        <v>0</v>
      </c>
      <c r="AA1117" t="str">
        <f>IF(H_A[[#This Row],[Age]]&lt;30,"Young",IF(H_A[[#This Row],[Age]]&lt;45,"Mid","Senior"))</f>
        <v>Mid</v>
      </c>
      <c r="AB1117" t="str">
        <f>IF(H_A[[#This Row],[MonthlyIncome]]&lt;5000,"Low",IF(H_A[[#This Row],[MonthlyIncome]]&lt;10000,"Medium","High"))</f>
        <v>Low</v>
      </c>
      <c r="AC1117" t="str">
        <f>IF(H_A[[#This Row],[YearsAtCompany]]&lt;3,"Early",IF(H_A[[#This Row],[YearsAtCompany]]&lt;7,"Mid","Long"))</f>
        <v>Early</v>
      </c>
      <c r="AD1117" t="str">
        <f>IF(H_A[[#This Row],[PercentSalaryHike]]&lt;13,"Low",IF(H_A[[#This Row],[PercentSalaryHike]]&lt;18,"Medium","High"))</f>
        <v>Medium</v>
      </c>
    </row>
    <row r="1118" spans="1:30" x14ac:dyDescent="0.3">
      <c r="A1118">
        <v>55</v>
      </c>
      <c r="B1118">
        <v>1578</v>
      </c>
      <c r="C1118" t="s">
        <v>36</v>
      </c>
      <c r="D1118" t="s">
        <v>31</v>
      </c>
      <c r="E1118">
        <v>26</v>
      </c>
      <c r="F1118">
        <v>5</v>
      </c>
      <c r="G1118" t="s">
        <v>50</v>
      </c>
      <c r="H1118">
        <v>3</v>
      </c>
      <c r="I1118" t="s">
        <v>38</v>
      </c>
      <c r="J1118">
        <v>2</v>
      </c>
      <c r="K1118">
        <v>5</v>
      </c>
      <c r="L1118" t="s">
        <v>47</v>
      </c>
      <c r="M1118">
        <v>4</v>
      </c>
      <c r="N1118" t="s">
        <v>40</v>
      </c>
      <c r="O1118">
        <v>19586</v>
      </c>
      <c r="P1118">
        <v>1</v>
      </c>
      <c r="Q1118" t="s">
        <v>36</v>
      </c>
      <c r="R1118">
        <v>3</v>
      </c>
      <c r="S1118">
        <v>36</v>
      </c>
      <c r="T1118">
        <v>3</v>
      </c>
      <c r="U1118">
        <v>36</v>
      </c>
      <c r="V1118">
        <v>6</v>
      </c>
      <c r="W1118">
        <v>2</v>
      </c>
      <c r="X1118">
        <v>13</v>
      </c>
      <c r="Y1118">
        <v>21</v>
      </c>
      <c r="Z1118">
        <f>IF(H_A[[#This Row],[Attrition]]="Yes",1,0)</f>
        <v>0</v>
      </c>
      <c r="AA1118" t="str">
        <f>IF(H_A[[#This Row],[Age]]&lt;30,"Young",IF(H_A[[#This Row],[Age]]&lt;45,"Mid","Senior"))</f>
        <v>Senior</v>
      </c>
      <c r="AB1118" t="str">
        <f>IF(H_A[[#This Row],[MonthlyIncome]]&lt;5000,"Low",IF(H_A[[#This Row],[MonthlyIncome]]&lt;10000,"Medium","High"))</f>
        <v>High</v>
      </c>
      <c r="AC1118" t="str">
        <f>IF(H_A[[#This Row],[YearsAtCompany]]&lt;3,"Early",IF(H_A[[#This Row],[YearsAtCompany]]&lt;7,"Mid","Long"))</f>
        <v>Long</v>
      </c>
      <c r="AD1118" t="str">
        <f>IF(H_A[[#This Row],[PercentSalaryHike]]&lt;13,"Low",IF(H_A[[#This Row],[PercentSalaryHike]]&lt;18,"Medium","High"))</f>
        <v>High</v>
      </c>
    </row>
    <row r="1119" spans="1:30" x14ac:dyDescent="0.3">
      <c r="A1119">
        <v>34</v>
      </c>
      <c r="B1119">
        <v>1580</v>
      </c>
      <c r="C1119" t="s">
        <v>36</v>
      </c>
      <c r="D1119" t="s">
        <v>37</v>
      </c>
      <c r="E1119">
        <v>1</v>
      </c>
      <c r="F1119">
        <v>4</v>
      </c>
      <c r="G1119" t="s">
        <v>32</v>
      </c>
      <c r="H1119">
        <v>2</v>
      </c>
      <c r="I1119" t="s">
        <v>38</v>
      </c>
      <c r="J1119">
        <v>3</v>
      </c>
      <c r="K1119">
        <v>2</v>
      </c>
      <c r="L1119" t="s">
        <v>39</v>
      </c>
      <c r="M1119">
        <v>4</v>
      </c>
      <c r="N1119" t="s">
        <v>40</v>
      </c>
      <c r="O1119">
        <v>5484</v>
      </c>
      <c r="P1119">
        <v>9</v>
      </c>
      <c r="Q1119" t="s">
        <v>36</v>
      </c>
      <c r="R1119">
        <v>2</v>
      </c>
      <c r="S1119">
        <v>9</v>
      </c>
      <c r="T1119">
        <v>2</v>
      </c>
      <c r="U1119">
        <v>2</v>
      </c>
      <c r="V1119">
        <v>2</v>
      </c>
      <c r="W1119">
        <v>2</v>
      </c>
      <c r="X1119">
        <v>1</v>
      </c>
      <c r="Y1119">
        <v>17</v>
      </c>
      <c r="Z1119">
        <f>IF(H_A[[#This Row],[Attrition]]="Yes",1,0)</f>
        <v>0</v>
      </c>
      <c r="AA1119" t="str">
        <f>IF(H_A[[#This Row],[Age]]&lt;30,"Young",IF(H_A[[#This Row],[Age]]&lt;45,"Mid","Senior"))</f>
        <v>Mid</v>
      </c>
      <c r="AB1119" t="str">
        <f>IF(H_A[[#This Row],[MonthlyIncome]]&lt;5000,"Low",IF(H_A[[#This Row],[MonthlyIncome]]&lt;10000,"Medium","High"))</f>
        <v>Medium</v>
      </c>
      <c r="AC1119" t="str">
        <f>IF(H_A[[#This Row],[YearsAtCompany]]&lt;3,"Early",IF(H_A[[#This Row],[YearsAtCompany]]&lt;7,"Mid","Long"))</f>
        <v>Early</v>
      </c>
      <c r="AD1119" t="str">
        <f>IF(H_A[[#This Row],[PercentSalaryHike]]&lt;13,"Low",IF(H_A[[#This Row],[PercentSalaryHike]]&lt;18,"Medium","High"))</f>
        <v>Medium</v>
      </c>
    </row>
    <row r="1120" spans="1:30" x14ac:dyDescent="0.3">
      <c r="A1120">
        <v>26</v>
      </c>
      <c r="B1120">
        <v>1581</v>
      </c>
      <c r="C1120" t="s">
        <v>36</v>
      </c>
      <c r="D1120" t="s">
        <v>37</v>
      </c>
      <c r="E1120">
        <v>3</v>
      </c>
      <c r="F1120">
        <v>3</v>
      </c>
      <c r="G1120" t="s">
        <v>32</v>
      </c>
      <c r="H1120">
        <v>1</v>
      </c>
      <c r="I1120" t="s">
        <v>33</v>
      </c>
      <c r="J1120">
        <v>3</v>
      </c>
      <c r="K1120">
        <v>1</v>
      </c>
      <c r="L1120" t="s">
        <v>39</v>
      </c>
      <c r="M1120">
        <v>4</v>
      </c>
      <c r="N1120" t="s">
        <v>40</v>
      </c>
      <c r="O1120">
        <v>2061</v>
      </c>
      <c r="P1120">
        <v>1</v>
      </c>
      <c r="Q1120" t="s">
        <v>36</v>
      </c>
      <c r="R1120">
        <v>1</v>
      </c>
      <c r="S1120">
        <v>1</v>
      </c>
      <c r="T1120">
        <v>3</v>
      </c>
      <c r="U1120">
        <v>1</v>
      </c>
      <c r="V1120">
        <v>0</v>
      </c>
      <c r="W1120">
        <v>0</v>
      </c>
      <c r="X1120">
        <v>0</v>
      </c>
      <c r="Y1120">
        <v>21</v>
      </c>
      <c r="Z1120">
        <f>IF(H_A[[#This Row],[Attrition]]="Yes",1,0)</f>
        <v>0</v>
      </c>
      <c r="AA1120" t="str">
        <f>IF(H_A[[#This Row],[Age]]&lt;30,"Young",IF(H_A[[#This Row],[Age]]&lt;45,"Mid","Senior"))</f>
        <v>Young</v>
      </c>
      <c r="AB1120" t="str">
        <f>IF(H_A[[#This Row],[MonthlyIncome]]&lt;5000,"Low",IF(H_A[[#This Row],[MonthlyIncome]]&lt;10000,"Medium","High"))</f>
        <v>Low</v>
      </c>
      <c r="AC1120" t="str">
        <f>IF(H_A[[#This Row],[YearsAtCompany]]&lt;3,"Early",IF(H_A[[#This Row],[YearsAtCompany]]&lt;7,"Mid","Long"))</f>
        <v>Early</v>
      </c>
      <c r="AD1120" t="str">
        <f>IF(H_A[[#This Row],[PercentSalaryHike]]&lt;13,"Low",IF(H_A[[#This Row],[PercentSalaryHike]]&lt;18,"Medium","High"))</f>
        <v>High</v>
      </c>
    </row>
    <row r="1121" spans="1:30" x14ac:dyDescent="0.3">
      <c r="A1121">
        <v>38</v>
      </c>
      <c r="B1121">
        <v>1582</v>
      </c>
      <c r="C1121" t="s">
        <v>36</v>
      </c>
      <c r="D1121" t="s">
        <v>31</v>
      </c>
      <c r="E1121">
        <v>14</v>
      </c>
      <c r="F1121">
        <v>3</v>
      </c>
      <c r="G1121" t="s">
        <v>32</v>
      </c>
      <c r="H1121">
        <v>3</v>
      </c>
      <c r="I1121" t="s">
        <v>38</v>
      </c>
      <c r="J1121">
        <v>3</v>
      </c>
      <c r="K1121">
        <v>2</v>
      </c>
      <c r="L1121" t="s">
        <v>34</v>
      </c>
      <c r="M1121">
        <v>2</v>
      </c>
      <c r="N1121" t="s">
        <v>40</v>
      </c>
      <c r="O1121">
        <v>9924</v>
      </c>
      <c r="P1121">
        <v>0</v>
      </c>
      <c r="Q1121" t="s">
        <v>36</v>
      </c>
      <c r="R1121">
        <v>4</v>
      </c>
      <c r="S1121">
        <v>10</v>
      </c>
      <c r="T1121">
        <v>3</v>
      </c>
      <c r="U1121">
        <v>9</v>
      </c>
      <c r="V1121">
        <v>8</v>
      </c>
      <c r="W1121">
        <v>7</v>
      </c>
      <c r="X1121">
        <v>7</v>
      </c>
      <c r="Y1121">
        <v>11</v>
      </c>
      <c r="Z1121">
        <f>IF(H_A[[#This Row],[Attrition]]="Yes",1,0)</f>
        <v>0</v>
      </c>
      <c r="AA1121" t="str">
        <f>IF(H_A[[#This Row],[Age]]&lt;30,"Young",IF(H_A[[#This Row],[Age]]&lt;45,"Mid","Senior"))</f>
        <v>Mid</v>
      </c>
      <c r="AB1121" t="str">
        <f>IF(H_A[[#This Row],[MonthlyIncome]]&lt;5000,"Low",IF(H_A[[#This Row],[MonthlyIncome]]&lt;10000,"Medium","High"))</f>
        <v>Medium</v>
      </c>
      <c r="AC1121" t="str">
        <f>IF(H_A[[#This Row],[YearsAtCompany]]&lt;3,"Early",IF(H_A[[#This Row],[YearsAtCompany]]&lt;7,"Mid","Long"))</f>
        <v>Long</v>
      </c>
      <c r="AD1121" t="str">
        <f>IF(H_A[[#This Row],[PercentSalaryHike]]&lt;13,"Low",IF(H_A[[#This Row],[PercentSalaryHike]]&lt;18,"Medium","High"))</f>
        <v>Low</v>
      </c>
    </row>
    <row r="1122" spans="1:30" x14ac:dyDescent="0.3">
      <c r="A1122">
        <v>38</v>
      </c>
      <c r="B1122">
        <v>1583</v>
      </c>
      <c r="C1122" t="s">
        <v>36</v>
      </c>
      <c r="D1122" t="s">
        <v>31</v>
      </c>
      <c r="E1122">
        <v>16</v>
      </c>
      <c r="F1122">
        <v>3</v>
      </c>
      <c r="G1122" t="s">
        <v>32</v>
      </c>
      <c r="H1122">
        <v>2</v>
      </c>
      <c r="I1122" t="s">
        <v>33</v>
      </c>
      <c r="J1122">
        <v>3</v>
      </c>
      <c r="K1122">
        <v>2</v>
      </c>
      <c r="L1122" t="s">
        <v>34</v>
      </c>
      <c r="M1122">
        <v>2</v>
      </c>
      <c r="N1122" t="s">
        <v>35</v>
      </c>
      <c r="O1122">
        <v>4198</v>
      </c>
      <c r="P1122">
        <v>2</v>
      </c>
      <c r="Q1122" t="s">
        <v>36</v>
      </c>
      <c r="R1122">
        <v>2</v>
      </c>
      <c r="S1122">
        <v>8</v>
      </c>
      <c r="T1122">
        <v>4</v>
      </c>
      <c r="U1122">
        <v>3</v>
      </c>
      <c r="V1122">
        <v>2</v>
      </c>
      <c r="W1122">
        <v>1</v>
      </c>
      <c r="X1122">
        <v>2</v>
      </c>
      <c r="Y1122">
        <v>12</v>
      </c>
      <c r="Z1122">
        <f>IF(H_A[[#This Row],[Attrition]]="Yes",1,0)</f>
        <v>0</v>
      </c>
      <c r="AA1122" t="str">
        <f>IF(H_A[[#This Row],[Age]]&lt;30,"Young",IF(H_A[[#This Row],[Age]]&lt;45,"Mid","Senior"))</f>
        <v>Mid</v>
      </c>
      <c r="AB1122" t="str">
        <f>IF(H_A[[#This Row],[MonthlyIncome]]&lt;5000,"Low",IF(H_A[[#This Row],[MonthlyIncome]]&lt;10000,"Medium","High"))</f>
        <v>Low</v>
      </c>
      <c r="AC1122" t="str">
        <f>IF(H_A[[#This Row],[YearsAtCompany]]&lt;3,"Early",IF(H_A[[#This Row],[YearsAtCompany]]&lt;7,"Mid","Long"))</f>
        <v>Mid</v>
      </c>
      <c r="AD1122" t="str">
        <f>IF(H_A[[#This Row],[PercentSalaryHike]]&lt;13,"Low",IF(H_A[[#This Row],[PercentSalaryHike]]&lt;18,"Medium","High"))</f>
        <v>Low</v>
      </c>
    </row>
    <row r="1123" spans="1:30" x14ac:dyDescent="0.3">
      <c r="A1123">
        <v>36</v>
      </c>
      <c r="B1123">
        <v>1585</v>
      </c>
      <c r="C1123" t="s">
        <v>36</v>
      </c>
      <c r="D1123" t="s">
        <v>31</v>
      </c>
      <c r="E1123">
        <v>1</v>
      </c>
      <c r="F1123">
        <v>4</v>
      </c>
      <c r="G1123" t="s">
        <v>32</v>
      </c>
      <c r="H1123">
        <v>2</v>
      </c>
      <c r="I1123" t="s">
        <v>33</v>
      </c>
      <c r="J1123">
        <v>3</v>
      </c>
      <c r="K1123">
        <v>2</v>
      </c>
      <c r="L1123" t="s">
        <v>34</v>
      </c>
      <c r="M1123">
        <v>3</v>
      </c>
      <c r="N1123" t="s">
        <v>35</v>
      </c>
      <c r="O1123">
        <v>6815</v>
      </c>
      <c r="P1123">
        <v>6</v>
      </c>
      <c r="Q1123" t="s">
        <v>36</v>
      </c>
      <c r="R1123">
        <v>1</v>
      </c>
      <c r="S1123">
        <v>15</v>
      </c>
      <c r="T1123">
        <v>3</v>
      </c>
      <c r="U1123">
        <v>1</v>
      </c>
      <c r="V1123">
        <v>0</v>
      </c>
      <c r="W1123">
        <v>0</v>
      </c>
      <c r="X1123">
        <v>0</v>
      </c>
      <c r="Y1123">
        <v>13</v>
      </c>
      <c r="Z1123">
        <f>IF(H_A[[#This Row],[Attrition]]="Yes",1,0)</f>
        <v>0</v>
      </c>
      <c r="AA1123" t="str">
        <f>IF(H_A[[#This Row],[Age]]&lt;30,"Young",IF(H_A[[#This Row],[Age]]&lt;45,"Mid","Senior"))</f>
        <v>Mid</v>
      </c>
      <c r="AB1123" t="str">
        <f>IF(H_A[[#This Row],[MonthlyIncome]]&lt;5000,"Low",IF(H_A[[#This Row],[MonthlyIncome]]&lt;10000,"Medium","High"))</f>
        <v>Medium</v>
      </c>
      <c r="AC1123" t="str">
        <f>IF(H_A[[#This Row],[YearsAtCompany]]&lt;3,"Early",IF(H_A[[#This Row],[YearsAtCompany]]&lt;7,"Mid","Long"))</f>
        <v>Early</v>
      </c>
      <c r="AD1123" t="str">
        <f>IF(H_A[[#This Row],[PercentSalaryHike]]&lt;13,"Low",IF(H_A[[#This Row],[PercentSalaryHike]]&lt;18,"Medium","High"))</f>
        <v>Medium</v>
      </c>
    </row>
    <row r="1124" spans="1:30" x14ac:dyDescent="0.3">
      <c r="A1124">
        <v>29</v>
      </c>
      <c r="B1124">
        <v>1586</v>
      </c>
      <c r="C1124" t="s">
        <v>36</v>
      </c>
      <c r="D1124" t="s">
        <v>37</v>
      </c>
      <c r="E1124">
        <v>3</v>
      </c>
      <c r="F1124">
        <v>1</v>
      </c>
      <c r="G1124" t="s">
        <v>43</v>
      </c>
      <c r="H1124">
        <v>2</v>
      </c>
      <c r="I1124" t="s">
        <v>38</v>
      </c>
      <c r="J1124">
        <v>3</v>
      </c>
      <c r="K1124">
        <v>1</v>
      </c>
      <c r="L1124" t="s">
        <v>42</v>
      </c>
      <c r="M1124">
        <v>1</v>
      </c>
      <c r="N1124" t="s">
        <v>35</v>
      </c>
      <c r="O1124">
        <v>4723</v>
      </c>
      <c r="P1124">
        <v>1</v>
      </c>
      <c r="Q1124" t="s">
        <v>30</v>
      </c>
      <c r="R1124">
        <v>4</v>
      </c>
      <c r="S1124">
        <v>10</v>
      </c>
      <c r="T1124">
        <v>3</v>
      </c>
      <c r="U1124">
        <v>10</v>
      </c>
      <c r="V1124">
        <v>9</v>
      </c>
      <c r="W1124">
        <v>1</v>
      </c>
      <c r="X1124">
        <v>5</v>
      </c>
      <c r="Y1124">
        <v>18</v>
      </c>
      <c r="Z1124">
        <f>IF(H_A[[#This Row],[Attrition]]="Yes",1,0)</f>
        <v>0</v>
      </c>
      <c r="AA1124" t="str">
        <f>IF(H_A[[#This Row],[Age]]&lt;30,"Young",IF(H_A[[#This Row],[Age]]&lt;45,"Mid","Senior"))</f>
        <v>Young</v>
      </c>
      <c r="AB1124" t="str">
        <f>IF(H_A[[#This Row],[MonthlyIncome]]&lt;5000,"Low",IF(H_A[[#This Row],[MonthlyIncome]]&lt;10000,"Medium","High"))</f>
        <v>Low</v>
      </c>
      <c r="AC1124" t="str">
        <f>IF(H_A[[#This Row],[YearsAtCompany]]&lt;3,"Early",IF(H_A[[#This Row],[YearsAtCompany]]&lt;7,"Mid","Long"))</f>
        <v>Long</v>
      </c>
      <c r="AD1124" t="str">
        <f>IF(H_A[[#This Row],[PercentSalaryHike]]&lt;13,"Low",IF(H_A[[#This Row],[PercentSalaryHike]]&lt;18,"Medium","High"))</f>
        <v>High</v>
      </c>
    </row>
    <row r="1125" spans="1:30" x14ac:dyDescent="0.3">
      <c r="A1125">
        <v>35</v>
      </c>
      <c r="B1125">
        <v>1587</v>
      </c>
      <c r="C1125" t="s">
        <v>36</v>
      </c>
      <c r="D1125" t="s">
        <v>37</v>
      </c>
      <c r="E1125">
        <v>10</v>
      </c>
      <c r="F1125">
        <v>4</v>
      </c>
      <c r="G1125" t="s">
        <v>43</v>
      </c>
      <c r="H1125">
        <v>1</v>
      </c>
      <c r="I1125" t="s">
        <v>33</v>
      </c>
      <c r="J1125">
        <v>3</v>
      </c>
      <c r="K1125">
        <v>2</v>
      </c>
      <c r="L1125" t="s">
        <v>46</v>
      </c>
      <c r="M1125">
        <v>3</v>
      </c>
      <c r="N1125" t="s">
        <v>35</v>
      </c>
      <c r="O1125">
        <v>6142</v>
      </c>
      <c r="P1125">
        <v>3</v>
      </c>
      <c r="Q1125" t="s">
        <v>30</v>
      </c>
      <c r="R1125">
        <v>3</v>
      </c>
      <c r="S1125">
        <v>10</v>
      </c>
      <c r="T1125">
        <v>3</v>
      </c>
      <c r="U1125">
        <v>5</v>
      </c>
      <c r="V1125">
        <v>2</v>
      </c>
      <c r="W1125">
        <v>0</v>
      </c>
      <c r="X1125">
        <v>4</v>
      </c>
      <c r="Y1125">
        <v>16</v>
      </c>
      <c r="Z1125">
        <f>IF(H_A[[#This Row],[Attrition]]="Yes",1,0)</f>
        <v>0</v>
      </c>
      <c r="AA1125" t="str">
        <f>IF(H_A[[#This Row],[Age]]&lt;30,"Young",IF(H_A[[#This Row],[Age]]&lt;45,"Mid","Senior"))</f>
        <v>Mid</v>
      </c>
      <c r="AB1125" t="str">
        <f>IF(H_A[[#This Row],[MonthlyIncome]]&lt;5000,"Low",IF(H_A[[#This Row],[MonthlyIncome]]&lt;10000,"Medium","High"))</f>
        <v>Medium</v>
      </c>
      <c r="AC1125" t="str">
        <f>IF(H_A[[#This Row],[YearsAtCompany]]&lt;3,"Early",IF(H_A[[#This Row],[YearsAtCompany]]&lt;7,"Mid","Long"))</f>
        <v>Mid</v>
      </c>
      <c r="AD1125" t="str">
        <f>IF(H_A[[#This Row],[PercentSalaryHike]]&lt;13,"Low",IF(H_A[[#This Row],[PercentSalaryHike]]&lt;18,"Medium","High"))</f>
        <v>Medium</v>
      </c>
    </row>
    <row r="1126" spans="1:30" x14ac:dyDescent="0.3">
      <c r="A1126">
        <v>39</v>
      </c>
      <c r="B1126">
        <v>1588</v>
      </c>
      <c r="C1126" t="s">
        <v>36</v>
      </c>
      <c r="D1126" t="s">
        <v>31</v>
      </c>
      <c r="E1126">
        <v>6</v>
      </c>
      <c r="F1126">
        <v>3</v>
      </c>
      <c r="G1126" t="s">
        <v>43</v>
      </c>
      <c r="H1126">
        <v>4</v>
      </c>
      <c r="I1126" t="s">
        <v>38</v>
      </c>
      <c r="J1126">
        <v>4</v>
      </c>
      <c r="K1126">
        <v>3</v>
      </c>
      <c r="L1126" t="s">
        <v>34</v>
      </c>
      <c r="M1126">
        <v>3</v>
      </c>
      <c r="N1126" t="s">
        <v>40</v>
      </c>
      <c r="O1126">
        <v>8237</v>
      </c>
      <c r="P1126">
        <v>2</v>
      </c>
      <c r="Q1126" t="s">
        <v>36</v>
      </c>
      <c r="R1126">
        <v>1</v>
      </c>
      <c r="S1126">
        <v>11</v>
      </c>
      <c r="T1126">
        <v>3</v>
      </c>
      <c r="U1126">
        <v>7</v>
      </c>
      <c r="V1126">
        <v>6</v>
      </c>
      <c r="W1126">
        <v>7</v>
      </c>
      <c r="X1126">
        <v>6</v>
      </c>
      <c r="Y1126">
        <v>11</v>
      </c>
      <c r="Z1126">
        <f>IF(H_A[[#This Row],[Attrition]]="Yes",1,0)</f>
        <v>0</v>
      </c>
      <c r="AA1126" t="str">
        <f>IF(H_A[[#This Row],[Age]]&lt;30,"Young",IF(H_A[[#This Row],[Age]]&lt;45,"Mid","Senior"))</f>
        <v>Mid</v>
      </c>
      <c r="AB1126" t="str">
        <f>IF(H_A[[#This Row],[MonthlyIncome]]&lt;5000,"Low",IF(H_A[[#This Row],[MonthlyIncome]]&lt;10000,"Medium","High"))</f>
        <v>Medium</v>
      </c>
      <c r="AC1126" t="str">
        <f>IF(H_A[[#This Row],[YearsAtCompany]]&lt;3,"Early",IF(H_A[[#This Row],[YearsAtCompany]]&lt;7,"Mid","Long"))</f>
        <v>Long</v>
      </c>
      <c r="AD1126" t="str">
        <f>IF(H_A[[#This Row],[PercentSalaryHike]]&lt;13,"Low",IF(H_A[[#This Row],[PercentSalaryHike]]&lt;18,"Medium","High"))</f>
        <v>Low</v>
      </c>
    </row>
    <row r="1127" spans="1:30" x14ac:dyDescent="0.3">
      <c r="A1127">
        <v>29</v>
      </c>
      <c r="B1127">
        <v>1590</v>
      </c>
      <c r="C1127" t="s">
        <v>36</v>
      </c>
      <c r="D1127" t="s">
        <v>37</v>
      </c>
      <c r="E1127">
        <v>2</v>
      </c>
      <c r="F1127">
        <v>1</v>
      </c>
      <c r="G1127" t="s">
        <v>32</v>
      </c>
      <c r="H1127">
        <v>1</v>
      </c>
      <c r="I1127" t="s">
        <v>38</v>
      </c>
      <c r="J1127">
        <v>3</v>
      </c>
      <c r="K1127">
        <v>2</v>
      </c>
      <c r="L1127" t="s">
        <v>46</v>
      </c>
      <c r="M1127">
        <v>4</v>
      </c>
      <c r="N1127" t="s">
        <v>44</v>
      </c>
      <c r="O1127">
        <v>8853</v>
      </c>
      <c r="P1127">
        <v>1</v>
      </c>
      <c r="Q1127" t="s">
        <v>36</v>
      </c>
      <c r="R1127">
        <v>4</v>
      </c>
      <c r="S1127">
        <v>6</v>
      </c>
      <c r="T1127">
        <v>4</v>
      </c>
      <c r="U1127">
        <v>6</v>
      </c>
      <c r="V1127">
        <v>4</v>
      </c>
      <c r="W1127">
        <v>1</v>
      </c>
      <c r="X1127">
        <v>3</v>
      </c>
      <c r="Y1127">
        <v>19</v>
      </c>
      <c r="Z1127">
        <f>IF(H_A[[#This Row],[Attrition]]="Yes",1,0)</f>
        <v>0</v>
      </c>
      <c r="AA1127" t="str">
        <f>IF(H_A[[#This Row],[Age]]&lt;30,"Young",IF(H_A[[#This Row],[Age]]&lt;45,"Mid","Senior"))</f>
        <v>Young</v>
      </c>
      <c r="AB1127" t="str">
        <f>IF(H_A[[#This Row],[MonthlyIncome]]&lt;5000,"Low",IF(H_A[[#This Row],[MonthlyIncome]]&lt;10000,"Medium","High"))</f>
        <v>Medium</v>
      </c>
      <c r="AC1127" t="str">
        <f>IF(H_A[[#This Row],[YearsAtCompany]]&lt;3,"Early",IF(H_A[[#This Row],[YearsAtCompany]]&lt;7,"Mid","Long"))</f>
        <v>Mid</v>
      </c>
      <c r="AD1127" t="str">
        <f>IF(H_A[[#This Row],[PercentSalaryHike]]&lt;13,"Low",IF(H_A[[#This Row],[PercentSalaryHike]]&lt;18,"Medium","High"))</f>
        <v>High</v>
      </c>
    </row>
    <row r="1128" spans="1:30" x14ac:dyDescent="0.3">
      <c r="A1128">
        <v>50</v>
      </c>
      <c r="B1128">
        <v>1591</v>
      </c>
      <c r="C1128" t="s">
        <v>36</v>
      </c>
      <c r="D1128" t="s">
        <v>31</v>
      </c>
      <c r="E1128">
        <v>9</v>
      </c>
      <c r="F1128">
        <v>3</v>
      </c>
      <c r="G1128" t="s">
        <v>50</v>
      </c>
      <c r="H1128">
        <v>3</v>
      </c>
      <c r="I1128" t="s">
        <v>38</v>
      </c>
      <c r="J1128">
        <v>3</v>
      </c>
      <c r="K1128">
        <v>5</v>
      </c>
      <c r="L1128" t="s">
        <v>47</v>
      </c>
      <c r="M1128">
        <v>3</v>
      </c>
      <c r="N1128" t="s">
        <v>40</v>
      </c>
      <c r="O1128">
        <v>19331</v>
      </c>
      <c r="P1128">
        <v>4</v>
      </c>
      <c r="Q1128" t="s">
        <v>30</v>
      </c>
      <c r="R1128">
        <v>3</v>
      </c>
      <c r="S1128">
        <v>27</v>
      </c>
      <c r="T1128">
        <v>3</v>
      </c>
      <c r="U1128">
        <v>1</v>
      </c>
      <c r="V1128">
        <v>0</v>
      </c>
      <c r="W1128">
        <v>0</v>
      </c>
      <c r="X1128">
        <v>0</v>
      </c>
      <c r="Y1128">
        <v>16</v>
      </c>
      <c r="Z1128">
        <f>IF(H_A[[#This Row],[Attrition]]="Yes",1,0)</f>
        <v>0</v>
      </c>
      <c r="AA1128" t="str">
        <f>IF(H_A[[#This Row],[Age]]&lt;30,"Young",IF(H_A[[#This Row],[Age]]&lt;45,"Mid","Senior"))</f>
        <v>Senior</v>
      </c>
      <c r="AB1128" t="str">
        <f>IF(H_A[[#This Row],[MonthlyIncome]]&lt;5000,"Low",IF(H_A[[#This Row],[MonthlyIncome]]&lt;10000,"Medium","High"))</f>
        <v>High</v>
      </c>
      <c r="AC1128" t="str">
        <f>IF(H_A[[#This Row],[YearsAtCompany]]&lt;3,"Early",IF(H_A[[#This Row],[YearsAtCompany]]&lt;7,"Mid","Long"))</f>
        <v>Early</v>
      </c>
      <c r="AD1128" t="str">
        <f>IF(H_A[[#This Row],[PercentSalaryHike]]&lt;13,"Low",IF(H_A[[#This Row],[PercentSalaryHike]]&lt;18,"Medium","High"))</f>
        <v>Medium</v>
      </c>
    </row>
    <row r="1129" spans="1:30" x14ac:dyDescent="0.3">
      <c r="A1129">
        <v>23</v>
      </c>
      <c r="B1129">
        <v>1592</v>
      </c>
      <c r="C1129" t="s">
        <v>36</v>
      </c>
      <c r="D1129" t="s">
        <v>37</v>
      </c>
      <c r="E1129">
        <v>10</v>
      </c>
      <c r="F1129">
        <v>3</v>
      </c>
      <c r="G1129" t="s">
        <v>51</v>
      </c>
      <c r="H1129">
        <v>4</v>
      </c>
      <c r="I1129" t="s">
        <v>38</v>
      </c>
      <c r="J1129">
        <v>4</v>
      </c>
      <c r="K1129">
        <v>1</v>
      </c>
      <c r="L1129" t="s">
        <v>39</v>
      </c>
      <c r="M1129">
        <v>3</v>
      </c>
      <c r="N1129" t="s">
        <v>40</v>
      </c>
      <c r="O1129">
        <v>2073</v>
      </c>
      <c r="P1129">
        <v>2</v>
      </c>
      <c r="Q1129" t="s">
        <v>36</v>
      </c>
      <c r="R1129">
        <v>4</v>
      </c>
      <c r="S1129">
        <v>4</v>
      </c>
      <c r="T1129">
        <v>3</v>
      </c>
      <c r="U1129">
        <v>2</v>
      </c>
      <c r="V1129">
        <v>2</v>
      </c>
      <c r="W1129">
        <v>2</v>
      </c>
      <c r="X1129">
        <v>2</v>
      </c>
      <c r="Y1129">
        <v>16</v>
      </c>
      <c r="Z1129">
        <f>IF(H_A[[#This Row],[Attrition]]="Yes",1,0)</f>
        <v>0</v>
      </c>
      <c r="AA1129" t="str">
        <f>IF(H_A[[#This Row],[Age]]&lt;30,"Young",IF(H_A[[#This Row],[Age]]&lt;45,"Mid","Senior"))</f>
        <v>Young</v>
      </c>
      <c r="AB1129" t="str">
        <f>IF(H_A[[#This Row],[MonthlyIncome]]&lt;5000,"Low",IF(H_A[[#This Row],[MonthlyIncome]]&lt;10000,"Medium","High"))</f>
        <v>Low</v>
      </c>
      <c r="AC1129" t="str">
        <f>IF(H_A[[#This Row],[YearsAtCompany]]&lt;3,"Early",IF(H_A[[#This Row],[YearsAtCompany]]&lt;7,"Mid","Long"))</f>
        <v>Early</v>
      </c>
      <c r="AD1129" t="str">
        <f>IF(H_A[[#This Row],[PercentSalaryHike]]&lt;13,"Low",IF(H_A[[#This Row],[PercentSalaryHike]]&lt;18,"Medium","High"))</f>
        <v>Medium</v>
      </c>
    </row>
    <row r="1130" spans="1:30" x14ac:dyDescent="0.3">
      <c r="A1130">
        <v>36</v>
      </c>
      <c r="B1130">
        <v>1594</v>
      </c>
      <c r="C1130" t="s">
        <v>36</v>
      </c>
      <c r="D1130" t="s">
        <v>37</v>
      </c>
      <c r="E1130">
        <v>6</v>
      </c>
      <c r="F1130">
        <v>4</v>
      </c>
      <c r="G1130" t="s">
        <v>32</v>
      </c>
      <c r="H1130">
        <v>1</v>
      </c>
      <c r="I1130" t="s">
        <v>38</v>
      </c>
      <c r="J1130">
        <v>4</v>
      </c>
      <c r="K1130">
        <v>2</v>
      </c>
      <c r="L1130" t="s">
        <v>42</v>
      </c>
      <c r="M1130">
        <v>1</v>
      </c>
      <c r="N1130" t="s">
        <v>40</v>
      </c>
      <c r="O1130">
        <v>5562</v>
      </c>
      <c r="P1130">
        <v>3</v>
      </c>
      <c r="Q1130" t="s">
        <v>30</v>
      </c>
      <c r="R1130">
        <v>4</v>
      </c>
      <c r="S1130">
        <v>9</v>
      </c>
      <c r="T1130">
        <v>3</v>
      </c>
      <c r="U1130">
        <v>3</v>
      </c>
      <c r="V1130">
        <v>2</v>
      </c>
      <c r="W1130">
        <v>0</v>
      </c>
      <c r="X1130">
        <v>2</v>
      </c>
      <c r="Y1130">
        <v>13</v>
      </c>
      <c r="Z1130">
        <f>IF(H_A[[#This Row],[Attrition]]="Yes",1,0)</f>
        <v>0</v>
      </c>
      <c r="AA1130" t="str">
        <f>IF(H_A[[#This Row],[Age]]&lt;30,"Young",IF(H_A[[#This Row],[Age]]&lt;45,"Mid","Senior"))</f>
        <v>Mid</v>
      </c>
      <c r="AB1130" t="str">
        <f>IF(H_A[[#This Row],[MonthlyIncome]]&lt;5000,"Low",IF(H_A[[#This Row],[MonthlyIncome]]&lt;10000,"Medium","High"))</f>
        <v>Medium</v>
      </c>
      <c r="AC1130" t="str">
        <f>IF(H_A[[#This Row],[YearsAtCompany]]&lt;3,"Early",IF(H_A[[#This Row],[YearsAtCompany]]&lt;7,"Mid","Long"))</f>
        <v>Mid</v>
      </c>
      <c r="AD1130" t="str">
        <f>IF(H_A[[#This Row],[PercentSalaryHike]]&lt;13,"Low",IF(H_A[[#This Row],[PercentSalaryHike]]&lt;18,"Medium","High"))</f>
        <v>Medium</v>
      </c>
    </row>
    <row r="1131" spans="1:30" x14ac:dyDescent="0.3">
      <c r="A1131">
        <v>42</v>
      </c>
      <c r="B1131">
        <v>1595</v>
      </c>
      <c r="C1131" t="s">
        <v>36</v>
      </c>
      <c r="D1131" t="s">
        <v>37</v>
      </c>
      <c r="E1131">
        <v>9</v>
      </c>
      <c r="F1131">
        <v>2</v>
      </c>
      <c r="G1131" t="s">
        <v>41</v>
      </c>
      <c r="H1131">
        <v>4</v>
      </c>
      <c r="I1131" t="s">
        <v>38</v>
      </c>
      <c r="J1131">
        <v>2</v>
      </c>
      <c r="K1131">
        <v>5</v>
      </c>
      <c r="L1131" t="s">
        <v>47</v>
      </c>
      <c r="M1131">
        <v>4</v>
      </c>
      <c r="N1131" t="s">
        <v>35</v>
      </c>
      <c r="O1131">
        <v>19613</v>
      </c>
      <c r="P1131">
        <v>8</v>
      </c>
      <c r="Q1131" t="s">
        <v>36</v>
      </c>
      <c r="R1131">
        <v>4</v>
      </c>
      <c r="S1131">
        <v>24</v>
      </c>
      <c r="T1131">
        <v>3</v>
      </c>
      <c r="U1131">
        <v>1</v>
      </c>
      <c r="V1131">
        <v>0</v>
      </c>
      <c r="W1131">
        <v>0</v>
      </c>
      <c r="X1131">
        <v>1</v>
      </c>
      <c r="Y1131">
        <v>22</v>
      </c>
      <c r="Z1131">
        <f>IF(H_A[[#This Row],[Attrition]]="Yes",1,0)</f>
        <v>0</v>
      </c>
      <c r="AA1131" t="str">
        <f>IF(H_A[[#This Row],[Age]]&lt;30,"Young",IF(H_A[[#This Row],[Age]]&lt;45,"Mid","Senior"))</f>
        <v>Mid</v>
      </c>
      <c r="AB1131" t="str">
        <f>IF(H_A[[#This Row],[MonthlyIncome]]&lt;5000,"Low",IF(H_A[[#This Row],[MonthlyIncome]]&lt;10000,"Medium","High"))</f>
        <v>High</v>
      </c>
      <c r="AC1131" t="str">
        <f>IF(H_A[[#This Row],[YearsAtCompany]]&lt;3,"Early",IF(H_A[[#This Row],[YearsAtCompany]]&lt;7,"Mid","Long"))</f>
        <v>Early</v>
      </c>
      <c r="AD1131" t="str">
        <f>IF(H_A[[#This Row],[PercentSalaryHike]]&lt;13,"Low",IF(H_A[[#This Row],[PercentSalaryHike]]&lt;18,"Medium","High"))</f>
        <v>High</v>
      </c>
    </row>
    <row r="1132" spans="1:30" x14ac:dyDescent="0.3">
      <c r="A1132">
        <v>35</v>
      </c>
      <c r="B1132">
        <v>1596</v>
      </c>
      <c r="C1132" t="s">
        <v>36</v>
      </c>
      <c r="D1132" t="s">
        <v>37</v>
      </c>
      <c r="E1132">
        <v>28</v>
      </c>
      <c r="F1132">
        <v>3</v>
      </c>
      <c r="G1132" t="s">
        <v>32</v>
      </c>
      <c r="H1132">
        <v>2</v>
      </c>
      <c r="I1132" t="s">
        <v>38</v>
      </c>
      <c r="J1132">
        <v>4</v>
      </c>
      <c r="K1132">
        <v>2</v>
      </c>
      <c r="L1132" t="s">
        <v>42</v>
      </c>
      <c r="M1132">
        <v>3</v>
      </c>
      <c r="N1132" t="s">
        <v>40</v>
      </c>
      <c r="O1132">
        <v>3407</v>
      </c>
      <c r="P1132">
        <v>1</v>
      </c>
      <c r="Q1132" t="s">
        <v>36</v>
      </c>
      <c r="R1132">
        <v>4</v>
      </c>
      <c r="S1132">
        <v>10</v>
      </c>
      <c r="T1132">
        <v>2</v>
      </c>
      <c r="U1132">
        <v>10</v>
      </c>
      <c r="V1132">
        <v>9</v>
      </c>
      <c r="W1132">
        <v>6</v>
      </c>
      <c r="X1132">
        <v>8</v>
      </c>
      <c r="Y1132">
        <v>17</v>
      </c>
      <c r="Z1132">
        <f>IF(H_A[[#This Row],[Attrition]]="Yes",1,0)</f>
        <v>0</v>
      </c>
      <c r="AA1132" t="str">
        <f>IF(H_A[[#This Row],[Age]]&lt;30,"Young",IF(H_A[[#This Row],[Age]]&lt;45,"Mid","Senior"))</f>
        <v>Mid</v>
      </c>
      <c r="AB1132" t="str">
        <f>IF(H_A[[#This Row],[MonthlyIncome]]&lt;5000,"Low",IF(H_A[[#This Row],[MonthlyIncome]]&lt;10000,"Medium","High"))</f>
        <v>Low</v>
      </c>
      <c r="AC1132" t="str">
        <f>IF(H_A[[#This Row],[YearsAtCompany]]&lt;3,"Early",IF(H_A[[#This Row],[YearsAtCompany]]&lt;7,"Mid","Long"))</f>
        <v>Long</v>
      </c>
      <c r="AD1132" t="str">
        <f>IF(H_A[[#This Row],[PercentSalaryHike]]&lt;13,"Low",IF(H_A[[#This Row],[PercentSalaryHike]]&lt;18,"Medium","High"))</f>
        <v>Medium</v>
      </c>
    </row>
    <row r="1133" spans="1:30" x14ac:dyDescent="0.3">
      <c r="A1133">
        <v>34</v>
      </c>
      <c r="B1133">
        <v>1597</v>
      </c>
      <c r="C1133" t="s">
        <v>36</v>
      </c>
      <c r="D1133" t="s">
        <v>37</v>
      </c>
      <c r="E1133">
        <v>10</v>
      </c>
      <c r="F1133">
        <v>4</v>
      </c>
      <c r="G1133" t="s">
        <v>51</v>
      </c>
      <c r="H1133">
        <v>4</v>
      </c>
      <c r="I1133" t="s">
        <v>38</v>
      </c>
      <c r="J1133">
        <v>2</v>
      </c>
      <c r="K1133">
        <v>2</v>
      </c>
      <c r="L1133" t="s">
        <v>46</v>
      </c>
      <c r="M1133">
        <v>3</v>
      </c>
      <c r="N1133" t="s">
        <v>40</v>
      </c>
      <c r="O1133">
        <v>5063</v>
      </c>
      <c r="P1133">
        <v>1</v>
      </c>
      <c r="Q1133" t="s">
        <v>36</v>
      </c>
      <c r="R1133">
        <v>2</v>
      </c>
      <c r="S1133">
        <v>8</v>
      </c>
      <c r="T1133">
        <v>2</v>
      </c>
      <c r="U1133">
        <v>8</v>
      </c>
      <c r="V1133">
        <v>2</v>
      </c>
      <c r="W1133">
        <v>7</v>
      </c>
      <c r="X1133">
        <v>7</v>
      </c>
      <c r="Y1133">
        <v>14</v>
      </c>
      <c r="Z1133">
        <f>IF(H_A[[#This Row],[Attrition]]="Yes",1,0)</f>
        <v>0</v>
      </c>
      <c r="AA1133" t="str">
        <f>IF(H_A[[#This Row],[Age]]&lt;30,"Young",IF(H_A[[#This Row],[Age]]&lt;45,"Mid","Senior"))</f>
        <v>Mid</v>
      </c>
      <c r="AB1133" t="str">
        <f>IF(H_A[[#This Row],[MonthlyIncome]]&lt;5000,"Low",IF(H_A[[#This Row],[MonthlyIncome]]&lt;10000,"Medium","High"))</f>
        <v>Medium</v>
      </c>
      <c r="AC1133" t="str">
        <f>IF(H_A[[#This Row],[YearsAtCompany]]&lt;3,"Early",IF(H_A[[#This Row],[YearsAtCompany]]&lt;7,"Mid","Long"))</f>
        <v>Long</v>
      </c>
      <c r="AD1133" t="str">
        <f>IF(H_A[[#This Row],[PercentSalaryHike]]&lt;13,"Low",IF(H_A[[#This Row],[PercentSalaryHike]]&lt;18,"Medium","High"))</f>
        <v>Medium</v>
      </c>
    </row>
    <row r="1134" spans="1:30" x14ac:dyDescent="0.3">
      <c r="A1134">
        <v>40</v>
      </c>
      <c r="B1134">
        <v>1598</v>
      </c>
      <c r="C1134" t="s">
        <v>36</v>
      </c>
      <c r="D1134" t="s">
        <v>31</v>
      </c>
      <c r="E1134">
        <v>14</v>
      </c>
      <c r="F1134">
        <v>2</v>
      </c>
      <c r="G1134" t="s">
        <v>32</v>
      </c>
      <c r="H1134">
        <v>4</v>
      </c>
      <c r="I1134" t="s">
        <v>33</v>
      </c>
      <c r="J1134">
        <v>3</v>
      </c>
      <c r="K1134">
        <v>2</v>
      </c>
      <c r="L1134" t="s">
        <v>34</v>
      </c>
      <c r="M1134">
        <v>1</v>
      </c>
      <c r="N1134" t="s">
        <v>40</v>
      </c>
      <c r="O1134">
        <v>4639</v>
      </c>
      <c r="P1134">
        <v>1</v>
      </c>
      <c r="Q1134" t="s">
        <v>36</v>
      </c>
      <c r="R1134">
        <v>3</v>
      </c>
      <c r="S1134">
        <v>5</v>
      </c>
      <c r="T1134">
        <v>3</v>
      </c>
      <c r="U1134">
        <v>5</v>
      </c>
      <c r="V1134">
        <v>4</v>
      </c>
      <c r="W1134">
        <v>1</v>
      </c>
      <c r="X1134">
        <v>2</v>
      </c>
      <c r="Y1134">
        <v>15</v>
      </c>
      <c r="Z1134">
        <f>IF(H_A[[#This Row],[Attrition]]="Yes",1,0)</f>
        <v>0</v>
      </c>
      <c r="AA1134" t="str">
        <f>IF(H_A[[#This Row],[Age]]&lt;30,"Young",IF(H_A[[#This Row],[Age]]&lt;45,"Mid","Senior"))</f>
        <v>Mid</v>
      </c>
      <c r="AB1134" t="str">
        <f>IF(H_A[[#This Row],[MonthlyIncome]]&lt;5000,"Low",IF(H_A[[#This Row],[MonthlyIncome]]&lt;10000,"Medium","High"))</f>
        <v>Low</v>
      </c>
      <c r="AC1134" t="str">
        <f>IF(H_A[[#This Row],[YearsAtCompany]]&lt;3,"Early",IF(H_A[[#This Row],[YearsAtCompany]]&lt;7,"Mid","Long"))</f>
        <v>Mid</v>
      </c>
      <c r="AD1134" t="str">
        <f>IF(H_A[[#This Row],[PercentSalaryHike]]&lt;13,"Low",IF(H_A[[#This Row],[PercentSalaryHike]]&lt;18,"Medium","High"))</f>
        <v>Medium</v>
      </c>
    </row>
    <row r="1135" spans="1:30" x14ac:dyDescent="0.3">
      <c r="A1135">
        <v>43</v>
      </c>
      <c r="B1135">
        <v>1599</v>
      </c>
      <c r="C1135" t="s">
        <v>36</v>
      </c>
      <c r="D1135" t="s">
        <v>37</v>
      </c>
      <c r="E1135">
        <v>27</v>
      </c>
      <c r="F1135">
        <v>3</v>
      </c>
      <c r="G1135" t="s">
        <v>51</v>
      </c>
      <c r="H1135">
        <v>4</v>
      </c>
      <c r="I1135" t="s">
        <v>38</v>
      </c>
      <c r="J1135">
        <v>4</v>
      </c>
      <c r="K1135">
        <v>1</v>
      </c>
      <c r="L1135" t="s">
        <v>42</v>
      </c>
      <c r="M1135">
        <v>2</v>
      </c>
      <c r="N1135" t="s">
        <v>44</v>
      </c>
      <c r="O1135">
        <v>4876</v>
      </c>
      <c r="P1135">
        <v>5</v>
      </c>
      <c r="Q1135" t="s">
        <v>36</v>
      </c>
      <c r="R1135">
        <v>3</v>
      </c>
      <c r="S1135">
        <v>8</v>
      </c>
      <c r="T1135">
        <v>3</v>
      </c>
      <c r="U1135">
        <v>6</v>
      </c>
      <c r="V1135">
        <v>4</v>
      </c>
      <c r="W1135">
        <v>0</v>
      </c>
      <c r="X1135">
        <v>2</v>
      </c>
      <c r="Y1135">
        <v>12</v>
      </c>
      <c r="Z1135">
        <f>IF(H_A[[#This Row],[Attrition]]="Yes",1,0)</f>
        <v>0</v>
      </c>
      <c r="AA1135" t="str">
        <f>IF(H_A[[#This Row],[Age]]&lt;30,"Young",IF(H_A[[#This Row],[Age]]&lt;45,"Mid","Senior"))</f>
        <v>Mid</v>
      </c>
      <c r="AB1135" t="str">
        <f>IF(H_A[[#This Row],[MonthlyIncome]]&lt;5000,"Low",IF(H_A[[#This Row],[MonthlyIncome]]&lt;10000,"Medium","High"))</f>
        <v>Low</v>
      </c>
      <c r="AC1135" t="str">
        <f>IF(H_A[[#This Row],[YearsAtCompany]]&lt;3,"Early",IF(H_A[[#This Row],[YearsAtCompany]]&lt;7,"Mid","Long"))</f>
        <v>Mid</v>
      </c>
      <c r="AD1135" t="str">
        <f>IF(H_A[[#This Row],[PercentSalaryHike]]&lt;13,"Low",IF(H_A[[#This Row],[PercentSalaryHike]]&lt;18,"Medium","High"))</f>
        <v>Low</v>
      </c>
    </row>
    <row r="1136" spans="1:30" x14ac:dyDescent="0.3">
      <c r="A1136">
        <v>35</v>
      </c>
      <c r="B1136">
        <v>1601</v>
      </c>
      <c r="C1136" t="s">
        <v>36</v>
      </c>
      <c r="D1136" t="s">
        <v>37</v>
      </c>
      <c r="E1136">
        <v>7</v>
      </c>
      <c r="F1136">
        <v>2</v>
      </c>
      <c r="G1136" t="s">
        <v>32</v>
      </c>
      <c r="H1136">
        <v>3</v>
      </c>
      <c r="I1136" t="s">
        <v>38</v>
      </c>
      <c r="J1136">
        <v>2</v>
      </c>
      <c r="K1136">
        <v>1</v>
      </c>
      <c r="L1136" t="s">
        <v>42</v>
      </c>
      <c r="M1136">
        <v>4</v>
      </c>
      <c r="N1136" t="s">
        <v>40</v>
      </c>
      <c r="O1136">
        <v>2690</v>
      </c>
      <c r="P1136">
        <v>1</v>
      </c>
      <c r="Q1136" t="s">
        <v>36</v>
      </c>
      <c r="R1136">
        <v>4</v>
      </c>
      <c r="S1136">
        <v>1</v>
      </c>
      <c r="T1136">
        <v>2</v>
      </c>
      <c r="U1136">
        <v>1</v>
      </c>
      <c r="V1136">
        <v>0</v>
      </c>
      <c r="W1136">
        <v>0</v>
      </c>
      <c r="X1136">
        <v>1</v>
      </c>
      <c r="Y1136">
        <v>18</v>
      </c>
      <c r="Z1136">
        <f>IF(H_A[[#This Row],[Attrition]]="Yes",1,0)</f>
        <v>0</v>
      </c>
      <c r="AA1136" t="str">
        <f>IF(H_A[[#This Row],[Age]]&lt;30,"Young",IF(H_A[[#This Row],[Age]]&lt;45,"Mid","Senior"))</f>
        <v>Mid</v>
      </c>
      <c r="AB1136" t="str">
        <f>IF(H_A[[#This Row],[MonthlyIncome]]&lt;5000,"Low",IF(H_A[[#This Row],[MonthlyIncome]]&lt;10000,"Medium","High"))</f>
        <v>Low</v>
      </c>
      <c r="AC1136" t="str">
        <f>IF(H_A[[#This Row],[YearsAtCompany]]&lt;3,"Early",IF(H_A[[#This Row],[YearsAtCompany]]&lt;7,"Mid","Long"))</f>
        <v>Early</v>
      </c>
      <c r="AD1136" t="str">
        <f>IF(H_A[[#This Row],[PercentSalaryHike]]&lt;13,"Low",IF(H_A[[#This Row],[PercentSalaryHike]]&lt;18,"Medium","High"))</f>
        <v>High</v>
      </c>
    </row>
    <row r="1137" spans="1:30" x14ac:dyDescent="0.3">
      <c r="A1137">
        <v>46</v>
      </c>
      <c r="B1137">
        <v>1602</v>
      </c>
      <c r="C1137" t="s">
        <v>36</v>
      </c>
      <c r="D1137" t="s">
        <v>31</v>
      </c>
      <c r="E1137">
        <v>1</v>
      </c>
      <c r="F1137">
        <v>4</v>
      </c>
      <c r="G1137" t="s">
        <v>32</v>
      </c>
      <c r="H1137">
        <v>4</v>
      </c>
      <c r="I1137" t="s">
        <v>38</v>
      </c>
      <c r="J1137">
        <v>4</v>
      </c>
      <c r="K1137">
        <v>4</v>
      </c>
      <c r="L1137" t="s">
        <v>47</v>
      </c>
      <c r="M1137">
        <v>1</v>
      </c>
      <c r="N1137" t="s">
        <v>35</v>
      </c>
      <c r="O1137">
        <v>17567</v>
      </c>
      <c r="P1137">
        <v>1</v>
      </c>
      <c r="Q1137" t="s">
        <v>36</v>
      </c>
      <c r="R1137">
        <v>2</v>
      </c>
      <c r="S1137">
        <v>27</v>
      </c>
      <c r="T1137">
        <v>1</v>
      </c>
      <c r="U1137">
        <v>26</v>
      </c>
      <c r="V1137">
        <v>0</v>
      </c>
      <c r="W1137">
        <v>0</v>
      </c>
      <c r="X1137">
        <v>12</v>
      </c>
      <c r="Y1137">
        <v>15</v>
      </c>
      <c r="Z1137">
        <f>IF(H_A[[#This Row],[Attrition]]="Yes",1,0)</f>
        <v>0</v>
      </c>
      <c r="AA1137" t="str">
        <f>IF(H_A[[#This Row],[Age]]&lt;30,"Young",IF(H_A[[#This Row],[Age]]&lt;45,"Mid","Senior"))</f>
        <v>Senior</v>
      </c>
      <c r="AB1137" t="str">
        <f>IF(H_A[[#This Row],[MonthlyIncome]]&lt;5000,"Low",IF(H_A[[#This Row],[MonthlyIncome]]&lt;10000,"Medium","High"))</f>
        <v>High</v>
      </c>
      <c r="AC1137" t="str">
        <f>IF(H_A[[#This Row],[YearsAtCompany]]&lt;3,"Early",IF(H_A[[#This Row],[YearsAtCompany]]&lt;7,"Mid","Long"))</f>
        <v>Long</v>
      </c>
      <c r="AD1137" t="str">
        <f>IF(H_A[[#This Row],[PercentSalaryHike]]&lt;13,"Low",IF(H_A[[#This Row],[PercentSalaryHike]]&lt;18,"Medium","High"))</f>
        <v>Medium</v>
      </c>
    </row>
    <row r="1138" spans="1:30" x14ac:dyDescent="0.3">
      <c r="A1138">
        <v>28</v>
      </c>
      <c r="B1138">
        <v>1604</v>
      </c>
      <c r="C1138" t="s">
        <v>30</v>
      </c>
      <c r="D1138" t="s">
        <v>37</v>
      </c>
      <c r="E1138">
        <v>24</v>
      </c>
      <c r="F1138">
        <v>3</v>
      </c>
      <c r="G1138" t="s">
        <v>43</v>
      </c>
      <c r="H1138">
        <v>3</v>
      </c>
      <c r="I1138" t="s">
        <v>38</v>
      </c>
      <c r="J1138">
        <v>3</v>
      </c>
      <c r="K1138">
        <v>1</v>
      </c>
      <c r="L1138" t="s">
        <v>42</v>
      </c>
      <c r="M1138">
        <v>2</v>
      </c>
      <c r="N1138" t="s">
        <v>40</v>
      </c>
      <c r="O1138">
        <v>2408</v>
      </c>
      <c r="P1138">
        <v>1</v>
      </c>
      <c r="Q1138" t="s">
        <v>30</v>
      </c>
      <c r="R1138">
        <v>3</v>
      </c>
      <c r="S1138">
        <v>1</v>
      </c>
      <c r="T1138">
        <v>3</v>
      </c>
      <c r="U1138">
        <v>1</v>
      </c>
      <c r="V1138">
        <v>1</v>
      </c>
      <c r="W1138">
        <v>0</v>
      </c>
      <c r="X1138">
        <v>0</v>
      </c>
      <c r="Y1138">
        <v>17</v>
      </c>
      <c r="Z1138">
        <f>IF(H_A[[#This Row],[Attrition]]="Yes",1,0)</f>
        <v>1</v>
      </c>
      <c r="AA1138" t="str">
        <f>IF(H_A[[#This Row],[Age]]&lt;30,"Young",IF(H_A[[#This Row],[Age]]&lt;45,"Mid","Senior"))</f>
        <v>Young</v>
      </c>
      <c r="AB1138" t="str">
        <f>IF(H_A[[#This Row],[MonthlyIncome]]&lt;5000,"Low",IF(H_A[[#This Row],[MonthlyIncome]]&lt;10000,"Medium","High"))</f>
        <v>Low</v>
      </c>
      <c r="AC1138" t="str">
        <f>IF(H_A[[#This Row],[YearsAtCompany]]&lt;3,"Early",IF(H_A[[#This Row],[YearsAtCompany]]&lt;7,"Mid","Long"))</f>
        <v>Early</v>
      </c>
      <c r="AD1138" t="str">
        <f>IF(H_A[[#This Row],[PercentSalaryHike]]&lt;13,"Low",IF(H_A[[#This Row],[PercentSalaryHike]]&lt;18,"Medium","High"))</f>
        <v>Medium</v>
      </c>
    </row>
    <row r="1139" spans="1:30" x14ac:dyDescent="0.3">
      <c r="A1139">
        <v>22</v>
      </c>
      <c r="B1139">
        <v>1605</v>
      </c>
      <c r="C1139" t="s">
        <v>36</v>
      </c>
      <c r="D1139" t="s">
        <v>37</v>
      </c>
      <c r="E1139">
        <v>26</v>
      </c>
      <c r="F1139">
        <v>2</v>
      </c>
      <c r="G1139" t="s">
        <v>41</v>
      </c>
      <c r="H1139">
        <v>2</v>
      </c>
      <c r="I1139" t="s">
        <v>33</v>
      </c>
      <c r="J1139">
        <v>2</v>
      </c>
      <c r="K1139">
        <v>1</v>
      </c>
      <c r="L1139" t="s">
        <v>39</v>
      </c>
      <c r="M1139">
        <v>3</v>
      </c>
      <c r="N1139" t="s">
        <v>40</v>
      </c>
      <c r="O1139">
        <v>2814</v>
      </c>
      <c r="P1139">
        <v>1</v>
      </c>
      <c r="Q1139" t="s">
        <v>30</v>
      </c>
      <c r="R1139">
        <v>2</v>
      </c>
      <c r="S1139">
        <v>4</v>
      </c>
      <c r="T1139">
        <v>2</v>
      </c>
      <c r="U1139">
        <v>4</v>
      </c>
      <c r="V1139">
        <v>2</v>
      </c>
      <c r="W1139">
        <v>1</v>
      </c>
      <c r="X1139">
        <v>3</v>
      </c>
      <c r="Y1139">
        <v>14</v>
      </c>
      <c r="Z1139">
        <f>IF(H_A[[#This Row],[Attrition]]="Yes",1,0)</f>
        <v>0</v>
      </c>
      <c r="AA1139" t="str">
        <f>IF(H_A[[#This Row],[Age]]&lt;30,"Young",IF(H_A[[#This Row],[Age]]&lt;45,"Mid","Senior"))</f>
        <v>Young</v>
      </c>
      <c r="AB1139" t="str">
        <f>IF(H_A[[#This Row],[MonthlyIncome]]&lt;5000,"Low",IF(H_A[[#This Row],[MonthlyIncome]]&lt;10000,"Medium","High"))</f>
        <v>Low</v>
      </c>
      <c r="AC1139" t="str">
        <f>IF(H_A[[#This Row],[YearsAtCompany]]&lt;3,"Early",IF(H_A[[#This Row],[YearsAtCompany]]&lt;7,"Mid","Long"))</f>
        <v>Mid</v>
      </c>
      <c r="AD1139" t="str">
        <f>IF(H_A[[#This Row],[PercentSalaryHike]]&lt;13,"Low",IF(H_A[[#This Row],[PercentSalaryHike]]&lt;18,"Medium","High"))</f>
        <v>Medium</v>
      </c>
    </row>
    <row r="1140" spans="1:30" x14ac:dyDescent="0.3">
      <c r="A1140">
        <v>50</v>
      </c>
      <c r="B1140">
        <v>1606</v>
      </c>
      <c r="C1140" t="s">
        <v>36</v>
      </c>
      <c r="D1140" t="s">
        <v>37</v>
      </c>
      <c r="E1140">
        <v>20</v>
      </c>
      <c r="F1140">
        <v>5</v>
      </c>
      <c r="G1140" t="s">
        <v>43</v>
      </c>
      <c r="H1140">
        <v>2</v>
      </c>
      <c r="I1140" t="s">
        <v>38</v>
      </c>
      <c r="J1140">
        <v>3</v>
      </c>
      <c r="K1140">
        <v>4</v>
      </c>
      <c r="L1140" t="s">
        <v>46</v>
      </c>
      <c r="M1140">
        <v>3</v>
      </c>
      <c r="N1140" t="s">
        <v>40</v>
      </c>
      <c r="O1140">
        <v>11245</v>
      </c>
      <c r="P1140">
        <v>2</v>
      </c>
      <c r="Q1140" t="s">
        <v>30</v>
      </c>
      <c r="R1140">
        <v>3</v>
      </c>
      <c r="S1140">
        <v>32</v>
      </c>
      <c r="T1140">
        <v>3</v>
      </c>
      <c r="U1140">
        <v>30</v>
      </c>
      <c r="V1140">
        <v>8</v>
      </c>
      <c r="W1140">
        <v>12</v>
      </c>
      <c r="X1140">
        <v>13</v>
      </c>
      <c r="Y1140">
        <v>15</v>
      </c>
      <c r="Z1140">
        <f>IF(H_A[[#This Row],[Attrition]]="Yes",1,0)</f>
        <v>0</v>
      </c>
      <c r="AA1140" t="str">
        <f>IF(H_A[[#This Row],[Age]]&lt;30,"Young",IF(H_A[[#This Row],[Age]]&lt;45,"Mid","Senior"))</f>
        <v>Senior</v>
      </c>
      <c r="AB1140" t="str">
        <f>IF(H_A[[#This Row],[MonthlyIncome]]&lt;5000,"Low",IF(H_A[[#This Row],[MonthlyIncome]]&lt;10000,"Medium","High"))</f>
        <v>High</v>
      </c>
      <c r="AC1140" t="str">
        <f>IF(H_A[[#This Row],[YearsAtCompany]]&lt;3,"Early",IF(H_A[[#This Row],[YearsAtCompany]]&lt;7,"Mid","Long"))</f>
        <v>Long</v>
      </c>
      <c r="AD1140" t="str">
        <f>IF(H_A[[#This Row],[PercentSalaryHike]]&lt;13,"Low",IF(H_A[[#This Row],[PercentSalaryHike]]&lt;18,"Medium","High"))</f>
        <v>Medium</v>
      </c>
    </row>
    <row r="1141" spans="1:30" x14ac:dyDescent="0.3">
      <c r="A1141">
        <v>32</v>
      </c>
      <c r="B1141">
        <v>1607</v>
      </c>
      <c r="C1141" t="s">
        <v>36</v>
      </c>
      <c r="D1141" t="s">
        <v>37</v>
      </c>
      <c r="E1141">
        <v>5</v>
      </c>
      <c r="F1141">
        <v>4</v>
      </c>
      <c r="G1141" t="s">
        <v>41</v>
      </c>
      <c r="H1141">
        <v>2</v>
      </c>
      <c r="I1141" t="s">
        <v>33</v>
      </c>
      <c r="J1141">
        <v>4</v>
      </c>
      <c r="K1141">
        <v>1</v>
      </c>
      <c r="L1141" t="s">
        <v>39</v>
      </c>
      <c r="M1141">
        <v>4</v>
      </c>
      <c r="N1141" t="s">
        <v>40</v>
      </c>
      <c r="O1141">
        <v>3312</v>
      </c>
      <c r="P1141">
        <v>3</v>
      </c>
      <c r="Q1141" t="s">
        <v>36</v>
      </c>
      <c r="R1141">
        <v>4</v>
      </c>
      <c r="S1141">
        <v>6</v>
      </c>
      <c r="T1141">
        <v>3</v>
      </c>
      <c r="U1141">
        <v>3</v>
      </c>
      <c r="V1141">
        <v>2</v>
      </c>
      <c r="W1141">
        <v>0</v>
      </c>
      <c r="X1141">
        <v>2</v>
      </c>
      <c r="Y1141">
        <v>17</v>
      </c>
      <c r="Z1141">
        <f>IF(H_A[[#This Row],[Attrition]]="Yes",1,0)</f>
        <v>0</v>
      </c>
      <c r="AA1141" t="str">
        <f>IF(H_A[[#This Row],[Age]]&lt;30,"Young",IF(H_A[[#This Row],[Age]]&lt;45,"Mid","Senior"))</f>
        <v>Mid</v>
      </c>
      <c r="AB1141" t="str">
        <f>IF(H_A[[#This Row],[MonthlyIncome]]&lt;5000,"Low",IF(H_A[[#This Row],[MonthlyIncome]]&lt;10000,"Medium","High"))</f>
        <v>Low</v>
      </c>
      <c r="AC1141" t="str">
        <f>IF(H_A[[#This Row],[YearsAtCompany]]&lt;3,"Early",IF(H_A[[#This Row],[YearsAtCompany]]&lt;7,"Mid","Long"))</f>
        <v>Mid</v>
      </c>
      <c r="AD1141" t="str">
        <f>IF(H_A[[#This Row],[PercentSalaryHike]]&lt;13,"Low",IF(H_A[[#This Row],[PercentSalaryHike]]&lt;18,"Medium","High"))</f>
        <v>Medium</v>
      </c>
    </row>
    <row r="1142" spans="1:30" x14ac:dyDescent="0.3">
      <c r="A1142">
        <v>44</v>
      </c>
      <c r="B1142">
        <v>1608</v>
      </c>
      <c r="C1142" t="s">
        <v>36</v>
      </c>
      <c r="D1142" t="s">
        <v>37</v>
      </c>
      <c r="E1142">
        <v>7</v>
      </c>
      <c r="F1142">
        <v>3</v>
      </c>
      <c r="G1142" t="s">
        <v>43</v>
      </c>
      <c r="H1142">
        <v>2</v>
      </c>
      <c r="I1142" t="s">
        <v>33</v>
      </c>
      <c r="J1142">
        <v>3</v>
      </c>
      <c r="K1142">
        <v>5</v>
      </c>
      <c r="L1142" t="s">
        <v>49</v>
      </c>
      <c r="M1142">
        <v>4</v>
      </c>
      <c r="N1142" t="s">
        <v>44</v>
      </c>
      <c r="O1142">
        <v>19049</v>
      </c>
      <c r="P1142">
        <v>0</v>
      </c>
      <c r="Q1142" t="s">
        <v>30</v>
      </c>
      <c r="R1142">
        <v>4</v>
      </c>
      <c r="S1142">
        <v>23</v>
      </c>
      <c r="T1142">
        <v>2</v>
      </c>
      <c r="U1142">
        <v>22</v>
      </c>
      <c r="V1142">
        <v>7</v>
      </c>
      <c r="W1142">
        <v>1</v>
      </c>
      <c r="X1142">
        <v>10</v>
      </c>
      <c r="Y1142">
        <v>14</v>
      </c>
      <c r="Z1142">
        <f>IF(H_A[[#This Row],[Attrition]]="Yes",1,0)</f>
        <v>0</v>
      </c>
      <c r="AA1142" t="str">
        <f>IF(H_A[[#This Row],[Age]]&lt;30,"Young",IF(H_A[[#This Row],[Age]]&lt;45,"Mid","Senior"))</f>
        <v>Mid</v>
      </c>
      <c r="AB1142" t="str">
        <f>IF(H_A[[#This Row],[MonthlyIncome]]&lt;5000,"Low",IF(H_A[[#This Row],[MonthlyIncome]]&lt;10000,"Medium","High"))</f>
        <v>High</v>
      </c>
      <c r="AC1142" t="str">
        <f>IF(H_A[[#This Row],[YearsAtCompany]]&lt;3,"Early",IF(H_A[[#This Row],[YearsAtCompany]]&lt;7,"Mid","Long"))</f>
        <v>Long</v>
      </c>
      <c r="AD1142" t="str">
        <f>IF(H_A[[#This Row],[PercentSalaryHike]]&lt;13,"Low",IF(H_A[[#This Row],[PercentSalaryHike]]&lt;18,"Medium","High"))</f>
        <v>Medium</v>
      </c>
    </row>
    <row r="1143" spans="1:30" x14ac:dyDescent="0.3">
      <c r="A1143">
        <v>30</v>
      </c>
      <c r="B1143">
        <v>1609</v>
      </c>
      <c r="C1143" t="s">
        <v>36</v>
      </c>
      <c r="D1143" t="s">
        <v>37</v>
      </c>
      <c r="E1143">
        <v>7</v>
      </c>
      <c r="F1143">
        <v>3</v>
      </c>
      <c r="G1143" t="s">
        <v>43</v>
      </c>
      <c r="H1143">
        <v>2</v>
      </c>
      <c r="I1143" t="s">
        <v>38</v>
      </c>
      <c r="J1143">
        <v>2</v>
      </c>
      <c r="K1143">
        <v>1</v>
      </c>
      <c r="L1143" t="s">
        <v>39</v>
      </c>
      <c r="M1143">
        <v>2</v>
      </c>
      <c r="N1143" t="s">
        <v>40</v>
      </c>
      <c r="O1143">
        <v>2141</v>
      </c>
      <c r="P1143">
        <v>1</v>
      </c>
      <c r="Q1143" t="s">
        <v>36</v>
      </c>
      <c r="R1143">
        <v>2</v>
      </c>
      <c r="S1143">
        <v>6</v>
      </c>
      <c r="T1143">
        <v>2</v>
      </c>
      <c r="U1143">
        <v>6</v>
      </c>
      <c r="V1143">
        <v>4</v>
      </c>
      <c r="W1143">
        <v>1</v>
      </c>
      <c r="X1143">
        <v>1</v>
      </c>
      <c r="Y1143">
        <v>12</v>
      </c>
      <c r="Z1143">
        <f>IF(H_A[[#This Row],[Attrition]]="Yes",1,0)</f>
        <v>0</v>
      </c>
      <c r="AA1143" t="str">
        <f>IF(H_A[[#This Row],[Age]]&lt;30,"Young",IF(H_A[[#This Row],[Age]]&lt;45,"Mid","Senior"))</f>
        <v>Mid</v>
      </c>
      <c r="AB1143" t="str">
        <f>IF(H_A[[#This Row],[MonthlyIncome]]&lt;5000,"Low",IF(H_A[[#This Row],[MonthlyIncome]]&lt;10000,"Medium","High"))</f>
        <v>Low</v>
      </c>
      <c r="AC1143" t="str">
        <f>IF(H_A[[#This Row],[YearsAtCompany]]&lt;3,"Early",IF(H_A[[#This Row],[YearsAtCompany]]&lt;7,"Mid","Long"))</f>
        <v>Mid</v>
      </c>
      <c r="AD1143" t="str">
        <f>IF(H_A[[#This Row],[PercentSalaryHike]]&lt;13,"Low",IF(H_A[[#This Row],[PercentSalaryHike]]&lt;18,"Medium","High"))</f>
        <v>Low</v>
      </c>
    </row>
    <row r="1144" spans="1:30" x14ac:dyDescent="0.3">
      <c r="A1144">
        <v>45</v>
      </c>
      <c r="B1144">
        <v>1611</v>
      </c>
      <c r="C1144" t="s">
        <v>36</v>
      </c>
      <c r="D1144" t="s">
        <v>37</v>
      </c>
      <c r="E1144">
        <v>5</v>
      </c>
      <c r="F1144">
        <v>5</v>
      </c>
      <c r="G1144" t="s">
        <v>43</v>
      </c>
      <c r="H1144">
        <v>3</v>
      </c>
      <c r="I1144" t="s">
        <v>33</v>
      </c>
      <c r="J1144">
        <v>1</v>
      </c>
      <c r="K1144">
        <v>2</v>
      </c>
      <c r="L1144" t="s">
        <v>42</v>
      </c>
      <c r="M1144">
        <v>1</v>
      </c>
      <c r="N1144" t="s">
        <v>35</v>
      </c>
      <c r="O1144">
        <v>5769</v>
      </c>
      <c r="P1144">
        <v>1</v>
      </c>
      <c r="Q1144" t="s">
        <v>30</v>
      </c>
      <c r="R1144">
        <v>1</v>
      </c>
      <c r="S1144">
        <v>10</v>
      </c>
      <c r="T1144">
        <v>3</v>
      </c>
      <c r="U1144">
        <v>10</v>
      </c>
      <c r="V1144">
        <v>7</v>
      </c>
      <c r="W1144">
        <v>1</v>
      </c>
      <c r="X1144">
        <v>4</v>
      </c>
      <c r="Y1144">
        <v>14</v>
      </c>
      <c r="Z1144">
        <f>IF(H_A[[#This Row],[Attrition]]="Yes",1,0)</f>
        <v>0</v>
      </c>
      <c r="AA1144" t="str">
        <f>IF(H_A[[#This Row],[Age]]&lt;30,"Young",IF(H_A[[#This Row],[Age]]&lt;45,"Mid","Senior"))</f>
        <v>Senior</v>
      </c>
      <c r="AB1144" t="str">
        <f>IF(H_A[[#This Row],[MonthlyIncome]]&lt;5000,"Low",IF(H_A[[#This Row],[MonthlyIncome]]&lt;10000,"Medium","High"))</f>
        <v>Medium</v>
      </c>
      <c r="AC1144" t="str">
        <f>IF(H_A[[#This Row],[YearsAtCompany]]&lt;3,"Early",IF(H_A[[#This Row],[YearsAtCompany]]&lt;7,"Mid","Long"))</f>
        <v>Long</v>
      </c>
      <c r="AD1144" t="str">
        <f>IF(H_A[[#This Row],[PercentSalaryHike]]&lt;13,"Low",IF(H_A[[#This Row],[PercentSalaryHike]]&lt;18,"Medium","High"))</f>
        <v>Medium</v>
      </c>
    </row>
    <row r="1145" spans="1:30" x14ac:dyDescent="0.3">
      <c r="A1145">
        <v>45</v>
      </c>
      <c r="B1145">
        <v>1612</v>
      </c>
      <c r="C1145" t="s">
        <v>36</v>
      </c>
      <c r="D1145" t="s">
        <v>31</v>
      </c>
      <c r="E1145">
        <v>26</v>
      </c>
      <c r="F1145">
        <v>3</v>
      </c>
      <c r="G1145" t="s">
        <v>50</v>
      </c>
      <c r="H1145">
        <v>1</v>
      </c>
      <c r="I1145" t="s">
        <v>38</v>
      </c>
      <c r="J1145">
        <v>2</v>
      </c>
      <c r="K1145">
        <v>2</v>
      </c>
      <c r="L1145" t="s">
        <v>34</v>
      </c>
      <c r="M1145">
        <v>1</v>
      </c>
      <c r="N1145" t="s">
        <v>40</v>
      </c>
      <c r="O1145">
        <v>4385</v>
      </c>
      <c r="P1145">
        <v>1</v>
      </c>
      <c r="Q1145" t="s">
        <v>36</v>
      </c>
      <c r="R1145">
        <v>1</v>
      </c>
      <c r="S1145">
        <v>10</v>
      </c>
      <c r="T1145">
        <v>3</v>
      </c>
      <c r="U1145">
        <v>10</v>
      </c>
      <c r="V1145">
        <v>7</v>
      </c>
      <c r="W1145">
        <v>4</v>
      </c>
      <c r="X1145">
        <v>5</v>
      </c>
      <c r="Y1145">
        <v>15</v>
      </c>
      <c r="Z1145">
        <f>IF(H_A[[#This Row],[Attrition]]="Yes",1,0)</f>
        <v>0</v>
      </c>
      <c r="AA1145" t="str">
        <f>IF(H_A[[#This Row],[Age]]&lt;30,"Young",IF(H_A[[#This Row],[Age]]&lt;45,"Mid","Senior"))</f>
        <v>Senior</v>
      </c>
      <c r="AB1145" t="str">
        <f>IF(H_A[[#This Row],[MonthlyIncome]]&lt;5000,"Low",IF(H_A[[#This Row],[MonthlyIncome]]&lt;10000,"Medium","High"))</f>
        <v>Low</v>
      </c>
      <c r="AC1145" t="str">
        <f>IF(H_A[[#This Row],[YearsAtCompany]]&lt;3,"Early",IF(H_A[[#This Row],[YearsAtCompany]]&lt;7,"Mid","Long"))</f>
        <v>Long</v>
      </c>
      <c r="AD1145" t="str">
        <f>IF(H_A[[#This Row],[PercentSalaryHike]]&lt;13,"Low",IF(H_A[[#This Row],[PercentSalaryHike]]&lt;18,"Medium","High"))</f>
        <v>Medium</v>
      </c>
    </row>
    <row r="1146" spans="1:30" x14ac:dyDescent="0.3">
      <c r="A1146">
        <v>31</v>
      </c>
      <c r="B1146">
        <v>1613</v>
      </c>
      <c r="C1146" t="s">
        <v>36</v>
      </c>
      <c r="D1146" t="s">
        <v>31</v>
      </c>
      <c r="E1146">
        <v>2</v>
      </c>
      <c r="F1146">
        <v>4</v>
      </c>
      <c r="G1146" t="s">
        <v>41</v>
      </c>
      <c r="H1146">
        <v>4</v>
      </c>
      <c r="I1146" t="s">
        <v>38</v>
      </c>
      <c r="J1146">
        <v>3</v>
      </c>
      <c r="K1146">
        <v>2</v>
      </c>
      <c r="L1146" t="s">
        <v>34</v>
      </c>
      <c r="M1146">
        <v>1</v>
      </c>
      <c r="N1146" t="s">
        <v>35</v>
      </c>
      <c r="O1146">
        <v>5332</v>
      </c>
      <c r="P1146">
        <v>7</v>
      </c>
      <c r="Q1146" t="s">
        <v>36</v>
      </c>
      <c r="R1146">
        <v>4</v>
      </c>
      <c r="S1146">
        <v>10</v>
      </c>
      <c r="T1146">
        <v>3</v>
      </c>
      <c r="U1146">
        <v>5</v>
      </c>
      <c r="V1146">
        <v>2</v>
      </c>
      <c r="W1146">
        <v>0</v>
      </c>
      <c r="X1146">
        <v>3</v>
      </c>
      <c r="Y1146">
        <v>13</v>
      </c>
      <c r="Z1146">
        <f>IF(H_A[[#This Row],[Attrition]]="Yes",1,0)</f>
        <v>0</v>
      </c>
      <c r="AA1146" t="str">
        <f>IF(H_A[[#This Row],[Age]]&lt;30,"Young",IF(H_A[[#This Row],[Age]]&lt;45,"Mid","Senior"))</f>
        <v>Mid</v>
      </c>
      <c r="AB1146" t="str">
        <f>IF(H_A[[#This Row],[MonthlyIncome]]&lt;5000,"Low",IF(H_A[[#This Row],[MonthlyIncome]]&lt;10000,"Medium","High"))</f>
        <v>Medium</v>
      </c>
      <c r="AC1146" t="str">
        <f>IF(H_A[[#This Row],[YearsAtCompany]]&lt;3,"Early",IF(H_A[[#This Row],[YearsAtCompany]]&lt;7,"Mid","Long"))</f>
        <v>Mid</v>
      </c>
      <c r="AD1146" t="str">
        <f>IF(H_A[[#This Row],[PercentSalaryHike]]&lt;13,"Low",IF(H_A[[#This Row],[PercentSalaryHike]]&lt;18,"Medium","High"))</f>
        <v>Medium</v>
      </c>
    </row>
    <row r="1147" spans="1:30" x14ac:dyDescent="0.3">
      <c r="A1147">
        <v>36</v>
      </c>
      <c r="B1147">
        <v>1614</v>
      </c>
      <c r="C1147" t="s">
        <v>36</v>
      </c>
      <c r="D1147" t="s">
        <v>37</v>
      </c>
      <c r="E1147">
        <v>12</v>
      </c>
      <c r="F1147">
        <v>4</v>
      </c>
      <c r="G1147" t="s">
        <v>32</v>
      </c>
      <c r="H1147">
        <v>3</v>
      </c>
      <c r="I1147" t="s">
        <v>33</v>
      </c>
      <c r="J1147">
        <v>3</v>
      </c>
      <c r="K1147">
        <v>2</v>
      </c>
      <c r="L1147" t="s">
        <v>45</v>
      </c>
      <c r="M1147">
        <v>3</v>
      </c>
      <c r="N1147" t="s">
        <v>40</v>
      </c>
      <c r="O1147">
        <v>4663</v>
      </c>
      <c r="P1147">
        <v>9</v>
      </c>
      <c r="Q1147" t="s">
        <v>30</v>
      </c>
      <c r="R1147">
        <v>2</v>
      </c>
      <c r="S1147">
        <v>7</v>
      </c>
      <c r="T1147">
        <v>3</v>
      </c>
      <c r="U1147">
        <v>3</v>
      </c>
      <c r="V1147">
        <v>2</v>
      </c>
      <c r="W1147">
        <v>1</v>
      </c>
      <c r="X1147">
        <v>1</v>
      </c>
      <c r="Y1147">
        <v>12</v>
      </c>
      <c r="Z1147">
        <f>IF(H_A[[#This Row],[Attrition]]="Yes",1,0)</f>
        <v>0</v>
      </c>
      <c r="AA1147" t="str">
        <f>IF(H_A[[#This Row],[Age]]&lt;30,"Young",IF(H_A[[#This Row],[Age]]&lt;45,"Mid","Senior"))</f>
        <v>Mid</v>
      </c>
      <c r="AB1147" t="str">
        <f>IF(H_A[[#This Row],[MonthlyIncome]]&lt;5000,"Low",IF(H_A[[#This Row],[MonthlyIncome]]&lt;10000,"Medium","High"))</f>
        <v>Low</v>
      </c>
      <c r="AC1147" t="str">
        <f>IF(H_A[[#This Row],[YearsAtCompany]]&lt;3,"Early",IF(H_A[[#This Row],[YearsAtCompany]]&lt;7,"Mid","Long"))</f>
        <v>Mid</v>
      </c>
      <c r="AD1147" t="str">
        <f>IF(H_A[[#This Row],[PercentSalaryHike]]&lt;13,"Low",IF(H_A[[#This Row],[PercentSalaryHike]]&lt;18,"Medium","High"))</f>
        <v>Low</v>
      </c>
    </row>
    <row r="1148" spans="1:30" x14ac:dyDescent="0.3">
      <c r="A1148">
        <v>34</v>
      </c>
      <c r="B1148">
        <v>1615</v>
      </c>
      <c r="C1148" t="s">
        <v>36</v>
      </c>
      <c r="D1148" t="s">
        <v>37</v>
      </c>
      <c r="E1148">
        <v>10</v>
      </c>
      <c r="F1148">
        <v>4</v>
      </c>
      <c r="G1148" t="s">
        <v>32</v>
      </c>
      <c r="H1148">
        <v>3</v>
      </c>
      <c r="I1148" t="s">
        <v>38</v>
      </c>
      <c r="J1148">
        <v>4</v>
      </c>
      <c r="K1148">
        <v>2</v>
      </c>
      <c r="L1148" t="s">
        <v>45</v>
      </c>
      <c r="M1148">
        <v>4</v>
      </c>
      <c r="N1148" t="s">
        <v>44</v>
      </c>
      <c r="O1148">
        <v>4724</v>
      </c>
      <c r="P1148">
        <v>1</v>
      </c>
      <c r="Q1148" t="s">
        <v>36</v>
      </c>
      <c r="R1148">
        <v>1</v>
      </c>
      <c r="S1148">
        <v>9</v>
      </c>
      <c r="T1148">
        <v>3</v>
      </c>
      <c r="U1148">
        <v>9</v>
      </c>
      <c r="V1148">
        <v>7</v>
      </c>
      <c r="W1148">
        <v>7</v>
      </c>
      <c r="X1148">
        <v>2</v>
      </c>
      <c r="Y1148">
        <v>13</v>
      </c>
      <c r="Z1148">
        <f>IF(H_A[[#This Row],[Attrition]]="Yes",1,0)</f>
        <v>0</v>
      </c>
      <c r="AA1148" t="str">
        <f>IF(H_A[[#This Row],[Age]]&lt;30,"Young",IF(H_A[[#This Row],[Age]]&lt;45,"Mid","Senior"))</f>
        <v>Mid</v>
      </c>
      <c r="AB1148" t="str">
        <f>IF(H_A[[#This Row],[MonthlyIncome]]&lt;5000,"Low",IF(H_A[[#This Row],[MonthlyIncome]]&lt;10000,"Medium","High"))</f>
        <v>Low</v>
      </c>
      <c r="AC1148" t="str">
        <f>IF(H_A[[#This Row],[YearsAtCompany]]&lt;3,"Early",IF(H_A[[#This Row],[YearsAtCompany]]&lt;7,"Mid","Long"))</f>
        <v>Long</v>
      </c>
      <c r="AD1148" t="str">
        <f>IF(H_A[[#This Row],[PercentSalaryHike]]&lt;13,"Low",IF(H_A[[#This Row],[PercentSalaryHike]]&lt;18,"Medium","High"))</f>
        <v>Medium</v>
      </c>
    </row>
    <row r="1149" spans="1:30" x14ac:dyDescent="0.3">
      <c r="A1149">
        <v>49</v>
      </c>
      <c r="B1149">
        <v>1617</v>
      </c>
      <c r="C1149" t="s">
        <v>36</v>
      </c>
      <c r="D1149" t="s">
        <v>37</v>
      </c>
      <c r="E1149">
        <v>25</v>
      </c>
      <c r="F1149">
        <v>4</v>
      </c>
      <c r="G1149" t="s">
        <v>32</v>
      </c>
      <c r="H1149">
        <v>3</v>
      </c>
      <c r="I1149" t="s">
        <v>33</v>
      </c>
      <c r="J1149">
        <v>3</v>
      </c>
      <c r="K1149">
        <v>1</v>
      </c>
      <c r="L1149" t="s">
        <v>42</v>
      </c>
      <c r="M1149">
        <v>1</v>
      </c>
      <c r="N1149" t="s">
        <v>40</v>
      </c>
      <c r="O1149">
        <v>3211</v>
      </c>
      <c r="P1149">
        <v>1</v>
      </c>
      <c r="Q1149" t="s">
        <v>36</v>
      </c>
      <c r="R1149">
        <v>4</v>
      </c>
      <c r="S1149">
        <v>10</v>
      </c>
      <c r="T1149">
        <v>2</v>
      </c>
      <c r="U1149">
        <v>9</v>
      </c>
      <c r="V1149">
        <v>6</v>
      </c>
      <c r="W1149">
        <v>1</v>
      </c>
      <c r="X1149">
        <v>4</v>
      </c>
      <c r="Y1149">
        <v>14</v>
      </c>
      <c r="Z1149">
        <f>IF(H_A[[#This Row],[Attrition]]="Yes",1,0)</f>
        <v>0</v>
      </c>
      <c r="AA1149" t="str">
        <f>IF(H_A[[#This Row],[Age]]&lt;30,"Young",IF(H_A[[#This Row],[Age]]&lt;45,"Mid","Senior"))</f>
        <v>Senior</v>
      </c>
      <c r="AB1149" t="str">
        <f>IF(H_A[[#This Row],[MonthlyIncome]]&lt;5000,"Low",IF(H_A[[#This Row],[MonthlyIncome]]&lt;10000,"Medium","High"))</f>
        <v>Low</v>
      </c>
      <c r="AC1149" t="str">
        <f>IF(H_A[[#This Row],[YearsAtCompany]]&lt;3,"Early",IF(H_A[[#This Row],[YearsAtCompany]]&lt;7,"Mid","Long"))</f>
        <v>Long</v>
      </c>
      <c r="AD1149" t="str">
        <f>IF(H_A[[#This Row],[PercentSalaryHike]]&lt;13,"Low",IF(H_A[[#This Row],[PercentSalaryHike]]&lt;18,"Medium","High"))</f>
        <v>Medium</v>
      </c>
    </row>
    <row r="1150" spans="1:30" x14ac:dyDescent="0.3">
      <c r="A1150">
        <v>39</v>
      </c>
      <c r="B1150">
        <v>1618</v>
      </c>
      <c r="C1150" t="s">
        <v>36</v>
      </c>
      <c r="D1150" t="s">
        <v>37</v>
      </c>
      <c r="E1150">
        <v>10</v>
      </c>
      <c r="F1150">
        <v>5</v>
      </c>
      <c r="G1150" t="s">
        <v>43</v>
      </c>
      <c r="H1150">
        <v>2</v>
      </c>
      <c r="I1150" t="s">
        <v>38</v>
      </c>
      <c r="J1150">
        <v>3</v>
      </c>
      <c r="K1150">
        <v>2</v>
      </c>
      <c r="L1150" t="s">
        <v>45</v>
      </c>
      <c r="M1150">
        <v>1</v>
      </c>
      <c r="N1150" t="s">
        <v>40</v>
      </c>
      <c r="O1150">
        <v>5377</v>
      </c>
      <c r="P1150">
        <v>2</v>
      </c>
      <c r="Q1150" t="s">
        <v>36</v>
      </c>
      <c r="R1150">
        <v>4</v>
      </c>
      <c r="S1150">
        <v>10</v>
      </c>
      <c r="T1150">
        <v>3</v>
      </c>
      <c r="U1150">
        <v>7</v>
      </c>
      <c r="V1150">
        <v>7</v>
      </c>
      <c r="W1150">
        <v>7</v>
      </c>
      <c r="X1150">
        <v>7</v>
      </c>
      <c r="Y1150">
        <v>13</v>
      </c>
      <c r="Z1150">
        <f>IF(H_A[[#This Row],[Attrition]]="Yes",1,0)</f>
        <v>0</v>
      </c>
      <c r="AA1150" t="str">
        <f>IF(H_A[[#This Row],[Age]]&lt;30,"Young",IF(H_A[[#This Row],[Age]]&lt;45,"Mid","Senior"))</f>
        <v>Mid</v>
      </c>
      <c r="AB1150" t="str">
        <f>IF(H_A[[#This Row],[MonthlyIncome]]&lt;5000,"Low",IF(H_A[[#This Row],[MonthlyIncome]]&lt;10000,"Medium","High"))</f>
        <v>Medium</v>
      </c>
      <c r="AC1150" t="str">
        <f>IF(H_A[[#This Row],[YearsAtCompany]]&lt;3,"Early",IF(H_A[[#This Row],[YearsAtCompany]]&lt;7,"Mid","Long"))</f>
        <v>Long</v>
      </c>
      <c r="AD1150" t="str">
        <f>IF(H_A[[#This Row],[PercentSalaryHike]]&lt;13,"Low",IF(H_A[[#This Row],[PercentSalaryHike]]&lt;18,"Medium","High"))</f>
        <v>Medium</v>
      </c>
    </row>
    <row r="1151" spans="1:30" x14ac:dyDescent="0.3">
      <c r="A1151">
        <v>27</v>
      </c>
      <c r="B1151">
        <v>1619</v>
      </c>
      <c r="C1151" t="s">
        <v>36</v>
      </c>
      <c r="D1151" t="s">
        <v>37</v>
      </c>
      <c r="E1151">
        <v>19</v>
      </c>
      <c r="F1151">
        <v>3</v>
      </c>
      <c r="G1151" t="s">
        <v>41</v>
      </c>
      <c r="H1151">
        <v>4</v>
      </c>
      <c r="I1151" t="s">
        <v>38</v>
      </c>
      <c r="J1151">
        <v>2</v>
      </c>
      <c r="K1151">
        <v>1</v>
      </c>
      <c r="L1151" t="s">
        <v>42</v>
      </c>
      <c r="M1151">
        <v>1</v>
      </c>
      <c r="N1151" t="s">
        <v>44</v>
      </c>
      <c r="O1151">
        <v>4066</v>
      </c>
      <c r="P1151">
        <v>1</v>
      </c>
      <c r="Q1151" t="s">
        <v>36</v>
      </c>
      <c r="R1151">
        <v>1</v>
      </c>
      <c r="S1151">
        <v>7</v>
      </c>
      <c r="T1151">
        <v>3</v>
      </c>
      <c r="U1151">
        <v>7</v>
      </c>
      <c r="V1151">
        <v>7</v>
      </c>
      <c r="W1151">
        <v>0</v>
      </c>
      <c r="X1151">
        <v>7</v>
      </c>
      <c r="Y1151">
        <v>11</v>
      </c>
      <c r="Z1151">
        <f>IF(H_A[[#This Row],[Attrition]]="Yes",1,0)</f>
        <v>0</v>
      </c>
      <c r="AA1151" t="str">
        <f>IF(H_A[[#This Row],[Age]]&lt;30,"Young",IF(H_A[[#This Row],[Age]]&lt;45,"Mid","Senior"))</f>
        <v>Young</v>
      </c>
      <c r="AB1151" t="str">
        <f>IF(H_A[[#This Row],[MonthlyIncome]]&lt;5000,"Low",IF(H_A[[#This Row],[MonthlyIncome]]&lt;10000,"Medium","High"))</f>
        <v>Low</v>
      </c>
      <c r="AC1151" t="str">
        <f>IF(H_A[[#This Row],[YearsAtCompany]]&lt;3,"Early",IF(H_A[[#This Row],[YearsAtCompany]]&lt;7,"Mid","Long"))</f>
        <v>Long</v>
      </c>
      <c r="AD1151" t="str">
        <f>IF(H_A[[#This Row],[PercentSalaryHike]]&lt;13,"Low",IF(H_A[[#This Row],[PercentSalaryHike]]&lt;18,"Medium","High"))</f>
        <v>Low</v>
      </c>
    </row>
    <row r="1152" spans="1:30" x14ac:dyDescent="0.3">
      <c r="A1152">
        <v>35</v>
      </c>
      <c r="B1152">
        <v>1621</v>
      </c>
      <c r="C1152" t="s">
        <v>36</v>
      </c>
      <c r="D1152" t="s">
        <v>37</v>
      </c>
      <c r="E1152">
        <v>18</v>
      </c>
      <c r="F1152">
        <v>5</v>
      </c>
      <c r="G1152" t="s">
        <v>32</v>
      </c>
      <c r="H1152">
        <v>2</v>
      </c>
      <c r="I1152" t="s">
        <v>38</v>
      </c>
      <c r="J1152">
        <v>4</v>
      </c>
      <c r="K1152">
        <v>2</v>
      </c>
      <c r="L1152" t="s">
        <v>39</v>
      </c>
      <c r="M1152">
        <v>1</v>
      </c>
      <c r="N1152" t="s">
        <v>40</v>
      </c>
      <c r="O1152">
        <v>5208</v>
      </c>
      <c r="P1152">
        <v>1</v>
      </c>
      <c r="Q1152" t="s">
        <v>36</v>
      </c>
      <c r="R1152">
        <v>4</v>
      </c>
      <c r="S1152">
        <v>16</v>
      </c>
      <c r="T1152">
        <v>3</v>
      </c>
      <c r="U1152">
        <v>16</v>
      </c>
      <c r="V1152">
        <v>15</v>
      </c>
      <c r="W1152">
        <v>1</v>
      </c>
      <c r="X1152">
        <v>10</v>
      </c>
      <c r="Y1152">
        <v>11</v>
      </c>
      <c r="Z1152">
        <f>IF(H_A[[#This Row],[Attrition]]="Yes",1,0)</f>
        <v>0</v>
      </c>
      <c r="AA1152" t="str">
        <f>IF(H_A[[#This Row],[Age]]&lt;30,"Young",IF(H_A[[#This Row],[Age]]&lt;45,"Mid","Senior"))</f>
        <v>Mid</v>
      </c>
      <c r="AB1152" t="str">
        <f>IF(H_A[[#This Row],[MonthlyIncome]]&lt;5000,"Low",IF(H_A[[#This Row],[MonthlyIncome]]&lt;10000,"Medium","High"))</f>
        <v>Medium</v>
      </c>
      <c r="AC1152" t="str">
        <f>IF(H_A[[#This Row],[YearsAtCompany]]&lt;3,"Early",IF(H_A[[#This Row],[YearsAtCompany]]&lt;7,"Mid","Long"))</f>
        <v>Long</v>
      </c>
      <c r="AD1152" t="str">
        <f>IF(H_A[[#This Row],[PercentSalaryHike]]&lt;13,"Low",IF(H_A[[#This Row],[PercentSalaryHike]]&lt;18,"Medium","High"))</f>
        <v>Low</v>
      </c>
    </row>
    <row r="1153" spans="1:30" x14ac:dyDescent="0.3">
      <c r="A1153">
        <v>28</v>
      </c>
      <c r="B1153">
        <v>1622</v>
      </c>
      <c r="C1153" t="s">
        <v>36</v>
      </c>
      <c r="D1153" t="s">
        <v>37</v>
      </c>
      <c r="E1153">
        <v>27</v>
      </c>
      <c r="F1153">
        <v>3</v>
      </c>
      <c r="G1153" t="s">
        <v>43</v>
      </c>
      <c r="H1153">
        <v>2</v>
      </c>
      <c r="I1153" t="s">
        <v>33</v>
      </c>
      <c r="J1153">
        <v>1</v>
      </c>
      <c r="K1153">
        <v>2</v>
      </c>
      <c r="L1153" t="s">
        <v>45</v>
      </c>
      <c r="M1153">
        <v>1</v>
      </c>
      <c r="N1153" t="s">
        <v>44</v>
      </c>
      <c r="O1153">
        <v>4877</v>
      </c>
      <c r="P1153">
        <v>0</v>
      </c>
      <c r="Q1153" t="s">
        <v>36</v>
      </c>
      <c r="R1153">
        <v>2</v>
      </c>
      <c r="S1153">
        <v>6</v>
      </c>
      <c r="T1153">
        <v>2</v>
      </c>
      <c r="U1153">
        <v>5</v>
      </c>
      <c r="V1153">
        <v>3</v>
      </c>
      <c r="W1153">
        <v>0</v>
      </c>
      <c r="X1153">
        <v>0</v>
      </c>
      <c r="Y1153">
        <v>21</v>
      </c>
      <c r="Z1153">
        <f>IF(H_A[[#This Row],[Attrition]]="Yes",1,0)</f>
        <v>0</v>
      </c>
      <c r="AA1153" t="str">
        <f>IF(H_A[[#This Row],[Age]]&lt;30,"Young",IF(H_A[[#This Row],[Age]]&lt;45,"Mid","Senior"))</f>
        <v>Young</v>
      </c>
      <c r="AB1153" t="str">
        <f>IF(H_A[[#This Row],[MonthlyIncome]]&lt;5000,"Low",IF(H_A[[#This Row],[MonthlyIncome]]&lt;10000,"Medium","High"))</f>
        <v>Low</v>
      </c>
      <c r="AC1153" t="str">
        <f>IF(H_A[[#This Row],[YearsAtCompany]]&lt;3,"Early",IF(H_A[[#This Row],[YearsAtCompany]]&lt;7,"Mid","Long"))</f>
        <v>Mid</v>
      </c>
      <c r="AD1153" t="str">
        <f>IF(H_A[[#This Row],[PercentSalaryHike]]&lt;13,"Low",IF(H_A[[#This Row],[PercentSalaryHike]]&lt;18,"Medium","High"))</f>
        <v>High</v>
      </c>
    </row>
    <row r="1154" spans="1:30" x14ac:dyDescent="0.3">
      <c r="A1154">
        <v>21</v>
      </c>
      <c r="B1154">
        <v>1623</v>
      </c>
      <c r="C1154" t="s">
        <v>36</v>
      </c>
      <c r="D1154" t="s">
        <v>37</v>
      </c>
      <c r="E1154">
        <v>5</v>
      </c>
      <c r="F1154">
        <v>1</v>
      </c>
      <c r="G1154" t="s">
        <v>43</v>
      </c>
      <c r="H1154">
        <v>3</v>
      </c>
      <c r="I1154" t="s">
        <v>38</v>
      </c>
      <c r="J1154">
        <v>3</v>
      </c>
      <c r="K1154">
        <v>1</v>
      </c>
      <c r="L1154" t="s">
        <v>39</v>
      </c>
      <c r="M1154">
        <v>4</v>
      </c>
      <c r="N1154" t="s">
        <v>35</v>
      </c>
      <c r="O1154">
        <v>3117</v>
      </c>
      <c r="P1154">
        <v>1</v>
      </c>
      <c r="Q1154" t="s">
        <v>36</v>
      </c>
      <c r="R1154">
        <v>3</v>
      </c>
      <c r="S1154">
        <v>3</v>
      </c>
      <c r="T1154">
        <v>3</v>
      </c>
      <c r="U1154">
        <v>2</v>
      </c>
      <c r="V1154">
        <v>2</v>
      </c>
      <c r="W1154">
        <v>2</v>
      </c>
      <c r="X1154">
        <v>2</v>
      </c>
      <c r="Y1154">
        <v>18</v>
      </c>
      <c r="Z1154">
        <f>IF(H_A[[#This Row],[Attrition]]="Yes",1,0)</f>
        <v>0</v>
      </c>
      <c r="AA1154" t="str">
        <f>IF(H_A[[#This Row],[Age]]&lt;30,"Young",IF(H_A[[#This Row],[Age]]&lt;45,"Mid","Senior"))</f>
        <v>Young</v>
      </c>
      <c r="AB1154" t="str">
        <f>IF(H_A[[#This Row],[MonthlyIncome]]&lt;5000,"Low",IF(H_A[[#This Row],[MonthlyIncome]]&lt;10000,"Medium","High"))</f>
        <v>Low</v>
      </c>
      <c r="AC1154" t="str">
        <f>IF(H_A[[#This Row],[YearsAtCompany]]&lt;3,"Early",IF(H_A[[#This Row],[YearsAtCompany]]&lt;7,"Mid","Long"))</f>
        <v>Early</v>
      </c>
      <c r="AD1154" t="str">
        <f>IF(H_A[[#This Row],[PercentSalaryHike]]&lt;13,"Low",IF(H_A[[#This Row],[PercentSalaryHike]]&lt;18,"Medium","High"))</f>
        <v>High</v>
      </c>
    </row>
    <row r="1155" spans="1:30" x14ac:dyDescent="0.3">
      <c r="A1155">
        <v>18</v>
      </c>
      <c r="B1155">
        <v>1624</v>
      </c>
      <c r="C1155" t="s">
        <v>30</v>
      </c>
      <c r="D1155" t="s">
        <v>31</v>
      </c>
      <c r="E1155">
        <v>3</v>
      </c>
      <c r="F1155">
        <v>2</v>
      </c>
      <c r="G1155" t="s">
        <v>43</v>
      </c>
      <c r="H1155">
        <v>2</v>
      </c>
      <c r="I1155" t="s">
        <v>33</v>
      </c>
      <c r="J1155">
        <v>3</v>
      </c>
      <c r="K1155">
        <v>1</v>
      </c>
      <c r="L1155" t="s">
        <v>48</v>
      </c>
      <c r="M1155">
        <v>4</v>
      </c>
      <c r="N1155" t="s">
        <v>35</v>
      </c>
      <c r="O1155">
        <v>1569</v>
      </c>
      <c r="P1155">
        <v>1</v>
      </c>
      <c r="Q1155" t="s">
        <v>30</v>
      </c>
      <c r="R1155">
        <v>3</v>
      </c>
      <c r="S1155">
        <v>0</v>
      </c>
      <c r="T1155">
        <v>4</v>
      </c>
      <c r="U1155">
        <v>0</v>
      </c>
      <c r="V1155">
        <v>0</v>
      </c>
      <c r="W1155">
        <v>0</v>
      </c>
      <c r="X1155">
        <v>0</v>
      </c>
      <c r="Y1155">
        <v>12</v>
      </c>
      <c r="Z1155">
        <f>IF(H_A[[#This Row],[Attrition]]="Yes",1,0)</f>
        <v>1</v>
      </c>
      <c r="AA1155" t="str">
        <f>IF(H_A[[#This Row],[Age]]&lt;30,"Young",IF(H_A[[#This Row],[Age]]&lt;45,"Mid","Senior"))</f>
        <v>Young</v>
      </c>
      <c r="AB1155" t="str">
        <f>IF(H_A[[#This Row],[MonthlyIncome]]&lt;5000,"Low",IF(H_A[[#This Row],[MonthlyIncome]]&lt;10000,"Medium","High"))</f>
        <v>Low</v>
      </c>
      <c r="AC1155" t="str">
        <f>IF(H_A[[#This Row],[YearsAtCompany]]&lt;3,"Early",IF(H_A[[#This Row],[YearsAtCompany]]&lt;7,"Mid","Long"))</f>
        <v>Early</v>
      </c>
      <c r="AD1155" t="str">
        <f>IF(H_A[[#This Row],[PercentSalaryHike]]&lt;13,"Low",IF(H_A[[#This Row],[PercentSalaryHike]]&lt;18,"Medium","High"))</f>
        <v>Low</v>
      </c>
    </row>
    <row r="1156" spans="1:30" x14ac:dyDescent="0.3">
      <c r="A1156">
        <v>47</v>
      </c>
      <c r="B1156">
        <v>1625</v>
      </c>
      <c r="C1156" t="s">
        <v>36</v>
      </c>
      <c r="D1156" t="s">
        <v>52</v>
      </c>
      <c r="E1156">
        <v>26</v>
      </c>
      <c r="F1156">
        <v>4</v>
      </c>
      <c r="G1156" t="s">
        <v>32</v>
      </c>
      <c r="H1156">
        <v>4</v>
      </c>
      <c r="I1156" t="s">
        <v>33</v>
      </c>
      <c r="J1156">
        <v>3</v>
      </c>
      <c r="K1156">
        <v>5</v>
      </c>
      <c r="L1156" t="s">
        <v>47</v>
      </c>
      <c r="M1156">
        <v>3</v>
      </c>
      <c r="N1156" t="s">
        <v>40</v>
      </c>
      <c r="O1156">
        <v>19658</v>
      </c>
      <c r="P1156">
        <v>3</v>
      </c>
      <c r="Q1156" t="s">
        <v>36</v>
      </c>
      <c r="R1156">
        <v>3</v>
      </c>
      <c r="S1156">
        <v>27</v>
      </c>
      <c r="T1156">
        <v>3</v>
      </c>
      <c r="U1156">
        <v>5</v>
      </c>
      <c r="V1156">
        <v>2</v>
      </c>
      <c r="W1156">
        <v>1</v>
      </c>
      <c r="X1156">
        <v>0</v>
      </c>
      <c r="Y1156">
        <v>11</v>
      </c>
      <c r="Z1156">
        <f>IF(H_A[[#This Row],[Attrition]]="Yes",1,0)</f>
        <v>0</v>
      </c>
      <c r="AA1156" t="str">
        <f>IF(H_A[[#This Row],[Age]]&lt;30,"Young",IF(H_A[[#This Row],[Age]]&lt;45,"Mid","Senior"))</f>
        <v>Senior</v>
      </c>
      <c r="AB1156" t="str">
        <f>IF(H_A[[#This Row],[MonthlyIncome]]&lt;5000,"Low",IF(H_A[[#This Row],[MonthlyIncome]]&lt;10000,"Medium","High"))</f>
        <v>High</v>
      </c>
      <c r="AC1156" t="str">
        <f>IF(H_A[[#This Row],[YearsAtCompany]]&lt;3,"Early",IF(H_A[[#This Row],[YearsAtCompany]]&lt;7,"Mid","Long"))</f>
        <v>Mid</v>
      </c>
      <c r="AD1156" t="str">
        <f>IF(H_A[[#This Row],[PercentSalaryHike]]&lt;13,"Low",IF(H_A[[#This Row],[PercentSalaryHike]]&lt;18,"Medium","High"))</f>
        <v>Low</v>
      </c>
    </row>
    <row r="1157" spans="1:30" x14ac:dyDescent="0.3">
      <c r="A1157">
        <v>39</v>
      </c>
      <c r="B1157">
        <v>1627</v>
      </c>
      <c r="C1157" t="s">
        <v>36</v>
      </c>
      <c r="D1157" t="s">
        <v>37</v>
      </c>
      <c r="E1157">
        <v>3</v>
      </c>
      <c r="F1157">
        <v>2</v>
      </c>
      <c r="G1157" t="s">
        <v>43</v>
      </c>
      <c r="H1157">
        <v>3</v>
      </c>
      <c r="I1157" t="s">
        <v>38</v>
      </c>
      <c r="J1157">
        <v>2</v>
      </c>
      <c r="K1157">
        <v>2</v>
      </c>
      <c r="L1157" t="s">
        <v>42</v>
      </c>
      <c r="M1157">
        <v>3</v>
      </c>
      <c r="N1157" t="s">
        <v>44</v>
      </c>
      <c r="O1157">
        <v>3069</v>
      </c>
      <c r="P1157">
        <v>0</v>
      </c>
      <c r="Q1157" t="s">
        <v>36</v>
      </c>
      <c r="R1157">
        <v>4</v>
      </c>
      <c r="S1157">
        <v>11</v>
      </c>
      <c r="T1157">
        <v>3</v>
      </c>
      <c r="U1157">
        <v>10</v>
      </c>
      <c r="V1157">
        <v>8</v>
      </c>
      <c r="W1157">
        <v>0</v>
      </c>
      <c r="X1157">
        <v>7</v>
      </c>
      <c r="Y1157">
        <v>15</v>
      </c>
      <c r="Z1157">
        <f>IF(H_A[[#This Row],[Attrition]]="Yes",1,0)</f>
        <v>0</v>
      </c>
      <c r="AA1157" t="str">
        <f>IF(H_A[[#This Row],[Age]]&lt;30,"Young",IF(H_A[[#This Row],[Age]]&lt;45,"Mid","Senior"))</f>
        <v>Mid</v>
      </c>
      <c r="AB1157" t="str">
        <f>IF(H_A[[#This Row],[MonthlyIncome]]&lt;5000,"Low",IF(H_A[[#This Row],[MonthlyIncome]]&lt;10000,"Medium","High"))</f>
        <v>Low</v>
      </c>
      <c r="AC1157" t="str">
        <f>IF(H_A[[#This Row],[YearsAtCompany]]&lt;3,"Early",IF(H_A[[#This Row],[YearsAtCompany]]&lt;7,"Mid","Long"))</f>
        <v>Long</v>
      </c>
      <c r="AD1157" t="str">
        <f>IF(H_A[[#This Row],[PercentSalaryHike]]&lt;13,"Low",IF(H_A[[#This Row],[PercentSalaryHike]]&lt;18,"Medium","High"))</f>
        <v>Medium</v>
      </c>
    </row>
    <row r="1158" spans="1:30" x14ac:dyDescent="0.3">
      <c r="A1158">
        <v>40</v>
      </c>
      <c r="B1158">
        <v>1628</v>
      </c>
      <c r="C1158" t="s">
        <v>36</v>
      </c>
      <c r="D1158" t="s">
        <v>37</v>
      </c>
      <c r="E1158">
        <v>15</v>
      </c>
      <c r="F1158">
        <v>3</v>
      </c>
      <c r="G1158" t="s">
        <v>32</v>
      </c>
      <c r="H1158">
        <v>1</v>
      </c>
      <c r="I1158" t="s">
        <v>33</v>
      </c>
      <c r="J1158">
        <v>2</v>
      </c>
      <c r="K1158">
        <v>3</v>
      </c>
      <c r="L1158" t="s">
        <v>45</v>
      </c>
      <c r="M1158">
        <v>3</v>
      </c>
      <c r="N1158" t="s">
        <v>40</v>
      </c>
      <c r="O1158">
        <v>10435</v>
      </c>
      <c r="P1158">
        <v>1</v>
      </c>
      <c r="Q1158" t="s">
        <v>36</v>
      </c>
      <c r="R1158">
        <v>4</v>
      </c>
      <c r="S1158">
        <v>18</v>
      </c>
      <c r="T1158">
        <v>3</v>
      </c>
      <c r="U1158">
        <v>18</v>
      </c>
      <c r="V1158">
        <v>15</v>
      </c>
      <c r="W1158">
        <v>14</v>
      </c>
      <c r="X1158">
        <v>12</v>
      </c>
      <c r="Y1158">
        <v>13</v>
      </c>
      <c r="Z1158">
        <f>IF(H_A[[#This Row],[Attrition]]="Yes",1,0)</f>
        <v>0</v>
      </c>
      <c r="AA1158" t="str">
        <f>IF(H_A[[#This Row],[Age]]&lt;30,"Young",IF(H_A[[#This Row],[Age]]&lt;45,"Mid","Senior"))</f>
        <v>Mid</v>
      </c>
      <c r="AB1158" t="str">
        <f>IF(H_A[[#This Row],[MonthlyIncome]]&lt;5000,"Low",IF(H_A[[#This Row],[MonthlyIncome]]&lt;10000,"Medium","High"))</f>
        <v>High</v>
      </c>
      <c r="AC1158" t="str">
        <f>IF(H_A[[#This Row],[YearsAtCompany]]&lt;3,"Early",IF(H_A[[#This Row],[YearsAtCompany]]&lt;7,"Mid","Long"))</f>
        <v>Long</v>
      </c>
      <c r="AD1158" t="str">
        <f>IF(H_A[[#This Row],[PercentSalaryHike]]&lt;13,"Low",IF(H_A[[#This Row],[PercentSalaryHike]]&lt;18,"Medium","High"))</f>
        <v>Medium</v>
      </c>
    </row>
    <row r="1159" spans="1:30" x14ac:dyDescent="0.3">
      <c r="A1159">
        <v>35</v>
      </c>
      <c r="B1159">
        <v>1630</v>
      </c>
      <c r="C1159" t="s">
        <v>36</v>
      </c>
      <c r="D1159" t="s">
        <v>37</v>
      </c>
      <c r="E1159">
        <v>8</v>
      </c>
      <c r="F1159">
        <v>4</v>
      </c>
      <c r="G1159" t="s">
        <v>32</v>
      </c>
      <c r="H1159">
        <v>3</v>
      </c>
      <c r="I1159" t="s">
        <v>33</v>
      </c>
      <c r="J1159">
        <v>3</v>
      </c>
      <c r="K1159">
        <v>2</v>
      </c>
      <c r="L1159" t="s">
        <v>46</v>
      </c>
      <c r="M1159">
        <v>3</v>
      </c>
      <c r="N1159" t="s">
        <v>40</v>
      </c>
      <c r="O1159">
        <v>4148</v>
      </c>
      <c r="P1159">
        <v>1</v>
      </c>
      <c r="Q1159" t="s">
        <v>36</v>
      </c>
      <c r="R1159">
        <v>4</v>
      </c>
      <c r="S1159">
        <v>15</v>
      </c>
      <c r="T1159">
        <v>3</v>
      </c>
      <c r="U1159">
        <v>14</v>
      </c>
      <c r="V1159">
        <v>11</v>
      </c>
      <c r="W1159">
        <v>2</v>
      </c>
      <c r="X1159">
        <v>9</v>
      </c>
      <c r="Y1159">
        <v>12</v>
      </c>
      <c r="Z1159">
        <f>IF(H_A[[#This Row],[Attrition]]="Yes",1,0)</f>
        <v>0</v>
      </c>
      <c r="AA1159" t="str">
        <f>IF(H_A[[#This Row],[Age]]&lt;30,"Young",IF(H_A[[#This Row],[Age]]&lt;45,"Mid","Senior"))</f>
        <v>Mid</v>
      </c>
      <c r="AB1159" t="str">
        <f>IF(H_A[[#This Row],[MonthlyIncome]]&lt;5000,"Low",IF(H_A[[#This Row],[MonthlyIncome]]&lt;10000,"Medium","High"))</f>
        <v>Low</v>
      </c>
      <c r="AC1159" t="str">
        <f>IF(H_A[[#This Row],[YearsAtCompany]]&lt;3,"Early",IF(H_A[[#This Row],[YearsAtCompany]]&lt;7,"Mid","Long"))</f>
        <v>Long</v>
      </c>
      <c r="AD1159" t="str">
        <f>IF(H_A[[#This Row],[PercentSalaryHike]]&lt;13,"Low",IF(H_A[[#This Row],[PercentSalaryHike]]&lt;18,"Medium","High"))</f>
        <v>Low</v>
      </c>
    </row>
    <row r="1160" spans="1:30" x14ac:dyDescent="0.3">
      <c r="A1160">
        <v>37</v>
      </c>
      <c r="B1160">
        <v>1631</v>
      </c>
      <c r="C1160" t="s">
        <v>36</v>
      </c>
      <c r="D1160" t="s">
        <v>37</v>
      </c>
      <c r="E1160">
        <v>19</v>
      </c>
      <c r="F1160">
        <v>3</v>
      </c>
      <c r="G1160" t="s">
        <v>32</v>
      </c>
      <c r="H1160">
        <v>3</v>
      </c>
      <c r="I1160" t="s">
        <v>38</v>
      </c>
      <c r="J1160">
        <v>3</v>
      </c>
      <c r="K1160">
        <v>2</v>
      </c>
      <c r="L1160" t="s">
        <v>45</v>
      </c>
      <c r="M1160">
        <v>3</v>
      </c>
      <c r="N1160" t="s">
        <v>40</v>
      </c>
      <c r="O1160">
        <v>5768</v>
      </c>
      <c r="P1160">
        <v>3</v>
      </c>
      <c r="Q1160" t="s">
        <v>36</v>
      </c>
      <c r="R1160">
        <v>1</v>
      </c>
      <c r="S1160">
        <v>9</v>
      </c>
      <c r="T1160">
        <v>2</v>
      </c>
      <c r="U1160">
        <v>4</v>
      </c>
      <c r="V1160">
        <v>3</v>
      </c>
      <c r="W1160">
        <v>0</v>
      </c>
      <c r="X1160">
        <v>2</v>
      </c>
      <c r="Y1160">
        <v>17</v>
      </c>
      <c r="Z1160">
        <f>IF(H_A[[#This Row],[Attrition]]="Yes",1,0)</f>
        <v>0</v>
      </c>
      <c r="AA1160" t="str">
        <f>IF(H_A[[#This Row],[Age]]&lt;30,"Young",IF(H_A[[#This Row],[Age]]&lt;45,"Mid","Senior"))</f>
        <v>Mid</v>
      </c>
      <c r="AB1160" t="str">
        <f>IF(H_A[[#This Row],[MonthlyIncome]]&lt;5000,"Low",IF(H_A[[#This Row],[MonthlyIncome]]&lt;10000,"Medium","High"))</f>
        <v>Medium</v>
      </c>
      <c r="AC1160" t="str">
        <f>IF(H_A[[#This Row],[YearsAtCompany]]&lt;3,"Early",IF(H_A[[#This Row],[YearsAtCompany]]&lt;7,"Mid","Long"))</f>
        <v>Mid</v>
      </c>
      <c r="AD1160" t="str">
        <f>IF(H_A[[#This Row],[PercentSalaryHike]]&lt;13,"Low",IF(H_A[[#This Row],[PercentSalaryHike]]&lt;18,"Medium","High"))</f>
        <v>Medium</v>
      </c>
    </row>
    <row r="1161" spans="1:30" x14ac:dyDescent="0.3">
      <c r="A1161">
        <v>39</v>
      </c>
      <c r="B1161">
        <v>1633</v>
      </c>
      <c r="C1161" t="s">
        <v>36</v>
      </c>
      <c r="D1161" t="s">
        <v>37</v>
      </c>
      <c r="E1161">
        <v>4</v>
      </c>
      <c r="F1161">
        <v>3</v>
      </c>
      <c r="G1161" t="s">
        <v>43</v>
      </c>
      <c r="H1161">
        <v>1</v>
      </c>
      <c r="I1161" t="s">
        <v>33</v>
      </c>
      <c r="J1161">
        <v>3</v>
      </c>
      <c r="K1161">
        <v>2</v>
      </c>
      <c r="L1161" t="s">
        <v>45</v>
      </c>
      <c r="M1161">
        <v>3</v>
      </c>
      <c r="N1161" t="s">
        <v>35</v>
      </c>
      <c r="O1161">
        <v>5042</v>
      </c>
      <c r="P1161">
        <v>0</v>
      </c>
      <c r="Q1161" t="s">
        <v>36</v>
      </c>
      <c r="R1161">
        <v>4</v>
      </c>
      <c r="S1161">
        <v>10</v>
      </c>
      <c r="T1161">
        <v>1</v>
      </c>
      <c r="U1161">
        <v>9</v>
      </c>
      <c r="V1161">
        <v>2</v>
      </c>
      <c r="W1161">
        <v>3</v>
      </c>
      <c r="X1161">
        <v>8</v>
      </c>
      <c r="Y1161">
        <v>13</v>
      </c>
      <c r="Z1161">
        <f>IF(H_A[[#This Row],[Attrition]]="Yes",1,0)</f>
        <v>0</v>
      </c>
      <c r="AA1161" t="str">
        <f>IF(H_A[[#This Row],[Age]]&lt;30,"Young",IF(H_A[[#This Row],[Age]]&lt;45,"Mid","Senior"))</f>
        <v>Mid</v>
      </c>
      <c r="AB1161" t="str">
        <f>IF(H_A[[#This Row],[MonthlyIncome]]&lt;5000,"Low",IF(H_A[[#This Row],[MonthlyIncome]]&lt;10000,"Medium","High"))</f>
        <v>Medium</v>
      </c>
      <c r="AC1161" t="str">
        <f>IF(H_A[[#This Row],[YearsAtCompany]]&lt;3,"Early",IF(H_A[[#This Row],[YearsAtCompany]]&lt;7,"Mid","Long"))</f>
        <v>Long</v>
      </c>
      <c r="AD1161" t="str">
        <f>IF(H_A[[#This Row],[PercentSalaryHike]]&lt;13,"Low",IF(H_A[[#This Row],[PercentSalaryHike]]&lt;18,"Medium","High"))</f>
        <v>Medium</v>
      </c>
    </row>
    <row r="1162" spans="1:30" x14ac:dyDescent="0.3">
      <c r="A1162">
        <v>45</v>
      </c>
      <c r="B1162">
        <v>1635</v>
      </c>
      <c r="C1162" t="s">
        <v>36</v>
      </c>
      <c r="D1162" t="s">
        <v>37</v>
      </c>
      <c r="E1162">
        <v>2</v>
      </c>
      <c r="F1162">
        <v>2</v>
      </c>
      <c r="G1162" t="s">
        <v>41</v>
      </c>
      <c r="H1162">
        <v>4</v>
      </c>
      <c r="I1162" t="s">
        <v>33</v>
      </c>
      <c r="J1162">
        <v>2</v>
      </c>
      <c r="K1162">
        <v>2</v>
      </c>
      <c r="L1162" t="s">
        <v>45</v>
      </c>
      <c r="M1162">
        <v>4</v>
      </c>
      <c r="N1162" t="s">
        <v>44</v>
      </c>
      <c r="O1162">
        <v>5770</v>
      </c>
      <c r="P1162">
        <v>1</v>
      </c>
      <c r="Q1162" t="s">
        <v>36</v>
      </c>
      <c r="R1162">
        <v>1</v>
      </c>
      <c r="S1162">
        <v>10</v>
      </c>
      <c r="T1162">
        <v>3</v>
      </c>
      <c r="U1162">
        <v>10</v>
      </c>
      <c r="V1162">
        <v>7</v>
      </c>
      <c r="W1162">
        <v>3</v>
      </c>
      <c r="X1162">
        <v>9</v>
      </c>
      <c r="Y1162">
        <v>19</v>
      </c>
      <c r="Z1162">
        <f>IF(H_A[[#This Row],[Attrition]]="Yes",1,0)</f>
        <v>0</v>
      </c>
      <c r="AA1162" t="str">
        <f>IF(H_A[[#This Row],[Age]]&lt;30,"Young",IF(H_A[[#This Row],[Age]]&lt;45,"Mid","Senior"))</f>
        <v>Senior</v>
      </c>
      <c r="AB1162" t="str">
        <f>IF(H_A[[#This Row],[MonthlyIncome]]&lt;5000,"Low",IF(H_A[[#This Row],[MonthlyIncome]]&lt;10000,"Medium","High"))</f>
        <v>Medium</v>
      </c>
      <c r="AC1162" t="str">
        <f>IF(H_A[[#This Row],[YearsAtCompany]]&lt;3,"Early",IF(H_A[[#This Row],[YearsAtCompany]]&lt;7,"Mid","Long"))</f>
        <v>Long</v>
      </c>
      <c r="AD1162" t="str">
        <f>IF(H_A[[#This Row],[PercentSalaryHike]]&lt;13,"Low",IF(H_A[[#This Row],[PercentSalaryHike]]&lt;18,"Medium","High"))</f>
        <v>High</v>
      </c>
    </row>
    <row r="1163" spans="1:30" x14ac:dyDescent="0.3">
      <c r="A1163">
        <v>38</v>
      </c>
      <c r="B1163">
        <v>1638</v>
      </c>
      <c r="C1163" t="s">
        <v>36</v>
      </c>
      <c r="D1163" t="s">
        <v>37</v>
      </c>
      <c r="E1163">
        <v>2</v>
      </c>
      <c r="F1163">
        <v>2</v>
      </c>
      <c r="G1163" t="s">
        <v>43</v>
      </c>
      <c r="H1163">
        <v>4</v>
      </c>
      <c r="I1163" t="s">
        <v>33</v>
      </c>
      <c r="J1163">
        <v>2</v>
      </c>
      <c r="K1163">
        <v>3</v>
      </c>
      <c r="L1163" t="s">
        <v>45</v>
      </c>
      <c r="M1163">
        <v>3</v>
      </c>
      <c r="N1163" t="s">
        <v>40</v>
      </c>
      <c r="O1163">
        <v>7756</v>
      </c>
      <c r="P1163">
        <v>3</v>
      </c>
      <c r="Q1163" t="s">
        <v>30</v>
      </c>
      <c r="R1163">
        <v>4</v>
      </c>
      <c r="S1163">
        <v>10</v>
      </c>
      <c r="T1163">
        <v>4</v>
      </c>
      <c r="U1163">
        <v>5</v>
      </c>
      <c r="V1163">
        <v>4</v>
      </c>
      <c r="W1163">
        <v>0</v>
      </c>
      <c r="X1163">
        <v>2</v>
      </c>
      <c r="Y1163">
        <v>19</v>
      </c>
      <c r="Z1163">
        <f>IF(H_A[[#This Row],[Attrition]]="Yes",1,0)</f>
        <v>0</v>
      </c>
      <c r="AA1163" t="str">
        <f>IF(H_A[[#This Row],[Age]]&lt;30,"Young",IF(H_A[[#This Row],[Age]]&lt;45,"Mid","Senior"))</f>
        <v>Mid</v>
      </c>
      <c r="AB1163" t="str">
        <f>IF(H_A[[#This Row],[MonthlyIncome]]&lt;5000,"Low",IF(H_A[[#This Row],[MonthlyIncome]]&lt;10000,"Medium","High"))</f>
        <v>Medium</v>
      </c>
      <c r="AC1163" t="str">
        <f>IF(H_A[[#This Row],[YearsAtCompany]]&lt;3,"Early",IF(H_A[[#This Row],[YearsAtCompany]]&lt;7,"Mid","Long"))</f>
        <v>Mid</v>
      </c>
      <c r="AD1163" t="str">
        <f>IF(H_A[[#This Row],[PercentSalaryHike]]&lt;13,"Low",IF(H_A[[#This Row],[PercentSalaryHike]]&lt;18,"Medium","High"))</f>
        <v>High</v>
      </c>
    </row>
    <row r="1164" spans="1:30" x14ac:dyDescent="0.3">
      <c r="A1164">
        <v>35</v>
      </c>
      <c r="B1164">
        <v>1639</v>
      </c>
      <c r="C1164" t="s">
        <v>30</v>
      </c>
      <c r="D1164" t="s">
        <v>31</v>
      </c>
      <c r="E1164">
        <v>10</v>
      </c>
      <c r="F1164">
        <v>3</v>
      </c>
      <c r="G1164" t="s">
        <v>43</v>
      </c>
      <c r="H1164">
        <v>4</v>
      </c>
      <c r="I1164" t="s">
        <v>38</v>
      </c>
      <c r="J1164">
        <v>2</v>
      </c>
      <c r="K1164">
        <v>3</v>
      </c>
      <c r="L1164" t="s">
        <v>34</v>
      </c>
      <c r="M1164">
        <v>1</v>
      </c>
      <c r="N1164" t="s">
        <v>40</v>
      </c>
      <c r="O1164">
        <v>10306</v>
      </c>
      <c r="P1164">
        <v>9</v>
      </c>
      <c r="Q1164" t="s">
        <v>36</v>
      </c>
      <c r="R1164">
        <v>3</v>
      </c>
      <c r="S1164">
        <v>15</v>
      </c>
      <c r="T1164">
        <v>3</v>
      </c>
      <c r="U1164">
        <v>13</v>
      </c>
      <c r="V1164">
        <v>12</v>
      </c>
      <c r="W1164">
        <v>6</v>
      </c>
      <c r="X1164">
        <v>0</v>
      </c>
      <c r="Y1164">
        <v>17</v>
      </c>
      <c r="Z1164">
        <f>IF(H_A[[#This Row],[Attrition]]="Yes",1,0)</f>
        <v>1</v>
      </c>
      <c r="AA1164" t="str">
        <f>IF(H_A[[#This Row],[Age]]&lt;30,"Young",IF(H_A[[#This Row],[Age]]&lt;45,"Mid","Senior"))</f>
        <v>Mid</v>
      </c>
      <c r="AB1164" t="str">
        <f>IF(H_A[[#This Row],[MonthlyIncome]]&lt;5000,"Low",IF(H_A[[#This Row],[MonthlyIncome]]&lt;10000,"Medium","High"))</f>
        <v>High</v>
      </c>
      <c r="AC1164" t="str">
        <f>IF(H_A[[#This Row],[YearsAtCompany]]&lt;3,"Early",IF(H_A[[#This Row],[YearsAtCompany]]&lt;7,"Mid","Long"))</f>
        <v>Long</v>
      </c>
      <c r="AD1164" t="str">
        <f>IF(H_A[[#This Row],[PercentSalaryHike]]&lt;13,"Low",IF(H_A[[#This Row],[PercentSalaryHike]]&lt;18,"Medium","High"))</f>
        <v>Medium</v>
      </c>
    </row>
    <row r="1165" spans="1:30" x14ac:dyDescent="0.3">
      <c r="A1165">
        <v>37</v>
      </c>
      <c r="B1165">
        <v>1640</v>
      </c>
      <c r="C1165" t="s">
        <v>36</v>
      </c>
      <c r="D1165" t="s">
        <v>37</v>
      </c>
      <c r="E1165">
        <v>10</v>
      </c>
      <c r="F1165">
        <v>3</v>
      </c>
      <c r="G1165" t="s">
        <v>43</v>
      </c>
      <c r="H1165">
        <v>2</v>
      </c>
      <c r="I1165" t="s">
        <v>33</v>
      </c>
      <c r="J1165">
        <v>3</v>
      </c>
      <c r="K1165">
        <v>1</v>
      </c>
      <c r="L1165" t="s">
        <v>39</v>
      </c>
      <c r="M1165">
        <v>2</v>
      </c>
      <c r="N1165" t="s">
        <v>40</v>
      </c>
      <c r="O1165">
        <v>3936</v>
      </c>
      <c r="P1165">
        <v>1</v>
      </c>
      <c r="Q1165" t="s">
        <v>36</v>
      </c>
      <c r="R1165">
        <v>1</v>
      </c>
      <c r="S1165">
        <v>8</v>
      </c>
      <c r="T1165">
        <v>1</v>
      </c>
      <c r="U1165">
        <v>8</v>
      </c>
      <c r="V1165">
        <v>4</v>
      </c>
      <c r="W1165">
        <v>7</v>
      </c>
      <c r="X1165">
        <v>7</v>
      </c>
      <c r="Y1165">
        <v>11</v>
      </c>
      <c r="Z1165">
        <f>IF(H_A[[#This Row],[Attrition]]="Yes",1,0)</f>
        <v>0</v>
      </c>
      <c r="AA1165" t="str">
        <f>IF(H_A[[#This Row],[Age]]&lt;30,"Young",IF(H_A[[#This Row],[Age]]&lt;45,"Mid","Senior"))</f>
        <v>Mid</v>
      </c>
      <c r="AB1165" t="str">
        <f>IF(H_A[[#This Row],[MonthlyIncome]]&lt;5000,"Low",IF(H_A[[#This Row],[MonthlyIncome]]&lt;10000,"Medium","High"))</f>
        <v>Low</v>
      </c>
      <c r="AC1165" t="str">
        <f>IF(H_A[[#This Row],[YearsAtCompany]]&lt;3,"Early",IF(H_A[[#This Row],[YearsAtCompany]]&lt;7,"Mid","Long"))</f>
        <v>Long</v>
      </c>
      <c r="AD1165" t="str">
        <f>IF(H_A[[#This Row],[PercentSalaryHike]]&lt;13,"Low",IF(H_A[[#This Row],[PercentSalaryHike]]&lt;18,"Medium","High"))</f>
        <v>Low</v>
      </c>
    </row>
    <row r="1166" spans="1:30" x14ac:dyDescent="0.3">
      <c r="A1166">
        <v>40</v>
      </c>
      <c r="B1166">
        <v>1641</v>
      </c>
      <c r="C1166" t="s">
        <v>36</v>
      </c>
      <c r="D1166" t="s">
        <v>37</v>
      </c>
      <c r="E1166">
        <v>16</v>
      </c>
      <c r="F1166">
        <v>3</v>
      </c>
      <c r="G1166" t="s">
        <v>32</v>
      </c>
      <c r="H1166">
        <v>3</v>
      </c>
      <c r="I1166" t="s">
        <v>33</v>
      </c>
      <c r="J1166">
        <v>3</v>
      </c>
      <c r="K1166">
        <v>3</v>
      </c>
      <c r="L1166" t="s">
        <v>45</v>
      </c>
      <c r="M1166">
        <v>4</v>
      </c>
      <c r="N1166" t="s">
        <v>35</v>
      </c>
      <c r="O1166">
        <v>7945</v>
      </c>
      <c r="P1166">
        <v>6</v>
      </c>
      <c r="Q1166" t="s">
        <v>30</v>
      </c>
      <c r="R1166">
        <v>4</v>
      </c>
      <c r="S1166">
        <v>18</v>
      </c>
      <c r="T1166">
        <v>2</v>
      </c>
      <c r="U1166">
        <v>4</v>
      </c>
      <c r="V1166">
        <v>2</v>
      </c>
      <c r="W1166">
        <v>3</v>
      </c>
      <c r="X1166">
        <v>3</v>
      </c>
      <c r="Y1166">
        <v>15</v>
      </c>
      <c r="Z1166">
        <f>IF(H_A[[#This Row],[Attrition]]="Yes",1,0)</f>
        <v>0</v>
      </c>
      <c r="AA1166" t="str">
        <f>IF(H_A[[#This Row],[Age]]&lt;30,"Young",IF(H_A[[#This Row],[Age]]&lt;45,"Mid","Senior"))</f>
        <v>Mid</v>
      </c>
      <c r="AB1166" t="str">
        <f>IF(H_A[[#This Row],[MonthlyIncome]]&lt;5000,"Low",IF(H_A[[#This Row],[MonthlyIncome]]&lt;10000,"Medium","High"))</f>
        <v>Medium</v>
      </c>
      <c r="AC1166" t="str">
        <f>IF(H_A[[#This Row],[YearsAtCompany]]&lt;3,"Early",IF(H_A[[#This Row],[YearsAtCompany]]&lt;7,"Mid","Long"))</f>
        <v>Mid</v>
      </c>
      <c r="AD1166" t="str">
        <f>IF(H_A[[#This Row],[PercentSalaryHike]]&lt;13,"Low",IF(H_A[[#This Row],[PercentSalaryHike]]&lt;18,"Medium","High"))</f>
        <v>Medium</v>
      </c>
    </row>
    <row r="1167" spans="1:30" x14ac:dyDescent="0.3">
      <c r="A1167">
        <v>44</v>
      </c>
      <c r="B1167">
        <v>1642</v>
      </c>
      <c r="C1167" t="s">
        <v>36</v>
      </c>
      <c r="D1167" t="s">
        <v>52</v>
      </c>
      <c r="E1167">
        <v>1</v>
      </c>
      <c r="F1167">
        <v>5</v>
      </c>
      <c r="G1167" t="s">
        <v>52</v>
      </c>
      <c r="H1167">
        <v>1</v>
      </c>
      <c r="I1167" t="s">
        <v>38</v>
      </c>
      <c r="J1167">
        <v>3</v>
      </c>
      <c r="K1167">
        <v>2</v>
      </c>
      <c r="L1167" t="s">
        <v>52</v>
      </c>
      <c r="M1167">
        <v>4</v>
      </c>
      <c r="N1167" t="s">
        <v>40</v>
      </c>
      <c r="O1167">
        <v>5743</v>
      </c>
      <c r="P1167">
        <v>4</v>
      </c>
      <c r="Q1167" t="s">
        <v>30</v>
      </c>
      <c r="R1167">
        <v>3</v>
      </c>
      <c r="S1167">
        <v>14</v>
      </c>
      <c r="T1167">
        <v>3</v>
      </c>
      <c r="U1167">
        <v>10</v>
      </c>
      <c r="V1167">
        <v>7</v>
      </c>
      <c r="W1167">
        <v>0</v>
      </c>
      <c r="X1167">
        <v>2</v>
      </c>
      <c r="Y1167">
        <v>11</v>
      </c>
      <c r="Z1167">
        <f>IF(H_A[[#This Row],[Attrition]]="Yes",1,0)</f>
        <v>0</v>
      </c>
      <c r="AA1167" t="str">
        <f>IF(H_A[[#This Row],[Age]]&lt;30,"Young",IF(H_A[[#This Row],[Age]]&lt;45,"Mid","Senior"))</f>
        <v>Mid</v>
      </c>
      <c r="AB1167" t="str">
        <f>IF(H_A[[#This Row],[MonthlyIncome]]&lt;5000,"Low",IF(H_A[[#This Row],[MonthlyIncome]]&lt;10000,"Medium","High"))</f>
        <v>Medium</v>
      </c>
      <c r="AC1167" t="str">
        <f>IF(H_A[[#This Row],[YearsAtCompany]]&lt;3,"Early",IF(H_A[[#This Row],[YearsAtCompany]]&lt;7,"Mid","Long"))</f>
        <v>Long</v>
      </c>
      <c r="AD1167" t="str">
        <f>IF(H_A[[#This Row],[PercentSalaryHike]]&lt;13,"Low",IF(H_A[[#This Row],[PercentSalaryHike]]&lt;18,"Medium","High"))</f>
        <v>Low</v>
      </c>
    </row>
    <row r="1168" spans="1:30" x14ac:dyDescent="0.3">
      <c r="A1168">
        <v>48</v>
      </c>
      <c r="B1168">
        <v>1644</v>
      </c>
      <c r="C1168" t="s">
        <v>36</v>
      </c>
      <c r="D1168" t="s">
        <v>37</v>
      </c>
      <c r="E1168">
        <v>4</v>
      </c>
      <c r="F1168">
        <v>5</v>
      </c>
      <c r="G1168" t="s">
        <v>43</v>
      </c>
      <c r="H1168">
        <v>3</v>
      </c>
      <c r="I1168" t="s">
        <v>38</v>
      </c>
      <c r="J1168">
        <v>2</v>
      </c>
      <c r="K1168">
        <v>4</v>
      </c>
      <c r="L1168" t="s">
        <v>47</v>
      </c>
      <c r="M1168">
        <v>4</v>
      </c>
      <c r="N1168" t="s">
        <v>40</v>
      </c>
      <c r="O1168">
        <v>15202</v>
      </c>
      <c r="P1168">
        <v>2</v>
      </c>
      <c r="Q1168" t="s">
        <v>36</v>
      </c>
      <c r="R1168">
        <v>2</v>
      </c>
      <c r="S1168">
        <v>23</v>
      </c>
      <c r="T1168">
        <v>3</v>
      </c>
      <c r="U1168">
        <v>2</v>
      </c>
      <c r="V1168">
        <v>2</v>
      </c>
      <c r="W1168">
        <v>2</v>
      </c>
      <c r="X1168">
        <v>2</v>
      </c>
      <c r="Y1168">
        <v>25</v>
      </c>
      <c r="Z1168">
        <f>IF(H_A[[#This Row],[Attrition]]="Yes",1,0)</f>
        <v>0</v>
      </c>
      <c r="AA1168" t="str">
        <f>IF(H_A[[#This Row],[Age]]&lt;30,"Young",IF(H_A[[#This Row],[Age]]&lt;45,"Mid","Senior"))</f>
        <v>Senior</v>
      </c>
      <c r="AB1168" t="str">
        <f>IF(H_A[[#This Row],[MonthlyIncome]]&lt;5000,"Low",IF(H_A[[#This Row],[MonthlyIncome]]&lt;10000,"Medium","High"))</f>
        <v>High</v>
      </c>
      <c r="AC1168" t="str">
        <f>IF(H_A[[#This Row],[YearsAtCompany]]&lt;3,"Early",IF(H_A[[#This Row],[YearsAtCompany]]&lt;7,"Mid","Long"))</f>
        <v>Early</v>
      </c>
      <c r="AD1168" t="str">
        <f>IF(H_A[[#This Row],[PercentSalaryHike]]&lt;13,"Low",IF(H_A[[#This Row],[PercentSalaryHike]]&lt;18,"Medium","High"))</f>
        <v>High</v>
      </c>
    </row>
    <row r="1169" spans="1:30" x14ac:dyDescent="0.3">
      <c r="A1169">
        <v>35</v>
      </c>
      <c r="B1169">
        <v>1645</v>
      </c>
      <c r="C1169" t="s">
        <v>30</v>
      </c>
      <c r="D1169" t="s">
        <v>31</v>
      </c>
      <c r="E1169">
        <v>15</v>
      </c>
      <c r="F1169">
        <v>2</v>
      </c>
      <c r="G1169" t="s">
        <v>43</v>
      </c>
      <c r="H1169">
        <v>1</v>
      </c>
      <c r="I1169" t="s">
        <v>38</v>
      </c>
      <c r="J1169">
        <v>1</v>
      </c>
      <c r="K1169">
        <v>2</v>
      </c>
      <c r="L1169" t="s">
        <v>34</v>
      </c>
      <c r="M1169">
        <v>4</v>
      </c>
      <c r="N1169" t="s">
        <v>44</v>
      </c>
      <c r="O1169">
        <v>5440</v>
      </c>
      <c r="P1169">
        <v>6</v>
      </c>
      <c r="Q1169" t="s">
        <v>30</v>
      </c>
      <c r="R1169">
        <v>4</v>
      </c>
      <c r="S1169">
        <v>7</v>
      </c>
      <c r="T1169">
        <v>2</v>
      </c>
      <c r="U1169">
        <v>2</v>
      </c>
      <c r="V1169">
        <v>2</v>
      </c>
      <c r="W1169">
        <v>2</v>
      </c>
      <c r="X1169">
        <v>2</v>
      </c>
      <c r="Y1169">
        <v>14</v>
      </c>
      <c r="Z1169">
        <f>IF(H_A[[#This Row],[Attrition]]="Yes",1,0)</f>
        <v>1</v>
      </c>
      <c r="AA1169" t="str">
        <f>IF(H_A[[#This Row],[Age]]&lt;30,"Young",IF(H_A[[#This Row],[Age]]&lt;45,"Mid","Senior"))</f>
        <v>Mid</v>
      </c>
      <c r="AB1169" t="str">
        <f>IF(H_A[[#This Row],[MonthlyIncome]]&lt;5000,"Low",IF(H_A[[#This Row],[MonthlyIncome]]&lt;10000,"Medium","High"))</f>
        <v>Medium</v>
      </c>
      <c r="AC1169" t="str">
        <f>IF(H_A[[#This Row],[YearsAtCompany]]&lt;3,"Early",IF(H_A[[#This Row],[YearsAtCompany]]&lt;7,"Mid","Long"))</f>
        <v>Early</v>
      </c>
      <c r="AD1169" t="str">
        <f>IF(H_A[[#This Row],[PercentSalaryHike]]&lt;13,"Low",IF(H_A[[#This Row],[PercentSalaryHike]]&lt;18,"Medium","High"))</f>
        <v>Medium</v>
      </c>
    </row>
    <row r="1170" spans="1:30" x14ac:dyDescent="0.3">
      <c r="A1170">
        <v>24</v>
      </c>
      <c r="B1170">
        <v>1646</v>
      </c>
      <c r="C1170" t="s">
        <v>36</v>
      </c>
      <c r="D1170" t="s">
        <v>37</v>
      </c>
      <c r="E1170">
        <v>2</v>
      </c>
      <c r="F1170">
        <v>1</v>
      </c>
      <c r="G1170" t="s">
        <v>51</v>
      </c>
      <c r="H1170">
        <v>1</v>
      </c>
      <c r="I1170" t="s">
        <v>33</v>
      </c>
      <c r="J1170">
        <v>3</v>
      </c>
      <c r="K1170">
        <v>1</v>
      </c>
      <c r="L1170" t="s">
        <v>39</v>
      </c>
      <c r="M1170">
        <v>4</v>
      </c>
      <c r="N1170" t="s">
        <v>35</v>
      </c>
      <c r="O1170">
        <v>3760</v>
      </c>
      <c r="P1170">
        <v>1</v>
      </c>
      <c r="Q1170" t="s">
        <v>30</v>
      </c>
      <c r="R1170">
        <v>3</v>
      </c>
      <c r="S1170">
        <v>6</v>
      </c>
      <c r="T1170">
        <v>3</v>
      </c>
      <c r="U1170">
        <v>6</v>
      </c>
      <c r="V1170">
        <v>3</v>
      </c>
      <c r="W1170">
        <v>1</v>
      </c>
      <c r="X1170">
        <v>3</v>
      </c>
      <c r="Y1170">
        <v>13</v>
      </c>
      <c r="Z1170">
        <f>IF(H_A[[#This Row],[Attrition]]="Yes",1,0)</f>
        <v>0</v>
      </c>
      <c r="AA1170" t="str">
        <f>IF(H_A[[#This Row],[Age]]&lt;30,"Young",IF(H_A[[#This Row],[Age]]&lt;45,"Mid","Senior"))</f>
        <v>Young</v>
      </c>
      <c r="AB1170" t="str">
        <f>IF(H_A[[#This Row],[MonthlyIncome]]&lt;5000,"Low",IF(H_A[[#This Row],[MonthlyIncome]]&lt;10000,"Medium","High"))</f>
        <v>Low</v>
      </c>
      <c r="AC1170" t="str">
        <f>IF(H_A[[#This Row],[YearsAtCompany]]&lt;3,"Early",IF(H_A[[#This Row],[YearsAtCompany]]&lt;7,"Mid","Long"))</f>
        <v>Mid</v>
      </c>
      <c r="AD1170" t="str">
        <f>IF(H_A[[#This Row],[PercentSalaryHike]]&lt;13,"Low",IF(H_A[[#This Row],[PercentSalaryHike]]&lt;18,"Medium","High"))</f>
        <v>Medium</v>
      </c>
    </row>
    <row r="1171" spans="1:30" x14ac:dyDescent="0.3">
      <c r="A1171">
        <v>27</v>
      </c>
      <c r="B1171">
        <v>1647</v>
      </c>
      <c r="C1171" t="s">
        <v>36</v>
      </c>
      <c r="D1171" t="s">
        <v>37</v>
      </c>
      <c r="E1171">
        <v>8</v>
      </c>
      <c r="F1171">
        <v>3</v>
      </c>
      <c r="G1171" t="s">
        <v>43</v>
      </c>
      <c r="H1171">
        <v>2</v>
      </c>
      <c r="I1171" t="s">
        <v>33</v>
      </c>
      <c r="J1171">
        <v>4</v>
      </c>
      <c r="K1171">
        <v>1</v>
      </c>
      <c r="L1171" t="s">
        <v>39</v>
      </c>
      <c r="M1171">
        <v>3</v>
      </c>
      <c r="N1171" t="s">
        <v>40</v>
      </c>
      <c r="O1171">
        <v>3517</v>
      </c>
      <c r="P1171">
        <v>7</v>
      </c>
      <c r="Q1171" t="s">
        <v>36</v>
      </c>
      <c r="R1171">
        <v>1</v>
      </c>
      <c r="S1171">
        <v>5</v>
      </c>
      <c r="T1171">
        <v>3</v>
      </c>
      <c r="U1171">
        <v>3</v>
      </c>
      <c r="V1171">
        <v>2</v>
      </c>
      <c r="W1171">
        <v>0</v>
      </c>
      <c r="X1171">
        <v>2</v>
      </c>
      <c r="Y1171">
        <v>17</v>
      </c>
      <c r="Z1171">
        <f>IF(H_A[[#This Row],[Attrition]]="Yes",1,0)</f>
        <v>0</v>
      </c>
      <c r="AA1171" t="str">
        <f>IF(H_A[[#This Row],[Age]]&lt;30,"Young",IF(H_A[[#This Row],[Age]]&lt;45,"Mid","Senior"))</f>
        <v>Young</v>
      </c>
      <c r="AB1171" t="str">
        <f>IF(H_A[[#This Row],[MonthlyIncome]]&lt;5000,"Low",IF(H_A[[#This Row],[MonthlyIncome]]&lt;10000,"Medium","High"))</f>
        <v>Low</v>
      </c>
      <c r="AC1171" t="str">
        <f>IF(H_A[[#This Row],[YearsAtCompany]]&lt;3,"Early",IF(H_A[[#This Row],[YearsAtCompany]]&lt;7,"Mid","Long"))</f>
        <v>Mid</v>
      </c>
      <c r="AD1171" t="str">
        <f>IF(H_A[[#This Row],[PercentSalaryHike]]&lt;13,"Low",IF(H_A[[#This Row],[PercentSalaryHike]]&lt;18,"Medium","High"))</f>
        <v>Medium</v>
      </c>
    </row>
    <row r="1172" spans="1:30" x14ac:dyDescent="0.3">
      <c r="A1172">
        <v>27</v>
      </c>
      <c r="B1172">
        <v>1648</v>
      </c>
      <c r="C1172" t="s">
        <v>36</v>
      </c>
      <c r="D1172" t="s">
        <v>37</v>
      </c>
      <c r="E1172">
        <v>2</v>
      </c>
      <c r="F1172">
        <v>3</v>
      </c>
      <c r="G1172" t="s">
        <v>43</v>
      </c>
      <c r="H1172">
        <v>4</v>
      </c>
      <c r="I1172" t="s">
        <v>38</v>
      </c>
      <c r="J1172">
        <v>3</v>
      </c>
      <c r="K1172">
        <v>1</v>
      </c>
      <c r="L1172" t="s">
        <v>39</v>
      </c>
      <c r="M1172">
        <v>4</v>
      </c>
      <c r="N1172" t="s">
        <v>35</v>
      </c>
      <c r="O1172">
        <v>2580</v>
      </c>
      <c r="P1172">
        <v>2</v>
      </c>
      <c r="Q1172" t="s">
        <v>36</v>
      </c>
      <c r="R1172">
        <v>3</v>
      </c>
      <c r="S1172">
        <v>6</v>
      </c>
      <c r="T1172">
        <v>2</v>
      </c>
      <c r="U1172">
        <v>4</v>
      </c>
      <c r="V1172">
        <v>2</v>
      </c>
      <c r="W1172">
        <v>1</v>
      </c>
      <c r="X1172">
        <v>2</v>
      </c>
      <c r="Y1172">
        <v>13</v>
      </c>
      <c r="Z1172">
        <f>IF(H_A[[#This Row],[Attrition]]="Yes",1,0)</f>
        <v>0</v>
      </c>
      <c r="AA1172" t="str">
        <f>IF(H_A[[#This Row],[Age]]&lt;30,"Young",IF(H_A[[#This Row],[Age]]&lt;45,"Mid","Senior"))</f>
        <v>Young</v>
      </c>
      <c r="AB1172" t="str">
        <f>IF(H_A[[#This Row],[MonthlyIncome]]&lt;5000,"Low",IF(H_A[[#This Row],[MonthlyIncome]]&lt;10000,"Medium","High"))</f>
        <v>Low</v>
      </c>
      <c r="AC1172" t="str">
        <f>IF(H_A[[#This Row],[YearsAtCompany]]&lt;3,"Early",IF(H_A[[#This Row],[YearsAtCompany]]&lt;7,"Mid","Long"))</f>
        <v>Mid</v>
      </c>
      <c r="AD1172" t="str">
        <f>IF(H_A[[#This Row],[PercentSalaryHike]]&lt;13,"Low",IF(H_A[[#This Row],[PercentSalaryHike]]&lt;18,"Medium","High"))</f>
        <v>Medium</v>
      </c>
    </row>
    <row r="1173" spans="1:30" x14ac:dyDescent="0.3">
      <c r="A1173">
        <v>40</v>
      </c>
      <c r="B1173">
        <v>1649</v>
      </c>
      <c r="C1173" t="s">
        <v>30</v>
      </c>
      <c r="D1173" t="s">
        <v>37</v>
      </c>
      <c r="E1173">
        <v>7</v>
      </c>
      <c r="F1173">
        <v>3</v>
      </c>
      <c r="G1173" t="s">
        <v>32</v>
      </c>
      <c r="H1173">
        <v>1</v>
      </c>
      <c r="I1173" t="s">
        <v>38</v>
      </c>
      <c r="J1173">
        <v>3</v>
      </c>
      <c r="K1173">
        <v>1</v>
      </c>
      <c r="L1173" t="s">
        <v>42</v>
      </c>
      <c r="M1173">
        <v>1</v>
      </c>
      <c r="N1173" t="s">
        <v>35</v>
      </c>
      <c r="O1173">
        <v>2166</v>
      </c>
      <c r="P1173">
        <v>3</v>
      </c>
      <c r="Q1173" t="s">
        <v>30</v>
      </c>
      <c r="R1173">
        <v>2</v>
      </c>
      <c r="S1173">
        <v>10</v>
      </c>
      <c r="T1173">
        <v>1</v>
      </c>
      <c r="U1173">
        <v>4</v>
      </c>
      <c r="V1173">
        <v>2</v>
      </c>
      <c r="W1173">
        <v>0</v>
      </c>
      <c r="X1173">
        <v>3</v>
      </c>
      <c r="Y1173">
        <v>14</v>
      </c>
      <c r="Z1173">
        <f>IF(H_A[[#This Row],[Attrition]]="Yes",1,0)</f>
        <v>1</v>
      </c>
      <c r="AA1173" t="str">
        <f>IF(H_A[[#This Row],[Age]]&lt;30,"Young",IF(H_A[[#This Row],[Age]]&lt;45,"Mid","Senior"))</f>
        <v>Mid</v>
      </c>
      <c r="AB1173" t="str">
        <f>IF(H_A[[#This Row],[MonthlyIncome]]&lt;5000,"Low",IF(H_A[[#This Row],[MonthlyIncome]]&lt;10000,"Medium","High"))</f>
        <v>Low</v>
      </c>
      <c r="AC1173" t="str">
        <f>IF(H_A[[#This Row],[YearsAtCompany]]&lt;3,"Early",IF(H_A[[#This Row],[YearsAtCompany]]&lt;7,"Mid","Long"))</f>
        <v>Mid</v>
      </c>
      <c r="AD1173" t="str">
        <f>IF(H_A[[#This Row],[PercentSalaryHike]]&lt;13,"Low",IF(H_A[[#This Row],[PercentSalaryHike]]&lt;18,"Medium","High"))</f>
        <v>Medium</v>
      </c>
    </row>
    <row r="1174" spans="1:30" x14ac:dyDescent="0.3">
      <c r="A1174">
        <v>29</v>
      </c>
      <c r="B1174">
        <v>1650</v>
      </c>
      <c r="C1174" t="s">
        <v>36</v>
      </c>
      <c r="D1174" t="s">
        <v>31</v>
      </c>
      <c r="E1174">
        <v>10</v>
      </c>
      <c r="F1174">
        <v>3</v>
      </c>
      <c r="G1174" t="s">
        <v>43</v>
      </c>
      <c r="H1174">
        <v>3</v>
      </c>
      <c r="I1174" t="s">
        <v>38</v>
      </c>
      <c r="J1174">
        <v>2</v>
      </c>
      <c r="K1174">
        <v>2</v>
      </c>
      <c r="L1174" t="s">
        <v>34</v>
      </c>
      <c r="M1174">
        <v>3</v>
      </c>
      <c r="N1174" t="s">
        <v>35</v>
      </c>
      <c r="O1174">
        <v>5869</v>
      </c>
      <c r="P1174">
        <v>9</v>
      </c>
      <c r="Q1174" t="s">
        <v>36</v>
      </c>
      <c r="R1174">
        <v>3</v>
      </c>
      <c r="S1174">
        <v>8</v>
      </c>
      <c r="T1174">
        <v>3</v>
      </c>
      <c r="U1174">
        <v>5</v>
      </c>
      <c r="V1174">
        <v>2</v>
      </c>
      <c r="W1174">
        <v>1</v>
      </c>
      <c r="X1174">
        <v>4</v>
      </c>
      <c r="Y1174">
        <v>11</v>
      </c>
      <c r="Z1174">
        <f>IF(H_A[[#This Row],[Attrition]]="Yes",1,0)</f>
        <v>0</v>
      </c>
      <c r="AA1174" t="str">
        <f>IF(H_A[[#This Row],[Age]]&lt;30,"Young",IF(H_A[[#This Row],[Age]]&lt;45,"Mid","Senior"))</f>
        <v>Young</v>
      </c>
      <c r="AB1174" t="str">
        <f>IF(H_A[[#This Row],[MonthlyIncome]]&lt;5000,"Low",IF(H_A[[#This Row],[MonthlyIncome]]&lt;10000,"Medium","High"))</f>
        <v>Medium</v>
      </c>
      <c r="AC1174" t="str">
        <f>IF(H_A[[#This Row],[YearsAtCompany]]&lt;3,"Early",IF(H_A[[#This Row],[YearsAtCompany]]&lt;7,"Mid","Long"))</f>
        <v>Mid</v>
      </c>
      <c r="AD1174" t="str">
        <f>IF(H_A[[#This Row],[PercentSalaryHike]]&lt;13,"Low",IF(H_A[[#This Row],[PercentSalaryHike]]&lt;18,"Medium","High"))</f>
        <v>Low</v>
      </c>
    </row>
    <row r="1175" spans="1:30" x14ac:dyDescent="0.3">
      <c r="A1175">
        <v>36</v>
      </c>
      <c r="B1175">
        <v>1651</v>
      </c>
      <c r="C1175" t="s">
        <v>36</v>
      </c>
      <c r="D1175" t="s">
        <v>37</v>
      </c>
      <c r="E1175">
        <v>5</v>
      </c>
      <c r="F1175">
        <v>4</v>
      </c>
      <c r="G1175" t="s">
        <v>32</v>
      </c>
      <c r="H1175">
        <v>2</v>
      </c>
      <c r="I1175" t="s">
        <v>33</v>
      </c>
      <c r="J1175">
        <v>3</v>
      </c>
      <c r="K1175">
        <v>3</v>
      </c>
      <c r="L1175" t="s">
        <v>46</v>
      </c>
      <c r="M1175">
        <v>1</v>
      </c>
      <c r="N1175" t="s">
        <v>40</v>
      </c>
      <c r="O1175">
        <v>8008</v>
      </c>
      <c r="P1175">
        <v>4</v>
      </c>
      <c r="Q1175" t="s">
        <v>36</v>
      </c>
      <c r="R1175">
        <v>3</v>
      </c>
      <c r="S1175">
        <v>9</v>
      </c>
      <c r="T1175">
        <v>3</v>
      </c>
      <c r="U1175">
        <v>3</v>
      </c>
      <c r="V1175">
        <v>2</v>
      </c>
      <c r="W1175">
        <v>0</v>
      </c>
      <c r="X1175">
        <v>2</v>
      </c>
      <c r="Y1175">
        <v>12</v>
      </c>
      <c r="Z1175">
        <f>IF(H_A[[#This Row],[Attrition]]="Yes",1,0)</f>
        <v>0</v>
      </c>
      <c r="AA1175" t="str">
        <f>IF(H_A[[#This Row],[Age]]&lt;30,"Young",IF(H_A[[#This Row],[Age]]&lt;45,"Mid","Senior"))</f>
        <v>Mid</v>
      </c>
      <c r="AB1175" t="str">
        <f>IF(H_A[[#This Row],[MonthlyIncome]]&lt;5000,"Low",IF(H_A[[#This Row],[MonthlyIncome]]&lt;10000,"Medium","High"))</f>
        <v>Medium</v>
      </c>
      <c r="AC1175" t="str">
        <f>IF(H_A[[#This Row],[YearsAtCompany]]&lt;3,"Early",IF(H_A[[#This Row],[YearsAtCompany]]&lt;7,"Mid","Long"))</f>
        <v>Mid</v>
      </c>
      <c r="AD1175" t="str">
        <f>IF(H_A[[#This Row],[PercentSalaryHike]]&lt;13,"Low",IF(H_A[[#This Row],[PercentSalaryHike]]&lt;18,"Medium","High"))</f>
        <v>Low</v>
      </c>
    </row>
    <row r="1176" spans="1:30" x14ac:dyDescent="0.3">
      <c r="A1176">
        <v>25</v>
      </c>
      <c r="B1176">
        <v>1653</v>
      </c>
      <c r="C1176" t="s">
        <v>36</v>
      </c>
      <c r="D1176" t="s">
        <v>37</v>
      </c>
      <c r="E1176">
        <v>2</v>
      </c>
      <c r="F1176">
        <v>1</v>
      </c>
      <c r="G1176" t="s">
        <v>32</v>
      </c>
      <c r="H1176">
        <v>4</v>
      </c>
      <c r="I1176" t="s">
        <v>38</v>
      </c>
      <c r="J1176">
        <v>4</v>
      </c>
      <c r="K1176">
        <v>2</v>
      </c>
      <c r="L1176" t="s">
        <v>45</v>
      </c>
      <c r="M1176">
        <v>3</v>
      </c>
      <c r="N1176" t="s">
        <v>44</v>
      </c>
      <c r="O1176">
        <v>5206</v>
      </c>
      <c r="P1176">
        <v>1</v>
      </c>
      <c r="Q1176" t="s">
        <v>36</v>
      </c>
      <c r="R1176">
        <v>3</v>
      </c>
      <c r="S1176">
        <v>7</v>
      </c>
      <c r="T1176">
        <v>3</v>
      </c>
      <c r="U1176">
        <v>7</v>
      </c>
      <c r="V1176">
        <v>7</v>
      </c>
      <c r="W1176">
        <v>0</v>
      </c>
      <c r="X1176">
        <v>7</v>
      </c>
      <c r="Y1176">
        <v>17</v>
      </c>
      <c r="Z1176">
        <f>IF(H_A[[#This Row],[Attrition]]="Yes",1,0)</f>
        <v>0</v>
      </c>
      <c r="AA1176" t="str">
        <f>IF(H_A[[#This Row],[Age]]&lt;30,"Young",IF(H_A[[#This Row],[Age]]&lt;45,"Mid","Senior"))</f>
        <v>Young</v>
      </c>
      <c r="AB1176" t="str">
        <f>IF(H_A[[#This Row],[MonthlyIncome]]&lt;5000,"Low",IF(H_A[[#This Row],[MonthlyIncome]]&lt;10000,"Medium","High"))</f>
        <v>Medium</v>
      </c>
      <c r="AC1176" t="str">
        <f>IF(H_A[[#This Row],[YearsAtCompany]]&lt;3,"Early",IF(H_A[[#This Row],[YearsAtCompany]]&lt;7,"Mid","Long"))</f>
        <v>Long</v>
      </c>
      <c r="AD1176" t="str">
        <f>IF(H_A[[#This Row],[PercentSalaryHike]]&lt;13,"Low",IF(H_A[[#This Row],[PercentSalaryHike]]&lt;18,"Medium","High"))</f>
        <v>Medium</v>
      </c>
    </row>
    <row r="1177" spans="1:30" x14ac:dyDescent="0.3">
      <c r="A1177">
        <v>39</v>
      </c>
      <c r="B1177">
        <v>1654</v>
      </c>
      <c r="C1177" t="s">
        <v>36</v>
      </c>
      <c r="D1177" t="s">
        <v>37</v>
      </c>
      <c r="E1177">
        <v>12</v>
      </c>
      <c r="F1177">
        <v>3</v>
      </c>
      <c r="G1177" t="s">
        <v>43</v>
      </c>
      <c r="H1177">
        <v>4</v>
      </c>
      <c r="I1177" t="s">
        <v>38</v>
      </c>
      <c r="J1177">
        <v>3</v>
      </c>
      <c r="K1177">
        <v>2</v>
      </c>
      <c r="L1177" t="s">
        <v>45</v>
      </c>
      <c r="M1177">
        <v>2</v>
      </c>
      <c r="N1177" t="s">
        <v>40</v>
      </c>
      <c r="O1177">
        <v>5295</v>
      </c>
      <c r="P1177">
        <v>4</v>
      </c>
      <c r="Q1177" t="s">
        <v>36</v>
      </c>
      <c r="R1177">
        <v>3</v>
      </c>
      <c r="S1177">
        <v>7</v>
      </c>
      <c r="T1177">
        <v>3</v>
      </c>
      <c r="U1177">
        <v>5</v>
      </c>
      <c r="V1177">
        <v>4</v>
      </c>
      <c r="W1177">
        <v>1</v>
      </c>
      <c r="X1177">
        <v>0</v>
      </c>
      <c r="Y1177">
        <v>21</v>
      </c>
      <c r="Z1177">
        <f>IF(H_A[[#This Row],[Attrition]]="Yes",1,0)</f>
        <v>0</v>
      </c>
      <c r="AA1177" t="str">
        <f>IF(H_A[[#This Row],[Age]]&lt;30,"Young",IF(H_A[[#This Row],[Age]]&lt;45,"Mid","Senior"))</f>
        <v>Mid</v>
      </c>
      <c r="AB1177" t="str">
        <f>IF(H_A[[#This Row],[MonthlyIncome]]&lt;5000,"Low",IF(H_A[[#This Row],[MonthlyIncome]]&lt;10000,"Medium","High"))</f>
        <v>Medium</v>
      </c>
      <c r="AC1177" t="str">
        <f>IF(H_A[[#This Row],[YearsAtCompany]]&lt;3,"Early",IF(H_A[[#This Row],[YearsAtCompany]]&lt;7,"Mid","Long"))</f>
        <v>Mid</v>
      </c>
      <c r="AD1177" t="str">
        <f>IF(H_A[[#This Row],[PercentSalaryHike]]&lt;13,"Low",IF(H_A[[#This Row],[PercentSalaryHike]]&lt;18,"Medium","High"))</f>
        <v>High</v>
      </c>
    </row>
    <row r="1178" spans="1:30" x14ac:dyDescent="0.3">
      <c r="A1178">
        <v>49</v>
      </c>
      <c r="B1178">
        <v>1655</v>
      </c>
      <c r="C1178" t="s">
        <v>36</v>
      </c>
      <c r="D1178" t="s">
        <v>37</v>
      </c>
      <c r="E1178">
        <v>22</v>
      </c>
      <c r="F1178">
        <v>4</v>
      </c>
      <c r="G1178" t="s">
        <v>41</v>
      </c>
      <c r="H1178">
        <v>1</v>
      </c>
      <c r="I1178" t="s">
        <v>33</v>
      </c>
      <c r="J1178">
        <v>3</v>
      </c>
      <c r="K1178">
        <v>4</v>
      </c>
      <c r="L1178" t="s">
        <v>49</v>
      </c>
      <c r="M1178">
        <v>2</v>
      </c>
      <c r="N1178" t="s">
        <v>40</v>
      </c>
      <c r="O1178">
        <v>16413</v>
      </c>
      <c r="P1178">
        <v>3</v>
      </c>
      <c r="Q1178" t="s">
        <v>36</v>
      </c>
      <c r="R1178">
        <v>2</v>
      </c>
      <c r="S1178">
        <v>27</v>
      </c>
      <c r="T1178">
        <v>3</v>
      </c>
      <c r="U1178">
        <v>4</v>
      </c>
      <c r="V1178">
        <v>2</v>
      </c>
      <c r="W1178">
        <v>1</v>
      </c>
      <c r="X1178">
        <v>2</v>
      </c>
      <c r="Y1178">
        <v>16</v>
      </c>
      <c r="Z1178">
        <f>IF(H_A[[#This Row],[Attrition]]="Yes",1,0)</f>
        <v>0</v>
      </c>
      <c r="AA1178" t="str">
        <f>IF(H_A[[#This Row],[Age]]&lt;30,"Young",IF(H_A[[#This Row],[Age]]&lt;45,"Mid","Senior"))</f>
        <v>Senior</v>
      </c>
      <c r="AB1178" t="str">
        <f>IF(H_A[[#This Row],[MonthlyIncome]]&lt;5000,"Low",IF(H_A[[#This Row],[MonthlyIncome]]&lt;10000,"Medium","High"))</f>
        <v>High</v>
      </c>
      <c r="AC1178" t="str">
        <f>IF(H_A[[#This Row],[YearsAtCompany]]&lt;3,"Early",IF(H_A[[#This Row],[YearsAtCompany]]&lt;7,"Mid","Long"))</f>
        <v>Mid</v>
      </c>
      <c r="AD1178" t="str">
        <f>IF(H_A[[#This Row],[PercentSalaryHike]]&lt;13,"Low",IF(H_A[[#This Row],[PercentSalaryHike]]&lt;18,"Medium","High"))</f>
        <v>Medium</v>
      </c>
    </row>
    <row r="1179" spans="1:30" x14ac:dyDescent="0.3">
      <c r="A1179">
        <v>50</v>
      </c>
      <c r="B1179">
        <v>1656</v>
      </c>
      <c r="C1179" t="s">
        <v>36</v>
      </c>
      <c r="D1179" t="s">
        <v>37</v>
      </c>
      <c r="E1179">
        <v>17</v>
      </c>
      <c r="F1179">
        <v>5</v>
      </c>
      <c r="G1179" t="s">
        <v>32</v>
      </c>
      <c r="H1179">
        <v>4</v>
      </c>
      <c r="I1179" t="s">
        <v>33</v>
      </c>
      <c r="J1179">
        <v>2</v>
      </c>
      <c r="K1179">
        <v>3</v>
      </c>
      <c r="L1179" t="s">
        <v>49</v>
      </c>
      <c r="M1179">
        <v>1</v>
      </c>
      <c r="N1179" t="s">
        <v>44</v>
      </c>
      <c r="O1179">
        <v>13269</v>
      </c>
      <c r="P1179">
        <v>5</v>
      </c>
      <c r="Q1179" t="s">
        <v>36</v>
      </c>
      <c r="R1179">
        <v>3</v>
      </c>
      <c r="S1179">
        <v>19</v>
      </c>
      <c r="T1179">
        <v>3</v>
      </c>
      <c r="U1179">
        <v>14</v>
      </c>
      <c r="V1179">
        <v>11</v>
      </c>
      <c r="W1179">
        <v>1</v>
      </c>
      <c r="X1179">
        <v>11</v>
      </c>
      <c r="Y1179">
        <v>15</v>
      </c>
      <c r="Z1179">
        <f>IF(H_A[[#This Row],[Attrition]]="Yes",1,0)</f>
        <v>0</v>
      </c>
      <c r="AA1179" t="str">
        <f>IF(H_A[[#This Row],[Age]]&lt;30,"Young",IF(H_A[[#This Row],[Age]]&lt;45,"Mid","Senior"))</f>
        <v>Senior</v>
      </c>
      <c r="AB1179" t="str">
        <f>IF(H_A[[#This Row],[MonthlyIncome]]&lt;5000,"Low",IF(H_A[[#This Row],[MonthlyIncome]]&lt;10000,"Medium","High"))</f>
        <v>High</v>
      </c>
      <c r="AC1179" t="str">
        <f>IF(H_A[[#This Row],[YearsAtCompany]]&lt;3,"Early",IF(H_A[[#This Row],[YearsAtCompany]]&lt;7,"Mid","Long"))</f>
        <v>Long</v>
      </c>
      <c r="AD1179" t="str">
        <f>IF(H_A[[#This Row],[PercentSalaryHike]]&lt;13,"Low",IF(H_A[[#This Row],[PercentSalaryHike]]&lt;18,"Medium","High"))</f>
        <v>Medium</v>
      </c>
    </row>
    <row r="1180" spans="1:30" x14ac:dyDescent="0.3">
      <c r="A1180">
        <v>20</v>
      </c>
      <c r="B1180">
        <v>1657</v>
      </c>
      <c r="C1180" t="s">
        <v>36</v>
      </c>
      <c r="D1180" t="s">
        <v>31</v>
      </c>
      <c r="E1180">
        <v>2</v>
      </c>
      <c r="F1180">
        <v>3</v>
      </c>
      <c r="G1180" t="s">
        <v>43</v>
      </c>
      <c r="H1180">
        <v>3</v>
      </c>
      <c r="I1180" t="s">
        <v>33</v>
      </c>
      <c r="J1180">
        <v>3</v>
      </c>
      <c r="K1180">
        <v>1</v>
      </c>
      <c r="L1180" t="s">
        <v>48</v>
      </c>
      <c r="M1180">
        <v>3</v>
      </c>
      <c r="N1180" t="s">
        <v>35</v>
      </c>
      <c r="O1180">
        <v>2783</v>
      </c>
      <c r="P1180">
        <v>1</v>
      </c>
      <c r="Q1180" t="s">
        <v>36</v>
      </c>
      <c r="R1180">
        <v>1</v>
      </c>
      <c r="S1180">
        <v>2</v>
      </c>
      <c r="T1180">
        <v>3</v>
      </c>
      <c r="U1180">
        <v>2</v>
      </c>
      <c r="V1180">
        <v>2</v>
      </c>
      <c r="W1180">
        <v>2</v>
      </c>
      <c r="X1180">
        <v>2</v>
      </c>
      <c r="Y1180">
        <v>19</v>
      </c>
      <c r="Z1180">
        <f>IF(H_A[[#This Row],[Attrition]]="Yes",1,0)</f>
        <v>0</v>
      </c>
      <c r="AA1180" t="str">
        <f>IF(H_A[[#This Row],[Age]]&lt;30,"Young",IF(H_A[[#This Row],[Age]]&lt;45,"Mid","Senior"))</f>
        <v>Young</v>
      </c>
      <c r="AB1180" t="str">
        <f>IF(H_A[[#This Row],[MonthlyIncome]]&lt;5000,"Low",IF(H_A[[#This Row],[MonthlyIncome]]&lt;10000,"Medium","High"))</f>
        <v>Low</v>
      </c>
      <c r="AC1180" t="str">
        <f>IF(H_A[[#This Row],[YearsAtCompany]]&lt;3,"Early",IF(H_A[[#This Row],[YearsAtCompany]]&lt;7,"Mid","Long"))</f>
        <v>Early</v>
      </c>
      <c r="AD1180" t="str">
        <f>IF(H_A[[#This Row],[PercentSalaryHike]]&lt;13,"Low",IF(H_A[[#This Row],[PercentSalaryHike]]&lt;18,"Medium","High"))</f>
        <v>High</v>
      </c>
    </row>
    <row r="1181" spans="1:30" x14ac:dyDescent="0.3">
      <c r="A1181">
        <v>34</v>
      </c>
      <c r="B1181">
        <v>1658</v>
      </c>
      <c r="C1181" t="s">
        <v>36</v>
      </c>
      <c r="D1181" t="s">
        <v>37</v>
      </c>
      <c r="E1181">
        <v>3</v>
      </c>
      <c r="F1181">
        <v>3</v>
      </c>
      <c r="G1181" t="s">
        <v>32</v>
      </c>
      <c r="H1181">
        <v>4</v>
      </c>
      <c r="I1181" t="s">
        <v>33</v>
      </c>
      <c r="J1181">
        <v>3</v>
      </c>
      <c r="K1181">
        <v>2</v>
      </c>
      <c r="L1181" t="s">
        <v>39</v>
      </c>
      <c r="M1181">
        <v>2</v>
      </c>
      <c r="N1181" t="s">
        <v>44</v>
      </c>
      <c r="O1181">
        <v>5433</v>
      </c>
      <c r="P1181">
        <v>1</v>
      </c>
      <c r="Q1181" t="s">
        <v>36</v>
      </c>
      <c r="R1181">
        <v>3</v>
      </c>
      <c r="S1181">
        <v>11</v>
      </c>
      <c r="T1181">
        <v>3</v>
      </c>
      <c r="U1181">
        <v>11</v>
      </c>
      <c r="V1181">
        <v>8</v>
      </c>
      <c r="W1181">
        <v>7</v>
      </c>
      <c r="X1181">
        <v>9</v>
      </c>
      <c r="Y1181">
        <v>12</v>
      </c>
      <c r="Z1181">
        <f>IF(H_A[[#This Row],[Attrition]]="Yes",1,0)</f>
        <v>0</v>
      </c>
      <c r="AA1181" t="str">
        <f>IF(H_A[[#This Row],[Age]]&lt;30,"Young",IF(H_A[[#This Row],[Age]]&lt;45,"Mid","Senior"))</f>
        <v>Mid</v>
      </c>
      <c r="AB1181" t="str">
        <f>IF(H_A[[#This Row],[MonthlyIncome]]&lt;5000,"Low",IF(H_A[[#This Row],[MonthlyIncome]]&lt;10000,"Medium","High"))</f>
        <v>Medium</v>
      </c>
      <c r="AC1181" t="str">
        <f>IF(H_A[[#This Row],[YearsAtCompany]]&lt;3,"Early",IF(H_A[[#This Row],[YearsAtCompany]]&lt;7,"Mid","Long"))</f>
        <v>Long</v>
      </c>
      <c r="AD1181" t="str">
        <f>IF(H_A[[#This Row],[PercentSalaryHike]]&lt;13,"Low",IF(H_A[[#This Row],[PercentSalaryHike]]&lt;18,"Medium","High"))</f>
        <v>Low</v>
      </c>
    </row>
    <row r="1182" spans="1:30" x14ac:dyDescent="0.3">
      <c r="A1182">
        <v>36</v>
      </c>
      <c r="B1182">
        <v>1659</v>
      </c>
      <c r="C1182" t="s">
        <v>36</v>
      </c>
      <c r="D1182" t="s">
        <v>37</v>
      </c>
      <c r="E1182">
        <v>7</v>
      </c>
      <c r="F1182">
        <v>3</v>
      </c>
      <c r="G1182" t="s">
        <v>32</v>
      </c>
      <c r="H1182">
        <v>1</v>
      </c>
      <c r="I1182" t="s">
        <v>38</v>
      </c>
      <c r="J1182">
        <v>3</v>
      </c>
      <c r="K1182">
        <v>1</v>
      </c>
      <c r="L1182" t="s">
        <v>42</v>
      </c>
      <c r="M1182">
        <v>2</v>
      </c>
      <c r="N1182" t="s">
        <v>35</v>
      </c>
      <c r="O1182">
        <v>2013</v>
      </c>
      <c r="P1182">
        <v>2</v>
      </c>
      <c r="Q1182" t="s">
        <v>36</v>
      </c>
      <c r="R1182">
        <v>3</v>
      </c>
      <c r="S1182">
        <v>15</v>
      </c>
      <c r="T1182">
        <v>3</v>
      </c>
      <c r="U1182">
        <v>4</v>
      </c>
      <c r="V1182">
        <v>3</v>
      </c>
      <c r="W1182">
        <v>1</v>
      </c>
      <c r="X1182">
        <v>3</v>
      </c>
      <c r="Y1182">
        <v>11</v>
      </c>
      <c r="Z1182">
        <f>IF(H_A[[#This Row],[Attrition]]="Yes",1,0)</f>
        <v>0</v>
      </c>
      <c r="AA1182" t="str">
        <f>IF(H_A[[#This Row],[Age]]&lt;30,"Young",IF(H_A[[#This Row],[Age]]&lt;45,"Mid","Senior"))</f>
        <v>Mid</v>
      </c>
      <c r="AB1182" t="str">
        <f>IF(H_A[[#This Row],[MonthlyIncome]]&lt;5000,"Low",IF(H_A[[#This Row],[MonthlyIncome]]&lt;10000,"Medium","High"))</f>
        <v>Low</v>
      </c>
      <c r="AC1182" t="str">
        <f>IF(H_A[[#This Row],[YearsAtCompany]]&lt;3,"Early",IF(H_A[[#This Row],[YearsAtCompany]]&lt;7,"Mid","Long"))</f>
        <v>Mid</v>
      </c>
      <c r="AD1182" t="str">
        <f>IF(H_A[[#This Row],[PercentSalaryHike]]&lt;13,"Low",IF(H_A[[#This Row],[PercentSalaryHike]]&lt;18,"Medium","High"))</f>
        <v>Low</v>
      </c>
    </row>
    <row r="1183" spans="1:30" x14ac:dyDescent="0.3">
      <c r="A1183">
        <v>49</v>
      </c>
      <c r="B1183">
        <v>1661</v>
      </c>
      <c r="C1183" t="s">
        <v>36</v>
      </c>
      <c r="D1183" t="s">
        <v>37</v>
      </c>
      <c r="E1183">
        <v>6</v>
      </c>
      <c r="F1183">
        <v>1</v>
      </c>
      <c r="G1183" t="s">
        <v>32</v>
      </c>
      <c r="H1183">
        <v>3</v>
      </c>
      <c r="I1183" t="s">
        <v>33</v>
      </c>
      <c r="J1183">
        <v>2</v>
      </c>
      <c r="K1183">
        <v>4</v>
      </c>
      <c r="L1183" t="s">
        <v>46</v>
      </c>
      <c r="M1183">
        <v>3</v>
      </c>
      <c r="N1183" t="s">
        <v>40</v>
      </c>
      <c r="O1183">
        <v>13966</v>
      </c>
      <c r="P1183">
        <v>2</v>
      </c>
      <c r="Q1183" t="s">
        <v>30</v>
      </c>
      <c r="R1183">
        <v>2</v>
      </c>
      <c r="S1183">
        <v>30</v>
      </c>
      <c r="T1183">
        <v>3</v>
      </c>
      <c r="U1183">
        <v>15</v>
      </c>
      <c r="V1183">
        <v>11</v>
      </c>
      <c r="W1183">
        <v>2</v>
      </c>
      <c r="X1183">
        <v>12</v>
      </c>
      <c r="Y1183">
        <v>19</v>
      </c>
      <c r="Z1183">
        <f>IF(H_A[[#This Row],[Attrition]]="Yes",1,0)</f>
        <v>0</v>
      </c>
      <c r="AA1183" t="str">
        <f>IF(H_A[[#This Row],[Age]]&lt;30,"Young",IF(H_A[[#This Row],[Age]]&lt;45,"Mid","Senior"))</f>
        <v>Senior</v>
      </c>
      <c r="AB1183" t="str">
        <f>IF(H_A[[#This Row],[MonthlyIncome]]&lt;5000,"Low",IF(H_A[[#This Row],[MonthlyIncome]]&lt;10000,"Medium","High"))</f>
        <v>High</v>
      </c>
      <c r="AC1183" t="str">
        <f>IF(H_A[[#This Row],[YearsAtCompany]]&lt;3,"Early",IF(H_A[[#This Row],[YearsAtCompany]]&lt;7,"Mid","Long"))</f>
        <v>Long</v>
      </c>
      <c r="AD1183" t="str">
        <f>IF(H_A[[#This Row],[PercentSalaryHike]]&lt;13,"Low",IF(H_A[[#This Row],[PercentSalaryHike]]&lt;18,"Medium","High"))</f>
        <v>High</v>
      </c>
    </row>
    <row r="1184" spans="1:30" x14ac:dyDescent="0.3">
      <c r="A1184">
        <v>36</v>
      </c>
      <c r="B1184">
        <v>1662</v>
      </c>
      <c r="C1184" t="s">
        <v>36</v>
      </c>
      <c r="D1184" t="s">
        <v>37</v>
      </c>
      <c r="E1184">
        <v>1</v>
      </c>
      <c r="F1184">
        <v>4</v>
      </c>
      <c r="G1184" t="s">
        <v>43</v>
      </c>
      <c r="H1184">
        <v>4</v>
      </c>
      <c r="I1184" t="s">
        <v>33</v>
      </c>
      <c r="J1184">
        <v>2</v>
      </c>
      <c r="K1184">
        <v>2</v>
      </c>
      <c r="L1184" t="s">
        <v>45</v>
      </c>
      <c r="M1184">
        <v>3</v>
      </c>
      <c r="N1184" t="s">
        <v>40</v>
      </c>
      <c r="O1184">
        <v>4374</v>
      </c>
      <c r="P1184">
        <v>0</v>
      </c>
      <c r="Q1184" t="s">
        <v>36</v>
      </c>
      <c r="R1184">
        <v>3</v>
      </c>
      <c r="S1184">
        <v>4</v>
      </c>
      <c r="T1184">
        <v>3</v>
      </c>
      <c r="U1184">
        <v>3</v>
      </c>
      <c r="V1184">
        <v>2</v>
      </c>
      <c r="W1184">
        <v>1</v>
      </c>
      <c r="X1184">
        <v>2</v>
      </c>
      <c r="Y1184">
        <v>15</v>
      </c>
      <c r="Z1184">
        <f>IF(H_A[[#This Row],[Attrition]]="Yes",1,0)</f>
        <v>0</v>
      </c>
      <c r="AA1184" t="str">
        <f>IF(H_A[[#This Row],[Age]]&lt;30,"Young",IF(H_A[[#This Row],[Age]]&lt;45,"Mid","Senior"))</f>
        <v>Mid</v>
      </c>
      <c r="AB1184" t="str">
        <f>IF(H_A[[#This Row],[MonthlyIncome]]&lt;5000,"Low",IF(H_A[[#This Row],[MonthlyIncome]]&lt;10000,"Medium","High"))</f>
        <v>Low</v>
      </c>
      <c r="AC1184" t="str">
        <f>IF(H_A[[#This Row],[YearsAtCompany]]&lt;3,"Early",IF(H_A[[#This Row],[YearsAtCompany]]&lt;7,"Mid","Long"))</f>
        <v>Mid</v>
      </c>
      <c r="AD1184" t="str">
        <f>IF(H_A[[#This Row],[PercentSalaryHike]]&lt;13,"Low",IF(H_A[[#This Row],[PercentSalaryHike]]&lt;18,"Medium","High"))</f>
        <v>Medium</v>
      </c>
    </row>
    <row r="1185" spans="1:30" x14ac:dyDescent="0.3">
      <c r="A1185">
        <v>36</v>
      </c>
      <c r="B1185">
        <v>1664</v>
      </c>
      <c r="C1185" t="s">
        <v>36</v>
      </c>
      <c r="D1185" t="s">
        <v>37</v>
      </c>
      <c r="E1185">
        <v>3</v>
      </c>
      <c r="F1185">
        <v>2</v>
      </c>
      <c r="G1185" t="s">
        <v>32</v>
      </c>
      <c r="H1185">
        <v>4</v>
      </c>
      <c r="I1185" t="s">
        <v>38</v>
      </c>
      <c r="J1185">
        <v>4</v>
      </c>
      <c r="K1185">
        <v>2</v>
      </c>
      <c r="L1185" t="s">
        <v>46</v>
      </c>
      <c r="M1185">
        <v>1</v>
      </c>
      <c r="N1185" t="s">
        <v>44</v>
      </c>
      <c r="O1185">
        <v>6842</v>
      </c>
      <c r="P1185">
        <v>6</v>
      </c>
      <c r="Q1185" t="s">
        <v>36</v>
      </c>
      <c r="R1185">
        <v>1</v>
      </c>
      <c r="S1185">
        <v>13</v>
      </c>
      <c r="T1185">
        <v>3</v>
      </c>
      <c r="U1185">
        <v>5</v>
      </c>
      <c r="V1185">
        <v>4</v>
      </c>
      <c r="W1185">
        <v>0</v>
      </c>
      <c r="X1185">
        <v>4</v>
      </c>
      <c r="Y1185">
        <v>20</v>
      </c>
      <c r="Z1185">
        <f>IF(H_A[[#This Row],[Attrition]]="Yes",1,0)</f>
        <v>0</v>
      </c>
      <c r="AA1185" t="str">
        <f>IF(H_A[[#This Row],[Age]]&lt;30,"Young",IF(H_A[[#This Row],[Age]]&lt;45,"Mid","Senior"))</f>
        <v>Mid</v>
      </c>
      <c r="AB1185" t="str">
        <f>IF(H_A[[#This Row],[MonthlyIncome]]&lt;5000,"Low",IF(H_A[[#This Row],[MonthlyIncome]]&lt;10000,"Medium","High"))</f>
        <v>Medium</v>
      </c>
      <c r="AC1185" t="str">
        <f>IF(H_A[[#This Row],[YearsAtCompany]]&lt;3,"Early",IF(H_A[[#This Row],[YearsAtCompany]]&lt;7,"Mid","Long"))</f>
        <v>Mid</v>
      </c>
      <c r="AD1185" t="str">
        <f>IF(H_A[[#This Row],[PercentSalaryHike]]&lt;13,"Low",IF(H_A[[#This Row],[PercentSalaryHike]]&lt;18,"Medium","High"))</f>
        <v>High</v>
      </c>
    </row>
    <row r="1186" spans="1:30" x14ac:dyDescent="0.3">
      <c r="A1186">
        <v>54</v>
      </c>
      <c r="B1186">
        <v>1665</v>
      </c>
      <c r="C1186" t="s">
        <v>36</v>
      </c>
      <c r="D1186" t="s">
        <v>37</v>
      </c>
      <c r="E1186">
        <v>22</v>
      </c>
      <c r="F1186">
        <v>5</v>
      </c>
      <c r="G1186" t="s">
        <v>43</v>
      </c>
      <c r="H1186">
        <v>2</v>
      </c>
      <c r="I1186" t="s">
        <v>33</v>
      </c>
      <c r="J1186">
        <v>3</v>
      </c>
      <c r="K1186">
        <v>4</v>
      </c>
      <c r="L1186" t="s">
        <v>47</v>
      </c>
      <c r="M1186">
        <v>3</v>
      </c>
      <c r="N1186" t="s">
        <v>40</v>
      </c>
      <c r="O1186">
        <v>17426</v>
      </c>
      <c r="P1186">
        <v>3</v>
      </c>
      <c r="Q1186" t="s">
        <v>36</v>
      </c>
      <c r="R1186">
        <v>3</v>
      </c>
      <c r="S1186">
        <v>36</v>
      </c>
      <c r="T1186">
        <v>3</v>
      </c>
      <c r="U1186">
        <v>10</v>
      </c>
      <c r="V1186">
        <v>8</v>
      </c>
      <c r="W1186">
        <v>4</v>
      </c>
      <c r="X1186">
        <v>7</v>
      </c>
      <c r="Y1186">
        <v>25</v>
      </c>
      <c r="Z1186">
        <f>IF(H_A[[#This Row],[Attrition]]="Yes",1,0)</f>
        <v>0</v>
      </c>
      <c r="AA1186" t="str">
        <f>IF(H_A[[#This Row],[Age]]&lt;30,"Young",IF(H_A[[#This Row],[Age]]&lt;45,"Mid","Senior"))</f>
        <v>Senior</v>
      </c>
      <c r="AB1186" t="str">
        <f>IF(H_A[[#This Row],[MonthlyIncome]]&lt;5000,"Low",IF(H_A[[#This Row],[MonthlyIncome]]&lt;10000,"Medium","High"))</f>
        <v>High</v>
      </c>
      <c r="AC1186" t="str">
        <f>IF(H_A[[#This Row],[YearsAtCompany]]&lt;3,"Early",IF(H_A[[#This Row],[YearsAtCompany]]&lt;7,"Mid","Long"))</f>
        <v>Long</v>
      </c>
      <c r="AD1186" t="str">
        <f>IF(H_A[[#This Row],[PercentSalaryHike]]&lt;13,"Low",IF(H_A[[#This Row],[PercentSalaryHike]]&lt;18,"Medium","High"))</f>
        <v>High</v>
      </c>
    </row>
    <row r="1187" spans="1:30" x14ac:dyDescent="0.3">
      <c r="A1187">
        <v>43</v>
      </c>
      <c r="B1187">
        <v>1666</v>
      </c>
      <c r="C1187" t="s">
        <v>36</v>
      </c>
      <c r="D1187" t="s">
        <v>37</v>
      </c>
      <c r="E1187">
        <v>15</v>
      </c>
      <c r="F1187">
        <v>2</v>
      </c>
      <c r="G1187" t="s">
        <v>32</v>
      </c>
      <c r="H1187">
        <v>3</v>
      </c>
      <c r="I1187" t="s">
        <v>38</v>
      </c>
      <c r="J1187">
        <v>2</v>
      </c>
      <c r="K1187">
        <v>4</v>
      </c>
      <c r="L1187" t="s">
        <v>49</v>
      </c>
      <c r="M1187">
        <v>3</v>
      </c>
      <c r="N1187" t="s">
        <v>40</v>
      </c>
      <c r="O1187">
        <v>17603</v>
      </c>
      <c r="P1187">
        <v>1</v>
      </c>
      <c r="Q1187" t="s">
        <v>36</v>
      </c>
      <c r="R1187">
        <v>1</v>
      </c>
      <c r="S1187">
        <v>14</v>
      </c>
      <c r="T1187">
        <v>3</v>
      </c>
      <c r="U1187">
        <v>14</v>
      </c>
      <c r="V1187">
        <v>10</v>
      </c>
      <c r="W1187">
        <v>6</v>
      </c>
      <c r="X1187">
        <v>11</v>
      </c>
      <c r="Y1187">
        <v>24</v>
      </c>
      <c r="Z1187">
        <f>IF(H_A[[#This Row],[Attrition]]="Yes",1,0)</f>
        <v>0</v>
      </c>
      <c r="AA1187" t="str">
        <f>IF(H_A[[#This Row],[Age]]&lt;30,"Young",IF(H_A[[#This Row],[Age]]&lt;45,"Mid","Senior"))</f>
        <v>Mid</v>
      </c>
      <c r="AB1187" t="str">
        <f>IF(H_A[[#This Row],[MonthlyIncome]]&lt;5000,"Low",IF(H_A[[#This Row],[MonthlyIncome]]&lt;10000,"Medium","High"))</f>
        <v>High</v>
      </c>
      <c r="AC1187" t="str">
        <f>IF(H_A[[#This Row],[YearsAtCompany]]&lt;3,"Early",IF(H_A[[#This Row],[YearsAtCompany]]&lt;7,"Mid","Long"))</f>
        <v>Long</v>
      </c>
      <c r="AD1187" t="str">
        <f>IF(H_A[[#This Row],[PercentSalaryHike]]&lt;13,"Low",IF(H_A[[#This Row],[PercentSalaryHike]]&lt;18,"Medium","High"))</f>
        <v>High</v>
      </c>
    </row>
    <row r="1188" spans="1:30" x14ac:dyDescent="0.3">
      <c r="A1188">
        <v>35</v>
      </c>
      <c r="B1188">
        <v>1667</v>
      </c>
      <c r="C1188" t="s">
        <v>30</v>
      </c>
      <c r="D1188" t="s">
        <v>31</v>
      </c>
      <c r="E1188">
        <v>12</v>
      </c>
      <c r="F1188">
        <v>4</v>
      </c>
      <c r="G1188" t="s">
        <v>41</v>
      </c>
      <c r="H1188">
        <v>4</v>
      </c>
      <c r="I1188" t="s">
        <v>38</v>
      </c>
      <c r="J1188">
        <v>3</v>
      </c>
      <c r="K1188">
        <v>2</v>
      </c>
      <c r="L1188" t="s">
        <v>34</v>
      </c>
      <c r="M1188">
        <v>4</v>
      </c>
      <c r="N1188" t="s">
        <v>35</v>
      </c>
      <c r="O1188">
        <v>4581</v>
      </c>
      <c r="P1188">
        <v>3</v>
      </c>
      <c r="Q1188" t="s">
        <v>30</v>
      </c>
      <c r="R1188">
        <v>1</v>
      </c>
      <c r="S1188">
        <v>13</v>
      </c>
      <c r="T1188">
        <v>4</v>
      </c>
      <c r="U1188">
        <v>11</v>
      </c>
      <c r="V1188">
        <v>9</v>
      </c>
      <c r="W1188">
        <v>6</v>
      </c>
      <c r="X1188">
        <v>7</v>
      </c>
      <c r="Y1188">
        <v>24</v>
      </c>
      <c r="Z1188">
        <f>IF(H_A[[#This Row],[Attrition]]="Yes",1,0)</f>
        <v>1</v>
      </c>
      <c r="AA1188" t="str">
        <f>IF(H_A[[#This Row],[Age]]&lt;30,"Young",IF(H_A[[#This Row],[Age]]&lt;45,"Mid","Senior"))</f>
        <v>Mid</v>
      </c>
      <c r="AB1188" t="str">
        <f>IF(H_A[[#This Row],[MonthlyIncome]]&lt;5000,"Low",IF(H_A[[#This Row],[MonthlyIncome]]&lt;10000,"Medium","High"))</f>
        <v>Low</v>
      </c>
      <c r="AC1188" t="str">
        <f>IF(H_A[[#This Row],[YearsAtCompany]]&lt;3,"Early",IF(H_A[[#This Row],[YearsAtCompany]]&lt;7,"Mid","Long"))</f>
        <v>Long</v>
      </c>
      <c r="AD1188" t="str">
        <f>IF(H_A[[#This Row],[PercentSalaryHike]]&lt;13,"Low",IF(H_A[[#This Row],[PercentSalaryHike]]&lt;18,"Medium","High"))</f>
        <v>High</v>
      </c>
    </row>
    <row r="1189" spans="1:30" x14ac:dyDescent="0.3">
      <c r="A1189">
        <v>38</v>
      </c>
      <c r="B1189">
        <v>1668</v>
      </c>
      <c r="C1189" t="s">
        <v>36</v>
      </c>
      <c r="D1189" t="s">
        <v>37</v>
      </c>
      <c r="E1189">
        <v>1</v>
      </c>
      <c r="F1189">
        <v>3</v>
      </c>
      <c r="G1189" t="s">
        <v>32</v>
      </c>
      <c r="H1189">
        <v>4</v>
      </c>
      <c r="I1189" t="s">
        <v>38</v>
      </c>
      <c r="J1189">
        <v>3</v>
      </c>
      <c r="K1189">
        <v>2</v>
      </c>
      <c r="L1189" t="s">
        <v>39</v>
      </c>
      <c r="M1189">
        <v>4</v>
      </c>
      <c r="N1189" t="s">
        <v>40</v>
      </c>
      <c r="O1189">
        <v>4735</v>
      </c>
      <c r="P1189">
        <v>7</v>
      </c>
      <c r="Q1189" t="s">
        <v>36</v>
      </c>
      <c r="R1189">
        <v>4</v>
      </c>
      <c r="S1189">
        <v>19</v>
      </c>
      <c r="T1189">
        <v>4</v>
      </c>
      <c r="U1189">
        <v>13</v>
      </c>
      <c r="V1189">
        <v>11</v>
      </c>
      <c r="W1189">
        <v>2</v>
      </c>
      <c r="X1189">
        <v>9</v>
      </c>
      <c r="Y1189">
        <v>15</v>
      </c>
      <c r="Z1189">
        <f>IF(H_A[[#This Row],[Attrition]]="Yes",1,0)</f>
        <v>0</v>
      </c>
      <c r="AA1189" t="str">
        <f>IF(H_A[[#This Row],[Age]]&lt;30,"Young",IF(H_A[[#This Row],[Age]]&lt;45,"Mid","Senior"))</f>
        <v>Mid</v>
      </c>
      <c r="AB1189" t="str">
        <f>IF(H_A[[#This Row],[MonthlyIncome]]&lt;5000,"Low",IF(H_A[[#This Row],[MonthlyIncome]]&lt;10000,"Medium","High"))</f>
        <v>Low</v>
      </c>
      <c r="AC1189" t="str">
        <f>IF(H_A[[#This Row],[YearsAtCompany]]&lt;3,"Early",IF(H_A[[#This Row],[YearsAtCompany]]&lt;7,"Mid","Long"))</f>
        <v>Long</v>
      </c>
      <c r="AD1189" t="str">
        <f>IF(H_A[[#This Row],[PercentSalaryHike]]&lt;13,"Low",IF(H_A[[#This Row],[PercentSalaryHike]]&lt;18,"Medium","High"))</f>
        <v>Medium</v>
      </c>
    </row>
    <row r="1190" spans="1:30" x14ac:dyDescent="0.3">
      <c r="A1190">
        <v>29</v>
      </c>
      <c r="B1190">
        <v>1669</v>
      </c>
      <c r="C1190" t="s">
        <v>36</v>
      </c>
      <c r="D1190" t="s">
        <v>31</v>
      </c>
      <c r="E1190">
        <v>5</v>
      </c>
      <c r="F1190">
        <v>3</v>
      </c>
      <c r="G1190" t="s">
        <v>43</v>
      </c>
      <c r="H1190">
        <v>1</v>
      </c>
      <c r="I1190" t="s">
        <v>38</v>
      </c>
      <c r="J1190">
        <v>2</v>
      </c>
      <c r="K1190">
        <v>2</v>
      </c>
      <c r="L1190" t="s">
        <v>34</v>
      </c>
      <c r="M1190">
        <v>2</v>
      </c>
      <c r="N1190" t="s">
        <v>44</v>
      </c>
      <c r="O1190">
        <v>4187</v>
      </c>
      <c r="P1190">
        <v>1</v>
      </c>
      <c r="Q1190" t="s">
        <v>30</v>
      </c>
      <c r="R1190">
        <v>2</v>
      </c>
      <c r="S1190">
        <v>10</v>
      </c>
      <c r="T1190">
        <v>2</v>
      </c>
      <c r="U1190">
        <v>10</v>
      </c>
      <c r="V1190">
        <v>0</v>
      </c>
      <c r="W1190">
        <v>0</v>
      </c>
      <c r="X1190">
        <v>9</v>
      </c>
      <c r="Y1190">
        <v>13</v>
      </c>
      <c r="Z1190">
        <f>IF(H_A[[#This Row],[Attrition]]="Yes",1,0)</f>
        <v>0</v>
      </c>
      <c r="AA1190" t="str">
        <f>IF(H_A[[#This Row],[Age]]&lt;30,"Young",IF(H_A[[#This Row],[Age]]&lt;45,"Mid","Senior"))</f>
        <v>Young</v>
      </c>
      <c r="AB1190" t="str">
        <f>IF(H_A[[#This Row],[MonthlyIncome]]&lt;5000,"Low",IF(H_A[[#This Row],[MonthlyIncome]]&lt;10000,"Medium","High"))</f>
        <v>Low</v>
      </c>
      <c r="AC1190" t="str">
        <f>IF(H_A[[#This Row],[YearsAtCompany]]&lt;3,"Early",IF(H_A[[#This Row],[YearsAtCompany]]&lt;7,"Mid","Long"))</f>
        <v>Long</v>
      </c>
      <c r="AD1190" t="str">
        <f>IF(H_A[[#This Row],[PercentSalaryHike]]&lt;13,"Low",IF(H_A[[#This Row],[PercentSalaryHike]]&lt;18,"Medium","High"))</f>
        <v>Medium</v>
      </c>
    </row>
    <row r="1191" spans="1:30" x14ac:dyDescent="0.3">
      <c r="A1191">
        <v>33</v>
      </c>
      <c r="B1191">
        <v>1670</v>
      </c>
      <c r="C1191" t="s">
        <v>36</v>
      </c>
      <c r="D1191" t="s">
        <v>31</v>
      </c>
      <c r="E1191">
        <v>2</v>
      </c>
      <c r="F1191">
        <v>4</v>
      </c>
      <c r="G1191" t="s">
        <v>43</v>
      </c>
      <c r="H1191">
        <v>4</v>
      </c>
      <c r="I1191" t="s">
        <v>38</v>
      </c>
      <c r="J1191">
        <v>3</v>
      </c>
      <c r="K1191">
        <v>2</v>
      </c>
      <c r="L1191" t="s">
        <v>34</v>
      </c>
      <c r="M1191">
        <v>4</v>
      </c>
      <c r="N1191" t="s">
        <v>44</v>
      </c>
      <c r="O1191">
        <v>5505</v>
      </c>
      <c r="P1191">
        <v>1</v>
      </c>
      <c r="Q1191" t="s">
        <v>36</v>
      </c>
      <c r="R1191">
        <v>3</v>
      </c>
      <c r="S1191">
        <v>6</v>
      </c>
      <c r="T1191">
        <v>3</v>
      </c>
      <c r="U1191">
        <v>6</v>
      </c>
      <c r="V1191">
        <v>2</v>
      </c>
      <c r="W1191">
        <v>0</v>
      </c>
      <c r="X1191">
        <v>4</v>
      </c>
      <c r="Y1191">
        <v>14</v>
      </c>
      <c r="Z1191">
        <f>IF(H_A[[#This Row],[Attrition]]="Yes",1,0)</f>
        <v>0</v>
      </c>
      <c r="AA1191" t="str">
        <f>IF(H_A[[#This Row],[Age]]&lt;30,"Young",IF(H_A[[#This Row],[Age]]&lt;45,"Mid","Senior"))</f>
        <v>Mid</v>
      </c>
      <c r="AB1191" t="str">
        <f>IF(H_A[[#This Row],[MonthlyIncome]]&lt;5000,"Low",IF(H_A[[#This Row],[MonthlyIncome]]&lt;10000,"Medium","High"))</f>
        <v>Medium</v>
      </c>
      <c r="AC1191" t="str">
        <f>IF(H_A[[#This Row],[YearsAtCompany]]&lt;3,"Early",IF(H_A[[#This Row],[YearsAtCompany]]&lt;7,"Mid","Long"))</f>
        <v>Mid</v>
      </c>
      <c r="AD1191" t="str">
        <f>IF(H_A[[#This Row],[PercentSalaryHike]]&lt;13,"Low",IF(H_A[[#This Row],[PercentSalaryHike]]&lt;18,"Medium","High"))</f>
        <v>Medium</v>
      </c>
    </row>
    <row r="1192" spans="1:30" x14ac:dyDescent="0.3">
      <c r="A1192">
        <v>32</v>
      </c>
      <c r="B1192">
        <v>1671</v>
      </c>
      <c r="C1192" t="s">
        <v>36</v>
      </c>
      <c r="D1192" t="s">
        <v>37</v>
      </c>
      <c r="E1192">
        <v>2</v>
      </c>
      <c r="F1192">
        <v>3</v>
      </c>
      <c r="G1192" t="s">
        <v>43</v>
      </c>
      <c r="H1192">
        <v>4</v>
      </c>
      <c r="I1192" t="s">
        <v>38</v>
      </c>
      <c r="J1192">
        <v>3</v>
      </c>
      <c r="K1192">
        <v>2</v>
      </c>
      <c r="L1192" t="s">
        <v>39</v>
      </c>
      <c r="M1192">
        <v>2</v>
      </c>
      <c r="N1192" t="s">
        <v>44</v>
      </c>
      <c r="O1192">
        <v>5470</v>
      </c>
      <c r="P1192">
        <v>0</v>
      </c>
      <c r="Q1192" t="s">
        <v>36</v>
      </c>
      <c r="R1192">
        <v>3</v>
      </c>
      <c r="S1192">
        <v>10</v>
      </c>
      <c r="T1192">
        <v>2</v>
      </c>
      <c r="U1192">
        <v>9</v>
      </c>
      <c r="V1192">
        <v>5</v>
      </c>
      <c r="W1192">
        <v>1</v>
      </c>
      <c r="X1192">
        <v>6</v>
      </c>
      <c r="Y1192">
        <v>13</v>
      </c>
      <c r="Z1192">
        <f>IF(H_A[[#This Row],[Attrition]]="Yes",1,0)</f>
        <v>0</v>
      </c>
      <c r="AA1192" t="str">
        <f>IF(H_A[[#This Row],[Age]]&lt;30,"Young",IF(H_A[[#This Row],[Age]]&lt;45,"Mid","Senior"))</f>
        <v>Mid</v>
      </c>
      <c r="AB1192" t="str">
        <f>IF(H_A[[#This Row],[MonthlyIncome]]&lt;5000,"Low",IF(H_A[[#This Row],[MonthlyIncome]]&lt;10000,"Medium","High"))</f>
        <v>Medium</v>
      </c>
      <c r="AC1192" t="str">
        <f>IF(H_A[[#This Row],[YearsAtCompany]]&lt;3,"Early",IF(H_A[[#This Row],[YearsAtCompany]]&lt;7,"Mid","Long"))</f>
        <v>Long</v>
      </c>
      <c r="AD1192" t="str">
        <f>IF(H_A[[#This Row],[PercentSalaryHike]]&lt;13,"Low",IF(H_A[[#This Row],[PercentSalaryHike]]&lt;18,"Medium","High"))</f>
        <v>Medium</v>
      </c>
    </row>
    <row r="1193" spans="1:30" x14ac:dyDescent="0.3">
      <c r="A1193">
        <v>31</v>
      </c>
      <c r="B1193">
        <v>1673</v>
      </c>
      <c r="C1193" t="s">
        <v>36</v>
      </c>
      <c r="D1193" t="s">
        <v>31</v>
      </c>
      <c r="E1193">
        <v>5</v>
      </c>
      <c r="F1193">
        <v>4</v>
      </c>
      <c r="G1193" t="s">
        <v>32</v>
      </c>
      <c r="H1193">
        <v>1</v>
      </c>
      <c r="I1193" t="s">
        <v>33</v>
      </c>
      <c r="J1193">
        <v>3</v>
      </c>
      <c r="K1193">
        <v>2</v>
      </c>
      <c r="L1193" t="s">
        <v>34</v>
      </c>
      <c r="M1193">
        <v>4</v>
      </c>
      <c r="N1193" t="s">
        <v>40</v>
      </c>
      <c r="O1193">
        <v>5476</v>
      </c>
      <c r="P1193">
        <v>1</v>
      </c>
      <c r="Q1193" t="s">
        <v>36</v>
      </c>
      <c r="R1193">
        <v>1</v>
      </c>
      <c r="S1193">
        <v>10</v>
      </c>
      <c r="T1193">
        <v>3</v>
      </c>
      <c r="U1193">
        <v>10</v>
      </c>
      <c r="V1193">
        <v>0</v>
      </c>
      <c r="W1193">
        <v>0</v>
      </c>
      <c r="X1193">
        <v>2</v>
      </c>
      <c r="Y1193">
        <v>11</v>
      </c>
      <c r="Z1193">
        <f>IF(H_A[[#This Row],[Attrition]]="Yes",1,0)</f>
        <v>0</v>
      </c>
      <c r="AA1193" t="str">
        <f>IF(H_A[[#This Row],[Age]]&lt;30,"Young",IF(H_A[[#This Row],[Age]]&lt;45,"Mid","Senior"))</f>
        <v>Mid</v>
      </c>
      <c r="AB1193" t="str">
        <f>IF(H_A[[#This Row],[MonthlyIncome]]&lt;5000,"Low",IF(H_A[[#This Row],[MonthlyIncome]]&lt;10000,"Medium","High"))</f>
        <v>Medium</v>
      </c>
      <c r="AC1193" t="str">
        <f>IF(H_A[[#This Row],[YearsAtCompany]]&lt;3,"Early",IF(H_A[[#This Row],[YearsAtCompany]]&lt;7,"Mid","Long"))</f>
        <v>Long</v>
      </c>
      <c r="AD1193" t="str">
        <f>IF(H_A[[#This Row],[PercentSalaryHike]]&lt;13,"Low",IF(H_A[[#This Row],[PercentSalaryHike]]&lt;18,"Medium","High"))</f>
        <v>Low</v>
      </c>
    </row>
    <row r="1194" spans="1:30" x14ac:dyDescent="0.3">
      <c r="A1194">
        <v>49</v>
      </c>
      <c r="B1194">
        <v>1674</v>
      </c>
      <c r="C1194" t="s">
        <v>36</v>
      </c>
      <c r="D1194" t="s">
        <v>37</v>
      </c>
      <c r="E1194">
        <v>16</v>
      </c>
      <c r="F1194">
        <v>3</v>
      </c>
      <c r="G1194" t="s">
        <v>43</v>
      </c>
      <c r="H1194">
        <v>4</v>
      </c>
      <c r="I1194" t="s">
        <v>33</v>
      </c>
      <c r="J1194">
        <v>3</v>
      </c>
      <c r="K1194">
        <v>1</v>
      </c>
      <c r="L1194" t="s">
        <v>42</v>
      </c>
      <c r="M1194">
        <v>1</v>
      </c>
      <c r="N1194" t="s">
        <v>44</v>
      </c>
      <c r="O1194">
        <v>2587</v>
      </c>
      <c r="P1194">
        <v>4</v>
      </c>
      <c r="Q1194" t="s">
        <v>30</v>
      </c>
      <c r="R1194">
        <v>2</v>
      </c>
      <c r="S1194">
        <v>17</v>
      </c>
      <c r="T1194">
        <v>2</v>
      </c>
      <c r="U1194">
        <v>2</v>
      </c>
      <c r="V1194">
        <v>2</v>
      </c>
      <c r="W1194">
        <v>2</v>
      </c>
      <c r="X1194">
        <v>2</v>
      </c>
      <c r="Y1194">
        <v>16</v>
      </c>
      <c r="Z1194">
        <f>IF(H_A[[#This Row],[Attrition]]="Yes",1,0)</f>
        <v>0</v>
      </c>
      <c r="AA1194" t="str">
        <f>IF(H_A[[#This Row],[Age]]&lt;30,"Young",IF(H_A[[#This Row],[Age]]&lt;45,"Mid","Senior"))</f>
        <v>Senior</v>
      </c>
      <c r="AB1194" t="str">
        <f>IF(H_A[[#This Row],[MonthlyIncome]]&lt;5000,"Low",IF(H_A[[#This Row],[MonthlyIncome]]&lt;10000,"Medium","High"))</f>
        <v>Low</v>
      </c>
      <c r="AC1194" t="str">
        <f>IF(H_A[[#This Row],[YearsAtCompany]]&lt;3,"Early",IF(H_A[[#This Row],[YearsAtCompany]]&lt;7,"Mid","Long"))</f>
        <v>Early</v>
      </c>
      <c r="AD1194" t="str">
        <f>IF(H_A[[#This Row],[PercentSalaryHike]]&lt;13,"Low",IF(H_A[[#This Row],[PercentSalaryHike]]&lt;18,"Medium","High"))</f>
        <v>Medium</v>
      </c>
    </row>
    <row r="1195" spans="1:30" x14ac:dyDescent="0.3">
      <c r="A1195">
        <v>38</v>
      </c>
      <c r="B1195">
        <v>1675</v>
      </c>
      <c r="C1195" t="s">
        <v>36</v>
      </c>
      <c r="D1195" t="s">
        <v>37</v>
      </c>
      <c r="E1195">
        <v>2</v>
      </c>
      <c r="F1195">
        <v>3</v>
      </c>
      <c r="G1195" t="s">
        <v>43</v>
      </c>
      <c r="H1195">
        <v>4</v>
      </c>
      <c r="I1195" t="s">
        <v>33</v>
      </c>
      <c r="J1195">
        <v>2</v>
      </c>
      <c r="K1195">
        <v>1</v>
      </c>
      <c r="L1195" t="s">
        <v>42</v>
      </c>
      <c r="M1195">
        <v>2</v>
      </c>
      <c r="N1195" t="s">
        <v>35</v>
      </c>
      <c r="O1195">
        <v>2440</v>
      </c>
      <c r="P1195">
        <v>1</v>
      </c>
      <c r="Q1195" t="s">
        <v>36</v>
      </c>
      <c r="R1195">
        <v>2</v>
      </c>
      <c r="S1195">
        <v>4</v>
      </c>
      <c r="T1195">
        <v>3</v>
      </c>
      <c r="U1195">
        <v>4</v>
      </c>
      <c r="V1195">
        <v>3</v>
      </c>
      <c r="W1195">
        <v>3</v>
      </c>
      <c r="X1195">
        <v>3</v>
      </c>
      <c r="Y1195">
        <v>22</v>
      </c>
      <c r="Z1195">
        <f>IF(H_A[[#This Row],[Attrition]]="Yes",1,0)</f>
        <v>0</v>
      </c>
      <c r="AA1195" t="str">
        <f>IF(H_A[[#This Row],[Age]]&lt;30,"Young",IF(H_A[[#This Row],[Age]]&lt;45,"Mid","Senior"))</f>
        <v>Mid</v>
      </c>
      <c r="AB1195" t="str">
        <f>IF(H_A[[#This Row],[MonthlyIncome]]&lt;5000,"Low",IF(H_A[[#This Row],[MonthlyIncome]]&lt;10000,"Medium","High"))</f>
        <v>Low</v>
      </c>
      <c r="AC1195" t="str">
        <f>IF(H_A[[#This Row],[YearsAtCompany]]&lt;3,"Early",IF(H_A[[#This Row],[YearsAtCompany]]&lt;7,"Mid","Long"))</f>
        <v>Mid</v>
      </c>
      <c r="AD1195" t="str">
        <f>IF(H_A[[#This Row],[PercentSalaryHike]]&lt;13,"Low",IF(H_A[[#This Row],[PercentSalaryHike]]&lt;18,"Medium","High"))</f>
        <v>High</v>
      </c>
    </row>
    <row r="1196" spans="1:30" x14ac:dyDescent="0.3">
      <c r="A1196">
        <v>47</v>
      </c>
      <c r="B1196">
        <v>1676</v>
      </c>
      <c r="C1196" t="s">
        <v>36</v>
      </c>
      <c r="D1196" t="s">
        <v>31</v>
      </c>
      <c r="E1196">
        <v>2</v>
      </c>
      <c r="F1196">
        <v>4</v>
      </c>
      <c r="G1196" t="s">
        <v>32</v>
      </c>
      <c r="H1196">
        <v>2</v>
      </c>
      <c r="I1196" t="s">
        <v>33</v>
      </c>
      <c r="J1196">
        <v>4</v>
      </c>
      <c r="K1196">
        <v>4</v>
      </c>
      <c r="L1196" t="s">
        <v>47</v>
      </c>
      <c r="M1196">
        <v>2</v>
      </c>
      <c r="N1196" t="s">
        <v>44</v>
      </c>
      <c r="O1196">
        <v>15972</v>
      </c>
      <c r="P1196">
        <v>6</v>
      </c>
      <c r="Q1196" t="s">
        <v>36</v>
      </c>
      <c r="R1196">
        <v>3</v>
      </c>
      <c r="S1196">
        <v>29</v>
      </c>
      <c r="T1196">
        <v>3</v>
      </c>
      <c r="U1196">
        <v>3</v>
      </c>
      <c r="V1196">
        <v>2</v>
      </c>
      <c r="W1196">
        <v>1</v>
      </c>
      <c r="X1196">
        <v>2</v>
      </c>
      <c r="Y1196">
        <v>14</v>
      </c>
      <c r="Z1196">
        <f>IF(H_A[[#This Row],[Attrition]]="Yes",1,0)</f>
        <v>0</v>
      </c>
      <c r="AA1196" t="str">
        <f>IF(H_A[[#This Row],[Age]]&lt;30,"Young",IF(H_A[[#This Row],[Age]]&lt;45,"Mid","Senior"))</f>
        <v>Senior</v>
      </c>
      <c r="AB1196" t="str">
        <f>IF(H_A[[#This Row],[MonthlyIncome]]&lt;5000,"Low",IF(H_A[[#This Row],[MonthlyIncome]]&lt;10000,"Medium","High"))</f>
        <v>High</v>
      </c>
      <c r="AC1196" t="str">
        <f>IF(H_A[[#This Row],[YearsAtCompany]]&lt;3,"Early",IF(H_A[[#This Row],[YearsAtCompany]]&lt;7,"Mid","Long"))</f>
        <v>Mid</v>
      </c>
      <c r="AD1196" t="str">
        <f>IF(H_A[[#This Row],[PercentSalaryHike]]&lt;13,"Low",IF(H_A[[#This Row],[PercentSalaryHike]]&lt;18,"Medium","High"))</f>
        <v>Medium</v>
      </c>
    </row>
    <row r="1197" spans="1:30" x14ac:dyDescent="0.3">
      <c r="A1197">
        <v>49</v>
      </c>
      <c r="B1197">
        <v>1677</v>
      </c>
      <c r="C1197" t="s">
        <v>36</v>
      </c>
      <c r="D1197" t="s">
        <v>37</v>
      </c>
      <c r="E1197">
        <v>1</v>
      </c>
      <c r="F1197">
        <v>3</v>
      </c>
      <c r="G1197" t="s">
        <v>32</v>
      </c>
      <c r="H1197">
        <v>3</v>
      </c>
      <c r="I1197" t="s">
        <v>38</v>
      </c>
      <c r="J1197">
        <v>3</v>
      </c>
      <c r="K1197">
        <v>4</v>
      </c>
      <c r="L1197" t="s">
        <v>47</v>
      </c>
      <c r="M1197">
        <v>3</v>
      </c>
      <c r="N1197" t="s">
        <v>35</v>
      </c>
      <c r="O1197">
        <v>15379</v>
      </c>
      <c r="P1197">
        <v>4</v>
      </c>
      <c r="Q1197" t="s">
        <v>36</v>
      </c>
      <c r="R1197">
        <v>1</v>
      </c>
      <c r="S1197">
        <v>23</v>
      </c>
      <c r="T1197">
        <v>3</v>
      </c>
      <c r="U1197">
        <v>8</v>
      </c>
      <c r="V1197">
        <v>7</v>
      </c>
      <c r="W1197">
        <v>0</v>
      </c>
      <c r="X1197">
        <v>0</v>
      </c>
      <c r="Y1197">
        <v>14</v>
      </c>
      <c r="Z1197">
        <f>IF(H_A[[#This Row],[Attrition]]="Yes",1,0)</f>
        <v>0</v>
      </c>
      <c r="AA1197" t="str">
        <f>IF(H_A[[#This Row],[Age]]&lt;30,"Young",IF(H_A[[#This Row],[Age]]&lt;45,"Mid","Senior"))</f>
        <v>Senior</v>
      </c>
      <c r="AB1197" t="str">
        <f>IF(H_A[[#This Row],[MonthlyIncome]]&lt;5000,"Low",IF(H_A[[#This Row],[MonthlyIncome]]&lt;10000,"Medium","High"))</f>
        <v>High</v>
      </c>
      <c r="AC1197" t="str">
        <f>IF(H_A[[#This Row],[YearsAtCompany]]&lt;3,"Early",IF(H_A[[#This Row],[YearsAtCompany]]&lt;7,"Mid","Long"))</f>
        <v>Long</v>
      </c>
      <c r="AD1197" t="str">
        <f>IF(H_A[[#This Row],[PercentSalaryHike]]&lt;13,"Low",IF(H_A[[#This Row],[PercentSalaryHike]]&lt;18,"Medium","High"))</f>
        <v>Medium</v>
      </c>
    </row>
    <row r="1198" spans="1:30" x14ac:dyDescent="0.3">
      <c r="A1198">
        <v>41</v>
      </c>
      <c r="B1198">
        <v>1678</v>
      </c>
      <c r="C1198" t="s">
        <v>36</v>
      </c>
      <c r="D1198" t="s">
        <v>31</v>
      </c>
      <c r="E1198">
        <v>23</v>
      </c>
      <c r="F1198">
        <v>2</v>
      </c>
      <c r="G1198" t="s">
        <v>32</v>
      </c>
      <c r="H1198">
        <v>4</v>
      </c>
      <c r="I1198" t="s">
        <v>38</v>
      </c>
      <c r="J1198">
        <v>3</v>
      </c>
      <c r="K1198">
        <v>3</v>
      </c>
      <c r="L1198" t="s">
        <v>34</v>
      </c>
      <c r="M1198">
        <v>3</v>
      </c>
      <c r="N1198" t="s">
        <v>35</v>
      </c>
      <c r="O1198">
        <v>7082</v>
      </c>
      <c r="P1198">
        <v>3</v>
      </c>
      <c r="Q1198" t="s">
        <v>30</v>
      </c>
      <c r="R1198">
        <v>4</v>
      </c>
      <c r="S1198">
        <v>21</v>
      </c>
      <c r="T1198">
        <v>3</v>
      </c>
      <c r="U1198">
        <v>2</v>
      </c>
      <c r="V1198">
        <v>0</v>
      </c>
      <c r="W1198">
        <v>0</v>
      </c>
      <c r="X1198">
        <v>2</v>
      </c>
      <c r="Y1198">
        <v>16</v>
      </c>
      <c r="Z1198">
        <f>IF(H_A[[#This Row],[Attrition]]="Yes",1,0)</f>
        <v>0</v>
      </c>
      <c r="AA1198" t="str">
        <f>IF(H_A[[#This Row],[Age]]&lt;30,"Young",IF(H_A[[#This Row],[Age]]&lt;45,"Mid","Senior"))</f>
        <v>Mid</v>
      </c>
      <c r="AB1198" t="str">
        <f>IF(H_A[[#This Row],[MonthlyIncome]]&lt;5000,"Low",IF(H_A[[#This Row],[MonthlyIncome]]&lt;10000,"Medium","High"))</f>
        <v>Medium</v>
      </c>
      <c r="AC1198" t="str">
        <f>IF(H_A[[#This Row],[YearsAtCompany]]&lt;3,"Early",IF(H_A[[#This Row],[YearsAtCompany]]&lt;7,"Mid","Long"))</f>
        <v>Early</v>
      </c>
      <c r="AD1198" t="str">
        <f>IF(H_A[[#This Row],[PercentSalaryHike]]&lt;13,"Low",IF(H_A[[#This Row],[PercentSalaryHike]]&lt;18,"Medium","High"))</f>
        <v>Medium</v>
      </c>
    </row>
    <row r="1199" spans="1:30" x14ac:dyDescent="0.3">
      <c r="A1199">
        <v>20</v>
      </c>
      <c r="B1199">
        <v>1680</v>
      </c>
      <c r="C1199" t="s">
        <v>36</v>
      </c>
      <c r="D1199" t="s">
        <v>31</v>
      </c>
      <c r="E1199">
        <v>9</v>
      </c>
      <c r="F1199">
        <v>1</v>
      </c>
      <c r="G1199" t="s">
        <v>32</v>
      </c>
      <c r="H1199">
        <v>4</v>
      </c>
      <c r="I1199" t="s">
        <v>38</v>
      </c>
      <c r="J1199">
        <v>3</v>
      </c>
      <c r="K1199">
        <v>1</v>
      </c>
      <c r="L1199" t="s">
        <v>48</v>
      </c>
      <c r="M1199">
        <v>1</v>
      </c>
      <c r="N1199" t="s">
        <v>35</v>
      </c>
      <c r="O1199">
        <v>2728</v>
      </c>
      <c r="P1199">
        <v>1</v>
      </c>
      <c r="Q1199" t="s">
        <v>36</v>
      </c>
      <c r="R1199">
        <v>1</v>
      </c>
      <c r="S1199">
        <v>2</v>
      </c>
      <c r="T1199">
        <v>3</v>
      </c>
      <c r="U1199">
        <v>2</v>
      </c>
      <c r="V1199">
        <v>2</v>
      </c>
      <c r="W1199">
        <v>0</v>
      </c>
      <c r="X1199">
        <v>2</v>
      </c>
      <c r="Y1199">
        <v>11</v>
      </c>
      <c r="Z1199">
        <f>IF(H_A[[#This Row],[Attrition]]="Yes",1,0)</f>
        <v>0</v>
      </c>
      <c r="AA1199" t="str">
        <f>IF(H_A[[#This Row],[Age]]&lt;30,"Young",IF(H_A[[#This Row],[Age]]&lt;45,"Mid","Senior"))</f>
        <v>Young</v>
      </c>
      <c r="AB1199" t="str">
        <f>IF(H_A[[#This Row],[MonthlyIncome]]&lt;5000,"Low",IF(H_A[[#This Row],[MonthlyIncome]]&lt;10000,"Medium","High"))</f>
        <v>Low</v>
      </c>
      <c r="AC1199" t="str">
        <f>IF(H_A[[#This Row],[YearsAtCompany]]&lt;3,"Early",IF(H_A[[#This Row],[YearsAtCompany]]&lt;7,"Mid","Long"))</f>
        <v>Early</v>
      </c>
      <c r="AD1199" t="str">
        <f>IF(H_A[[#This Row],[PercentSalaryHike]]&lt;13,"Low",IF(H_A[[#This Row],[PercentSalaryHike]]&lt;18,"Medium","High"))</f>
        <v>Low</v>
      </c>
    </row>
    <row r="1200" spans="1:30" x14ac:dyDescent="0.3">
      <c r="A1200">
        <v>33</v>
      </c>
      <c r="B1200">
        <v>1681</v>
      </c>
      <c r="C1200" t="s">
        <v>36</v>
      </c>
      <c r="D1200" t="s">
        <v>31</v>
      </c>
      <c r="E1200">
        <v>16</v>
      </c>
      <c r="F1200">
        <v>3</v>
      </c>
      <c r="G1200" t="s">
        <v>32</v>
      </c>
      <c r="H1200">
        <v>3</v>
      </c>
      <c r="I1200" t="s">
        <v>33</v>
      </c>
      <c r="J1200">
        <v>3</v>
      </c>
      <c r="K1200">
        <v>2</v>
      </c>
      <c r="L1200" t="s">
        <v>34</v>
      </c>
      <c r="M1200">
        <v>4</v>
      </c>
      <c r="N1200" t="s">
        <v>44</v>
      </c>
      <c r="O1200">
        <v>5368</v>
      </c>
      <c r="P1200">
        <v>1</v>
      </c>
      <c r="Q1200" t="s">
        <v>30</v>
      </c>
      <c r="R1200">
        <v>3</v>
      </c>
      <c r="S1200">
        <v>7</v>
      </c>
      <c r="T1200">
        <v>3</v>
      </c>
      <c r="U1200">
        <v>6</v>
      </c>
      <c r="V1200">
        <v>5</v>
      </c>
      <c r="W1200">
        <v>1</v>
      </c>
      <c r="X1200">
        <v>2</v>
      </c>
      <c r="Y1200">
        <v>25</v>
      </c>
      <c r="Z1200">
        <f>IF(H_A[[#This Row],[Attrition]]="Yes",1,0)</f>
        <v>0</v>
      </c>
      <c r="AA1200" t="str">
        <f>IF(H_A[[#This Row],[Age]]&lt;30,"Young",IF(H_A[[#This Row],[Age]]&lt;45,"Mid","Senior"))</f>
        <v>Mid</v>
      </c>
      <c r="AB1200" t="str">
        <f>IF(H_A[[#This Row],[MonthlyIncome]]&lt;5000,"Low",IF(H_A[[#This Row],[MonthlyIncome]]&lt;10000,"Medium","High"))</f>
        <v>Medium</v>
      </c>
      <c r="AC1200" t="str">
        <f>IF(H_A[[#This Row],[YearsAtCompany]]&lt;3,"Early",IF(H_A[[#This Row],[YearsAtCompany]]&lt;7,"Mid","Long"))</f>
        <v>Mid</v>
      </c>
      <c r="AD1200" t="str">
        <f>IF(H_A[[#This Row],[PercentSalaryHike]]&lt;13,"Low",IF(H_A[[#This Row],[PercentSalaryHike]]&lt;18,"Medium","High"))</f>
        <v>High</v>
      </c>
    </row>
    <row r="1201" spans="1:30" x14ac:dyDescent="0.3">
      <c r="A1201">
        <v>36</v>
      </c>
      <c r="B1201">
        <v>1682</v>
      </c>
      <c r="C1201" t="s">
        <v>36</v>
      </c>
      <c r="D1201" t="s">
        <v>37</v>
      </c>
      <c r="E1201">
        <v>26</v>
      </c>
      <c r="F1201">
        <v>4</v>
      </c>
      <c r="G1201" t="s">
        <v>32</v>
      </c>
      <c r="H1201">
        <v>1</v>
      </c>
      <c r="I1201" t="s">
        <v>38</v>
      </c>
      <c r="J1201">
        <v>3</v>
      </c>
      <c r="K1201">
        <v>2</v>
      </c>
      <c r="L1201" t="s">
        <v>46</v>
      </c>
      <c r="M1201">
        <v>3</v>
      </c>
      <c r="N1201" t="s">
        <v>40</v>
      </c>
      <c r="O1201">
        <v>5347</v>
      </c>
      <c r="P1201">
        <v>6</v>
      </c>
      <c r="Q1201" t="s">
        <v>36</v>
      </c>
      <c r="R1201">
        <v>2</v>
      </c>
      <c r="S1201">
        <v>10</v>
      </c>
      <c r="T1201">
        <v>2</v>
      </c>
      <c r="U1201">
        <v>3</v>
      </c>
      <c r="V1201">
        <v>2</v>
      </c>
      <c r="W1201">
        <v>0</v>
      </c>
      <c r="X1201">
        <v>2</v>
      </c>
      <c r="Y1201">
        <v>14</v>
      </c>
      <c r="Z1201">
        <f>IF(H_A[[#This Row],[Attrition]]="Yes",1,0)</f>
        <v>0</v>
      </c>
      <c r="AA1201" t="str">
        <f>IF(H_A[[#This Row],[Age]]&lt;30,"Young",IF(H_A[[#This Row],[Age]]&lt;45,"Mid","Senior"))</f>
        <v>Mid</v>
      </c>
      <c r="AB1201" t="str">
        <f>IF(H_A[[#This Row],[MonthlyIncome]]&lt;5000,"Low",IF(H_A[[#This Row],[MonthlyIncome]]&lt;10000,"Medium","High"))</f>
        <v>Medium</v>
      </c>
      <c r="AC1201" t="str">
        <f>IF(H_A[[#This Row],[YearsAtCompany]]&lt;3,"Early",IF(H_A[[#This Row],[YearsAtCompany]]&lt;7,"Mid","Long"))</f>
        <v>Mid</v>
      </c>
      <c r="AD1201" t="str">
        <f>IF(H_A[[#This Row],[PercentSalaryHike]]&lt;13,"Low",IF(H_A[[#This Row],[PercentSalaryHike]]&lt;18,"Medium","High"))</f>
        <v>Medium</v>
      </c>
    </row>
    <row r="1202" spans="1:30" x14ac:dyDescent="0.3">
      <c r="A1202">
        <v>44</v>
      </c>
      <c r="B1202">
        <v>1683</v>
      </c>
      <c r="C1202" t="s">
        <v>36</v>
      </c>
      <c r="D1202" t="s">
        <v>52</v>
      </c>
      <c r="E1202">
        <v>1</v>
      </c>
      <c r="F1202">
        <v>3</v>
      </c>
      <c r="G1202" t="s">
        <v>32</v>
      </c>
      <c r="H1202">
        <v>3</v>
      </c>
      <c r="I1202" t="s">
        <v>33</v>
      </c>
      <c r="J1202">
        <v>3</v>
      </c>
      <c r="K1202">
        <v>1</v>
      </c>
      <c r="L1202" t="s">
        <v>52</v>
      </c>
      <c r="M1202">
        <v>4</v>
      </c>
      <c r="N1202" t="s">
        <v>44</v>
      </c>
      <c r="O1202">
        <v>3195</v>
      </c>
      <c r="P1202">
        <v>4</v>
      </c>
      <c r="Q1202" t="s">
        <v>30</v>
      </c>
      <c r="R1202">
        <v>1</v>
      </c>
      <c r="S1202">
        <v>8</v>
      </c>
      <c r="T1202">
        <v>3</v>
      </c>
      <c r="U1202">
        <v>2</v>
      </c>
      <c r="V1202">
        <v>2</v>
      </c>
      <c r="W1202">
        <v>2</v>
      </c>
      <c r="X1202">
        <v>2</v>
      </c>
      <c r="Y1202">
        <v>18</v>
      </c>
      <c r="Z1202">
        <f>IF(H_A[[#This Row],[Attrition]]="Yes",1,0)</f>
        <v>0</v>
      </c>
      <c r="AA1202" t="str">
        <f>IF(H_A[[#This Row],[Age]]&lt;30,"Young",IF(H_A[[#This Row],[Age]]&lt;45,"Mid","Senior"))</f>
        <v>Mid</v>
      </c>
      <c r="AB1202" t="str">
        <f>IF(H_A[[#This Row],[MonthlyIncome]]&lt;5000,"Low",IF(H_A[[#This Row],[MonthlyIncome]]&lt;10000,"Medium","High"))</f>
        <v>Low</v>
      </c>
      <c r="AC1202" t="str">
        <f>IF(H_A[[#This Row],[YearsAtCompany]]&lt;3,"Early",IF(H_A[[#This Row],[YearsAtCompany]]&lt;7,"Mid","Long"))</f>
        <v>Early</v>
      </c>
      <c r="AD1202" t="str">
        <f>IF(H_A[[#This Row],[PercentSalaryHike]]&lt;13,"Low",IF(H_A[[#This Row],[PercentSalaryHike]]&lt;18,"Medium","High"))</f>
        <v>High</v>
      </c>
    </row>
    <row r="1203" spans="1:30" x14ac:dyDescent="0.3">
      <c r="A1203">
        <v>23</v>
      </c>
      <c r="B1203">
        <v>1684</v>
      </c>
      <c r="C1203" t="s">
        <v>30</v>
      </c>
      <c r="D1203" t="s">
        <v>37</v>
      </c>
      <c r="E1203">
        <v>8</v>
      </c>
      <c r="F1203">
        <v>1</v>
      </c>
      <c r="G1203" t="s">
        <v>43</v>
      </c>
      <c r="H1203">
        <v>4</v>
      </c>
      <c r="I1203" t="s">
        <v>38</v>
      </c>
      <c r="J1203">
        <v>2</v>
      </c>
      <c r="K1203">
        <v>1</v>
      </c>
      <c r="L1203" t="s">
        <v>42</v>
      </c>
      <c r="M1203">
        <v>3</v>
      </c>
      <c r="N1203" t="s">
        <v>35</v>
      </c>
      <c r="O1203">
        <v>3989</v>
      </c>
      <c r="P1203">
        <v>1</v>
      </c>
      <c r="Q1203" t="s">
        <v>30</v>
      </c>
      <c r="R1203">
        <v>1</v>
      </c>
      <c r="S1203">
        <v>5</v>
      </c>
      <c r="T1203">
        <v>3</v>
      </c>
      <c r="U1203">
        <v>5</v>
      </c>
      <c r="V1203">
        <v>4</v>
      </c>
      <c r="W1203">
        <v>1</v>
      </c>
      <c r="X1203">
        <v>2</v>
      </c>
      <c r="Y1203">
        <v>11</v>
      </c>
      <c r="Z1203">
        <f>IF(H_A[[#This Row],[Attrition]]="Yes",1,0)</f>
        <v>1</v>
      </c>
      <c r="AA1203" t="str">
        <f>IF(H_A[[#This Row],[Age]]&lt;30,"Young",IF(H_A[[#This Row],[Age]]&lt;45,"Mid","Senior"))</f>
        <v>Young</v>
      </c>
      <c r="AB1203" t="str">
        <f>IF(H_A[[#This Row],[MonthlyIncome]]&lt;5000,"Low",IF(H_A[[#This Row],[MonthlyIncome]]&lt;10000,"Medium","High"))</f>
        <v>Low</v>
      </c>
      <c r="AC1203" t="str">
        <f>IF(H_A[[#This Row],[YearsAtCompany]]&lt;3,"Early",IF(H_A[[#This Row],[YearsAtCompany]]&lt;7,"Mid","Long"))</f>
        <v>Mid</v>
      </c>
      <c r="AD1203" t="str">
        <f>IF(H_A[[#This Row],[PercentSalaryHike]]&lt;13,"Low",IF(H_A[[#This Row],[PercentSalaryHike]]&lt;18,"Medium","High"))</f>
        <v>Low</v>
      </c>
    </row>
    <row r="1204" spans="1:30" x14ac:dyDescent="0.3">
      <c r="A1204">
        <v>38</v>
      </c>
      <c r="B1204">
        <v>1687</v>
      </c>
      <c r="C1204" t="s">
        <v>36</v>
      </c>
      <c r="D1204" t="s">
        <v>37</v>
      </c>
      <c r="E1204">
        <v>4</v>
      </c>
      <c r="F1204">
        <v>2</v>
      </c>
      <c r="G1204" t="s">
        <v>43</v>
      </c>
      <c r="H1204">
        <v>4</v>
      </c>
      <c r="I1204" t="s">
        <v>33</v>
      </c>
      <c r="J1204">
        <v>3</v>
      </c>
      <c r="K1204">
        <v>1</v>
      </c>
      <c r="L1204" t="s">
        <v>42</v>
      </c>
      <c r="M1204">
        <v>3</v>
      </c>
      <c r="N1204" t="s">
        <v>40</v>
      </c>
      <c r="O1204">
        <v>3306</v>
      </c>
      <c r="P1204">
        <v>7</v>
      </c>
      <c r="Q1204" t="s">
        <v>36</v>
      </c>
      <c r="R1204">
        <v>4</v>
      </c>
      <c r="S1204">
        <v>7</v>
      </c>
      <c r="T1204">
        <v>2</v>
      </c>
      <c r="U1204">
        <v>0</v>
      </c>
      <c r="V1204">
        <v>0</v>
      </c>
      <c r="W1204">
        <v>0</v>
      </c>
      <c r="X1204">
        <v>0</v>
      </c>
      <c r="Y1204">
        <v>19</v>
      </c>
      <c r="Z1204">
        <f>IF(H_A[[#This Row],[Attrition]]="Yes",1,0)</f>
        <v>0</v>
      </c>
      <c r="AA1204" t="str">
        <f>IF(H_A[[#This Row],[Age]]&lt;30,"Young",IF(H_A[[#This Row],[Age]]&lt;45,"Mid","Senior"))</f>
        <v>Mid</v>
      </c>
      <c r="AB1204" t="str">
        <f>IF(H_A[[#This Row],[MonthlyIncome]]&lt;5000,"Low",IF(H_A[[#This Row],[MonthlyIncome]]&lt;10000,"Medium","High"))</f>
        <v>Low</v>
      </c>
      <c r="AC1204" t="str">
        <f>IF(H_A[[#This Row],[YearsAtCompany]]&lt;3,"Early",IF(H_A[[#This Row],[YearsAtCompany]]&lt;7,"Mid","Long"))</f>
        <v>Early</v>
      </c>
      <c r="AD1204" t="str">
        <f>IF(H_A[[#This Row],[PercentSalaryHike]]&lt;13,"Low",IF(H_A[[#This Row],[PercentSalaryHike]]&lt;18,"Medium","High"))</f>
        <v>High</v>
      </c>
    </row>
    <row r="1205" spans="1:30" x14ac:dyDescent="0.3">
      <c r="A1205">
        <v>53</v>
      </c>
      <c r="B1205">
        <v>1689</v>
      </c>
      <c r="C1205" t="s">
        <v>36</v>
      </c>
      <c r="D1205" t="s">
        <v>37</v>
      </c>
      <c r="E1205">
        <v>24</v>
      </c>
      <c r="F1205">
        <v>4</v>
      </c>
      <c r="G1205" t="s">
        <v>43</v>
      </c>
      <c r="H1205">
        <v>2</v>
      </c>
      <c r="I1205" t="s">
        <v>38</v>
      </c>
      <c r="J1205">
        <v>4</v>
      </c>
      <c r="K1205">
        <v>3</v>
      </c>
      <c r="L1205" t="s">
        <v>46</v>
      </c>
      <c r="M1205">
        <v>4</v>
      </c>
      <c r="N1205" t="s">
        <v>40</v>
      </c>
      <c r="O1205">
        <v>7005</v>
      </c>
      <c r="P1205">
        <v>3</v>
      </c>
      <c r="Q1205" t="s">
        <v>36</v>
      </c>
      <c r="R1205">
        <v>3</v>
      </c>
      <c r="S1205">
        <v>11</v>
      </c>
      <c r="T1205">
        <v>3</v>
      </c>
      <c r="U1205">
        <v>4</v>
      </c>
      <c r="V1205">
        <v>3</v>
      </c>
      <c r="W1205">
        <v>1</v>
      </c>
      <c r="X1205">
        <v>2</v>
      </c>
      <c r="Y1205">
        <v>15</v>
      </c>
      <c r="Z1205">
        <f>IF(H_A[[#This Row],[Attrition]]="Yes",1,0)</f>
        <v>0</v>
      </c>
      <c r="AA1205" t="str">
        <f>IF(H_A[[#This Row],[Age]]&lt;30,"Young",IF(H_A[[#This Row],[Age]]&lt;45,"Mid","Senior"))</f>
        <v>Senior</v>
      </c>
      <c r="AB1205" t="str">
        <f>IF(H_A[[#This Row],[MonthlyIncome]]&lt;5000,"Low",IF(H_A[[#This Row],[MonthlyIncome]]&lt;10000,"Medium","High"))</f>
        <v>Medium</v>
      </c>
      <c r="AC1205" t="str">
        <f>IF(H_A[[#This Row],[YearsAtCompany]]&lt;3,"Early",IF(H_A[[#This Row],[YearsAtCompany]]&lt;7,"Mid","Long"))</f>
        <v>Mid</v>
      </c>
      <c r="AD1205" t="str">
        <f>IF(H_A[[#This Row],[PercentSalaryHike]]&lt;13,"Low",IF(H_A[[#This Row],[PercentSalaryHike]]&lt;18,"Medium","High"))</f>
        <v>Medium</v>
      </c>
    </row>
    <row r="1206" spans="1:30" x14ac:dyDescent="0.3">
      <c r="A1206">
        <v>48</v>
      </c>
      <c r="B1206">
        <v>1691</v>
      </c>
      <c r="C1206" t="s">
        <v>30</v>
      </c>
      <c r="D1206" t="s">
        <v>31</v>
      </c>
      <c r="E1206">
        <v>7</v>
      </c>
      <c r="F1206">
        <v>2</v>
      </c>
      <c r="G1206" t="s">
        <v>43</v>
      </c>
      <c r="H1206">
        <v>4</v>
      </c>
      <c r="I1206" t="s">
        <v>33</v>
      </c>
      <c r="J1206">
        <v>3</v>
      </c>
      <c r="K1206">
        <v>1</v>
      </c>
      <c r="L1206" t="s">
        <v>48</v>
      </c>
      <c r="M1206">
        <v>3</v>
      </c>
      <c r="N1206" t="s">
        <v>40</v>
      </c>
      <c r="O1206">
        <v>2655</v>
      </c>
      <c r="P1206">
        <v>2</v>
      </c>
      <c r="Q1206" t="s">
        <v>30</v>
      </c>
      <c r="R1206">
        <v>3</v>
      </c>
      <c r="S1206">
        <v>19</v>
      </c>
      <c r="T1206">
        <v>3</v>
      </c>
      <c r="U1206">
        <v>9</v>
      </c>
      <c r="V1206">
        <v>7</v>
      </c>
      <c r="W1206">
        <v>7</v>
      </c>
      <c r="X1206">
        <v>7</v>
      </c>
      <c r="Y1206">
        <v>11</v>
      </c>
      <c r="Z1206">
        <f>IF(H_A[[#This Row],[Attrition]]="Yes",1,0)</f>
        <v>1</v>
      </c>
      <c r="AA1206" t="str">
        <f>IF(H_A[[#This Row],[Age]]&lt;30,"Young",IF(H_A[[#This Row],[Age]]&lt;45,"Mid","Senior"))</f>
        <v>Senior</v>
      </c>
      <c r="AB1206" t="str">
        <f>IF(H_A[[#This Row],[MonthlyIncome]]&lt;5000,"Low",IF(H_A[[#This Row],[MonthlyIncome]]&lt;10000,"Medium","High"))</f>
        <v>Low</v>
      </c>
      <c r="AC1206" t="str">
        <f>IF(H_A[[#This Row],[YearsAtCompany]]&lt;3,"Early",IF(H_A[[#This Row],[YearsAtCompany]]&lt;7,"Mid","Long"))</f>
        <v>Long</v>
      </c>
      <c r="AD1206" t="str">
        <f>IF(H_A[[#This Row],[PercentSalaryHike]]&lt;13,"Low",IF(H_A[[#This Row],[PercentSalaryHike]]&lt;18,"Medium","High"))</f>
        <v>Low</v>
      </c>
    </row>
    <row r="1207" spans="1:30" x14ac:dyDescent="0.3">
      <c r="A1207">
        <v>32</v>
      </c>
      <c r="B1207">
        <v>1692</v>
      </c>
      <c r="C1207" t="s">
        <v>30</v>
      </c>
      <c r="D1207" t="s">
        <v>37</v>
      </c>
      <c r="E1207">
        <v>2</v>
      </c>
      <c r="F1207">
        <v>4</v>
      </c>
      <c r="G1207" t="s">
        <v>32</v>
      </c>
      <c r="H1207">
        <v>4</v>
      </c>
      <c r="I1207" t="s">
        <v>38</v>
      </c>
      <c r="J1207">
        <v>3</v>
      </c>
      <c r="K1207">
        <v>1</v>
      </c>
      <c r="L1207" t="s">
        <v>42</v>
      </c>
      <c r="M1207">
        <v>2</v>
      </c>
      <c r="N1207" t="s">
        <v>35</v>
      </c>
      <c r="O1207">
        <v>1393</v>
      </c>
      <c r="P1207">
        <v>1</v>
      </c>
      <c r="Q1207" t="s">
        <v>36</v>
      </c>
      <c r="R1207">
        <v>1</v>
      </c>
      <c r="S1207">
        <v>1</v>
      </c>
      <c r="T1207">
        <v>3</v>
      </c>
      <c r="U1207">
        <v>1</v>
      </c>
      <c r="V1207">
        <v>0</v>
      </c>
      <c r="W1207">
        <v>0</v>
      </c>
      <c r="X1207">
        <v>0</v>
      </c>
      <c r="Y1207">
        <v>12</v>
      </c>
      <c r="Z1207">
        <f>IF(H_A[[#This Row],[Attrition]]="Yes",1,0)</f>
        <v>1</v>
      </c>
      <c r="AA1207" t="str">
        <f>IF(H_A[[#This Row],[Age]]&lt;30,"Young",IF(H_A[[#This Row],[Age]]&lt;45,"Mid","Senior"))</f>
        <v>Mid</v>
      </c>
      <c r="AB1207" t="str">
        <f>IF(H_A[[#This Row],[MonthlyIncome]]&lt;5000,"Low",IF(H_A[[#This Row],[MonthlyIncome]]&lt;10000,"Medium","High"))</f>
        <v>Low</v>
      </c>
      <c r="AC1207" t="str">
        <f>IF(H_A[[#This Row],[YearsAtCompany]]&lt;3,"Early",IF(H_A[[#This Row],[YearsAtCompany]]&lt;7,"Mid","Long"))</f>
        <v>Early</v>
      </c>
      <c r="AD1207" t="str">
        <f>IF(H_A[[#This Row],[PercentSalaryHike]]&lt;13,"Low",IF(H_A[[#This Row],[PercentSalaryHike]]&lt;18,"Medium","High"))</f>
        <v>Low</v>
      </c>
    </row>
    <row r="1208" spans="1:30" x14ac:dyDescent="0.3">
      <c r="A1208">
        <v>26</v>
      </c>
      <c r="B1208">
        <v>1693</v>
      </c>
      <c r="C1208" t="s">
        <v>36</v>
      </c>
      <c r="D1208" t="s">
        <v>37</v>
      </c>
      <c r="E1208">
        <v>7</v>
      </c>
      <c r="F1208">
        <v>3</v>
      </c>
      <c r="G1208" t="s">
        <v>43</v>
      </c>
      <c r="H1208">
        <v>4</v>
      </c>
      <c r="I1208" t="s">
        <v>38</v>
      </c>
      <c r="J1208">
        <v>3</v>
      </c>
      <c r="K1208">
        <v>1</v>
      </c>
      <c r="L1208" t="s">
        <v>42</v>
      </c>
      <c r="M1208">
        <v>4</v>
      </c>
      <c r="N1208" t="s">
        <v>35</v>
      </c>
      <c r="O1208">
        <v>2570</v>
      </c>
      <c r="P1208">
        <v>1</v>
      </c>
      <c r="Q1208" t="s">
        <v>36</v>
      </c>
      <c r="R1208">
        <v>3</v>
      </c>
      <c r="S1208">
        <v>7</v>
      </c>
      <c r="T1208">
        <v>3</v>
      </c>
      <c r="U1208">
        <v>7</v>
      </c>
      <c r="V1208">
        <v>7</v>
      </c>
      <c r="W1208">
        <v>5</v>
      </c>
      <c r="X1208">
        <v>7</v>
      </c>
      <c r="Y1208">
        <v>20</v>
      </c>
      <c r="Z1208">
        <f>IF(H_A[[#This Row],[Attrition]]="Yes",1,0)</f>
        <v>0</v>
      </c>
      <c r="AA1208" t="str">
        <f>IF(H_A[[#This Row],[Age]]&lt;30,"Young",IF(H_A[[#This Row],[Age]]&lt;45,"Mid","Senior"))</f>
        <v>Young</v>
      </c>
      <c r="AB1208" t="str">
        <f>IF(H_A[[#This Row],[MonthlyIncome]]&lt;5000,"Low",IF(H_A[[#This Row],[MonthlyIncome]]&lt;10000,"Medium","High"))</f>
        <v>Low</v>
      </c>
      <c r="AC1208" t="str">
        <f>IF(H_A[[#This Row],[YearsAtCompany]]&lt;3,"Early",IF(H_A[[#This Row],[YearsAtCompany]]&lt;7,"Mid","Long"))</f>
        <v>Long</v>
      </c>
      <c r="AD1208" t="str">
        <f>IF(H_A[[#This Row],[PercentSalaryHike]]&lt;13,"Low",IF(H_A[[#This Row],[PercentSalaryHike]]&lt;18,"Medium","High"))</f>
        <v>High</v>
      </c>
    </row>
    <row r="1209" spans="1:30" x14ac:dyDescent="0.3">
      <c r="A1209">
        <v>55</v>
      </c>
      <c r="B1209">
        <v>1694</v>
      </c>
      <c r="C1209" t="s">
        <v>36</v>
      </c>
      <c r="D1209" t="s">
        <v>37</v>
      </c>
      <c r="E1209">
        <v>22</v>
      </c>
      <c r="F1209">
        <v>3</v>
      </c>
      <c r="G1209" t="s">
        <v>51</v>
      </c>
      <c r="H1209">
        <v>1</v>
      </c>
      <c r="I1209" t="s">
        <v>38</v>
      </c>
      <c r="J1209">
        <v>2</v>
      </c>
      <c r="K1209">
        <v>1</v>
      </c>
      <c r="L1209" t="s">
        <v>39</v>
      </c>
      <c r="M1209">
        <v>2</v>
      </c>
      <c r="N1209" t="s">
        <v>44</v>
      </c>
      <c r="O1209">
        <v>3537</v>
      </c>
      <c r="P1209">
        <v>5</v>
      </c>
      <c r="Q1209" t="s">
        <v>36</v>
      </c>
      <c r="R1209">
        <v>4</v>
      </c>
      <c r="S1209">
        <v>8</v>
      </c>
      <c r="T1209">
        <v>3</v>
      </c>
      <c r="U1209">
        <v>4</v>
      </c>
      <c r="V1209">
        <v>2</v>
      </c>
      <c r="W1209">
        <v>1</v>
      </c>
      <c r="X1209">
        <v>2</v>
      </c>
      <c r="Y1209">
        <v>12</v>
      </c>
      <c r="Z1209">
        <f>IF(H_A[[#This Row],[Attrition]]="Yes",1,0)</f>
        <v>0</v>
      </c>
      <c r="AA1209" t="str">
        <f>IF(H_A[[#This Row],[Age]]&lt;30,"Young",IF(H_A[[#This Row],[Age]]&lt;45,"Mid","Senior"))</f>
        <v>Senior</v>
      </c>
      <c r="AB1209" t="str">
        <f>IF(H_A[[#This Row],[MonthlyIncome]]&lt;5000,"Low",IF(H_A[[#This Row],[MonthlyIncome]]&lt;10000,"Medium","High"))</f>
        <v>Low</v>
      </c>
      <c r="AC1209" t="str">
        <f>IF(H_A[[#This Row],[YearsAtCompany]]&lt;3,"Early",IF(H_A[[#This Row],[YearsAtCompany]]&lt;7,"Mid","Long"))</f>
        <v>Mid</v>
      </c>
      <c r="AD1209" t="str">
        <f>IF(H_A[[#This Row],[PercentSalaryHike]]&lt;13,"Low",IF(H_A[[#This Row],[PercentSalaryHike]]&lt;18,"Medium","High"))</f>
        <v>Low</v>
      </c>
    </row>
    <row r="1210" spans="1:30" x14ac:dyDescent="0.3">
      <c r="A1210">
        <v>34</v>
      </c>
      <c r="B1210">
        <v>1696</v>
      </c>
      <c r="C1210" t="s">
        <v>36</v>
      </c>
      <c r="D1210" t="s">
        <v>37</v>
      </c>
      <c r="E1210">
        <v>5</v>
      </c>
      <c r="F1210">
        <v>2</v>
      </c>
      <c r="G1210" t="s">
        <v>43</v>
      </c>
      <c r="H1210">
        <v>2</v>
      </c>
      <c r="I1210" t="s">
        <v>38</v>
      </c>
      <c r="J1210">
        <v>2</v>
      </c>
      <c r="K1210">
        <v>2</v>
      </c>
      <c r="L1210" t="s">
        <v>42</v>
      </c>
      <c r="M1210">
        <v>4</v>
      </c>
      <c r="N1210" t="s">
        <v>40</v>
      </c>
      <c r="O1210">
        <v>3986</v>
      </c>
      <c r="P1210">
        <v>1</v>
      </c>
      <c r="Q1210" t="s">
        <v>36</v>
      </c>
      <c r="R1210">
        <v>3</v>
      </c>
      <c r="S1210">
        <v>15</v>
      </c>
      <c r="T1210">
        <v>4</v>
      </c>
      <c r="U1210">
        <v>15</v>
      </c>
      <c r="V1210">
        <v>10</v>
      </c>
      <c r="W1210">
        <v>4</v>
      </c>
      <c r="X1210">
        <v>13</v>
      </c>
      <c r="Y1210">
        <v>14</v>
      </c>
      <c r="Z1210">
        <f>IF(H_A[[#This Row],[Attrition]]="Yes",1,0)</f>
        <v>0</v>
      </c>
      <c r="AA1210" t="str">
        <f>IF(H_A[[#This Row],[Age]]&lt;30,"Young",IF(H_A[[#This Row],[Age]]&lt;45,"Mid","Senior"))</f>
        <v>Mid</v>
      </c>
      <c r="AB1210" t="str">
        <f>IF(H_A[[#This Row],[MonthlyIncome]]&lt;5000,"Low",IF(H_A[[#This Row],[MonthlyIncome]]&lt;10000,"Medium","High"))</f>
        <v>Low</v>
      </c>
      <c r="AC1210" t="str">
        <f>IF(H_A[[#This Row],[YearsAtCompany]]&lt;3,"Early",IF(H_A[[#This Row],[YearsAtCompany]]&lt;7,"Mid","Long"))</f>
        <v>Long</v>
      </c>
      <c r="AD1210" t="str">
        <f>IF(H_A[[#This Row],[PercentSalaryHike]]&lt;13,"Low",IF(H_A[[#This Row],[PercentSalaryHike]]&lt;18,"Medium","High"))</f>
        <v>Medium</v>
      </c>
    </row>
    <row r="1211" spans="1:30" x14ac:dyDescent="0.3">
      <c r="A1211">
        <v>60</v>
      </c>
      <c r="B1211">
        <v>1697</v>
      </c>
      <c r="C1211" t="s">
        <v>36</v>
      </c>
      <c r="D1211" t="s">
        <v>37</v>
      </c>
      <c r="E1211">
        <v>1</v>
      </c>
      <c r="F1211">
        <v>4</v>
      </c>
      <c r="G1211" t="s">
        <v>43</v>
      </c>
      <c r="H1211">
        <v>3</v>
      </c>
      <c r="I1211" t="s">
        <v>38</v>
      </c>
      <c r="J1211">
        <v>1</v>
      </c>
      <c r="K1211">
        <v>3</v>
      </c>
      <c r="L1211" t="s">
        <v>46</v>
      </c>
      <c r="M1211">
        <v>4</v>
      </c>
      <c r="N1211" t="s">
        <v>44</v>
      </c>
      <c r="O1211">
        <v>10883</v>
      </c>
      <c r="P1211">
        <v>3</v>
      </c>
      <c r="Q1211" t="s">
        <v>36</v>
      </c>
      <c r="R1211">
        <v>3</v>
      </c>
      <c r="S1211">
        <v>19</v>
      </c>
      <c r="T1211">
        <v>4</v>
      </c>
      <c r="U1211">
        <v>1</v>
      </c>
      <c r="V1211">
        <v>0</v>
      </c>
      <c r="W1211">
        <v>0</v>
      </c>
      <c r="X1211">
        <v>0</v>
      </c>
      <c r="Y1211">
        <v>20</v>
      </c>
      <c r="Z1211">
        <f>IF(H_A[[#This Row],[Attrition]]="Yes",1,0)</f>
        <v>0</v>
      </c>
      <c r="AA1211" t="str">
        <f>IF(H_A[[#This Row],[Age]]&lt;30,"Young",IF(H_A[[#This Row],[Age]]&lt;45,"Mid","Senior"))</f>
        <v>Senior</v>
      </c>
      <c r="AB1211" t="str">
        <f>IF(H_A[[#This Row],[MonthlyIncome]]&lt;5000,"Low",IF(H_A[[#This Row],[MonthlyIncome]]&lt;10000,"Medium","High"))</f>
        <v>High</v>
      </c>
      <c r="AC1211" t="str">
        <f>IF(H_A[[#This Row],[YearsAtCompany]]&lt;3,"Early",IF(H_A[[#This Row],[YearsAtCompany]]&lt;7,"Mid","Long"))</f>
        <v>Early</v>
      </c>
      <c r="AD1211" t="str">
        <f>IF(H_A[[#This Row],[PercentSalaryHike]]&lt;13,"Low",IF(H_A[[#This Row],[PercentSalaryHike]]&lt;18,"Medium","High"))</f>
        <v>High</v>
      </c>
    </row>
    <row r="1212" spans="1:30" x14ac:dyDescent="0.3">
      <c r="A1212">
        <v>33</v>
      </c>
      <c r="B1212">
        <v>1698</v>
      </c>
      <c r="C1212" t="s">
        <v>36</v>
      </c>
      <c r="D1212" t="s">
        <v>37</v>
      </c>
      <c r="E1212">
        <v>21</v>
      </c>
      <c r="F1212">
        <v>3</v>
      </c>
      <c r="G1212" t="s">
        <v>43</v>
      </c>
      <c r="H1212">
        <v>2</v>
      </c>
      <c r="I1212" t="s">
        <v>38</v>
      </c>
      <c r="J1212">
        <v>4</v>
      </c>
      <c r="K1212">
        <v>1</v>
      </c>
      <c r="L1212" t="s">
        <v>42</v>
      </c>
      <c r="M1212">
        <v>2</v>
      </c>
      <c r="N1212" t="s">
        <v>40</v>
      </c>
      <c r="O1212">
        <v>2028</v>
      </c>
      <c r="P1212">
        <v>1</v>
      </c>
      <c r="Q1212" t="s">
        <v>36</v>
      </c>
      <c r="R1212">
        <v>4</v>
      </c>
      <c r="S1212">
        <v>14</v>
      </c>
      <c r="T1212">
        <v>3</v>
      </c>
      <c r="U1212">
        <v>14</v>
      </c>
      <c r="V1212">
        <v>11</v>
      </c>
      <c r="W1212">
        <v>2</v>
      </c>
      <c r="X1212">
        <v>13</v>
      </c>
      <c r="Y1212">
        <v>18</v>
      </c>
      <c r="Z1212">
        <f>IF(H_A[[#This Row],[Attrition]]="Yes",1,0)</f>
        <v>0</v>
      </c>
      <c r="AA1212" t="str">
        <f>IF(H_A[[#This Row],[Age]]&lt;30,"Young",IF(H_A[[#This Row],[Age]]&lt;45,"Mid","Senior"))</f>
        <v>Mid</v>
      </c>
      <c r="AB1212" t="str">
        <f>IF(H_A[[#This Row],[MonthlyIncome]]&lt;5000,"Low",IF(H_A[[#This Row],[MonthlyIncome]]&lt;10000,"Medium","High"))</f>
        <v>Low</v>
      </c>
      <c r="AC1212" t="str">
        <f>IF(H_A[[#This Row],[YearsAtCompany]]&lt;3,"Early",IF(H_A[[#This Row],[YearsAtCompany]]&lt;7,"Mid","Long"))</f>
        <v>Long</v>
      </c>
      <c r="AD1212" t="str">
        <f>IF(H_A[[#This Row],[PercentSalaryHike]]&lt;13,"Low",IF(H_A[[#This Row],[PercentSalaryHike]]&lt;18,"Medium","High"))</f>
        <v>High</v>
      </c>
    </row>
    <row r="1213" spans="1:30" x14ac:dyDescent="0.3">
      <c r="A1213">
        <v>37</v>
      </c>
      <c r="B1213">
        <v>1700</v>
      </c>
      <c r="C1213" t="s">
        <v>36</v>
      </c>
      <c r="D1213" t="s">
        <v>31</v>
      </c>
      <c r="E1213">
        <v>1</v>
      </c>
      <c r="F1213">
        <v>4</v>
      </c>
      <c r="G1213" t="s">
        <v>43</v>
      </c>
      <c r="H1213">
        <v>3</v>
      </c>
      <c r="I1213" t="s">
        <v>38</v>
      </c>
      <c r="J1213">
        <v>1</v>
      </c>
      <c r="K1213">
        <v>2</v>
      </c>
      <c r="L1213" t="s">
        <v>34</v>
      </c>
      <c r="M1213">
        <v>4</v>
      </c>
      <c r="N1213" t="s">
        <v>44</v>
      </c>
      <c r="O1213">
        <v>9525</v>
      </c>
      <c r="P1213">
        <v>1</v>
      </c>
      <c r="Q1213" t="s">
        <v>36</v>
      </c>
      <c r="R1213">
        <v>3</v>
      </c>
      <c r="S1213">
        <v>6</v>
      </c>
      <c r="T1213">
        <v>2</v>
      </c>
      <c r="U1213">
        <v>6</v>
      </c>
      <c r="V1213">
        <v>3</v>
      </c>
      <c r="W1213">
        <v>1</v>
      </c>
      <c r="X1213">
        <v>3</v>
      </c>
      <c r="Y1213">
        <v>14</v>
      </c>
      <c r="Z1213">
        <f>IF(H_A[[#This Row],[Attrition]]="Yes",1,0)</f>
        <v>0</v>
      </c>
      <c r="AA1213" t="str">
        <f>IF(H_A[[#This Row],[Age]]&lt;30,"Young",IF(H_A[[#This Row],[Age]]&lt;45,"Mid","Senior"))</f>
        <v>Mid</v>
      </c>
      <c r="AB1213" t="str">
        <f>IF(H_A[[#This Row],[MonthlyIncome]]&lt;5000,"Low",IF(H_A[[#This Row],[MonthlyIncome]]&lt;10000,"Medium","High"))</f>
        <v>Medium</v>
      </c>
      <c r="AC1213" t="str">
        <f>IF(H_A[[#This Row],[YearsAtCompany]]&lt;3,"Early",IF(H_A[[#This Row],[YearsAtCompany]]&lt;7,"Mid","Long"))</f>
        <v>Mid</v>
      </c>
      <c r="AD1213" t="str">
        <f>IF(H_A[[#This Row],[PercentSalaryHike]]&lt;13,"Low",IF(H_A[[#This Row],[PercentSalaryHike]]&lt;18,"Medium","High"))</f>
        <v>Medium</v>
      </c>
    </row>
    <row r="1214" spans="1:30" x14ac:dyDescent="0.3">
      <c r="A1214">
        <v>34</v>
      </c>
      <c r="B1214">
        <v>1701</v>
      </c>
      <c r="C1214" t="s">
        <v>36</v>
      </c>
      <c r="D1214" t="s">
        <v>37</v>
      </c>
      <c r="E1214">
        <v>19</v>
      </c>
      <c r="F1214">
        <v>3</v>
      </c>
      <c r="G1214" t="s">
        <v>32</v>
      </c>
      <c r="H1214">
        <v>2</v>
      </c>
      <c r="I1214" t="s">
        <v>33</v>
      </c>
      <c r="J1214">
        <v>2</v>
      </c>
      <c r="K1214">
        <v>1</v>
      </c>
      <c r="L1214" t="s">
        <v>39</v>
      </c>
      <c r="M1214">
        <v>4</v>
      </c>
      <c r="N1214" t="s">
        <v>40</v>
      </c>
      <c r="O1214">
        <v>2929</v>
      </c>
      <c r="P1214">
        <v>1</v>
      </c>
      <c r="Q1214" t="s">
        <v>36</v>
      </c>
      <c r="R1214">
        <v>2</v>
      </c>
      <c r="S1214">
        <v>10</v>
      </c>
      <c r="T1214">
        <v>3</v>
      </c>
      <c r="U1214">
        <v>10</v>
      </c>
      <c r="V1214">
        <v>9</v>
      </c>
      <c r="W1214">
        <v>8</v>
      </c>
      <c r="X1214">
        <v>7</v>
      </c>
      <c r="Y1214">
        <v>12</v>
      </c>
      <c r="Z1214">
        <f>IF(H_A[[#This Row],[Attrition]]="Yes",1,0)</f>
        <v>0</v>
      </c>
      <c r="AA1214" t="str">
        <f>IF(H_A[[#This Row],[Age]]&lt;30,"Young",IF(H_A[[#This Row],[Age]]&lt;45,"Mid","Senior"))</f>
        <v>Mid</v>
      </c>
      <c r="AB1214" t="str">
        <f>IF(H_A[[#This Row],[MonthlyIncome]]&lt;5000,"Low",IF(H_A[[#This Row],[MonthlyIncome]]&lt;10000,"Medium","High"))</f>
        <v>Low</v>
      </c>
      <c r="AC1214" t="str">
        <f>IF(H_A[[#This Row],[YearsAtCompany]]&lt;3,"Early",IF(H_A[[#This Row],[YearsAtCompany]]&lt;7,"Mid","Long"))</f>
        <v>Long</v>
      </c>
      <c r="AD1214" t="str">
        <f>IF(H_A[[#This Row],[PercentSalaryHike]]&lt;13,"Low",IF(H_A[[#This Row],[PercentSalaryHike]]&lt;18,"Medium","High"))</f>
        <v>Low</v>
      </c>
    </row>
    <row r="1215" spans="1:30" x14ac:dyDescent="0.3">
      <c r="A1215">
        <v>23</v>
      </c>
      <c r="B1215">
        <v>1702</v>
      </c>
      <c r="C1215" t="s">
        <v>30</v>
      </c>
      <c r="D1215" t="s">
        <v>31</v>
      </c>
      <c r="E1215">
        <v>7</v>
      </c>
      <c r="F1215">
        <v>3</v>
      </c>
      <c r="G1215" t="s">
        <v>32</v>
      </c>
      <c r="H1215">
        <v>3</v>
      </c>
      <c r="I1215" t="s">
        <v>38</v>
      </c>
      <c r="J1215">
        <v>3</v>
      </c>
      <c r="K1215">
        <v>1</v>
      </c>
      <c r="L1215" t="s">
        <v>48</v>
      </c>
      <c r="M1215">
        <v>4</v>
      </c>
      <c r="N1215" t="s">
        <v>44</v>
      </c>
      <c r="O1215">
        <v>2275</v>
      </c>
      <c r="P1215">
        <v>1</v>
      </c>
      <c r="Q1215" t="s">
        <v>30</v>
      </c>
      <c r="R1215">
        <v>2</v>
      </c>
      <c r="S1215">
        <v>3</v>
      </c>
      <c r="T1215">
        <v>3</v>
      </c>
      <c r="U1215">
        <v>3</v>
      </c>
      <c r="V1215">
        <v>2</v>
      </c>
      <c r="W1215">
        <v>0</v>
      </c>
      <c r="X1215">
        <v>2</v>
      </c>
      <c r="Y1215">
        <v>21</v>
      </c>
      <c r="Z1215">
        <f>IF(H_A[[#This Row],[Attrition]]="Yes",1,0)</f>
        <v>1</v>
      </c>
      <c r="AA1215" t="str">
        <f>IF(H_A[[#This Row],[Age]]&lt;30,"Young",IF(H_A[[#This Row],[Age]]&lt;45,"Mid","Senior"))</f>
        <v>Young</v>
      </c>
      <c r="AB1215" t="str">
        <f>IF(H_A[[#This Row],[MonthlyIncome]]&lt;5000,"Low",IF(H_A[[#This Row],[MonthlyIncome]]&lt;10000,"Medium","High"))</f>
        <v>Low</v>
      </c>
      <c r="AC1215" t="str">
        <f>IF(H_A[[#This Row],[YearsAtCompany]]&lt;3,"Early",IF(H_A[[#This Row],[YearsAtCompany]]&lt;7,"Mid","Long"))</f>
        <v>Mid</v>
      </c>
      <c r="AD1215" t="str">
        <f>IF(H_A[[#This Row],[PercentSalaryHike]]&lt;13,"Low",IF(H_A[[#This Row],[PercentSalaryHike]]&lt;18,"Medium","High"))</f>
        <v>High</v>
      </c>
    </row>
    <row r="1216" spans="1:30" x14ac:dyDescent="0.3">
      <c r="A1216">
        <v>44</v>
      </c>
      <c r="B1216">
        <v>1703</v>
      </c>
      <c r="C1216" t="s">
        <v>36</v>
      </c>
      <c r="D1216" t="s">
        <v>37</v>
      </c>
      <c r="E1216">
        <v>2</v>
      </c>
      <c r="F1216">
        <v>3</v>
      </c>
      <c r="G1216" t="s">
        <v>32</v>
      </c>
      <c r="H1216">
        <v>3</v>
      </c>
      <c r="I1216" t="s">
        <v>33</v>
      </c>
      <c r="J1216">
        <v>4</v>
      </c>
      <c r="K1216">
        <v>3</v>
      </c>
      <c r="L1216" t="s">
        <v>46</v>
      </c>
      <c r="M1216">
        <v>4</v>
      </c>
      <c r="N1216" t="s">
        <v>40</v>
      </c>
      <c r="O1216">
        <v>7879</v>
      </c>
      <c r="P1216">
        <v>1</v>
      </c>
      <c r="Q1216" t="s">
        <v>30</v>
      </c>
      <c r="R1216">
        <v>2</v>
      </c>
      <c r="S1216">
        <v>9</v>
      </c>
      <c r="T1216">
        <v>3</v>
      </c>
      <c r="U1216">
        <v>8</v>
      </c>
      <c r="V1216">
        <v>7</v>
      </c>
      <c r="W1216">
        <v>6</v>
      </c>
      <c r="X1216">
        <v>7</v>
      </c>
      <c r="Y1216">
        <v>19</v>
      </c>
      <c r="Z1216">
        <f>IF(H_A[[#This Row],[Attrition]]="Yes",1,0)</f>
        <v>0</v>
      </c>
      <c r="AA1216" t="str">
        <f>IF(H_A[[#This Row],[Age]]&lt;30,"Young",IF(H_A[[#This Row],[Age]]&lt;45,"Mid","Senior"))</f>
        <v>Mid</v>
      </c>
      <c r="AB1216" t="str">
        <f>IF(H_A[[#This Row],[MonthlyIncome]]&lt;5000,"Low",IF(H_A[[#This Row],[MonthlyIncome]]&lt;10000,"Medium","High"))</f>
        <v>Medium</v>
      </c>
      <c r="AC1216" t="str">
        <f>IF(H_A[[#This Row],[YearsAtCompany]]&lt;3,"Early",IF(H_A[[#This Row],[YearsAtCompany]]&lt;7,"Mid","Long"))</f>
        <v>Long</v>
      </c>
      <c r="AD1216" t="str">
        <f>IF(H_A[[#This Row],[PercentSalaryHike]]&lt;13,"Low",IF(H_A[[#This Row],[PercentSalaryHike]]&lt;18,"Medium","High"))</f>
        <v>High</v>
      </c>
    </row>
    <row r="1217" spans="1:30" x14ac:dyDescent="0.3">
      <c r="A1217">
        <v>35</v>
      </c>
      <c r="B1217">
        <v>1704</v>
      </c>
      <c r="C1217" t="s">
        <v>36</v>
      </c>
      <c r="D1217" t="s">
        <v>37</v>
      </c>
      <c r="E1217">
        <v>2</v>
      </c>
      <c r="F1217">
        <v>4</v>
      </c>
      <c r="G1217" t="s">
        <v>43</v>
      </c>
      <c r="H1217">
        <v>1</v>
      </c>
      <c r="I1217" t="s">
        <v>38</v>
      </c>
      <c r="J1217">
        <v>2</v>
      </c>
      <c r="K1217">
        <v>1</v>
      </c>
      <c r="L1217" t="s">
        <v>39</v>
      </c>
      <c r="M1217">
        <v>4</v>
      </c>
      <c r="N1217" t="s">
        <v>35</v>
      </c>
      <c r="O1217">
        <v>4930</v>
      </c>
      <c r="P1217">
        <v>0</v>
      </c>
      <c r="Q1217" t="s">
        <v>30</v>
      </c>
      <c r="R1217">
        <v>3</v>
      </c>
      <c r="S1217">
        <v>6</v>
      </c>
      <c r="T1217">
        <v>4</v>
      </c>
      <c r="U1217">
        <v>5</v>
      </c>
      <c r="V1217">
        <v>4</v>
      </c>
      <c r="W1217">
        <v>1</v>
      </c>
      <c r="X1217">
        <v>4</v>
      </c>
      <c r="Y1217">
        <v>14</v>
      </c>
      <c r="Z1217">
        <f>IF(H_A[[#This Row],[Attrition]]="Yes",1,0)</f>
        <v>0</v>
      </c>
      <c r="AA1217" t="str">
        <f>IF(H_A[[#This Row],[Age]]&lt;30,"Young",IF(H_A[[#This Row],[Age]]&lt;45,"Mid","Senior"))</f>
        <v>Mid</v>
      </c>
      <c r="AB1217" t="str">
        <f>IF(H_A[[#This Row],[MonthlyIncome]]&lt;5000,"Low",IF(H_A[[#This Row],[MonthlyIncome]]&lt;10000,"Medium","High"))</f>
        <v>Low</v>
      </c>
      <c r="AC1217" t="str">
        <f>IF(H_A[[#This Row],[YearsAtCompany]]&lt;3,"Early",IF(H_A[[#This Row],[YearsAtCompany]]&lt;7,"Mid","Long"))</f>
        <v>Mid</v>
      </c>
      <c r="AD1217" t="str">
        <f>IF(H_A[[#This Row],[PercentSalaryHike]]&lt;13,"Low",IF(H_A[[#This Row],[PercentSalaryHike]]&lt;18,"Medium","High"))</f>
        <v>Medium</v>
      </c>
    </row>
    <row r="1218" spans="1:30" x14ac:dyDescent="0.3">
      <c r="A1218">
        <v>43</v>
      </c>
      <c r="B1218">
        <v>1706</v>
      </c>
      <c r="C1218" t="s">
        <v>36</v>
      </c>
      <c r="D1218" t="s">
        <v>31</v>
      </c>
      <c r="E1218">
        <v>2</v>
      </c>
      <c r="F1218">
        <v>3</v>
      </c>
      <c r="G1218" t="s">
        <v>43</v>
      </c>
      <c r="H1218">
        <v>4</v>
      </c>
      <c r="I1218" t="s">
        <v>38</v>
      </c>
      <c r="J1218">
        <v>3</v>
      </c>
      <c r="K1218">
        <v>2</v>
      </c>
      <c r="L1218" t="s">
        <v>34</v>
      </c>
      <c r="M1218">
        <v>4</v>
      </c>
      <c r="N1218" t="s">
        <v>40</v>
      </c>
      <c r="O1218">
        <v>7847</v>
      </c>
      <c r="P1218">
        <v>1</v>
      </c>
      <c r="Q1218" t="s">
        <v>30</v>
      </c>
      <c r="R1218">
        <v>1</v>
      </c>
      <c r="S1218">
        <v>10</v>
      </c>
      <c r="T1218">
        <v>3</v>
      </c>
      <c r="U1218">
        <v>10</v>
      </c>
      <c r="V1218">
        <v>9</v>
      </c>
      <c r="W1218">
        <v>8</v>
      </c>
      <c r="X1218">
        <v>8</v>
      </c>
      <c r="Y1218">
        <v>17</v>
      </c>
      <c r="Z1218">
        <f>IF(H_A[[#This Row],[Attrition]]="Yes",1,0)</f>
        <v>0</v>
      </c>
      <c r="AA1218" t="str">
        <f>IF(H_A[[#This Row],[Age]]&lt;30,"Young",IF(H_A[[#This Row],[Age]]&lt;45,"Mid","Senior"))</f>
        <v>Mid</v>
      </c>
      <c r="AB1218" t="str">
        <f>IF(H_A[[#This Row],[MonthlyIncome]]&lt;5000,"Low",IF(H_A[[#This Row],[MonthlyIncome]]&lt;10000,"Medium","High"))</f>
        <v>Medium</v>
      </c>
      <c r="AC1218" t="str">
        <f>IF(H_A[[#This Row],[YearsAtCompany]]&lt;3,"Early",IF(H_A[[#This Row],[YearsAtCompany]]&lt;7,"Mid","Long"))</f>
        <v>Long</v>
      </c>
      <c r="AD1218" t="str">
        <f>IF(H_A[[#This Row],[PercentSalaryHike]]&lt;13,"Low",IF(H_A[[#This Row],[PercentSalaryHike]]&lt;18,"Medium","High"))</f>
        <v>Medium</v>
      </c>
    </row>
    <row r="1219" spans="1:30" x14ac:dyDescent="0.3">
      <c r="A1219">
        <v>24</v>
      </c>
      <c r="B1219">
        <v>1707</v>
      </c>
      <c r="C1219" t="s">
        <v>36</v>
      </c>
      <c r="D1219" t="s">
        <v>37</v>
      </c>
      <c r="E1219">
        <v>9</v>
      </c>
      <c r="F1219">
        <v>3</v>
      </c>
      <c r="G1219" t="s">
        <v>43</v>
      </c>
      <c r="H1219">
        <v>3</v>
      </c>
      <c r="I1219" t="s">
        <v>38</v>
      </c>
      <c r="J1219">
        <v>4</v>
      </c>
      <c r="K1219">
        <v>1</v>
      </c>
      <c r="L1219" t="s">
        <v>39</v>
      </c>
      <c r="M1219">
        <v>3</v>
      </c>
      <c r="N1219" t="s">
        <v>40</v>
      </c>
      <c r="O1219">
        <v>4401</v>
      </c>
      <c r="P1219">
        <v>1</v>
      </c>
      <c r="Q1219" t="s">
        <v>36</v>
      </c>
      <c r="R1219">
        <v>4</v>
      </c>
      <c r="S1219">
        <v>5</v>
      </c>
      <c r="T1219">
        <v>3</v>
      </c>
      <c r="U1219">
        <v>5</v>
      </c>
      <c r="V1219">
        <v>3</v>
      </c>
      <c r="W1219">
        <v>0</v>
      </c>
      <c r="X1219">
        <v>4</v>
      </c>
      <c r="Y1219">
        <v>16</v>
      </c>
      <c r="Z1219">
        <f>IF(H_A[[#This Row],[Attrition]]="Yes",1,0)</f>
        <v>0</v>
      </c>
      <c r="AA1219" t="str">
        <f>IF(H_A[[#This Row],[Age]]&lt;30,"Young",IF(H_A[[#This Row],[Age]]&lt;45,"Mid","Senior"))</f>
        <v>Young</v>
      </c>
      <c r="AB1219" t="str">
        <f>IF(H_A[[#This Row],[MonthlyIncome]]&lt;5000,"Low",IF(H_A[[#This Row],[MonthlyIncome]]&lt;10000,"Medium","High"))</f>
        <v>Low</v>
      </c>
      <c r="AC1219" t="str">
        <f>IF(H_A[[#This Row],[YearsAtCompany]]&lt;3,"Early",IF(H_A[[#This Row],[YearsAtCompany]]&lt;7,"Mid","Long"))</f>
        <v>Mid</v>
      </c>
      <c r="AD1219" t="str">
        <f>IF(H_A[[#This Row],[PercentSalaryHike]]&lt;13,"Low",IF(H_A[[#This Row],[PercentSalaryHike]]&lt;18,"Medium","High"))</f>
        <v>Medium</v>
      </c>
    </row>
    <row r="1220" spans="1:30" x14ac:dyDescent="0.3">
      <c r="A1220">
        <v>41</v>
      </c>
      <c r="B1220">
        <v>1708</v>
      </c>
      <c r="C1220" t="s">
        <v>36</v>
      </c>
      <c r="D1220" t="s">
        <v>31</v>
      </c>
      <c r="E1220">
        <v>6</v>
      </c>
      <c r="F1220">
        <v>3</v>
      </c>
      <c r="G1220" t="s">
        <v>50</v>
      </c>
      <c r="H1220">
        <v>4</v>
      </c>
      <c r="I1220" t="s">
        <v>38</v>
      </c>
      <c r="J1220">
        <v>3</v>
      </c>
      <c r="K1220">
        <v>3</v>
      </c>
      <c r="L1220" t="s">
        <v>34</v>
      </c>
      <c r="M1220">
        <v>3</v>
      </c>
      <c r="N1220" t="s">
        <v>35</v>
      </c>
      <c r="O1220">
        <v>9241</v>
      </c>
      <c r="P1220">
        <v>1</v>
      </c>
      <c r="Q1220" t="s">
        <v>36</v>
      </c>
      <c r="R1220">
        <v>2</v>
      </c>
      <c r="S1220">
        <v>10</v>
      </c>
      <c r="T1220">
        <v>3</v>
      </c>
      <c r="U1220">
        <v>10</v>
      </c>
      <c r="V1220">
        <v>8</v>
      </c>
      <c r="W1220">
        <v>8</v>
      </c>
      <c r="X1220">
        <v>7</v>
      </c>
      <c r="Y1220">
        <v>12</v>
      </c>
      <c r="Z1220">
        <f>IF(H_A[[#This Row],[Attrition]]="Yes",1,0)</f>
        <v>0</v>
      </c>
      <c r="AA1220" t="str">
        <f>IF(H_A[[#This Row],[Age]]&lt;30,"Young",IF(H_A[[#This Row],[Age]]&lt;45,"Mid","Senior"))</f>
        <v>Mid</v>
      </c>
      <c r="AB1220" t="str">
        <f>IF(H_A[[#This Row],[MonthlyIncome]]&lt;5000,"Low",IF(H_A[[#This Row],[MonthlyIncome]]&lt;10000,"Medium","High"))</f>
        <v>Medium</v>
      </c>
      <c r="AC1220" t="str">
        <f>IF(H_A[[#This Row],[YearsAtCompany]]&lt;3,"Early",IF(H_A[[#This Row],[YearsAtCompany]]&lt;7,"Mid","Long"))</f>
        <v>Long</v>
      </c>
      <c r="AD1220" t="str">
        <f>IF(H_A[[#This Row],[PercentSalaryHike]]&lt;13,"Low",IF(H_A[[#This Row],[PercentSalaryHike]]&lt;18,"Medium","High"))</f>
        <v>Low</v>
      </c>
    </row>
    <row r="1221" spans="1:30" x14ac:dyDescent="0.3">
      <c r="A1221">
        <v>29</v>
      </c>
      <c r="B1221">
        <v>1709</v>
      </c>
      <c r="C1221" t="s">
        <v>36</v>
      </c>
      <c r="D1221" t="s">
        <v>37</v>
      </c>
      <c r="E1221">
        <v>9</v>
      </c>
      <c r="F1221">
        <v>4</v>
      </c>
      <c r="G1221" t="s">
        <v>43</v>
      </c>
      <c r="H1221">
        <v>4</v>
      </c>
      <c r="I1221" t="s">
        <v>33</v>
      </c>
      <c r="J1221">
        <v>3</v>
      </c>
      <c r="K1221">
        <v>1</v>
      </c>
      <c r="L1221" t="s">
        <v>42</v>
      </c>
      <c r="M1221">
        <v>3</v>
      </c>
      <c r="N1221" t="s">
        <v>40</v>
      </c>
      <c r="O1221">
        <v>2974</v>
      </c>
      <c r="P1221">
        <v>9</v>
      </c>
      <c r="Q1221" t="s">
        <v>36</v>
      </c>
      <c r="R1221">
        <v>3</v>
      </c>
      <c r="S1221">
        <v>9</v>
      </c>
      <c r="T1221">
        <v>3</v>
      </c>
      <c r="U1221">
        <v>5</v>
      </c>
      <c r="V1221">
        <v>3</v>
      </c>
      <c r="W1221">
        <v>1</v>
      </c>
      <c r="X1221">
        <v>2</v>
      </c>
      <c r="Y1221">
        <v>17</v>
      </c>
      <c r="Z1221">
        <f>IF(H_A[[#This Row],[Attrition]]="Yes",1,0)</f>
        <v>0</v>
      </c>
      <c r="AA1221" t="str">
        <f>IF(H_A[[#This Row],[Age]]&lt;30,"Young",IF(H_A[[#This Row],[Age]]&lt;45,"Mid","Senior"))</f>
        <v>Young</v>
      </c>
      <c r="AB1221" t="str">
        <f>IF(H_A[[#This Row],[MonthlyIncome]]&lt;5000,"Low",IF(H_A[[#This Row],[MonthlyIncome]]&lt;10000,"Medium","High"))</f>
        <v>Low</v>
      </c>
      <c r="AC1221" t="str">
        <f>IF(H_A[[#This Row],[YearsAtCompany]]&lt;3,"Early",IF(H_A[[#This Row],[YearsAtCompany]]&lt;7,"Mid","Long"))</f>
        <v>Mid</v>
      </c>
      <c r="AD1221" t="str">
        <f>IF(H_A[[#This Row],[PercentSalaryHike]]&lt;13,"Low",IF(H_A[[#This Row],[PercentSalaryHike]]&lt;18,"Medium","High"))</f>
        <v>Medium</v>
      </c>
    </row>
    <row r="1222" spans="1:30" x14ac:dyDescent="0.3">
      <c r="A1222">
        <v>36</v>
      </c>
      <c r="B1222">
        <v>1710</v>
      </c>
      <c r="C1222" t="s">
        <v>36</v>
      </c>
      <c r="D1222" t="s">
        <v>31</v>
      </c>
      <c r="E1222">
        <v>2</v>
      </c>
      <c r="F1222">
        <v>4</v>
      </c>
      <c r="G1222" t="s">
        <v>32</v>
      </c>
      <c r="H1222">
        <v>3</v>
      </c>
      <c r="I1222" t="s">
        <v>33</v>
      </c>
      <c r="J1222">
        <v>3</v>
      </c>
      <c r="K1222">
        <v>2</v>
      </c>
      <c r="L1222" t="s">
        <v>48</v>
      </c>
      <c r="M1222">
        <v>4</v>
      </c>
      <c r="N1222" t="s">
        <v>35</v>
      </c>
      <c r="O1222">
        <v>4502</v>
      </c>
      <c r="P1222">
        <v>3</v>
      </c>
      <c r="Q1222" t="s">
        <v>36</v>
      </c>
      <c r="R1222">
        <v>3</v>
      </c>
      <c r="S1222">
        <v>17</v>
      </c>
      <c r="T1222">
        <v>2</v>
      </c>
      <c r="U1222">
        <v>13</v>
      </c>
      <c r="V1222">
        <v>7</v>
      </c>
      <c r="W1222">
        <v>6</v>
      </c>
      <c r="X1222">
        <v>7</v>
      </c>
      <c r="Y1222">
        <v>15</v>
      </c>
      <c r="Z1222">
        <f>IF(H_A[[#This Row],[Attrition]]="Yes",1,0)</f>
        <v>0</v>
      </c>
      <c r="AA1222" t="str">
        <f>IF(H_A[[#This Row],[Age]]&lt;30,"Young",IF(H_A[[#This Row],[Age]]&lt;45,"Mid","Senior"))</f>
        <v>Mid</v>
      </c>
      <c r="AB1222" t="str">
        <f>IF(H_A[[#This Row],[MonthlyIncome]]&lt;5000,"Low",IF(H_A[[#This Row],[MonthlyIncome]]&lt;10000,"Medium","High"))</f>
        <v>Low</v>
      </c>
      <c r="AC1222" t="str">
        <f>IF(H_A[[#This Row],[YearsAtCompany]]&lt;3,"Early",IF(H_A[[#This Row],[YearsAtCompany]]&lt;7,"Mid","Long"))</f>
        <v>Long</v>
      </c>
      <c r="AD1222" t="str">
        <f>IF(H_A[[#This Row],[PercentSalaryHike]]&lt;13,"Low",IF(H_A[[#This Row],[PercentSalaryHike]]&lt;18,"Medium","High"))</f>
        <v>Medium</v>
      </c>
    </row>
    <row r="1223" spans="1:30" x14ac:dyDescent="0.3">
      <c r="A1223">
        <v>45</v>
      </c>
      <c r="B1223">
        <v>1712</v>
      </c>
      <c r="C1223" t="s">
        <v>36</v>
      </c>
      <c r="D1223" t="s">
        <v>37</v>
      </c>
      <c r="E1223">
        <v>1</v>
      </c>
      <c r="F1223">
        <v>1</v>
      </c>
      <c r="G1223" t="s">
        <v>32</v>
      </c>
      <c r="H1223">
        <v>3</v>
      </c>
      <c r="I1223" t="s">
        <v>38</v>
      </c>
      <c r="J1223">
        <v>2</v>
      </c>
      <c r="K1223">
        <v>3</v>
      </c>
      <c r="L1223" t="s">
        <v>46</v>
      </c>
      <c r="M1223">
        <v>3</v>
      </c>
      <c r="N1223" t="s">
        <v>40</v>
      </c>
      <c r="O1223">
        <v>10748</v>
      </c>
      <c r="P1223">
        <v>3</v>
      </c>
      <c r="Q1223" t="s">
        <v>36</v>
      </c>
      <c r="R1223">
        <v>4</v>
      </c>
      <c r="S1223">
        <v>25</v>
      </c>
      <c r="T1223">
        <v>2</v>
      </c>
      <c r="U1223">
        <v>23</v>
      </c>
      <c r="V1223">
        <v>15</v>
      </c>
      <c r="W1223">
        <v>14</v>
      </c>
      <c r="X1223">
        <v>4</v>
      </c>
      <c r="Y1223">
        <v>23</v>
      </c>
      <c r="Z1223">
        <f>IF(H_A[[#This Row],[Attrition]]="Yes",1,0)</f>
        <v>0</v>
      </c>
      <c r="AA1223" t="str">
        <f>IF(H_A[[#This Row],[Age]]&lt;30,"Young",IF(H_A[[#This Row],[Age]]&lt;45,"Mid","Senior"))</f>
        <v>Senior</v>
      </c>
      <c r="AB1223" t="str">
        <f>IF(H_A[[#This Row],[MonthlyIncome]]&lt;5000,"Low",IF(H_A[[#This Row],[MonthlyIncome]]&lt;10000,"Medium","High"))</f>
        <v>High</v>
      </c>
      <c r="AC1223" t="str">
        <f>IF(H_A[[#This Row],[YearsAtCompany]]&lt;3,"Early",IF(H_A[[#This Row],[YearsAtCompany]]&lt;7,"Mid","Long"))</f>
        <v>Long</v>
      </c>
      <c r="AD1223" t="str">
        <f>IF(H_A[[#This Row],[PercentSalaryHike]]&lt;13,"Low",IF(H_A[[#This Row],[PercentSalaryHike]]&lt;18,"Medium","High"))</f>
        <v>High</v>
      </c>
    </row>
    <row r="1224" spans="1:30" x14ac:dyDescent="0.3">
      <c r="A1224">
        <v>24</v>
      </c>
      <c r="B1224">
        <v>1714</v>
      </c>
      <c r="C1224" t="s">
        <v>30</v>
      </c>
      <c r="D1224" t="s">
        <v>52</v>
      </c>
      <c r="E1224">
        <v>22</v>
      </c>
      <c r="F1224">
        <v>1</v>
      </c>
      <c r="G1224" t="s">
        <v>52</v>
      </c>
      <c r="H1224">
        <v>4</v>
      </c>
      <c r="I1224" t="s">
        <v>38</v>
      </c>
      <c r="J1224">
        <v>1</v>
      </c>
      <c r="K1224">
        <v>1</v>
      </c>
      <c r="L1224" t="s">
        <v>52</v>
      </c>
      <c r="M1224">
        <v>3</v>
      </c>
      <c r="N1224" t="s">
        <v>40</v>
      </c>
      <c r="O1224">
        <v>1555</v>
      </c>
      <c r="P1224">
        <v>1</v>
      </c>
      <c r="Q1224" t="s">
        <v>36</v>
      </c>
      <c r="R1224">
        <v>3</v>
      </c>
      <c r="S1224">
        <v>1</v>
      </c>
      <c r="T1224">
        <v>3</v>
      </c>
      <c r="U1224">
        <v>1</v>
      </c>
      <c r="V1224">
        <v>0</v>
      </c>
      <c r="W1224">
        <v>0</v>
      </c>
      <c r="X1224">
        <v>0</v>
      </c>
      <c r="Y1224">
        <v>11</v>
      </c>
      <c r="Z1224">
        <f>IF(H_A[[#This Row],[Attrition]]="Yes",1,0)</f>
        <v>1</v>
      </c>
      <c r="AA1224" t="str">
        <f>IF(H_A[[#This Row],[Age]]&lt;30,"Young",IF(H_A[[#This Row],[Age]]&lt;45,"Mid","Senior"))</f>
        <v>Young</v>
      </c>
      <c r="AB1224" t="str">
        <f>IF(H_A[[#This Row],[MonthlyIncome]]&lt;5000,"Low",IF(H_A[[#This Row],[MonthlyIncome]]&lt;10000,"Medium","High"))</f>
        <v>Low</v>
      </c>
      <c r="AC1224" t="str">
        <f>IF(H_A[[#This Row],[YearsAtCompany]]&lt;3,"Early",IF(H_A[[#This Row],[YearsAtCompany]]&lt;7,"Mid","Long"))</f>
        <v>Early</v>
      </c>
      <c r="AD1224" t="str">
        <f>IF(H_A[[#This Row],[PercentSalaryHike]]&lt;13,"Low",IF(H_A[[#This Row],[PercentSalaryHike]]&lt;18,"Medium","High"))</f>
        <v>Low</v>
      </c>
    </row>
    <row r="1225" spans="1:30" x14ac:dyDescent="0.3">
      <c r="A1225">
        <v>47</v>
      </c>
      <c r="B1225">
        <v>1716</v>
      </c>
      <c r="C1225" t="s">
        <v>30</v>
      </c>
      <c r="D1225" t="s">
        <v>31</v>
      </c>
      <c r="E1225">
        <v>9</v>
      </c>
      <c r="F1225">
        <v>3</v>
      </c>
      <c r="G1225" t="s">
        <v>32</v>
      </c>
      <c r="H1225">
        <v>3</v>
      </c>
      <c r="I1225" t="s">
        <v>38</v>
      </c>
      <c r="J1225">
        <v>1</v>
      </c>
      <c r="K1225">
        <v>4</v>
      </c>
      <c r="L1225" t="s">
        <v>34</v>
      </c>
      <c r="M1225">
        <v>3</v>
      </c>
      <c r="N1225" t="s">
        <v>40</v>
      </c>
      <c r="O1225">
        <v>12936</v>
      </c>
      <c r="P1225">
        <v>7</v>
      </c>
      <c r="Q1225" t="s">
        <v>36</v>
      </c>
      <c r="R1225">
        <v>3</v>
      </c>
      <c r="S1225">
        <v>25</v>
      </c>
      <c r="T1225">
        <v>1</v>
      </c>
      <c r="U1225">
        <v>23</v>
      </c>
      <c r="V1225">
        <v>5</v>
      </c>
      <c r="W1225">
        <v>14</v>
      </c>
      <c r="X1225">
        <v>10</v>
      </c>
      <c r="Y1225">
        <v>11</v>
      </c>
      <c r="Z1225">
        <f>IF(H_A[[#This Row],[Attrition]]="Yes",1,0)</f>
        <v>1</v>
      </c>
      <c r="AA1225" t="str">
        <f>IF(H_A[[#This Row],[Age]]&lt;30,"Young",IF(H_A[[#This Row],[Age]]&lt;45,"Mid","Senior"))</f>
        <v>Senior</v>
      </c>
      <c r="AB1225" t="str">
        <f>IF(H_A[[#This Row],[MonthlyIncome]]&lt;5000,"Low",IF(H_A[[#This Row],[MonthlyIncome]]&lt;10000,"Medium","High"))</f>
        <v>High</v>
      </c>
      <c r="AC1225" t="str">
        <f>IF(H_A[[#This Row],[YearsAtCompany]]&lt;3,"Early",IF(H_A[[#This Row],[YearsAtCompany]]&lt;7,"Mid","Long"))</f>
        <v>Long</v>
      </c>
      <c r="AD1225" t="str">
        <f>IF(H_A[[#This Row],[PercentSalaryHike]]&lt;13,"Low",IF(H_A[[#This Row],[PercentSalaryHike]]&lt;18,"Medium","High"))</f>
        <v>Low</v>
      </c>
    </row>
    <row r="1226" spans="1:30" x14ac:dyDescent="0.3">
      <c r="A1226">
        <v>26</v>
      </c>
      <c r="B1226">
        <v>1718</v>
      </c>
      <c r="C1226" t="s">
        <v>36</v>
      </c>
      <c r="D1226" t="s">
        <v>37</v>
      </c>
      <c r="E1226">
        <v>17</v>
      </c>
      <c r="F1226">
        <v>4</v>
      </c>
      <c r="G1226" t="s">
        <v>43</v>
      </c>
      <c r="H1226">
        <v>4</v>
      </c>
      <c r="I1226" t="s">
        <v>38</v>
      </c>
      <c r="J1226">
        <v>1</v>
      </c>
      <c r="K1226">
        <v>1</v>
      </c>
      <c r="L1226" t="s">
        <v>42</v>
      </c>
      <c r="M1226">
        <v>3</v>
      </c>
      <c r="N1226" t="s">
        <v>40</v>
      </c>
      <c r="O1226">
        <v>2305</v>
      </c>
      <c r="P1226">
        <v>1</v>
      </c>
      <c r="Q1226" t="s">
        <v>36</v>
      </c>
      <c r="R1226">
        <v>3</v>
      </c>
      <c r="S1226">
        <v>3</v>
      </c>
      <c r="T1226">
        <v>4</v>
      </c>
      <c r="U1226">
        <v>3</v>
      </c>
      <c r="V1226">
        <v>2</v>
      </c>
      <c r="W1226">
        <v>0</v>
      </c>
      <c r="X1226">
        <v>2</v>
      </c>
      <c r="Y1226">
        <v>15</v>
      </c>
      <c r="Z1226">
        <f>IF(H_A[[#This Row],[Attrition]]="Yes",1,0)</f>
        <v>0</v>
      </c>
      <c r="AA1226" t="str">
        <f>IF(H_A[[#This Row],[Age]]&lt;30,"Young",IF(H_A[[#This Row],[Age]]&lt;45,"Mid","Senior"))</f>
        <v>Young</v>
      </c>
      <c r="AB1226" t="str">
        <f>IF(H_A[[#This Row],[MonthlyIncome]]&lt;5000,"Low",IF(H_A[[#This Row],[MonthlyIncome]]&lt;10000,"Medium","High"))</f>
        <v>Low</v>
      </c>
      <c r="AC1226" t="str">
        <f>IF(H_A[[#This Row],[YearsAtCompany]]&lt;3,"Early",IF(H_A[[#This Row],[YearsAtCompany]]&lt;7,"Mid","Long"))</f>
        <v>Mid</v>
      </c>
      <c r="AD1226" t="str">
        <f>IF(H_A[[#This Row],[PercentSalaryHike]]&lt;13,"Low",IF(H_A[[#This Row],[PercentSalaryHike]]&lt;18,"Medium","High"))</f>
        <v>Medium</v>
      </c>
    </row>
    <row r="1227" spans="1:30" x14ac:dyDescent="0.3">
      <c r="A1227">
        <v>45</v>
      </c>
      <c r="B1227">
        <v>1719</v>
      </c>
      <c r="C1227" t="s">
        <v>36</v>
      </c>
      <c r="D1227" t="s">
        <v>37</v>
      </c>
      <c r="E1227">
        <v>28</v>
      </c>
      <c r="F1227">
        <v>2</v>
      </c>
      <c r="G1227" t="s">
        <v>51</v>
      </c>
      <c r="H1227">
        <v>4</v>
      </c>
      <c r="I1227" t="s">
        <v>33</v>
      </c>
      <c r="J1227">
        <v>2</v>
      </c>
      <c r="K1227">
        <v>4</v>
      </c>
      <c r="L1227" t="s">
        <v>49</v>
      </c>
      <c r="M1227">
        <v>2</v>
      </c>
      <c r="N1227" t="s">
        <v>35</v>
      </c>
      <c r="O1227">
        <v>16704</v>
      </c>
      <c r="P1227">
        <v>1</v>
      </c>
      <c r="Q1227" t="s">
        <v>36</v>
      </c>
      <c r="R1227">
        <v>3</v>
      </c>
      <c r="S1227">
        <v>21</v>
      </c>
      <c r="T1227">
        <v>3</v>
      </c>
      <c r="U1227">
        <v>21</v>
      </c>
      <c r="V1227">
        <v>6</v>
      </c>
      <c r="W1227">
        <v>8</v>
      </c>
      <c r="X1227">
        <v>6</v>
      </c>
      <c r="Y1227">
        <v>11</v>
      </c>
      <c r="Z1227">
        <f>IF(H_A[[#This Row],[Attrition]]="Yes",1,0)</f>
        <v>0</v>
      </c>
      <c r="AA1227" t="str">
        <f>IF(H_A[[#This Row],[Age]]&lt;30,"Young",IF(H_A[[#This Row],[Age]]&lt;45,"Mid","Senior"))</f>
        <v>Senior</v>
      </c>
      <c r="AB1227" t="str">
        <f>IF(H_A[[#This Row],[MonthlyIncome]]&lt;5000,"Low",IF(H_A[[#This Row],[MonthlyIncome]]&lt;10000,"Medium","High"))</f>
        <v>High</v>
      </c>
      <c r="AC1227" t="str">
        <f>IF(H_A[[#This Row],[YearsAtCompany]]&lt;3,"Early",IF(H_A[[#This Row],[YearsAtCompany]]&lt;7,"Mid","Long"))</f>
        <v>Long</v>
      </c>
      <c r="AD1227" t="str">
        <f>IF(H_A[[#This Row],[PercentSalaryHike]]&lt;13,"Low",IF(H_A[[#This Row],[PercentSalaryHike]]&lt;18,"Medium","High"))</f>
        <v>Low</v>
      </c>
    </row>
    <row r="1228" spans="1:30" x14ac:dyDescent="0.3">
      <c r="A1228">
        <v>32</v>
      </c>
      <c r="B1228">
        <v>1720</v>
      </c>
      <c r="C1228" t="s">
        <v>36</v>
      </c>
      <c r="D1228" t="s">
        <v>37</v>
      </c>
      <c r="E1228">
        <v>10</v>
      </c>
      <c r="F1228">
        <v>3</v>
      </c>
      <c r="G1228" t="s">
        <v>32</v>
      </c>
      <c r="H1228">
        <v>1</v>
      </c>
      <c r="I1228" t="s">
        <v>38</v>
      </c>
      <c r="J1228">
        <v>3</v>
      </c>
      <c r="K1228">
        <v>1</v>
      </c>
      <c r="L1228" t="s">
        <v>39</v>
      </c>
      <c r="M1228">
        <v>3</v>
      </c>
      <c r="N1228" t="s">
        <v>40</v>
      </c>
      <c r="O1228">
        <v>3433</v>
      </c>
      <c r="P1228">
        <v>6</v>
      </c>
      <c r="Q1228" t="s">
        <v>36</v>
      </c>
      <c r="R1228">
        <v>1</v>
      </c>
      <c r="S1228">
        <v>10</v>
      </c>
      <c r="T1228">
        <v>2</v>
      </c>
      <c r="U1228">
        <v>5</v>
      </c>
      <c r="V1228">
        <v>2</v>
      </c>
      <c r="W1228">
        <v>1</v>
      </c>
      <c r="X1228">
        <v>3</v>
      </c>
      <c r="Y1228">
        <v>13</v>
      </c>
      <c r="Z1228">
        <f>IF(H_A[[#This Row],[Attrition]]="Yes",1,0)</f>
        <v>0</v>
      </c>
      <c r="AA1228" t="str">
        <f>IF(H_A[[#This Row],[Age]]&lt;30,"Young",IF(H_A[[#This Row],[Age]]&lt;45,"Mid","Senior"))</f>
        <v>Mid</v>
      </c>
      <c r="AB1228" t="str">
        <f>IF(H_A[[#This Row],[MonthlyIncome]]&lt;5000,"Low",IF(H_A[[#This Row],[MonthlyIncome]]&lt;10000,"Medium","High"))</f>
        <v>Low</v>
      </c>
      <c r="AC1228" t="str">
        <f>IF(H_A[[#This Row],[YearsAtCompany]]&lt;3,"Early",IF(H_A[[#This Row],[YearsAtCompany]]&lt;7,"Mid","Long"))</f>
        <v>Mid</v>
      </c>
      <c r="AD1228" t="str">
        <f>IF(H_A[[#This Row],[PercentSalaryHike]]&lt;13,"Low",IF(H_A[[#This Row],[PercentSalaryHike]]&lt;18,"Medium","High"))</f>
        <v>Medium</v>
      </c>
    </row>
    <row r="1229" spans="1:30" x14ac:dyDescent="0.3">
      <c r="A1229">
        <v>31</v>
      </c>
      <c r="B1229">
        <v>1721</v>
      </c>
      <c r="C1229" t="s">
        <v>36</v>
      </c>
      <c r="D1229" t="s">
        <v>37</v>
      </c>
      <c r="E1229">
        <v>2</v>
      </c>
      <c r="F1229">
        <v>4</v>
      </c>
      <c r="G1229" t="s">
        <v>32</v>
      </c>
      <c r="H1229">
        <v>2</v>
      </c>
      <c r="I1229" t="s">
        <v>38</v>
      </c>
      <c r="J1229">
        <v>3</v>
      </c>
      <c r="K1229">
        <v>1</v>
      </c>
      <c r="L1229" t="s">
        <v>42</v>
      </c>
      <c r="M1229">
        <v>3</v>
      </c>
      <c r="N1229" t="s">
        <v>40</v>
      </c>
      <c r="O1229">
        <v>3477</v>
      </c>
      <c r="P1229">
        <v>1</v>
      </c>
      <c r="Q1229" t="s">
        <v>36</v>
      </c>
      <c r="R1229">
        <v>4</v>
      </c>
      <c r="S1229">
        <v>6</v>
      </c>
      <c r="T1229">
        <v>4</v>
      </c>
      <c r="U1229">
        <v>5</v>
      </c>
      <c r="V1229">
        <v>2</v>
      </c>
      <c r="W1229">
        <v>0</v>
      </c>
      <c r="X1229">
        <v>3</v>
      </c>
      <c r="Y1229">
        <v>14</v>
      </c>
      <c r="Z1229">
        <f>IF(H_A[[#This Row],[Attrition]]="Yes",1,0)</f>
        <v>0</v>
      </c>
      <c r="AA1229" t="str">
        <f>IF(H_A[[#This Row],[Age]]&lt;30,"Young",IF(H_A[[#This Row],[Age]]&lt;45,"Mid","Senior"))</f>
        <v>Mid</v>
      </c>
      <c r="AB1229" t="str">
        <f>IF(H_A[[#This Row],[MonthlyIncome]]&lt;5000,"Low",IF(H_A[[#This Row],[MonthlyIncome]]&lt;10000,"Medium","High"))</f>
        <v>Low</v>
      </c>
      <c r="AC1229" t="str">
        <f>IF(H_A[[#This Row],[YearsAtCompany]]&lt;3,"Early",IF(H_A[[#This Row],[YearsAtCompany]]&lt;7,"Mid","Long"))</f>
        <v>Mid</v>
      </c>
      <c r="AD1229" t="str">
        <f>IF(H_A[[#This Row],[PercentSalaryHike]]&lt;13,"Low",IF(H_A[[#This Row],[PercentSalaryHike]]&lt;18,"Medium","High"))</f>
        <v>Medium</v>
      </c>
    </row>
    <row r="1230" spans="1:30" x14ac:dyDescent="0.3">
      <c r="A1230">
        <v>41</v>
      </c>
      <c r="B1230">
        <v>1722</v>
      </c>
      <c r="C1230" t="s">
        <v>36</v>
      </c>
      <c r="D1230" t="s">
        <v>52</v>
      </c>
      <c r="E1230">
        <v>4</v>
      </c>
      <c r="F1230">
        <v>3</v>
      </c>
      <c r="G1230" t="s">
        <v>52</v>
      </c>
      <c r="H1230">
        <v>3</v>
      </c>
      <c r="I1230" t="s">
        <v>38</v>
      </c>
      <c r="J1230">
        <v>1</v>
      </c>
      <c r="K1230">
        <v>2</v>
      </c>
      <c r="L1230" t="s">
        <v>52</v>
      </c>
      <c r="M1230">
        <v>2</v>
      </c>
      <c r="N1230" t="s">
        <v>40</v>
      </c>
      <c r="O1230">
        <v>6430</v>
      </c>
      <c r="P1230">
        <v>6</v>
      </c>
      <c r="Q1230" t="s">
        <v>36</v>
      </c>
      <c r="R1230">
        <v>2</v>
      </c>
      <c r="S1230">
        <v>10</v>
      </c>
      <c r="T1230">
        <v>3</v>
      </c>
      <c r="U1230">
        <v>3</v>
      </c>
      <c r="V1230">
        <v>2</v>
      </c>
      <c r="W1230">
        <v>1</v>
      </c>
      <c r="X1230">
        <v>2</v>
      </c>
      <c r="Y1230">
        <v>19</v>
      </c>
      <c r="Z1230">
        <f>IF(H_A[[#This Row],[Attrition]]="Yes",1,0)</f>
        <v>0</v>
      </c>
      <c r="AA1230" t="str">
        <f>IF(H_A[[#This Row],[Age]]&lt;30,"Young",IF(H_A[[#This Row],[Age]]&lt;45,"Mid","Senior"))</f>
        <v>Mid</v>
      </c>
      <c r="AB1230" t="str">
        <f>IF(H_A[[#This Row],[MonthlyIncome]]&lt;5000,"Low",IF(H_A[[#This Row],[MonthlyIncome]]&lt;10000,"Medium","High"))</f>
        <v>Medium</v>
      </c>
      <c r="AC1230" t="str">
        <f>IF(H_A[[#This Row],[YearsAtCompany]]&lt;3,"Early",IF(H_A[[#This Row],[YearsAtCompany]]&lt;7,"Mid","Long"))</f>
        <v>Mid</v>
      </c>
      <c r="AD1230" t="str">
        <f>IF(H_A[[#This Row],[PercentSalaryHike]]&lt;13,"Low",IF(H_A[[#This Row],[PercentSalaryHike]]&lt;18,"Medium","High"))</f>
        <v>High</v>
      </c>
    </row>
    <row r="1231" spans="1:30" x14ac:dyDescent="0.3">
      <c r="A1231">
        <v>40</v>
      </c>
      <c r="B1231">
        <v>1724</v>
      </c>
      <c r="C1231" t="s">
        <v>36</v>
      </c>
      <c r="D1231" t="s">
        <v>37</v>
      </c>
      <c r="E1231">
        <v>8</v>
      </c>
      <c r="F1231">
        <v>2</v>
      </c>
      <c r="G1231" t="s">
        <v>32</v>
      </c>
      <c r="H1231">
        <v>2</v>
      </c>
      <c r="I1231" t="s">
        <v>33</v>
      </c>
      <c r="J1231">
        <v>3</v>
      </c>
      <c r="K1231">
        <v>2</v>
      </c>
      <c r="L1231" t="s">
        <v>45</v>
      </c>
      <c r="M1231">
        <v>1</v>
      </c>
      <c r="N1231" t="s">
        <v>40</v>
      </c>
      <c r="O1231">
        <v>6516</v>
      </c>
      <c r="P1231">
        <v>2</v>
      </c>
      <c r="Q1231" t="s">
        <v>30</v>
      </c>
      <c r="R1231">
        <v>2</v>
      </c>
      <c r="S1231">
        <v>18</v>
      </c>
      <c r="T1231">
        <v>3</v>
      </c>
      <c r="U1231">
        <v>1</v>
      </c>
      <c r="V1231">
        <v>0</v>
      </c>
      <c r="W1231">
        <v>0</v>
      </c>
      <c r="X1231">
        <v>0</v>
      </c>
      <c r="Y1231">
        <v>16</v>
      </c>
      <c r="Z1231">
        <f>IF(H_A[[#This Row],[Attrition]]="Yes",1,0)</f>
        <v>0</v>
      </c>
      <c r="AA1231" t="str">
        <f>IF(H_A[[#This Row],[Age]]&lt;30,"Young",IF(H_A[[#This Row],[Age]]&lt;45,"Mid","Senior"))</f>
        <v>Mid</v>
      </c>
      <c r="AB1231" t="str">
        <f>IF(H_A[[#This Row],[MonthlyIncome]]&lt;5000,"Low",IF(H_A[[#This Row],[MonthlyIncome]]&lt;10000,"Medium","High"))</f>
        <v>Medium</v>
      </c>
      <c r="AC1231" t="str">
        <f>IF(H_A[[#This Row],[YearsAtCompany]]&lt;3,"Early",IF(H_A[[#This Row],[YearsAtCompany]]&lt;7,"Mid","Long"))</f>
        <v>Early</v>
      </c>
      <c r="AD1231" t="str">
        <f>IF(H_A[[#This Row],[PercentSalaryHike]]&lt;13,"Low",IF(H_A[[#This Row],[PercentSalaryHike]]&lt;18,"Medium","High"))</f>
        <v>Medium</v>
      </c>
    </row>
    <row r="1232" spans="1:30" x14ac:dyDescent="0.3">
      <c r="A1232">
        <v>24</v>
      </c>
      <c r="B1232">
        <v>1725</v>
      </c>
      <c r="C1232" t="s">
        <v>36</v>
      </c>
      <c r="D1232" t="s">
        <v>37</v>
      </c>
      <c r="E1232">
        <v>29</v>
      </c>
      <c r="F1232">
        <v>1</v>
      </c>
      <c r="G1232" t="s">
        <v>43</v>
      </c>
      <c r="H1232">
        <v>2</v>
      </c>
      <c r="I1232" t="s">
        <v>38</v>
      </c>
      <c r="J1232">
        <v>3</v>
      </c>
      <c r="K1232">
        <v>1</v>
      </c>
      <c r="L1232" t="s">
        <v>42</v>
      </c>
      <c r="M1232">
        <v>1</v>
      </c>
      <c r="N1232" t="s">
        <v>44</v>
      </c>
      <c r="O1232">
        <v>3907</v>
      </c>
      <c r="P1232">
        <v>1</v>
      </c>
      <c r="Q1232" t="s">
        <v>36</v>
      </c>
      <c r="R1232">
        <v>2</v>
      </c>
      <c r="S1232">
        <v>6</v>
      </c>
      <c r="T1232">
        <v>4</v>
      </c>
      <c r="U1232">
        <v>6</v>
      </c>
      <c r="V1232">
        <v>2</v>
      </c>
      <c r="W1232">
        <v>1</v>
      </c>
      <c r="X1232">
        <v>2</v>
      </c>
      <c r="Y1232">
        <v>13</v>
      </c>
      <c r="Z1232">
        <f>IF(H_A[[#This Row],[Attrition]]="Yes",1,0)</f>
        <v>0</v>
      </c>
      <c r="AA1232" t="str">
        <f>IF(H_A[[#This Row],[Age]]&lt;30,"Young",IF(H_A[[#This Row],[Age]]&lt;45,"Mid","Senior"))</f>
        <v>Young</v>
      </c>
      <c r="AB1232" t="str">
        <f>IF(H_A[[#This Row],[MonthlyIncome]]&lt;5000,"Low",IF(H_A[[#This Row],[MonthlyIncome]]&lt;10000,"Medium","High"))</f>
        <v>Low</v>
      </c>
      <c r="AC1232" t="str">
        <f>IF(H_A[[#This Row],[YearsAtCompany]]&lt;3,"Early",IF(H_A[[#This Row],[YearsAtCompany]]&lt;7,"Mid","Long"))</f>
        <v>Mid</v>
      </c>
      <c r="AD1232" t="str">
        <f>IF(H_A[[#This Row],[PercentSalaryHike]]&lt;13,"Low",IF(H_A[[#This Row],[PercentSalaryHike]]&lt;18,"Medium","High"))</f>
        <v>Medium</v>
      </c>
    </row>
    <row r="1233" spans="1:30" x14ac:dyDescent="0.3">
      <c r="A1233">
        <v>46</v>
      </c>
      <c r="B1233">
        <v>1727</v>
      </c>
      <c r="C1233" t="s">
        <v>36</v>
      </c>
      <c r="D1233" t="s">
        <v>37</v>
      </c>
      <c r="E1233">
        <v>13</v>
      </c>
      <c r="F1233">
        <v>4</v>
      </c>
      <c r="G1233" t="s">
        <v>32</v>
      </c>
      <c r="H1233">
        <v>3</v>
      </c>
      <c r="I1233" t="s">
        <v>38</v>
      </c>
      <c r="J1233">
        <v>3</v>
      </c>
      <c r="K1233">
        <v>2</v>
      </c>
      <c r="L1233" t="s">
        <v>46</v>
      </c>
      <c r="M1233">
        <v>2</v>
      </c>
      <c r="N1233" t="s">
        <v>35</v>
      </c>
      <c r="O1233">
        <v>5562</v>
      </c>
      <c r="P1233">
        <v>6</v>
      </c>
      <c r="Q1233" t="s">
        <v>36</v>
      </c>
      <c r="R1233">
        <v>4</v>
      </c>
      <c r="S1233">
        <v>19</v>
      </c>
      <c r="T1233">
        <v>3</v>
      </c>
      <c r="U1233">
        <v>10</v>
      </c>
      <c r="V1233">
        <v>7</v>
      </c>
      <c r="W1233">
        <v>0</v>
      </c>
      <c r="X1233">
        <v>9</v>
      </c>
      <c r="Y1233">
        <v>14</v>
      </c>
      <c r="Z1233">
        <f>IF(H_A[[#This Row],[Attrition]]="Yes",1,0)</f>
        <v>0</v>
      </c>
      <c r="AA1233" t="str">
        <f>IF(H_A[[#This Row],[Age]]&lt;30,"Young",IF(H_A[[#This Row],[Age]]&lt;45,"Mid","Senior"))</f>
        <v>Senior</v>
      </c>
      <c r="AB1233" t="str">
        <f>IF(H_A[[#This Row],[MonthlyIncome]]&lt;5000,"Low",IF(H_A[[#This Row],[MonthlyIncome]]&lt;10000,"Medium","High"))</f>
        <v>Medium</v>
      </c>
      <c r="AC1233" t="str">
        <f>IF(H_A[[#This Row],[YearsAtCompany]]&lt;3,"Early",IF(H_A[[#This Row],[YearsAtCompany]]&lt;7,"Mid","Long"))</f>
        <v>Long</v>
      </c>
      <c r="AD1233" t="str">
        <f>IF(H_A[[#This Row],[PercentSalaryHike]]&lt;13,"Low",IF(H_A[[#This Row],[PercentSalaryHike]]&lt;18,"Medium","High"))</f>
        <v>Medium</v>
      </c>
    </row>
    <row r="1234" spans="1:30" x14ac:dyDescent="0.3">
      <c r="A1234">
        <v>35</v>
      </c>
      <c r="B1234">
        <v>1728</v>
      </c>
      <c r="C1234" t="s">
        <v>36</v>
      </c>
      <c r="D1234" t="s">
        <v>37</v>
      </c>
      <c r="E1234">
        <v>27</v>
      </c>
      <c r="F1234">
        <v>4</v>
      </c>
      <c r="G1234" t="s">
        <v>32</v>
      </c>
      <c r="H1234">
        <v>4</v>
      </c>
      <c r="I1234" t="s">
        <v>38</v>
      </c>
      <c r="J1234">
        <v>3</v>
      </c>
      <c r="K1234">
        <v>2</v>
      </c>
      <c r="L1234" t="s">
        <v>45</v>
      </c>
      <c r="M1234">
        <v>3</v>
      </c>
      <c r="N1234" t="s">
        <v>40</v>
      </c>
      <c r="O1234">
        <v>6883</v>
      </c>
      <c r="P1234">
        <v>2</v>
      </c>
      <c r="Q1234" t="s">
        <v>36</v>
      </c>
      <c r="R1234">
        <v>2</v>
      </c>
      <c r="S1234">
        <v>17</v>
      </c>
      <c r="T1234">
        <v>3</v>
      </c>
      <c r="U1234">
        <v>7</v>
      </c>
      <c r="V1234">
        <v>7</v>
      </c>
      <c r="W1234">
        <v>0</v>
      </c>
      <c r="X1234">
        <v>7</v>
      </c>
      <c r="Y1234">
        <v>16</v>
      </c>
      <c r="Z1234">
        <f>IF(H_A[[#This Row],[Attrition]]="Yes",1,0)</f>
        <v>0</v>
      </c>
      <c r="AA1234" t="str">
        <f>IF(H_A[[#This Row],[Age]]&lt;30,"Young",IF(H_A[[#This Row],[Age]]&lt;45,"Mid","Senior"))</f>
        <v>Mid</v>
      </c>
      <c r="AB1234" t="str">
        <f>IF(H_A[[#This Row],[MonthlyIncome]]&lt;5000,"Low",IF(H_A[[#This Row],[MonthlyIncome]]&lt;10000,"Medium","High"))</f>
        <v>Medium</v>
      </c>
      <c r="AC1234" t="str">
        <f>IF(H_A[[#This Row],[YearsAtCompany]]&lt;3,"Early",IF(H_A[[#This Row],[YearsAtCompany]]&lt;7,"Mid","Long"))</f>
        <v>Long</v>
      </c>
      <c r="AD1234" t="str">
        <f>IF(H_A[[#This Row],[PercentSalaryHike]]&lt;13,"Low",IF(H_A[[#This Row],[PercentSalaryHike]]&lt;18,"Medium","High"))</f>
        <v>Medium</v>
      </c>
    </row>
    <row r="1235" spans="1:30" x14ac:dyDescent="0.3">
      <c r="A1235">
        <v>30</v>
      </c>
      <c r="B1235">
        <v>1729</v>
      </c>
      <c r="C1235" t="s">
        <v>36</v>
      </c>
      <c r="D1235" t="s">
        <v>37</v>
      </c>
      <c r="E1235">
        <v>16</v>
      </c>
      <c r="F1235">
        <v>1</v>
      </c>
      <c r="G1235" t="s">
        <v>32</v>
      </c>
      <c r="H1235">
        <v>2</v>
      </c>
      <c r="I1235" t="s">
        <v>38</v>
      </c>
      <c r="J1235">
        <v>3</v>
      </c>
      <c r="K1235">
        <v>1</v>
      </c>
      <c r="L1235" t="s">
        <v>39</v>
      </c>
      <c r="M1235">
        <v>4</v>
      </c>
      <c r="N1235" t="s">
        <v>40</v>
      </c>
      <c r="O1235">
        <v>2862</v>
      </c>
      <c r="P1235">
        <v>1</v>
      </c>
      <c r="Q1235" t="s">
        <v>36</v>
      </c>
      <c r="R1235">
        <v>2</v>
      </c>
      <c r="S1235">
        <v>10</v>
      </c>
      <c r="T1235">
        <v>2</v>
      </c>
      <c r="U1235">
        <v>10</v>
      </c>
      <c r="V1235">
        <v>0</v>
      </c>
      <c r="W1235">
        <v>0</v>
      </c>
      <c r="X1235">
        <v>8</v>
      </c>
      <c r="Y1235">
        <v>12</v>
      </c>
      <c r="Z1235">
        <f>IF(H_A[[#This Row],[Attrition]]="Yes",1,0)</f>
        <v>0</v>
      </c>
      <c r="AA1235" t="str">
        <f>IF(H_A[[#This Row],[Age]]&lt;30,"Young",IF(H_A[[#This Row],[Age]]&lt;45,"Mid","Senior"))</f>
        <v>Mid</v>
      </c>
      <c r="AB1235" t="str">
        <f>IF(H_A[[#This Row],[MonthlyIncome]]&lt;5000,"Low",IF(H_A[[#This Row],[MonthlyIncome]]&lt;10000,"Medium","High"))</f>
        <v>Low</v>
      </c>
      <c r="AC1235" t="str">
        <f>IF(H_A[[#This Row],[YearsAtCompany]]&lt;3,"Early",IF(H_A[[#This Row],[YearsAtCompany]]&lt;7,"Mid","Long"))</f>
        <v>Long</v>
      </c>
      <c r="AD1235" t="str">
        <f>IF(H_A[[#This Row],[PercentSalaryHike]]&lt;13,"Low",IF(H_A[[#This Row],[PercentSalaryHike]]&lt;18,"Medium","High"))</f>
        <v>Low</v>
      </c>
    </row>
    <row r="1236" spans="1:30" x14ac:dyDescent="0.3">
      <c r="A1236">
        <v>47</v>
      </c>
      <c r="B1236">
        <v>1731</v>
      </c>
      <c r="C1236" t="s">
        <v>36</v>
      </c>
      <c r="D1236" t="s">
        <v>31</v>
      </c>
      <c r="E1236">
        <v>2</v>
      </c>
      <c r="F1236">
        <v>4</v>
      </c>
      <c r="G1236" t="s">
        <v>50</v>
      </c>
      <c r="H1236">
        <v>3</v>
      </c>
      <c r="I1236" t="s">
        <v>38</v>
      </c>
      <c r="J1236">
        <v>3</v>
      </c>
      <c r="K1236">
        <v>2</v>
      </c>
      <c r="L1236" t="s">
        <v>34</v>
      </c>
      <c r="M1236">
        <v>2</v>
      </c>
      <c r="N1236" t="s">
        <v>40</v>
      </c>
      <c r="O1236">
        <v>4978</v>
      </c>
      <c r="P1236">
        <v>7</v>
      </c>
      <c r="Q1236" t="s">
        <v>36</v>
      </c>
      <c r="R1236">
        <v>4</v>
      </c>
      <c r="S1236">
        <v>4</v>
      </c>
      <c r="T1236">
        <v>1</v>
      </c>
      <c r="U1236">
        <v>1</v>
      </c>
      <c r="V1236">
        <v>0</v>
      </c>
      <c r="W1236">
        <v>0</v>
      </c>
      <c r="X1236">
        <v>0</v>
      </c>
      <c r="Y1236">
        <v>11</v>
      </c>
      <c r="Z1236">
        <f>IF(H_A[[#This Row],[Attrition]]="Yes",1,0)</f>
        <v>0</v>
      </c>
      <c r="AA1236" t="str">
        <f>IF(H_A[[#This Row],[Age]]&lt;30,"Young",IF(H_A[[#This Row],[Age]]&lt;45,"Mid","Senior"))</f>
        <v>Senior</v>
      </c>
      <c r="AB1236" t="str">
        <f>IF(H_A[[#This Row],[MonthlyIncome]]&lt;5000,"Low",IF(H_A[[#This Row],[MonthlyIncome]]&lt;10000,"Medium","High"))</f>
        <v>Low</v>
      </c>
      <c r="AC1236" t="str">
        <f>IF(H_A[[#This Row],[YearsAtCompany]]&lt;3,"Early",IF(H_A[[#This Row],[YearsAtCompany]]&lt;7,"Mid","Long"))</f>
        <v>Early</v>
      </c>
      <c r="AD1236" t="str">
        <f>IF(H_A[[#This Row],[PercentSalaryHike]]&lt;13,"Low",IF(H_A[[#This Row],[PercentSalaryHike]]&lt;18,"Medium","High"))</f>
        <v>Low</v>
      </c>
    </row>
    <row r="1237" spans="1:30" x14ac:dyDescent="0.3">
      <c r="A1237">
        <v>46</v>
      </c>
      <c r="B1237">
        <v>1732</v>
      </c>
      <c r="C1237" t="s">
        <v>36</v>
      </c>
      <c r="D1237" t="s">
        <v>31</v>
      </c>
      <c r="E1237">
        <v>2</v>
      </c>
      <c r="F1237">
        <v>3</v>
      </c>
      <c r="G1237" t="s">
        <v>32</v>
      </c>
      <c r="H1237">
        <v>3</v>
      </c>
      <c r="I1237" t="s">
        <v>38</v>
      </c>
      <c r="J1237">
        <v>3</v>
      </c>
      <c r="K1237">
        <v>3</v>
      </c>
      <c r="L1237" t="s">
        <v>34</v>
      </c>
      <c r="M1237">
        <v>4</v>
      </c>
      <c r="N1237" t="s">
        <v>44</v>
      </c>
      <c r="O1237">
        <v>10368</v>
      </c>
      <c r="P1237">
        <v>4</v>
      </c>
      <c r="Q1237" t="s">
        <v>30</v>
      </c>
      <c r="R1237">
        <v>2</v>
      </c>
      <c r="S1237">
        <v>13</v>
      </c>
      <c r="T1237">
        <v>2</v>
      </c>
      <c r="U1237">
        <v>10</v>
      </c>
      <c r="V1237">
        <v>6</v>
      </c>
      <c r="W1237">
        <v>0</v>
      </c>
      <c r="X1237">
        <v>3</v>
      </c>
      <c r="Y1237">
        <v>12</v>
      </c>
      <c r="Z1237">
        <f>IF(H_A[[#This Row],[Attrition]]="Yes",1,0)</f>
        <v>0</v>
      </c>
      <c r="AA1237" t="str">
        <f>IF(H_A[[#This Row],[Age]]&lt;30,"Young",IF(H_A[[#This Row],[Age]]&lt;45,"Mid","Senior"))</f>
        <v>Senior</v>
      </c>
      <c r="AB1237" t="str">
        <f>IF(H_A[[#This Row],[MonthlyIncome]]&lt;5000,"Low",IF(H_A[[#This Row],[MonthlyIncome]]&lt;10000,"Medium","High"))</f>
        <v>High</v>
      </c>
      <c r="AC1237" t="str">
        <f>IF(H_A[[#This Row],[YearsAtCompany]]&lt;3,"Early",IF(H_A[[#This Row],[YearsAtCompany]]&lt;7,"Mid","Long"))</f>
        <v>Long</v>
      </c>
      <c r="AD1237" t="str">
        <f>IF(H_A[[#This Row],[PercentSalaryHike]]&lt;13,"Low",IF(H_A[[#This Row],[PercentSalaryHike]]&lt;18,"Medium","High"))</f>
        <v>Low</v>
      </c>
    </row>
    <row r="1238" spans="1:30" x14ac:dyDescent="0.3">
      <c r="A1238">
        <v>36</v>
      </c>
      <c r="B1238">
        <v>1733</v>
      </c>
      <c r="C1238" t="s">
        <v>30</v>
      </c>
      <c r="D1238" t="s">
        <v>31</v>
      </c>
      <c r="E1238">
        <v>13</v>
      </c>
      <c r="F1238">
        <v>5</v>
      </c>
      <c r="G1238" t="s">
        <v>50</v>
      </c>
      <c r="H1238">
        <v>2</v>
      </c>
      <c r="I1238" t="s">
        <v>38</v>
      </c>
      <c r="J1238">
        <v>2</v>
      </c>
      <c r="K1238">
        <v>2</v>
      </c>
      <c r="L1238" t="s">
        <v>34</v>
      </c>
      <c r="M1238">
        <v>1</v>
      </c>
      <c r="N1238" t="s">
        <v>44</v>
      </c>
      <c r="O1238">
        <v>6134</v>
      </c>
      <c r="P1238">
        <v>5</v>
      </c>
      <c r="Q1238" t="s">
        <v>30</v>
      </c>
      <c r="R1238">
        <v>2</v>
      </c>
      <c r="S1238">
        <v>16</v>
      </c>
      <c r="T1238">
        <v>3</v>
      </c>
      <c r="U1238">
        <v>2</v>
      </c>
      <c r="V1238">
        <v>2</v>
      </c>
      <c r="W1238">
        <v>2</v>
      </c>
      <c r="X1238">
        <v>2</v>
      </c>
      <c r="Y1238">
        <v>13</v>
      </c>
      <c r="Z1238">
        <f>IF(H_A[[#This Row],[Attrition]]="Yes",1,0)</f>
        <v>1</v>
      </c>
      <c r="AA1238" t="str">
        <f>IF(H_A[[#This Row],[Age]]&lt;30,"Young",IF(H_A[[#This Row],[Age]]&lt;45,"Mid","Senior"))</f>
        <v>Mid</v>
      </c>
      <c r="AB1238" t="str">
        <f>IF(H_A[[#This Row],[MonthlyIncome]]&lt;5000,"Low",IF(H_A[[#This Row],[MonthlyIncome]]&lt;10000,"Medium","High"))</f>
        <v>Medium</v>
      </c>
      <c r="AC1238" t="str">
        <f>IF(H_A[[#This Row],[YearsAtCompany]]&lt;3,"Early",IF(H_A[[#This Row],[YearsAtCompany]]&lt;7,"Mid","Long"))</f>
        <v>Early</v>
      </c>
      <c r="AD1238" t="str">
        <f>IF(H_A[[#This Row],[PercentSalaryHike]]&lt;13,"Low",IF(H_A[[#This Row],[PercentSalaryHike]]&lt;18,"Medium","High"))</f>
        <v>Medium</v>
      </c>
    </row>
    <row r="1239" spans="1:30" x14ac:dyDescent="0.3">
      <c r="A1239">
        <v>32</v>
      </c>
      <c r="B1239">
        <v>1734</v>
      </c>
      <c r="C1239" t="s">
        <v>30</v>
      </c>
      <c r="D1239" t="s">
        <v>31</v>
      </c>
      <c r="E1239">
        <v>1</v>
      </c>
      <c r="F1239">
        <v>2</v>
      </c>
      <c r="G1239" t="s">
        <v>32</v>
      </c>
      <c r="H1239">
        <v>1</v>
      </c>
      <c r="I1239" t="s">
        <v>38</v>
      </c>
      <c r="J1239">
        <v>1</v>
      </c>
      <c r="K1239">
        <v>2</v>
      </c>
      <c r="L1239" t="s">
        <v>34</v>
      </c>
      <c r="M1239">
        <v>2</v>
      </c>
      <c r="N1239" t="s">
        <v>35</v>
      </c>
      <c r="O1239">
        <v>6735</v>
      </c>
      <c r="P1239">
        <v>6</v>
      </c>
      <c r="Q1239" t="s">
        <v>36</v>
      </c>
      <c r="R1239">
        <v>2</v>
      </c>
      <c r="S1239">
        <v>10</v>
      </c>
      <c r="T1239">
        <v>3</v>
      </c>
      <c r="U1239">
        <v>0</v>
      </c>
      <c r="V1239">
        <v>0</v>
      </c>
      <c r="W1239">
        <v>0</v>
      </c>
      <c r="X1239">
        <v>0</v>
      </c>
      <c r="Y1239">
        <v>15</v>
      </c>
      <c r="Z1239">
        <f>IF(H_A[[#This Row],[Attrition]]="Yes",1,0)</f>
        <v>1</v>
      </c>
      <c r="AA1239" t="str">
        <f>IF(H_A[[#This Row],[Age]]&lt;30,"Young",IF(H_A[[#This Row],[Age]]&lt;45,"Mid","Senior"))</f>
        <v>Mid</v>
      </c>
      <c r="AB1239" t="str">
        <f>IF(H_A[[#This Row],[MonthlyIncome]]&lt;5000,"Low",IF(H_A[[#This Row],[MonthlyIncome]]&lt;10000,"Medium","High"))</f>
        <v>Medium</v>
      </c>
      <c r="AC1239" t="str">
        <f>IF(H_A[[#This Row],[YearsAtCompany]]&lt;3,"Early",IF(H_A[[#This Row],[YearsAtCompany]]&lt;7,"Mid","Long"))</f>
        <v>Early</v>
      </c>
      <c r="AD1239" t="str">
        <f>IF(H_A[[#This Row],[PercentSalaryHike]]&lt;13,"Low",IF(H_A[[#This Row],[PercentSalaryHike]]&lt;18,"Medium","High"))</f>
        <v>Medium</v>
      </c>
    </row>
    <row r="1240" spans="1:30" x14ac:dyDescent="0.3">
      <c r="A1240">
        <v>23</v>
      </c>
      <c r="B1240">
        <v>1735</v>
      </c>
      <c r="C1240" t="s">
        <v>36</v>
      </c>
      <c r="D1240" t="s">
        <v>37</v>
      </c>
      <c r="E1240">
        <v>4</v>
      </c>
      <c r="F1240">
        <v>1</v>
      </c>
      <c r="G1240" t="s">
        <v>43</v>
      </c>
      <c r="H1240">
        <v>3</v>
      </c>
      <c r="I1240" t="s">
        <v>33</v>
      </c>
      <c r="J1240">
        <v>3</v>
      </c>
      <c r="K1240">
        <v>1</v>
      </c>
      <c r="L1240" t="s">
        <v>42</v>
      </c>
      <c r="M1240">
        <v>2</v>
      </c>
      <c r="N1240" t="s">
        <v>35</v>
      </c>
      <c r="O1240">
        <v>3295</v>
      </c>
      <c r="P1240">
        <v>1</v>
      </c>
      <c r="Q1240" t="s">
        <v>36</v>
      </c>
      <c r="R1240">
        <v>3</v>
      </c>
      <c r="S1240">
        <v>3</v>
      </c>
      <c r="T1240">
        <v>1</v>
      </c>
      <c r="U1240">
        <v>3</v>
      </c>
      <c r="V1240">
        <v>2</v>
      </c>
      <c r="W1240">
        <v>1</v>
      </c>
      <c r="X1240">
        <v>2</v>
      </c>
      <c r="Y1240">
        <v>13</v>
      </c>
      <c r="Z1240">
        <f>IF(H_A[[#This Row],[Attrition]]="Yes",1,0)</f>
        <v>0</v>
      </c>
      <c r="AA1240" t="str">
        <f>IF(H_A[[#This Row],[Age]]&lt;30,"Young",IF(H_A[[#This Row],[Age]]&lt;45,"Mid","Senior"))</f>
        <v>Young</v>
      </c>
      <c r="AB1240" t="str">
        <f>IF(H_A[[#This Row],[MonthlyIncome]]&lt;5000,"Low",IF(H_A[[#This Row],[MonthlyIncome]]&lt;10000,"Medium","High"))</f>
        <v>Low</v>
      </c>
      <c r="AC1240" t="str">
        <f>IF(H_A[[#This Row],[YearsAtCompany]]&lt;3,"Early",IF(H_A[[#This Row],[YearsAtCompany]]&lt;7,"Mid","Long"))</f>
        <v>Mid</v>
      </c>
      <c r="AD1240" t="str">
        <f>IF(H_A[[#This Row],[PercentSalaryHike]]&lt;13,"Low",IF(H_A[[#This Row],[PercentSalaryHike]]&lt;18,"Medium","High"))</f>
        <v>Medium</v>
      </c>
    </row>
    <row r="1241" spans="1:30" x14ac:dyDescent="0.3">
      <c r="A1241">
        <v>31</v>
      </c>
      <c r="B1241">
        <v>1736</v>
      </c>
      <c r="C1241" t="s">
        <v>36</v>
      </c>
      <c r="D1241" t="s">
        <v>37</v>
      </c>
      <c r="E1241">
        <v>24</v>
      </c>
      <c r="F1241">
        <v>1</v>
      </c>
      <c r="G1241" t="s">
        <v>51</v>
      </c>
      <c r="H1241">
        <v>4</v>
      </c>
      <c r="I1241" t="s">
        <v>33</v>
      </c>
      <c r="J1241">
        <v>3</v>
      </c>
      <c r="K1241">
        <v>2</v>
      </c>
      <c r="L1241" t="s">
        <v>45</v>
      </c>
      <c r="M1241">
        <v>4</v>
      </c>
      <c r="N1241" t="s">
        <v>35</v>
      </c>
      <c r="O1241">
        <v>5238</v>
      </c>
      <c r="P1241">
        <v>2</v>
      </c>
      <c r="Q1241" t="s">
        <v>36</v>
      </c>
      <c r="R1241">
        <v>4</v>
      </c>
      <c r="S1241">
        <v>9</v>
      </c>
      <c r="T1241">
        <v>2</v>
      </c>
      <c r="U1241">
        <v>5</v>
      </c>
      <c r="V1241">
        <v>4</v>
      </c>
      <c r="W1241">
        <v>1</v>
      </c>
      <c r="X1241">
        <v>4</v>
      </c>
      <c r="Y1241">
        <v>20</v>
      </c>
      <c r="Z1241">
        <f>IF(H_A[[#This Row],[Attrition]]="Yes",1,0)</f>
        <v>0</v>
      </c>
      <c r="AA1241" t="str">
        <f>IF(H_A[[#This Row],[Age]]&lt;30,"Young",IF(H_A[[#This Row],[Age]]&lt;45,"Mid","Senior"))</f>
        <v>Mid</v>
      </c>
      <c r="AB1241" t="str">
        <f>IF(H_A[[#This Row],[MonthlyIncome]]&lt;5000,"Low",IF(H_A[[#This Row],[MonthlyIncome]]&lt;10000,"Medium","High"))</f>
        <v>Medium</v>
      </c>
      <c r="AC1241" t="str">
        <f>IF(H_A[[#This Row],[YearsAtCompany]]&lt;3,"Early",IF(H_A[[#This Row],[YearsAtCompany]]&lt;7,"Mid","Long"))</f>
        <v>Mid</v>
      </c>
      <c r="AD1241" t="str">
        <f>IF(H_A[[#This Row],[PercentSalaryHike]]&lt;13,"Low",IF(H_A[[#This Row],[PercentSalaryHike]]&lt;18,"Medium","High"))</f>
        <v>High</v>
      </c>
    </row>
    <row r="1242" spans="1:30" x14ac:dyDescent="0.3">
      <c r="A1242">
        <v>39</v>
      </c>
      <c r="B1242">
        <v>1737</v>
      </c>
      <c r="C1242" t="s">
        <v>36</v>
      </c>
      <c r="D1242" t="s">
        <v>37</v>
      </c>
      <c r="E1242">
        <v>1</v>
      </c>
      <c r="F1242">
        <v>3</v>
      </c>
      <c r="G1242" t="s">
        <v>32</v>
      </c>
      <c r="H1242">
        <v>4</v>
      </c>
      <c r="I1242" t="s">
        <v>38</v>
      </c>
      <c r="J1242">
        <v>3</v>
      </c>
      <c r="K1242">
        <v>2</v>
      </c>
      <c r="L1242" t="s">
        <v>42</v>
      </c>
      <c r="M1242">
        <v>4</v>
      </c>
      <c r="N1242" t="s">
        <v>40</v>
      </c>
      <c r="O1242">
        <v>6472</v>
      </c>
      <c r="P1242">
        <v>1</v>
      </c>
      <c r="Q1242" t="s">
        <v>30</v>
      </c>
      <c r="R1242">
        <v>4</v>
      </c>
      <c r="S1242">
        <v>9</v>
      </c>
      <c r="T1242">
        <v>3</v>
      </c>
      <c r="U1242">
        <v>9</v>
      </c>
      <c r="V1242">
        <v>8</v>
      </c>
      <c r="W1242">
        <v>5</v>
      </c>
      <c r="X1242">
        <v>8</v>
      </c>
      <c r="Y1242">
        <v>15</v>
      </c>
      <c r="Z1242">
        <f>IF(H_A[[#This Row],[Attrition]]="Yes",1,0)</f>
        <v>0</v>
      </c>
      <c r="AA1242" t="str">
        <f>IF(H_A[[#This Row],[Age]]&lt;30,"Young",IF(H_A[[#This Row],[Age]]&lt;45,"Mid","Senior"))</f>
        <v>Mid</v>
      </c>
      <c r="AB1242" t="str">
        <f>IF(H_A[[#This Row],[MonthlyIncome]]&lt;5000,"Low",IF(H_A[[#This Row],[MonthlyIncome]]&lt;10000,"Medium","High"))</f>
        <v>Medium</v>
      </c>
      <c r="AC1242" t="str">
        <f>IF(H_A[[#This Row],[YearsAtCompany]]&lt;3,"Early",IF(H_A[[#This Row],[YearsAtCompany]]&lt;7,"Mid","Long"))</f>
        <v>Long</v>
      </c>
      <c r="AD1242" t="str">
        <f>IF(H_A[[#This Row],[PercentSalaryHike]]&lt;13,"Low",IF(H_A[[#This Row],[PercentSalaryHike]]&lt;18,"Medium","High"))</f>
        <v>Medium</v>
      </c>
    </row>
    <row r="1243" spans="1:30" x14ac:dyDescent="0.3">
      <c r="A1243">
        <v>32</v>
      </c>
      <c r="B1243">
        <v>1739</v>
      </c>
      <c r="C1243" t="s">
        <v>36</v>
      </c>
      <c r="D1243" t="s">
        <v>31</v>
      </c>
      <c r="E1243">
        <v>19</v>
      </c>
      <c r="F1243">
        <v>3</v>
      </c>
      <c r="G1243" t="s">
        <v>32</v>
      </c>
      <c r="H1243">
        <v>4</v>
      </c>
      <c r="I1243" t="s">
        <v>38</v>
      </c>
      <c r="J1243">
        <v>1</v>
      </c>
      <c r="K1243">
        <v>3</v>
      </c>
      <c r="L1243" t="s">
        <v>34</v>
      </c>
      <c r="M1243">
        <v>3</v>
      </c>
      <c r="N1243" t="s">
        <v>40</v>
      </c>
      <c r="O1243">
        <v>9610</v>
      </c>
      <c r="P1243">
        <v>3</v>
      </c>
      <c r="Q1243" t="s">
        <v>36</v>
      </c>
      <c r="R1243">
        <v>3</v>
      </c>
      <c r="S1243">
        <v>10</v>
      </c>
      <c r="T1243">
        <v>1</v>
      </c>
      <c r="U1243">
        <v>4</v>
      </c>
      <c r="V1243">
        <v>3</v>
      </c>
      <c r="W1243">
        <v>0</v>
      </c>
      <c r="X1243">
        <v>2</v>
      </c>
      <c r="Y1243">
        <v>13</v>
      </c>
      <c r="Z1243">
        <f>IF(H_A[[#This Row],[Attrition]]="Yes",1,0)</f>
        <v>0</v>
      </c>
      <c r="AA1243" t="str">
        <f>IF(H_A[[#This Row],[Age]]&lt;30,"Young",IF(H_A[[#This Row],[Age]]&lt;45,"Mid","Senior"))</f>
        <v>Mid</v>
      </c>
      <c r="AB1243" t="str">
        <f>IF(H_A[[#This Row],[MonthlyIncome]]&lt;5000,"Low",IF(H_A[[#This Row],[MonthlyIncome]]&lt;10000,"Medium","High"))</f>
        <v>Medium</v>
      </c>
      <c r="AC1243" t="str">
        <f>IF(H_A[[#This Row],[YearsAtCompany]]&lt;3,"Early",IF(H_A[[#This Row],[YearsAtCompany]]&lt;7,"Mid","Long"))</f>
        <v>Mid</v>
      </c>
      <c r="AD1243" t="str">
        <f>IF(H_A[[#This Row],[PercentSalaryHike]]&lt;13,"Low",IF(H_A[[#This Row],[PercentSalaryHike]]&lt;18,"Medium","High"))</f>
        <v>Medium</v>
      </c>
    </row>
    <row r="1244" spans="1:30" x14ac:dyDescent="0.3">
      <c r="A1244">
        <v>40</v>
      </c>
      <c r="B1244">
        <v>1740</v>
      </c>
      <c r="C1244" t="s">
        <v>36</v>
      </c>
      <c r="D1244" t="s">
        <v>31</v>
      </c>
      <c r="E1244">
        <v>7</v>
      </c>
      <c r="F1244">
        <v>4</v>
      </c>
      <c r="G1244" t="s">
        <v>43</v>
      </c>
      <c r="H1244">
        <v>2</v>
      </c>
      <c r="I1244" t="s">
        <v>38</v>
      </c>
      <c r="J1244">
        <v>3</v>
      </c>
      <c r="K1244">
        <v>5</v>
      </c>
      <c r="L1244" t="s">
        <v>47</v>
      </c>
      <c r="M1244">
        <v>2</v>
      </c>
      <c r="N1244" t="s">
        <v>35</v>
      </c>
      <c r="O1244">
        <v>19833</v>
      </c>
      <c r="P1244">
        <v>1</v>
      </c>
      <c r="Q1244" t="s">
        <v>36</v>
      </c>
      <c r="R1244">
        <v>2</v>
      </c>
      <c r="S1244">
        <v>21</v>
      </c>
      <c r="T1244">
        <v>2</v>
      </c>
      <c r="U1244">
        <v>21</v>
      </c>
      <c r="V1244">
        <v>8</v>
      </c>
      <c r="W1244">
        <v>12</v>
      </c>
      <c r="X1244">
        <v>8</v>
      </c>
      <c r="Y1244">
        <v>14</v>
      </c>
      <c r="Z1244">
        <f>IF(H_A[[#This Row],[Attrition]]="Yes",1,0)</f>
        <v>0</v>
      </c>
      <c r="AA1244" t="str">
        <f>IF(H_A[[#This Row],[Age]]&lt;30,"Young",IF(H_A[[#This Row],[Age]]&lt;45,"Mid","Senior"))</f>
        <v>Mid</v>
      </c>
      <c r="AB1244" t="str">
        <f>IF(H_A[[#This Row],[MonthlyIncome]]&lt;5000,"Low",IF(H_A[[#This Row],[MonthlyIncome]]&lt;10000,"Medium","High"))</f>
        <v>High</v>
      </c>
      <c r="AC1244" t="str">
        <f>IF(H_A[[#This Row],[YearsAtCompany]]&lt;3,"Early",IF(H_A[[#This Row],[YearsAtCompany]]&lt;7,"Mid","Long"))</f>
        <v>Long</v>
      </c>
      <c r="AD1244" t="str">
        <f>IF(H_A[[#This Row],[PercentSalaryHike]]&lt;13,"Low",IF(H_A[[#This Row],[PercentSalaryHike]]&lt;18,"Medium","High"))</f>
        <v>Medium</v>
      </c>
    </row>
    <row r="1245" spans="1:30" x14ac:dyDescent="0.3">
      <c r="A1245">
        <v>45</v>
      </c>
      <c r="B1245">
        <v>1744</v>
      </c>
      <c r="C1245" t="s">
        <v>36</v>
      </c>
      <c r="D1245" t="s">
        <v>52</v>
      </c>
      <c r="E1245">
        <v>4</v>
      </c>
      <c r="F1245">
        <v>3</v>
      </c>
      <c r="G1245" t="s">
        <v>32</v>
      </c>
      <c r="H1245">
        <v>3</v>
      </c>
      <c r="I1245" t="s">
        <v>33</v>
      </c>
      <c r="J1245">
        <v>1</v>
      </c>
      <c r="K1245">
        <v>3</v>
      </c>
      <c r="L1245" t="s">
        <v>52</v>
      </c>
      <c r="M1245">
        <v>3</v>
      </c>
      <c r="N1245" t="s">
        <v>40</v>
      </c>
      <c r="O1245">
        <v>9756</v>
      </c>
      <c r="P1245">
        <v>4</v>
      </c>
      <c r="Q1245" t="s">
        <v>36</v>
      </c>
      <c r="R1245">
        <v>3</v>
      </c>
      <c r="S1245">
        <v>9</v>
      </c>
      <c r="T1245">
        <v>4</v>
      </c>
      <c r="U1245">
        <v>5</v>
      </c>
      <c r="V1245">
        <v>0</v>
      </c>
      <c r="W1245">
        <v>0</v>
      </c>
      <c r="X1245">
        <v>3</v>
      </c>
      <c r="Y1245">
        <v>21</v>
      </c>
      <c r="Z1245">
        <f>IF(H_A[[#This Row],[Attrition]]="Yes",1,0)</f>
        <v>0</v>
      </c>
      <c r="AA1245" t="str">
        <f>IF(H_A[[#This Row],[Age]]&lt;30,"Young",IF(H_A[[#This Row],[Age]]&lt;45,"Mid","Senior"))</f>
        <v>Senior</v>
      </c>
      <c r="AB1245" t="str">
        <f>IF(H_A[[#This Row],[MonthlyIncome]]&lt;5000,"Low",IF(H_A[[#This Row],[MonthlyIncome]]&lt;10000,"Medium","High"))</f>
        <v>Medium</v>
      </c>
      <c r="AC1245" t="str">
        <f>IF(H_A[[#This Row],[YearsAtCompany]]&lt;3,"Early",IF(H_A[[#This Row],[YearsAtCompany]]&lt;7,"Mid","Long"))</f>
        <v>Mid</v>
      </c>
      <c r="AD1245" t="str">
        <f>IF(H_A[[#This Row],[PercentSalaryHike]]&lt;13,"Low",IF(H_A[[#This Row],[PercentSalaryHike]]&lt;18,"Medium","High"))</f>
        <v>High</v>
      </c>
    </row>
    <row r="1246" spans="1:30" x14ac:dyDescent="0.3">
      <c r="A1246">
        <v>30</v>
      </c>
      <c r="B1246">
        <v>1745</v>
      </c>
      <c r="C1246" t="s">
        <v>36</v>
      </c>
      <c r="D1246" t="s">
        <v>37</v>
      </c>
      <c r="E1246">
        <v>2</v>
      </c>
      <c r="F1246">
        <v>4</v>
      </c>
      <c r="G1246" t="s">
        <v>51</v>
      </c>
      <c r="H1246">
        <v>4</v>
      </c>
      <c r="I1246" t="s">
        <v>33</v>
      </c>
      <c r="J1246">
        <v>2</v>
      </c>
      <c r="K1246">
        <v>1</v>
      </c>
      <c r="L1246" t="s">
        <v>39</v>
      </c>
      <c r="M1246">
        <v>1</v>
      </c>
      <c r="N1246" t="s">
        <v>35</v>
      </c>
      <c r="O1246">
        <v>4968</v>
      </c>
      <c r="P1246">
        <v>0</v>
      </c>
      <c r="Q1246" t="s">
        <v>36</v>
      </c>
      <c r="R1246">
        <v>4</v>
      </c>
      <c r="S1246">
        <v>10</v>
      </c>
      <c r="T1246">
        <v>3</v>
      </c>
      <c r="U1246">
        <v>9</v>
      </c>
      <c r="V1246">
        <v>7</v>
      </c>
      <c r="W1246">
        <v>0</v>
      </c>
      <c r="X1246">
        <v>7</v>
      </c>
      <c r="Y1246">
        <v>16</v>
      </c>
      <c r="Z1246">
        <f>IF(H_A[[#This Row],[Attrition]]="Yes",1,0)</f>
        <v>0</v>
      </c>
      <c r="AA1246" t="str">
        <f>IF(H_A[[#This Row],[Age]]&lt;30,"Young",IF(H_A[[#This Row],[Age]]&lt;45,"Mid","Senior"))</f>
        <v>Mid</v>
      </c>
      <c r="AB1246" t="str">
        <f>IF(H_A[[#This Row],[MonthlyIncome]]&lt;5000,"Low",IF(H_A[[#This Row],[MonthlyIncome]]&lt;10000,"Medium","High"))</f>
        <v>Low</v>
      </c>
      <c r="AC1246" t="str">
        <f>IF(H_A[[#This Row],[YearsAtCompany]]&lt;3,"Early",IF(H_A[[#This Row],[YearsAtCompany]]&lt;7,"Mid","Long"))</f>
        <v>Long</v>
      </c>
      <c r="AD1246" t="str">
        <f>IF(H_A[[#This Row],[PercentSalaryHike]]&lt;13,"Low",IF(H_A[[#This Row],[PercentSalaryHike]]&lt;18,"Medium","High"))</f>
        <v>Medium</v>
      </c>
    </row>
    <row r="1247" spans="1:30" x14ac:dyDescent="0.3">
      <c r="A1247">
        <v>24</v>
      </c>
      <c r="B1247">
        <v>1746</v>
      </c>
      <c r="C1247" t="s">
        <v>36</v>
      </c>
      <c r="D1247" t="s">
        <v>52</v>
      </c>
      <c r="E1247">
        <v>10</v>
      </c>
      <c r="F1247">
        <v>3</v>
      </c>
      <c r="G1247" t="s">
        <v>43</v>
      </c>
      <c r="H1247">
        <v>1</v>
      </c>
      <c r="I1247" t="s">
        <v>38</v>
      </c>
      <c r="J1247">
        <v>3</v>
      </c>
      <c r="K1247">
        <v>1</v>
      </c>
      <c r="L1247" t="s">
        <v>52</v>
      </c>
      <c r="M1247">
        <v>4</v>
      </c>
      <c r="N1247" t="s">
        <v>40</v>
      </c>
      <c r="O1247">
        <v>2145</v>
      </c>
      <c r="P1247">
        <v>0</v>
      </c>
      <c r="Q1247" t="s">
        <v>36</v>
      </c>
      <c r="R1247">
        <v>4</v>
      </c>
      <c r="S1247">
        <v>3</v>
      </c>
      <c r="T1247">
        <v>3</v>
      </c>
      <c r="U1247">
        <v>2</v>
      </c>
      <c r="V1247">
        <v>2</v>
      </c>
      <c r="W1247">
        <v>2</v>
      </c>
      <c r="X1247">
        <v>1</v>
      </c>
      <c r="Y1247">
        <v>14</v>
      </c>
      <c r="Z1247">
        <f>IF(H_A[[#This Row],[Attrition]]="Yes",1,0)</f>
        <v>0</v>
      </c>
      <c r="AA1247" t="str">
        <f>IF(H_A[[#This Row],[Age]]&lt;30,"Young",IF(H_A[[#This Row],[Age]]&lt;45,"Mid","Senior"))</f>
        <v>Young</v>
      </c>
      <c r="AB1247" t="str">
        <f>IF(H_A[[#This Row],[MonthlyIncome]]&lt;5000,"Low",IF(H_A[[#This Row],[MonthlyIncome]]&lt;10000,"Medium","High"))</f>
        <v>Low</v>
      </c>
      <c r="AC1247" t="str">
        <f>IF(H_A[[#This Row],[YearsAtCompany]]&lt;3,"Early",IF(H_A[[#This Row],[YearsAtCompany]]&lt;7,"Mid","Long"))</f>
        <v>Early</v>
      </c>
      <c r="AD1247" t="str">
        <f>IF(H_A[[#This Row],[PercentSalaryHike]]&lt;13,"Low",IF(H_A[[#This Row],[PercentSalaryHike]]&lt;18,"Medium","High"))</f>
        <v>Medium</v>
      </c>
    </row>
    <row r="1248" spans="1:30" x14ac:dyDescent="0.3">
      <c r="A1248">
        <v>30</v>
      </c>
      <c r="B1248">
        <v>1747</v>
      </c>
      <c r="C1248" t="s">
        <v>30</v>
      </c>
      <c r="D1248" t="s">
        <v>52</v>
      </c>
      <c r="E1248">
        <v>8</v>
      </c>
      <c r="F1248">
        <v>3</v>
      </c>
      <c r="G1248" t="s">
        <v>52</v>
      </c>
      <c r="H1248">
        <v>3</v>
      </c>
      <c r="I1248" t="s">
        <v>33</v>
      </c>
      <c r="J1248">
        <v>2</v>
      </c>
      <c r="K1248">
        <v>1</v>
      </c>
      <c r="L1248" t="s">
        <v>52</v>
      </c>
      <c r="M1248">
        <v>4</v>
      </c>
      <c r="N1248" t="s">
        <v>44</v>
      </c>
      <c r="O1248">
        <v>2180</v>
      </c>
      <c r="P1248">
        <v>6</v>
      </c>
      <c r="Q1248" t="s">
        <v>36</v>
      </c>
      <c r="R1248">
        <v>3</v>
      </c>
      <c r="S1248">
        <v>6</v>
      </c>
      <c r="T1248">
        <v>2</v>
      </c>
      <c r="U1248">
        <v>4</v>
      </c>
      <c r="V1248">
        <v>2</v>
      </c>
      <c r="W1248">
        <v>1</v>
      </c>
      <c r="X1248">
        <v>2</v>
      </c>
      <c r="Y1248">
        <v>11</v>
      </c>
      <c r="Z1248">
        <f>IF(H_A[[#This Row],[Attrition]]="Yes",1,0)</f>
        <v>1</v>
      </c>
      <c r="AA1248" t="str">
        <f>IF(H_A[[#This Row],[Age]]&lt;30,"Young",IF(H_A[[#This Row],[Age]]&lt;45,"Mid","Senior"))</f>
        <v>Mid</v>
      </c>
      <c r="AB1248" t="str">
        <f>IF(H_A[[#This Row],[MonthlyIncome]]&lt;5000,"Low",IF(H_A[[#This Row],[MonthlyIncome]]&lt;10000,"Medium","High"))</f>
        <v>Low</v>
      </c>
      <c r="AC1248" t="str">
        <f>IF(H_A[[#This Row],[YearsAtCompany]]&lt;3,"Early",IF(H_A[[#This Row],[YearsAtCompany]]&lt;7,"Mid","Long"))</f>
        <v>Mid</v>
      </c>
      <c r="AD1248" t="str">
        <f>IF(H_A[[#This Row],[PercentSalaryHike]]&lt;13,"Low",IF(H_A[[#This Row],[PercentSalaryHike]]&lt;18,"Medium","High"))</f>
        <v>Low</v>
      </c>
    </row>
    <row r="1249" spans="1:30" x14ac:dyDescent="0.3">
      <c r="A1249">
        <v>31</v>
      </c>
      <c r="B1249">
        <v>1749</v>
      </c>
      <c r="C1249" t="s">
        <v>36</v>
      </c>
      <c r="D1249" t="s">
        <v>31</v>
      </c>
      <c r="E1249">
        <v>5</v>
      </c>
      <c r="F1249">
        <v>3</v>
      </c>
      <c r="G1249" t="s">
        <v>51</v>
      </c>
      <c r="H1249">
        <v>1</v>
      </c>
      <c r="I1249" t="s">
        <v>38</v>
      </c>
      <c r="J1249">
        <v>3</v>
      </c>
      <c r="K1249">
        <v>2</v>
      </c>
      <c r="L1249" t="s">
        <v>34</v>
      </c>
      <c r="M1249">
        <v>3</v>
      </c>
      <c r="N1249" t="s">
        <v>40</v>
      </c>
      <c r="O1249">
        <v>8346</v>
      </c>
      <c r="P1249">
        <v>1</v>
      </c>
      <c r="Q1249" t="s">
        <v>36</v>
      </c>
      <c r="R1249">
        <v>3</v>
      </c>
      <c r="S1249">
        <v>6</v>
      </c>
      <c r="T1249">
        <v>3</v>
      </c>
      <c r="U1249">
        <v>5</v>
      </c>
      <c r="V1249">
        <v>2</v>
      </c>
      <c r="W1249">
        <v>0</v>
      </c>
      <c r="X1249">
        <v>2</v>
      </c>
      <c r="Y1249">
        <v>19</v>
      </c>
      <c r="Z1249">
        <f>IF(H_A[[#This Row],[Attrition]]="Yes",1,0)</f>
        <v>0</v>
      </c>
      <c r="AA1249" t="str">
        <f>IF(H_A[[#This Row],[Age]]&lt;30,"Young",IF(H_A[[#This Row],[Age]]&lt;45,"Mid","Senior"))</f>
        <v>Mid</v>
      </c>
      <c r="AB1249" t="str">
        <f>IF(H_A[[#This Row],[MonthlyIncome]]&lt;5000,"Low",IF(H_A[[#This Row],[MonthlyIncome]]&lt;10000,"Medium","High"))</f>
        <v>Medium</v>
      </c>
      <c r="AC1249" t="str">
        <f>IF(H_A[[#This Row],[YearsAtCompany]]&lt;3,"Early",IF(H_A[[#This Row],[YearsAtCompany]]&lt;7,"Mid","Long"))</f>
        <v>Mid</v>
      </c>
      <c r="AD1249" t="str">
        <f>IF(H_A[[#This Row],[PercentSalaryHike]]&lt;13,"Low",IF(H_A[[#This Row],[PercentSalaryHike]]&lt;18,"Medium","High"))</f>
        <v>High</v>
      </c>
    </row>
    <row r="1250" spans="1:30" x14ac:dyDescent="0.3">
      <c r="A1250">
        <v>27</v>
      </c>
      <c r="B1250">
        <v>1751</v>
      </c>
      <c r="C1250" t="s">
        <v>36</v>
      </c>
      <c r="D1250" t="s">
        <v>37</v>
      </c>
      <c r="E1250">
        <v>8</v>
      </c>
      <c r="F1250">
        <v>3</v>
      </c>
      <c r="G1250" t="s">
        <v>43</v>
      </c>
      <c r="H1250">
        <v>3</v>
      </c>
      <c r="I1250" t="s">
        <v>33</v>
      </c>
      <c r="J1250">
        <v>3</v>
      </c>
      <c r="K1250">
        <v>1</v>
      </c>
      <c r="L1250" t="s">
        <v>39</v>
      </c>
      <c r="M1250">
        <v>4</v>
      </c>
      <c r="N1250" t="s">
        <v>35</v>
      </c>
      <c r="O1250">
        <v>3445</v>
      </c>
      <c r="P1250">
        <v>1</v>
      </c>
      <c r="Q1250" t="s">
        <v>36</v>
      </c>
      <c r="R1250">
        <v>3</v>
      </c>
      <c r="S1250">
        <v>6</v>
      </c>
      <c r="T1250">
        <v>2</v>
      </c>
      <c r="U1250">
        <v>6</v>
      </c>
      <c r="V1250">
        <v>2</v>
      </c>
      <c r="W1250">
        <v>1</v>
      </c>
      <c r="X1250">
        <v>4</v>
      </c>
      <c r="Y1250">
        <v>11</v>
      </c>
      <c r="Z1250">
        <f>IF(H_A[[#This Row],[Attrition]]="Yes",1,0)</f>
        <v>0</v>
      </c>
      <c r="AA1250" t="str">
        <f>IF(H_A[[#This Row],[Age]]&lt;30,"Young",IF(H_A[[#This Row],[Age]]&lt;45,"Mid","Senior"))</f>
        <v>Young</v>
      </c>
      <c r="AB1250" t="str">
        <f>IF(H_A[[#This Row],[MonthlyIncome]]&lt;5000,"Low",IF(H_A[[#This Row],[MonthlyIncome]]&lt;10000,"Medium","High"))</f>
        <v>Low</v>
      </c>
      <c r="AC1250" t="str">
        <f>IF(H_A[[#This Row],[YearsAtCompany]]&lt;3,"Early",IF(H_A[[#This Row],[YearsAtCompany]]&lt;7,"Mid","Long"))</f>
        <v>Mid</v>
      </c>
      <c r="AD1250" t="str">
        <f>IF(H_A[[#This Row],[PercentSalaryHike]]&lt;13,"Low",IF(H_A[[#This Row],[PercentSalaryHike]]&lt;18,"Medium","High"))</f>
        <v>Low</v>
      </c>
    </row>
    <row r="1251" spans="1:30" x14ac:dyDescent="0.3">
      <c r="A1251">
        <v>29</v>
      </c>
      <c r="B1251">
        <v>1752</v>
      </c>
      <c r="C1251" t="s">
        <v>30</v>
      </c>
      <c r="D1251" t="s">
        <v>31</v>
      </c>
      <c r="E1251">
        <v>9</v>
      </c>
      <c r="F1251">
        <v>3</v>
      </c>
      <c r="G1251" t="s">
        <v>50</v>
      </c>
      <c r="H1251">
        <v>2</v>
      </c>
      <c r="I1251" t="s">
        <v>33</v>
      </c>
      <c r="J1251">
        <v>1</v>
      </c>
      <c r="K1251">
        <v>1</v>
      </c>
      <c r="L1251" t="s">
        <v>48</v>
      </c>
      <c r="M1251">
        <v>2</v>
      </c>
      <c r="N1251" t="s">
        <v>35</v>
      </c>
      <c r="O1251">
        <v>2760</v>
      </c>
      <c r="P1251">
        <v>1</v>
      </c>
      <c r="Q1251" t="s">
        <v>36</v>
      </c>
      <c r="R1251">
        <v>3</v>
      </c>
      <c r="S1251">
        <v>2</v>
      </c>
      <c r="T1251">
        <v>3</v>
      </c>
      <c r="U1251">
        <v>2</v>
      </c>
      <c r="V1251">
        <v>2</v>
      </c>
      <c r="W1251">
        <v>2</v>
      </c>
      <c r="X1251">
        <v>2</v>
      </c>
      <c r="Y1251">
        <v>13</v>
      </c>
      <c r="Z1251">
        <f>IF(H_A[[#This Row],[Attrition]]="Yes",1,0)</f>
        <v>1</v>
      </c>
      <c r="AA1251" t="str">
        <f>IF(H_A[[#This Row],[Age]]&lt;30,"Young",IF(H_A[[#This Row],[Age]]&lt;45,"Mid","Senior"))</f>
        <v>Young</v>
      </c>
      <c r="AB1251" t="str">
        <f>IF(H_A[[#This Row],[MonthlyIncome]]&lt;5000,"Low",IF(H_A[[#This Row],[MonthlyIncome]]&lt;10000,"Medium","High"))</f>
        <v>Low</v>
      </c>
      <c r="AC1251" t="str">
        <f>IF(H_A[[#This Row],[YearsAtCompany]]&lt;3,"Early",IF(H_A[[#This Row],[YearsAtCompany]]&lt;7,"Mid","Long"))</f>
        <v>Early</v>
      </c>
      <c r="AD1251" t="str">
        <f>IF(H_A[[#This Row],[PercentSalaryHike]]&lt;13,"Low",IF(H_A[[#This Row],[PercentSalaryHike]]&lt;18,"Medium","High"))</f>
        <v>Medium</v>
      </c>
    </row>
    <row r="1252" spans="1:30" x14ac:dyDescent="0.3">
      <c r="A1252">
        <v>29</v>
      </c>
      <c r="B1252">
        <v>1753</v>
      </c>
      <c r="C1252" t="s">
        <v>36</v>
      </c>
      <c r="D1252" t="s">
        <v>37</v>
      </c>
      <c r="E1252">
        <v>1</v>
      </c>
      <c r="F1252">
        <v>3</v>
      </c>
      <c r="G1252" t="s">
        <v>32</v>
      </c>
      <c r="H1252">
        <v>4</v>
      </c>
      <c r="I1252" t="s">
        <v>38</v>
      </c>
      <c r="J1252">
        <v>4</v>
      </c>
      <c r="K1252">
        <v>2</v>
      </c>
      <c r="L1252" t="s">
        <v>46</v>
      </c>
      <c r="M1252">
        <v>3</v>
      </c>
      <c r="N1252" t="s">
        <v>35</v>
      </c>
      <c r="O1252">
        <v>6294</v>
      </c>
      <c r="P1252">
        <v>8</v>
      </c>
      <c r="Q1252" t="s">
        <v>30</v>
      </c>
      <c r="R1252">
        <v>4</v>
      </c>
      <c r="S1252">
        <v>10</v>
      </c>
      <c r="T1252">
        <v>4</v>
      </c>
      <c r="U1252">
        <v>3</v>
      </c>
      <c r="V1252">
        <v>2</v>
      </c>
      <c r="W1252">
        <v>0</v>
      </c>
      <c r="X1252">
        <v>2</v>
      </c>
      <c r="Y1252">
        <v>12</v>
      </c>
      <c r="Z1252">
        <f>IF(H_A[[#This Row],[Attrition]]="Yes",1,0)</f>
        <v>0</v>
      </c>
      <c r="AA1252" t="str">
        <f>IF(H_A[[#This Row],[Age]]&lt;30,"Young",IF(H_A[[#This Row],[Age]]&lt;45,"Mid","Senior"))</f>
        <v>Young</v>
      </c>
      <c r="AB1252" t="str">
        <f>IF(H_A[[#This Row],[MonthlyIncome]]&lt;5000,"Low",IF(H_A[[#This Row],[MonthlyIncome]]&lt;10000,"Medium","High"))</f>
        <v>Medium</v>
      </c>
      <c r="AC1252" t="str">
        <f>IF(H_A[[#This Row],[YearsAtCompany]]&lt;3,"Early",IF(H_A[[#This Row],[YearsAtCompany]]&lt;7,"Mid","Long"))</f>
        <v>Mid</v>
      </c>
      <c r="AD1252" t="str">
        <f>IF(H_A[[#This Row],[PercentSalaryHike]]&lt;13,"Low",IF(H_A[[#This Row],[PercentSalaryHike]]&lt;18,"Medium","High"))</f>
        <v>Low</v>
      </c>
    </row>
    <row r="1253" spans="1:30" x14ac:dyDescent="0.3">
      <c r="A1253">
        <v>30</v>
      </c>
      <c r="B1253">
        <v>1754</v>
      </c>
      <c r="C1253" t="s">
        <v>36</v>
      </c>
      <c r="D1253" t="s">
        <v>31</v>
      </c>
      <c r="E1253">
        <v>15</v>
      </c>
      <c r="F1253">
        <v>2</v>
      </c>
      <c r="G1253" t="s">
        <v>50</v>
      </c>
      <c r="H1253">
        <v>3</v>
      </c>
      <c r="I1253" t="s">
        <v>38</v>
      </c>
      <c r="J1253">
        <v>2</v>
      </c>
      <c r="K1253">
        <v>3</v>
      </c>
      <c r="L1253" t="s">
        <v>34</v>
      </c>
      <c r="M1253">
        <v>1</v>
      </c>
      <c r="N1253" t="s">
        <v>44</v>
      </c>
      <c r="O1253">
        <v>7140</v>
      </c>
      <c r="P1253">
        <v>2</v>
      </c>
      <c r="Q1253" t="s">
        <v>36</v>
      </c>
      <c r="R1253">
        <v>1</v>
      </c>
      <c r="S1253">
        <v>12</v>
      </c>
      <c r="T1253">
        <v>3</v>
      </c>
      <c r="U1253">
        <v>7</v>
      </c>
      <c r="V1253">
        <v>7</v>
      </c>
      <c r="W1253">
        <v>1</v>
      </c>
      <c r="X1253">
        <v>7</v>
      </c>
      <c r="Y1253">
        <v>11</v>
      </c>
      <c r="Z1253">
        <f>IF(H_A[[#This Row],[Attrition]]="Yes",1,0)</f>
        <v>0</v>
      </c>
      <c r="AA1253" t="str">
        <f>IF(H_A[[#This Row],[Age]]&lt;30,"Young",IF(H_A[[#This Row],[Age]]&lt;45,"Mid","Senior"))</f>
        <v>Mid</v>
      </c>
      <c r="AB1253" t="str">
        <f>IF(H_A[[#This Row],[MonthlyIncome]]&lt;5000,"Low",IF(H_A[[#This Row],[MonthlyIncome]]&lt;10000,"Medium","High"))</f>
        <v>Medium</v>
      </c>
      <c r="AC1253" t="str">
        <f>IF(H_A[[#This Row],[YearsAtCompany]]&lt;3,"Early",IF(H_A[[#This Row],[YearsAtCompany]]&lt;7,"Mid","Long"))</f>
        <v>Long</v>
      </c>
      <c r="AD1253" t="str">
        <f>IF(H_A[[#This Row],[PercentSalaryHike]]&lt;13,"Low",IF(H_A[[#This Row],[PercentSalaryHike]]&lt;18,"Medium","High"))</f>
        <v>Low</v>
      </c>
    </row>
    <row r="1254" spans="1:30" x14ac:dyDescent="0.3">
      <c r="A1254">
        <v>34</v>
      </c>
      <c r="B1254">
        <v>1755</v>
      </c>
      <c r="C1254" t="s">
        <v>36</v>
      </c>
      <c r="D1254" t="s">
        <v>37</v>
      </c>
      <c r="E1254">
        <v>2</v>
      </c>
      <c r="F1254">
        <v>4</v>
      </c>
      <c r="G1254" t="s">
        <v>43</v>
      </c>
      <c r="H1254">
        <v>4</v>
      </c>
      <c r="I1254" t="s">
        <v>38</v>
      </c>
      <c r="J1254">
        <v>4</v>
      </c>
      <c r="K1254">
        <v>1</v>
      </c>
      <c r="L1254" t="s">
        <v>39</v>
      </c>
      <c r="M1254">
        <v>4</v>
      </c>
      <c r="N1254" t="s">
        <v>40</v>
      </c>
      <c r="O1254">
        <v>2932</v>
      </c>
      <c r="P1254">
        <v>0</v>
      </c>
      <c r="Q1254" t="s">
        <v>30</v>
      </c>
      <c r="R1254">
        <v>1</v>
      </c>
      <c r="S1254">
        <v>6</v>
      </c>
      <c r="T1254">
        <v>3</v>
      </c>
      <c r="U1254">
        <v>5</v>
      </c>
      <c r="V1254">
        <v>0</v>
      </c>
      <c r="W1254">
        <v>1</v>
      </c>
      <c r="X1254">
        <v>2</v>
      </c>
      <c r="Y1254">
        <v>14</v>
      </c>
      <c r="Z1254">
        <f>IF(H_A[[#This Row],[Attrition]]="Yes",1,0)</f>
        <v>0</v>
      </c>
      <c r="AA1254" t="str">
        <f>IF(H_A[[#This Row],[Age]]&lt;30,"Young",IF(H_A[[#This Row],[Age]]&lt;45,"Mid","Senior"))</f>
        <v>Mid</v>
      </c>
      <c r="AB1254" t="str">
        <f>IF(H_A[[#This Row],[MonthlyIncome]]&lt;5000,"Low",IF(H_A[[#This Row],[MonthlyIncome]]&lt;10000,"Medium","High"))</f>
        <v>Low</v>
      </c>
      <c r="AC1254" t="str">
        <f>IF(H_A[[#This Row],[YearsAtCompany]]&lt;3,"Early",IF(H_A[[#This Row],[YearsAtCompany]]&lt;7,"Mid","Long"))</f>
        <v>Mid</v>
      </c>
      <c r="AD1254" t="str">
        <f>IF(H_A[[#This Row],[PercentSalaryHike]]&lt;13,"Low",IF(H_A[[#This Row],[PercentSalaryHike]]&lt;18,"Medium","High"))</f>
        <v>Medium</v>
      </c>
    </row>
    <row r="1255" spans="1:30" x14ac:dyDescent="0.3">
      <c r="A1255">
        <v>33</v>
      </c>
      <c r="B1255">
        <v>1756</v>
      </c>
      <c r="C1255" t="s">
        <v>36</v>
      </c>
      <c r="D1255" t="s">
        <v>31</v>
      </c>
      <c r="E1255">
        <v>2</v>
      </c>
      <c r="F1255">
        <v>3</v>
      </c>
      <c r="G1255" t="s">
        <v>50</v>
      </c>
      <c r="H1255">
        <v>4</v>
      </c>
      <c r="I1255" t="s">
        <v>33</v>
      </c>
      <c r="J1255">
        <v>3</v>
      </c>
      <c r="K1255">
        <v>2</v>
      </c>
      <c r="L1255" t="s">
        <v>34</v>
      </c>
      <c r="M1255">
        <v>2</v>
      </c>
      <c r="N1255" t="s">
        <v>35</v>
      </c>
      <c r="O1255">
        <v>5147</v>
      </c>
      <c r="P1255">
        <v>8</v>
      </c>
      <c r="Q1255" t="s">
        <v>36</v>
      </c>
      <c r="R1255">
        <v>4</v>
      </c>
      <c r="S1255">
        <v>13</v>
      </c>
      <c r="T1255">
        <v>2</v>
      </c>
      <c r="U1255">
        <v>11</v>
      </c>
      <c r="V1255">
        <v>7</v>
      </c>
      <c r="W1255">
        <v>1</v>
      </c>
      <c r="X1255">
        <v>7</v>
      </c>
      <c r="Y1255">
        <v>15</v>
      </c>
      <c r="Z1255">
        <f>IF(H_A[[#This Row],[Attrition]]="Yes",1,0)</f>
        <v>0</v>
      </c>
      <c r="AA1255" t="str">
        <f>IF(H_A[[#This Row],[Age]]&lt;30,"Young",IF(H_A[[#This Row],[Age]]&lt;45,"Mid","Senior"))</f>
        <v>Mid</v>
      </c>
      <c r="AB1255" t="str">
        <f>IF(H_A[[#This Row],[MonthlyIncome]]&lt;5000,"Low",IF(H_A[[#This Row],[MonthlyIncome]]&lt;10000,"Medium","High"))</f>
        <v>Medium</v>
      </c>
      <c r="AC1255" t="str">
        <f>IF(H_A[[#This Row],[YearsAtCompany]]&lt;3,"Early",IF(H_A[[#This Row],[YearsAtCompany]]&lt;7,"Mid","Long"))</f>
        <v>Long</v>
      </c>
      <c r="AD1255" t="str">
        <f>IF(H_A[[#This Row],[PercentSalaryHike]]&lt;13,"Low",IF(H_A[[#This Row],[PercentSalaryHike]]&lt;18,"Medium","High"))</f>
        <v>Medium</v>
      </c>
    </row>
    <row r="1256" spans="1:30" x14ac:dyDescent="0.3">
      <c r="A1256">
        <v>49</v>
      </c>
      <c r="B1256">
        <v>1757</v>
      </c>
      <c r="C1256" t="s">
        <v>36</v>
      </c>
      <c r="D1256" t="s">
        <v>31</v>
      </c>
      <c r="E1256">
        <v>11</v>
      </c>
      <c r="F1256">
        <v>4</v>
      </c>
      <c r="G1256" t="s">
        <v>50</v>
      </c>
      <c r="H1256">
        <v>4</v>
      </c>
      <c r="I1256" t="s">
        <v>33</v>
      </c>
      <c r="J1256">
        <v>3</v>
      </c>
      <c r="K1256">
        <v>2</v>
      </c>
      <c r="L1256" t="s">
        <v>34</v>
      </c>
      <c r="M1256">
        <v>4</v>
      </c>
      <c r="N1256" t="s">
        <v>35</v>
      </c>
      <c r="O1256">
        <v>4507</v>
      </c>
      <c r="P1256">
        <v>3</v>
      </c>
      <c r="Q1256" t="s">
        <v>36</v>
      </c>
      <c r="R1256">
        <v>3</v>
      </c>
      <c r="S1256">
        <v>8</v>
      </c>
      <c r="T1256">
        <v>4</v>
      </c>
      <c r="U1256">
        <v>5</v>
      </c>
      <c r="V1256">
        <v>1</v>
      </c>
      <c r="W1256">
        <v>0</v>
      </c>
      <c r="X1256">
        <v>4</v>
      </c>
      <c r="Y1256">
        <v>12</v>
      </c>
      <c r="Z1256">
        <f>IF(H_A[[#This Row],[Attrition]]="Yes",1,0)</f>
        <v>0</v>
      </c>
      <c r="AA1256" t="str">
        <f>IF(H_A[[#This Row],[Age]]&lt;30,"Young",IF(H_A[[#This Row],[Age]]&lt;45,"Mid","Senior"))</f>
        <v>Senior</v>
      </c>
      <c r="AB1256" t="str">
        <f>IF(H_A[[#This Row],[MonthlyIncome]]&lt;5000,"Low",IF(H_A[[#This Row],[MonthlyIncome]]&lt;10000,"Medium","High"))</f>
        <v>Low</v>
      </c>
      <c r="AC1256" t="str">
        <f>IF(H_A[[#This Row],[YearsAtCompany]]&lt;3,"Early",IF(H_A[[#This Row],[YearsAtCompany]]&lt;7,"Mid","Long"))</f>
        <v>Mid</v>
      </c>
      <c r="AD1256" t="str">
        <f>IF(H_A[[#This Row],[PercentSalaryHike]]&lt;13,"Low",IF(H_A[[#This Row],[PercentSalaryHike]]&lt;18,"Medium","High"))</f>
        <v>Low</v>
      </c>
    </row>
    <row r="1257" spans="1:30" x14ac:dyDescent="0.3">
      <c r="A1257">
        <v>33</v>
      </c>
      <c r="B1257">
        <v>1758</v>
      </c>
      <c r="C1257" t="s">
        <v>30</v>
      </c>
      <c r="D1257" t="s">
        <v>31</v>
      </c>
      <c r="E1257">
        <v>16</v>
      </c>
      <c r="F1257">
        <v>3</v>
      </c>
      <c r="G1257" t="s">
        <v>32</v>
      </c>
      <c r="H1257">
        <v>1</v>
      </c>
      <c r="I1257" t="s">
        <v>33</v>
      </c>
      <c r="J1257">
        <v>3</v>
      </c>
      <c r="K1257">
        <v>3</v>
      </c>
      <c r="L1257" t="s">
        <v>34</v>
      </c>
      <c r="M1257">
        <v>1</v>
      </c>
      <c r="N1257" t="s">
        <v>35</v>
      </c>
      <c r="O1257">
        <v>8564</v>
      </c>
      <c r="P1257">
        <v>2</v>
      </c>
      <c r="Q1257" t="s">
        <v>30</v>
      </c>
      <c r="R1257">
        <v>3</v>
      </c>
      <c r="S1257">
        <v>11</v>
      </c>
      <c r="T1257">
        <v>2</v>
      </c>
      <c r="U1257">
        <v>0</v>
      </c>
      <c r="V1257">
        <v>0</v>
      </c>
      <c r="W1257">
        <v>0</v>
      </c>
      <c r="X1257">
        <v>0</v>
      </c>
      <c r="Y1257">
        <v>20</v>
      </c>
      <c r="Z1257">
        <f>IF(H_A[[#This Row],[Attrition]]="Yes",1,0)</f>
        <v>1</v>
      </c>
      <c r="AA1257" t="str">
        <f>IF(H_A[[#This Row],[Age]]&lt;30,"Young",IF(H_A[[#This Row],[Age]]&lt;45,"Mid","Senior"))</f>
        <v>Mid</v>
      </c>
      <c r="AB1257" t="str">
        <f>IF(H_A[[#This Row],[MonthlyIncome]]&lt;5000,"Low",IF(H_A[[#This Row],[MonthlyIncome]]&lt;10000,"Medium","High"))</f>
        <v>Medium</v>
      </c>
      <c r="AC1257" t="str">
        <f>IF(H_A[[#This Row],[YearsAtCompany]]&lt;3,"Early",IF(H_A[[#This Row],[YearsAtCompany]]&lt;7,"Mid","Long"))</f>
        <v>Early</v>
      </c>
      <c r="AD1257" t="str">
        <f>IF(H_A[[#This Row],[PercentSalaryHike]]&lt;13,"Low",IF(H_A[[#This Row],[PercentSalaryHike]]&lt;18,"Medium","High"))</f>
        <v>High</v>
      </c>
    </row>
    <row r="1258" spans="1:30" x14ac:dyDescent="0.3">
      <c r="A1258">
        <v>38</v>
      </c>
      <c r="B1258">
        <v>1760</v>
      </c>
      <c r="C1258" t="s">
        <v>36</v>
      </c>
      <c r="D1258" t="s">
        <v>37</v>
      </c>
      <c r="E1258">
        <v>2</v>
      </c>
      <c r="F1258">
        <v>2</v>
      </c>
      <c r="G1258" t="s">
        <v>43</v>
      </c>
      <c r="H1258">
        <v>3</v>
      </c>
      <c r="I1258" t="s">
        <v>33</v>
      </c>
      <c r="J1258">
        <v>2</v>
      </c>
      <c r="K1258">
        <v>1</v>
      </c>
      <c r="L1258" t="s">
        <v>42</v>
      </c>
      <c r="M1258">
        <v>2</v>
      </c>
      <c r="N1258" t="s">
        <v>40</v>
      </c>
      <c r="O1258">
        <v>2468</v>
      </c>
      <c r="P1258">
        <v>4</v>
      </c>
      <c r="Q1258" t="s">
        <v>36</v>
      </c>
      <c r="R1258">
        <v>2</v>
      </c>
      <c r="S1258">
        <v>9</v>
      </c>
      <c r="T1258">
        <v>2</v>
      </c>
      <c r="U1258">
        <v>6</v>
      </c>
      <c r="V1258">
        <v>1</v>
      </c>
      <c r="W1258">
        <v>0</v>
      </c>
      <c r="X1258">
        <v>5</v>
      </c>
      <c r="Y1258">
        <v>14</v>
      </c>
      <c r="Z1258">
        <f>IF(H_A[[#This Row],[Attrition]]="Yes",1,0)</f>
        <v>0</v>
      </c>
      <c r="AA1258" t="str">
        <f>IF(H_A[[#This Row],[Age]]&lt;30,"Young",IF(H_A[[#This Row],[Age]]&lt;45,"Mid","Senior"))</f>
        <v>Mid</v>
      </c>
      <c r="AB1258" t="str">
        <f>IF(H_A[[#This Row],[MonthlyIncome]]&lt;5000,"Low",IF(H_A[[#This Row],[MonthlyIncome]]&lt;10000,"Medium","High"))</f>
        <v>Low</v>
      </c>
      <c r="AC1258" t="str">
        <f>IF(H_A[[#This Row],[YearsAtCompany]]&lt;3,"Early",IF(H_A[[#This Row],[YearsAtCompany]]&lt;7,"Mid","Long"))</f>
        <v>Mid</v>
      </c>
      <c r="AD1258" t="str">
        <f>IF(H_A[[#This Row],[PercentSalaryHike]]&lt;13,"Low",IF(H_A[[#This Row],[PercentSalaryHike]]&lt;18,"Medium","High"))</f>
        <v>Medium</v>
      </c>
    </row>
    <row r="1259" spans="1:30" x14ac:dyDescent="0.3">
      <c r="A1259">
        <v>31</v>
      </c>
      <c r="B1259">
        <v>1761</v>
      </c>
      <c r="C1259" t="s">
        <v>30</v>
      </c>
      <c r="D1259" t="s">
        <v>31</v>
      </c>
      <c r="E1259">
        <v>16</v>
      </c>
      <c r="F1259">
        <v>4</v>
      </c>
      <c r="G1259" t="s">
        <v>50</v>
      </c>
      <c r="H1259">
        <v>1</v>
      </c>
      <c r="I1259" t="s">
        <v>38</v>
      </c>
      <c r="J1259">
        <v>3</v>
      </c>
      <c r="K1259">
        <v>3</v>
      </c>
      <c r="L1259" t="s">
        <v>34</v>
      </c>
      <c r="M1259">
        <v>3</v>
      </c>
      <c r="N1259" t="s">
        <v>40</v>
      </c>
      <c r="O1259">
        <v>8161</v>
      </c>
      <c r="P1259">
        <v>2</v>
      </c>
      <c r="Q1259" t="s">
        <v>36</v>
      </c>
      <c r="R1259">
        <v>1</v>
      </c>
      <c r="S1259">
        <v>10</v>
      </c>
      <c r="T1259">
        <v>3</v>
      </c>
      <c r="U1259">
        <v>1</v>
      </c>
      <c r="V1259">
        <v>0</v>
      </c>
      <c r="W1259">
        <v>0</v>
      </c>
      <c r="X1259">
        <v>0</v>
      </c>
      <c r="Y1259">
        <v>13</v>
      </c>
      <c r="Z1259">
        <f>IF(H_A[[#This Row],[Attrition]]="Yes",1,0)</f>
        <v>1</v>
      </c>
      <c r="AA1259" t="str">
        <f>IF(H_A[[#This Row],[Age]]&lt;30,"Young",IF(H_A[[#This Row],[Age]]&lt;45,"Mid","Senior"))</f>
        <v>Mid</v>
      </c>
      <c r="AB1259" t="str">
        <f>IF(H_A[[#This Row],[MonthlyIncome]]&lt;5000,"Low",IF(H_A[[#This Row],[MonthlyIncome]]&lt;10000,"Medium","High"))</f>
        <v>Medium</v>
      </c>
      <c r="AC1259" t="str">
        <f>IF(H_A[[#This Row],[YearsAtCompany]]&lt;3,"Early",IF(H_A[[#This Row],[YearsAtCompany]]&lt;7,"Mid","Long"))</f>
        <v>Early</v>
      </c>
      <c r="AD1259" t="str">
        <f>IF(H_A[[#This Row],[PercentSalaryHike]]&lt;13,"Low",IF(H_A[[#This Row],[PercentSalaryHike]]&lt;18,"Medium","High"))</f>
        <v>Medium</v>
      </c>
    </row>
    <row r="1260" spans="1:30" x14ac:dyDescent="0.3">
      <c r="A1260">
        <v>29</v>
      </c>
      <c r="B1260">
        <v>1762</v>
      </c>
      <c r="C1260" t="s">
        <v>36</v>
      </c>
      <c r="D1260" t="s">
        <v>37</v>
      </c>
      <c r="E1260">
        <v>4</v>
      </c>
      <c r="F1260">
        <v>3</v>
      </c>
      <c r="G1260" t="s">
        <v>51</v>
      </c>
      <c r="H1260">
        <v>4</v>
      </c>
      <c r="I1260" t="s">
        <v>33</v>
      </c>
      <c r="J1260">
        <v>2</v>
      </c>
      <c r="K1260">
        <v>1</v>
      </c>
      <c r="L1260" t="s">
        <v>39</v>
      </c>
      <c r="M1260">
        <v>1</v>
      </c>
      <c r="N1260" t="s">
        <v>44</v>
      </c>
      <c r="O1260">
        <v>2109</v>
      </c>
      <c r="P1260">
        <v>1</v>
      </c>
      <c r="Q1260" t="s">
        <v>36</v>
      </c>
      <c r="R1260">
        <v>3</v>
      </c>
      <c r="S1260">
        <v>1</v>
      </c>
      <c r="T1260">
        <v>3</v>
      </c>
      <c r="U1260">
        <v>1</v>
      </c>
      <c r="V1260">
        <v>0</v>
      </c>
      <c r="W1260">
        <v>0</v>
      </c>
      <c r="X1260">
        <v>0</v>
      </c>
      <c r="Y1260">
        <v>13</v>
      </c>
      <c r="Z1260">
        <f>IF(H_A[[#This Row],[Attrition]]="Yes",1,0)</f>
        <v>0</v>
      </c>
      <c r="AA1260" t="str">
        <f>IF(H_A[[#This Row],[Age]]&lt;30,"Young",IF(H_A[[#This Row],[Age]]&lt;45,"Mid","Senior"))</f>
        <v>Young</v>
      </c>
      <c r="AB1260" t="str">
        <f>IF(H_A[[#This Row],[MonthlyIncome]]&lt;5000,"Low",IF(H_A[[#This Row],[MonthlyIncome]]&lt;10000,"Medium","High"))</f>
        <v>Low</v>
      </c>
      <c r="AC1260" t="str">
        <f>IF(H_A[[#This Row],[YearsAtCompany]]&lt;3,"Early",IF(H_A[[#This Row],[YearsAtCompany]]&lt;7,"Mid","Long"))</f>
        <v>Early</v>
      </c>
      <c r="AD1260" t="str">
        <f>IF(H_A[[#This Row],[PercentSalaryHike]]&lt;13,"Low",IF(H_A[[#This Row],[PercentSalaryHike]]&lt;18,"Medium","High"))</f>
        <v>Medium</v>
      </c>
    </row>
    <row r="1261" spans="1:30" x14ac:dyDescent="0.3">
      <c r="A1261">
        <v>30</v>
      </c>
      <c r="B1261">
        <v>1763</v>
      </c>
      <c r="C1261" t="s">
        <v>36</v>
      </c>
      <c r="D1261" t="s">
        <v>37</v>
      </c>
      <c r="E1261">
        <v>16</v>
      </c>
      <c r="F1261">
        <v>3</v>
      </c>
      <c r="G1261" t="s">
        <v>32</v>
      </c>
      <c r="H1261">
        <v>3</v>
      </c>
      <c r="I1261" t="s">
        <v>38</v>
      </c>
      <c r="J1261">
        <v>4</v>
      </c>
      <c r="K1261">
        <v>2</v>
      </c>
      <c r="L1261" t="s">
        <v>46</v>
      </c>
      <c r="M1261">
        <v>3</v>
      </c>
      <c r="N1261" t="s">
        <v>40</v>
      </c>
      <c r="O1261">
        <v>5294</v>
      </c>
      <c r="P1261">
        <v>3</v>
      </c>
      <c r="Q1261" t="s">
        <v>36</v>
      </c>
      <c r="R1261">
        <v>3</v>
      </c>
      <c r="S1261">
        <v>10</v>
      </c>
      <c r="T1261">
        <v>3</v>
      </c>
      <c r="U1261">
        <v>7</v>
      </c>
      <c r="V1261">
        <v>0</v>
      </c>
      <c r="W1261">
        <v>1</v>
      </c>
      <c r="X1261">
        <v>7</v>
      </c>
      <c r="Y1261">
        <v>16</v>
      </c>
      <c r="Z1261">
        <f>IF(H_A[[#This Row],[Attrition]]="Yes",1,0)</f>
        <v>0</v>
      </c>
      <c r="AA1261" t="str">
        <f>IF(H_A[[#This Row],[Age]]&lt;30,"Young",IF(H_A[[#This Row],[Age]]&lt;45,"Mid","Senior"))</f>
        <v>Mid</v>
      </c>
      <c r="AB1261" t="str">
        <f>IF(H_A[[#This Row],[MonthlyIncome]]&lt;5000,"Low",IF(H_A[[#This Row],[MonthlyIncome]]&lt;10000,"Medium","High"))</f>
        <v>Medium</v>
      </c>
      <c r="AC1261" t="str">
        <f>IF(H_A[[#This Row],[YearsAtCompany]]&lt;3,"Early",IF(H_A[[#This Row],[YearsAtCompany]]&lt;7,"Mid","Long"))</f>
        <v>Long</v>
      </c>
      <c r="AD1261" t="str">
        <f>IF(H_A[[#This Row],[PercentSalaryHike]]&lt;13,"Low",IF(H_A[[#This Row],[PercentSalaryHike]]&lt;18,"Medium","High"))</f>
        <v>Medium</v>
      </c>
    </row>
    <row r="1262" spans="1:30" x14ac:dyDescent="0.3">
      <c r="A1262">
        <v>32</v>
      </c>
      <c r="B1262">
        <v>1764</v>
      </c>
      <c r="C1262" t="s">
        <v>36</v>
      </c>
      <c r="D1262" t="s">
        <v>37</v>
      </c>
      <c r="E1262">
        <v>5</v>
      </c>
      <c r="F1262">
        <v>4</v>
      </c>
      <c r="G1262" t="s">
        <v>51</v>
      </c>
      <c r="H1262">
        <v>2</v>
      </c>
      <c r="I1262" t="s">
        <v>38</v>
      </c>
      <c r="J1262">
        <v>3</v>
      </c>
      <c r="K1262">
        <v>1</v>
      </c>
      <c r="L1262" t="s">
        <v>39</v>
      </c>
      <c r="M1262">
        <v>2</v>
      </c>
      <c r="N1262" t="s">
        <v>35</v>
      </c>
      <c r="O1262">
        <v>2718</v>
      </c>
      <c r="P1262">
        <v>2</v>
      </c>
      <c r="Q1262" t="s">
        <v>36</v>
      </c>
      <c r="R1262">
        <v>2</v>
      </c>
      <c r="S1262">
        <v>12</v>
      </c>
      <c r="T1262">
        <v>3</v>
      </c>
      <c r="U1262">
        <v>7</v>
      </c>
      <c r="V1262">
        <v>7</v>
      </c>
      <c r="W1262">
        <v>0</v>
      </c>
      <c r="X1262">
        <v>7</v>
      </c>
      <c r="Y1262">
        <v>14</v>
      </c>
      <c r="Z1262">
        <f>IF(H_A[[#This Row],[Attrition]]="Yes",1,0)</f>
        <v>0</v>
      </c>
      <c r="AA1262" t="str">
        <f>IF(H_A[[#This Row],[Age]]&lt;30,"Young",IF(H_A[[#This Row],[Age]]&lt;45,"Mid","Senior"))</f>
        <v>Mid</v>
      </c>
      <c r="AB1262" t="str">
        <f>IF(H_A[[#This Row],[MonthlyIncome]]&lt;5000,"Low",IF(H_A[[#This Row],[MonthlyIncome]]&lt;10000,"Medium","High"))</f>
        <v>Low</v>
      </c>
      <c r="AC1262" t="str">
        <f>IF(H_A[[#This Row],[YearsAtCompany]]&lt;3,"Early",IF(H_A[[#This Row],[YearsAtCompany]]&lt;7,"Mid","Long"))</f>
        <v>Long</v>
      </c>
      <c r="AD1262" t="str">
        <f>IF(H_A[[#This Row],[PercentSalaryHike]]&lt;13,"Low",IF(H_A[[#This Row],[PercentSalaryHike]]&lt;18,"Medium","High"))</f>
        <v>Medium</v>
      </c>
    </row>
    <row r="1263" spans="1:30" x14ac:dyDescent="0.3">
      <c r="A1263">
        <v>38</v>
      </c>
      <c r="B1263">
        <v>1766</v>
      </c>
      <c r="C1263" t="s">
        <v>36</v>
      </c>
      <c r="D1263" t="s">
        <v>37</v>
      </c>
      <c r="E1263">
        <v>18</v>
      </c>
      <c r="F1263">
        <v>3</v>
      </c>
      <c r="G1263" t="s">
        <v>43</v>
      </c>
      <c r="H1263">
        <v>2</v>
      </c>
      <c r="I1263" t="s">
        <v>38</v>
      </c>
      <c r="J1263">
        <v>1</v>
      </c>
      <c r="K1263">
        <v>2</v>
      </c>
      <c r="L1263" t="s">
        <v>46</v>
      </c>
      <c r="M1263">
        <v>4</v>
      </c>
      <c r="N1263" t="s">
        <v>40</v>
      </c>
      <c r="O1263">
        <v>5811</v>
      </c>
      <c r="P1263">
        <v>3</v>
      </c>
      <c r="Q1263" t="s">
        <v>30</v>
      </c>
      <c r="R1263">
        <v>3</v>
      </c>
      <c r="S1263">
        <v>15</v>
      </c>
      <c r="T1263">
        <v>3</v>
      </c>
      <c r="U1263">
        <v>1</v>
      </c>
      <c r="V1263">
        <v>0</v>
      </c>
      <c r="W1263">
        <v>1</v>
      </c>
      <c r="X1263">
        <v>0</v>
      </c>
      <c r="Y1263">
        <v>16</v>
      </c>
      <c r="Z1263">
        <f>IF(H_A[[#This Row],[Attrition]]="Yes",1,0)</f>
        <v>0</v>
      </c>
      <c r="AA1263" t="str">
        <f>IF(H_A[[#This Row],[Age]]&lt;30,"Young",IF(H_A[[#This Row],[Age]]&lt;45,"Mid","Senior"))</f>
        <v>Mid</v>
      </c>
      <c r="AB1263" t="str">
        <f>IF(H_A[[#This Row],[MonthlyIncome]]&lt;5000,"Low",IF(H_A[[#This Row],[MonthlyIncome]]&lt;10000,"Medium","High"))</f>
        <v>Medium</v>
      </c>
      <c r="AC1263" t="str">
        <f>IF(H_A[[#This Row],[YearsAtCompany]]&lt;3,"Early",IF(H_A[[#This Row],[YearsAtCompany]]&lt;7,"Mid","Long"))</f>
        <v>Early</v>
      </c>
      <c r="AD1263" t="str">
        <f>IF(H_A[[#This Row],[PercentSalaryHike]]&lt;13,"Low",IF(H_A[[#This Row],[PercentSalaryHike]]&lt;18,"Medium","High"))</f>
        <v>Medium</v>
      </c>
    </row>
    <row r="1264" spans="1:30" x14ac:dyDescent="0.3">
      <c r="A1264">
        <v>43</v>
      </c>
      <c r="B1264">
        <v>1767</v>
      </c>
      <c r="C1264" t="s">
        <v>30</v>
      </c>
      <c r="D1264" t="s">
        <v>37</v>
      </c>
      <c r="E1264">
        <v>17</v>
      </c>
      <c r="F1264">
        <v>3</v>
      </c>
      <c r="G1264" t="s">
        <v>51</v>
      </c>
      <c r="H1264">
        <v>3</v>
      </c>
      <c r="I1264" t="s">
        <v>38</v>
      </c>
      <c r="J1264">
        <v>2</v>
      </c>
      <c r="K1264">
        <v>1</v>
      </c>
      <c r="L1264" t="s">
        <v>39</v>
      </c>
      <c r="M1264">
        <v>3</v>
      </c>
      <c r="N1264" t="s">
        <v>40</v>
      </c>
      <c r="O1264">
        <v>2437</v>
      </c>
      <c r="P1264">
        <v>9</v>
      </c>
      <c r="Q1264" t="s">
        <v>30</v>
      </c>
      <c r="R1264">
        <v>4</v>
      </c>
      <c r="S1264">
        <v>6</v>
      </c>
      <c r="T1264">
        <v>3</v>
      </c>
      <c r="U1264">
        <v>1</v>
      </c>
      <c r="V1264">
        <v>0</v>
      </c>
      <c r="W1264">
        <v>0</v>
      </c>
      <c r="X1264">
        <v>0</v>
      </c>
      <c r="Y1264">
        <v>16</v>
      </c>
      <c r="Z1264">
        <f>IF(H_A[[#This Row],[Attrition]]="Yes",1,0)</f>
        <v>1</v>
      </c>
      <c r="AA1264" t="str">
        <f>IF(H_A[[#This Row],[Age]]&lt;30,"Young",IF(H_A[[#This Row],[Age]]&lt;45,"Mid","Senior"))</f>
        <v>Mid</v>
      </c>
      <c r="AB1264" t="str">
        <f>IF(H_A[[#This Row],[MonthlyIncome]]&lt;5000,"Low",IF(H_A[[#This Row],[MonthlyIncome]]&lt;10000,"Medium","High"))</f>
        <v>Low</v>
      </c>
      <c r="AC1264" t="str">
        <f>IF(H_A[[#This Row],[YearsAtCompany]]&lt;3,"Early",IF(H_A[[#This Row],[YearsAtCompany]]&lt;7,"Mid","Long"))</f>
        <v>Early</v>
      </c>
      <c r="AD1264" t="str">
        <f>IF(H_A[[#This Row],[PercentSalaryHike]]&lt;13,"Low",IF(H_A[[#This Row],[PercentSalaryHike]]&lt;18,"Medium","High"))</f>
        <v>Medium</v>
      </c>
    </row>
    <row r="1265" spans="1:30" x14ac:dyDescent="0.3">
      <c r="A1265">
        <v>42</v>
      </c>
      <c r="B1265">
        <v>1768</v>
      </c>
      <c r="C1265" t="s">
        <v>36</v>
      </c>
      <c r="D1265" t="s">
        <v>37</v>
      </c>
      <c r="E1265">
        <v>12</v>
      </c>
      <c r="F1265">
        <v>3</v>
      </c>
      <c r="G1265" t="s">
        <v>43</v>
      </c>
      <c r="H1265">
        <v>2</v>
      </c>
      <c r="I1265" t="s">
        <v>38</v>
      </c>
      <c r="J1265">
        <v>3</v>
      </c>
      <c r="K1265">
        <v>1</v>
      </c>
      <c r="L1265" t="s">
        <v>42</v>
      </c>
      <c r="M1265">
        <v>2</v>
      </c>
      <c r="N1265" t="s">
        <v>44</v>
      </c>
      <c r="O1265">
        <v>2766</v>
      </c>
      <c r="P1265">
        <v>8</v>
      </c>
      <c r="Q1265" t="s">
        <v>36</v>
      </c>
      <c r="R1265">
        <v>2</v>
      </c>
      <c r="S1265">
        <v>7</v>
      </c>
      <c r="T1265">
        <v>2</v>
      </c>
      <c r="U1265">
        <v>5</v>
      </c>
      <c r="V1265">
        <v>3</v>
      </c>
      <c r="W1265">
        <v>0</v>
      </c>
      <c r="X1265">
        <v>4</v>
      </c>
      <c r="Y1265">
        <v>22</v>
      </c>
      <c r="Z1265">
        <f>IF(H_A[[#This Row],[Attrition]]="Yes",1,0)</f>
        <v>0</v>
      </c>
      <c r="AA1265" t="str">
        <f>IF(H_A[[#This Row],[Age]]&lt;30,"Young",IF(H_A[[#This Row],[Age]]&lt;45,"Mid","Senior"))</f>
        <v>Mid</v>
      </c>
      <c r="AB1265" t="str">
        <f>IF(H_A[[#This Row],[MonthlyIncome]]&lt;5000,"Low",IF(H_A[[#This Row],[MonthlyIncome]]&lt;10000,"Medium","High"))</f>
        <v>Low</v>
      </c>
      <c r="AC1265" t="str">
        <f>IF(H_A[[#This Row],[YearsAtCompany]]&lt;3,"Early",IF(H_A[[#This Row],[YearsAtCompany]]&lt;7,"Mid","Long"))</f>
        <v>Mid</v>
      </c>
      <c r="AD1265" t="str">
        <f>IF(H_A[[#This Row],[PercentSalaryHike]]&lt;13,"Low",IF(H_A[[#This Row],[PercentSalaryHike]]&lt;18,"Medium","High"))</f>
        <v>High</v>
      </c>
    </row>
    <row r="1266" spans="1:30" x14ac:dyDescent="0.3">
      <c r="A1266">
        <v>55</v>
      </c>
      <c r="B1266">
        <v>1770</v>
      </c>
      <c r="C1266" t="s">
        <v>36</v>
      </c>
      <c r="D1266" t="s">
        <v>37</v>
      </c>
      <c r="E1266">
        <v>2</v>
      </c>
      <c r="F1266">
        <v>3</v>
      </c>
      <c r="G1266" t="s">
        <v>43</v>
      </c>
      <c r="H1266">
        <v>3</v>
      </c>
      <c r="I1266" t="s">
        <v>38</v>
      </c>
      <c r="J1266">
        <v>2</v>
      </c>
      <c r="K1266">
        <v>5</v>
      </c>
      <c r="L1266" t="s">
        <v>49</v>
      </c>
      <c r="M1266">
        <v>1</v>
      </c>
      <c r="N1266" t="s">
        <v>40</v>
      </c>
      <c r="O1266">
        <v>19038</v>
      </c>
      <c r="P1266">
        <v>8</v>
      </c>
      <c r="Q1266" t="s">
        <v>36</v>
      </c>
      <c r="R1266">
        <v>2</v>
      </c>
      <c r="S1266">
        <v>34</v>
      </c>
      <c r="T1266">
        <v>3</v>
      </c>
      <c r="U1266">
        <v>1</v>
      </c>
      <c r="V1266">
        <v>0</v>
      </c>
      <c r="W1266">
        <v>0</v>
      </c>
      <c r="X1266">
        <v>0</v>
      </c>
      <c r="Y1266">
        <v>12</v>
      </c>
      <c r="Z1266">
        <f>IF(H_A[[#This Row],[Attrition]]="Yes",1,0)</f>
        <v>0</v>
      </c>
      <c r="AA1266" t="str">
        <f>IF(H_A[[#This Row],[Age]]&lt;30,"Young",IF(H_A[[#This Row],[Age]]&lt;45,"Mid","Senior"))</f>
        <v>Senior</v>
      </c>
      <c r="AB1266" t="str">
        <f>IF(H_A[[#This Row],[MonthlyIncome]]&lt;5000,"Low",IF(H_A[[#This Row],[MonthlyIncome]]&lt;10000,"Medium","High"))</f>
        <v>High</v>
      </c>
      <c r="AC1266" t="str">
        <f>IF(H_A[[#This Row],[YearsAtCompany]]&lt;3,"Early",IF(H_A[[#This Row],[YearsAtCompany]]&lt;7,"Mid","Long"))</f>
        <v>Early</v>
      </c>
      <c r="AD1266" t="str">
        <f>IF(H_A[[#This Row],[PercentSalaryHike]]&lt;13,"Low",IF(H_A[[#This Row],[PercentSalaryHike]]&lt;18,"Medium","High"))</f>
        <v>Low</v>
      </c>
    </row>
    <row r="1267" spans="1:30" x14ac:dyDescent="0.3">
      <c r="A1267">
        <v>33</v>
      </c>
      <c r="B1267">
        <v>1771</v>
      </c>
      <c r="C1267" t="s">
        <v>36</v>
      </c>
      <c r="D1267" t="s">
        <v>37</v>
      </c>
      <c r="E1267">
        <v>4</v>
      </c>
      <c r="F1267">
        <v>3</v>
      </c>
      <c r="G1267" t="s">
        <v>51</v>
      </c>
      <c r="H1267">
        <v>4</v>
      </c>
      <c r="I1267" t="s">
        <v>38</v>
      </c>
      <c r="J1267">
        <v>3</v>
      </c>
      <c r="K1267">
        <v>2</v>
      </c>
      <c r="L1267" t="s">
        <v>39</v>
      </c>
      <c r="M1267">
        <v>2</v>
      </c>
      <c r="N1267" t="s">
        <v>44</v>
      </c>
      <c r="O1267">
        <v>3055</v>
      </c>
      <c r="P1267">
        <v>5</v>
      </c>
      <c r="Q1267" t="s">
        <v>36</v>
      </c>
      <c r="R1267">
        <v>4</v>
      </c>
      <c r="S1267">
        <v>11</v>
      </c>
      <c r="T1267">
        <v>2</v>
      </c>
      <c r="U1267">
        <v>9</v>
      </c>
      <c r="V1267">
        <v>8</v>
      </c>
      <c r="W1267">
        <v>1</v>
      </c>
      <c r="X1267">
        <v>7</v>
      </c>
      <c r="Y1267">
        <v>15</v>
      </c>
      <c r="Z1267">
        <f>IF(H_A[[#This Row],[Attrition]]="Yes",1,0)</f>
        <v>0</v>
      </c>
      <c r="AA1267" t="str">
        <f>IF(H_A[[#This Row],[Age]]&lt;30,"Young",IF(H_A[[#This Row],[Age]]&lt;45,"Mid","Senior"))</f>
        <v>Mid</v>
      </c>
      <c r="AB1267" t="str">
        <f>IF(H_A[[#This Row],[MonthlyIncome]]&lt;5000,"Low",IF(H_A[[#This Row],[MonthlyIncome]]&lt;10000,"Medium","High"))</f>
        <v>Low</v>
      </c>
      <c r="AC1267" t="str">
        <f>IF(H_A[[#This Row],[YearsAtCompany]]&lt;3,"Early",IF(H_A[[#This Row],[YearsAtCompany]]&lt;7,"Mid","Long"))</f>
        <v>Long</v>
      </c>
      <c r="AD1267" t="str">
        <f>IF(H_A[[#This Row],[PercentSalaryHike]]&lt;13,"Low",IF(H_A[[#This Row],[PercentSalaryHike]]&lt;18,"Medium","High"))</f>
        <v>Medium</v>
      </c>
    </row>
    <row r="1268" spans="1:30" x14ac:dyDescent="0.3">
      <c r="A1268">
        <v>41</v>
      </c>
      <c r="B1268">
        <v>1772</v>
      </c>
      <c r="C1268" t="s">
        <v>36</v>
      </c>
      <c r="D1268" t="s">
        <v>37</v>
      </c>
      <c r="E1268">
        <v>9</v>
      </c>
      <c r="F1268">
        <v>4</v>
      </c>
      <c r="G1268" t="s">
        <v>32</v>
      </c>
      <c r="H1268">
        <v>3</v>
      </c>
      <c r="I1268" t="s">
        <v>38</v>
      </c>
      <c r="J1268">
        <v>3</v>
      </c>
      <c r="K1268">
        <v>1</v>
      </c>
      <c r="L1268" t="s">
        <v>42</v>
      </c>
      <c r="M1268">
        <v>1</v>
      </c>
      <c r="N1268" t="s">
        <v>44</v>
      </c>
      <c r="O1268">
        <v>2289</v>
      </c>
      <c r="P1268">
        <v>1</v>
      </c>
      <c r="Q1268" t="s">
        <v>36</v>
      </c>
      <c r="R1268">
        <v>2</v>
      </c>
      <c r="S1268">
        <v>5</v>
      </c>
      <c r="T1268">
        <v>3</v>
      </c>
      <c r="U1268">
        <v>5</v>
      </c>
      <c r="V1268">
        <v>3</v>
      </c>
      <c r="W1268">
        <v>0</v>
      </c>
      <c r="X1268">
        <v>4</v>
      </c>
      <c r="Y1268">
        <v>20</v>
      </c>
      <c r="Z1268">
        <f>IF(H_A[[#This Row],[Attrition]]="Yes",1,0)</f>
        <v>0</v>
      </c>
      <c r="AA1268" t="str">
        <f>IF(H_A[[#This Row],[Age]]&lt;30,"Young",IF(H_A[[#This Row],[Age]]&lt;45,"Mid","Senior"))</f>
        <v>Mid</v>
      </c>
      <c r="AB1268" t="str">
        <f>IF(H_A[[#This Row],[MonthlyIncome]]&lt;5000,"Low",IF(H_A[[#This Row],[MonthlyIncome]]&lt;10000,"Medium","High"))</f>
        <v>Low</v>
      </c>
      <c r="AC1268" t="str">
        <f>IF(H_A[[#This Row],[YearsAtCompany]]&lt;3,"Early",IF(H_A[[#This Row],[YearsAtCompany]]&lt;7,"Mid","Long"))</f>
        <v>Mid</v>
      </c>
      <c r="AD1268" t="str">
        <f>IF(H_A[[#This Row],[PercentSalaryHike]]&lt;13,"Low",IF(H_A[[#This Row],[PercentSalaryHike]]&lt;18,"Medium","High"))</f>
        <v>High</v>
      </c>
    </row>
    <row r="1269" spans="1:30" x14ac:dyDescent="0.3">
      <c r="A1269">
        <v>34</v>
      </c>
      <c r="B1269">
        <v>1774</v>
      </c>
      <c r="C1269" t="s">
        <v>36</v>
      </c>
      <c r="D1269" t="s">
        <v>31</v>
      </c>
      <c r="E1269">
        <v>10</v>
      </c>
      <c r="F1269">
        <v>3</v>
      </c>
      <c r="G1269" t="s">
        <v>32</v>
      </c>
      <c r="H1269">
        <v>4</v>
      </c>
      <c r="I1269" t="s">
        <v>38</v>
      </c>
      <c r="J1269">
        <v>3</v>
      </c>
      <c r="K1269">
        <v>2</v>
      </c>
      <c r="L1269" t="s">
        <v>34</v>
      </c>
      <c r="M1269">
        <v>3</v>
      </c>
      <c r="N1269" t="s">
        <v>44</v>
      </c>
      <c r="O1269">
        <v>4001</v>
      </c>
      <c r="P1269">
        <v>1</v>
      </c>
      <c r="Q1269" t="s">
        <v>30</v>
      </c>
      <c r="R1269">
        <v>3</v>
      </c>
      <c r="S1269">
        <v>15</v>
      </c>
      <c r="T1269">
        <v>3</v>
      </c>
      <c r="U1269">
        <v>15</v>
      </c>
      <c r="V1269">
        <v>14</v>
      </c>
      <c r="W1269">
        <v>0</v>
      </c>
      <c r="X1269">
        <v>7</v>
      </c>
      <c r="Y1269">
        <v>14</v>
      </c>
      <c r="Z1269">
        <f>IF(H_A[[#This Row],[Attrition]]="Yes",1,0)</f>
        <v>0</v>
      </c>
      <c r="AA1269" t="str">
        <f>IF(H_A[[#This Row],[Age]]&lt;30,"Young",IF(H_A[[#This Row],[Age]]&lt;45,"Mid","Senior"))</f>
        <v>Mid</v>
      </c>
      <c r="AB1269" t="str">
        <f>IF(H_A[[#This Row],[MonthlyIncome]]&lt;5000,"Low",IF(H_A[[#This Row],[MonthlyIncome]]&lt;10000,"Medium","High"))</f>
        <v>Low</v>
      </c>
      <c r="AC1269" t="str">
        <f>IF(H_A[[#This Row],[YearsAtCompany]]&lt;3,"Early",IF(H_A[[#This Row],[YearsAtCompany]]&lt;7,"Mid","Long"))</f>
        <v>Long</v>
      </c>
      <c r="AD1269" t="str">
        <f>IF(H_A[[#This Row],[PercentSalaryHike]]&lt;13,"Low",IF(H_A[[#This Row],[PercentSalaryHike]]&lt;18,"Medium","High"))</f>
        <v>Medium</v>
      </c>
    </row>
    <row r="1270" spans="1:30" x14ac:dyDescent="0.3">
      <c r="A1270">
        <v>53</v>
      </c>
      <c r="B1270">
        <v>1775</v>
      </c>
      <c r="C1270" t="s">
        <v>36</v>
      </c>
      <c r="D1270" t="s">
        <v>37</v>
      </c>
      <c r="E1270">
        <v>1</v>
      </c>
      <c r="F1270">
        <v>4</v>
      </c>
      <c r="G1270" t="s">
        <v>43</v>
      </c>
      <c r="H1270">
        <v>1</v>
      </c>
      <c r="I1270" t="s">
        <v>33</v>
      </c>
      <c r="J1270">
        <v>2</v>
      </c>
      <c r="K1270">
        <v>4</v>
      </c>
      <c r="L1270" t="s">
        <v>45</v>
      </c>
      <c r="M1270">
        <v>3</v>
      </c>
      <c r="N1270" t="s">
        <v>40</v>
      </c>
      <c r="O1270">
        <v>12965</v>
      </c>
      <c r="P1270">
        <v>4</v>
      </c>
      <c r="Q1270" t="s">
        <v>30</v>
      </c>
      <c r="R1270">
        <v>4</v>
      </c>
      <c r="S1270">
        <v>27</v>
      </c>
      <c r="T1270">
        <v>2</v>
      </c>
      <c r="U1270">
        <v>3</v>
      </c>
      <c r="V1270">
        <v>2</v>
      </c>
      <c r="W1270">
        <v>0</v>
      </c>
      <c r="X1270">
        <v>2</v>
      </c>
      <c r="Y1270">
        <v>20</v>
      </c>
      <c r="Z1270">
        <f>IF(H_A[[#This Row],[Attrition]]="Yes",1,0)</f>
        <v>0</v>
      </c>
      <c r="AA1270" t="str">
        <f>IF(H_A[[#This Row],[Age]]&lt;30,"Young",IF(H_A[[#This Row],[Age]]&lt;45,"Mid","Senior"))</f>
        <v>Senior</v>
      </c>
      <c r="AB1270" t="str">
        <f>IF(H_A[[#This Row],[MonthlyIncome]]&lt;5000,"Low",IF(H_A[[#This Row],[MonthlyIncome]]&lt;10000,"Medium","High"))</f>
        <v>High</v>
      </c>
      <c r="AC1270" t="str">
        <f>IF(H_A[[#This Row],[YearsAtCompany]]&lt;3,"Early",IF(H_A[[#This Row],[YearsAtCompany]]&lt;7,"Mid","Long"))</f>
        <v>Mid</v>
      </c>
      <c r="AD1270" t="str">
        <f>IF(H_A[[#This Row],[PercentSalaryHike]]&lt;13,"Low",IF(H_A[[#This Row],[PercentSalaryHike]]&lt;18,"Medium","High"))</f>
        <v>High</v>
      </c>
    </row>
    <row r="1271" spans="1:30" x14ac:dyDescent="0.3">
      <c r="A1271">
        <v>43</v>
      </c>
      <c r="B1271">
        <v>1778</v>
      </c>
      <c r="C1271" t="s">
        <v>36</v>
      </c>
      <c r="D1271" t="s">
        <v>52</v>
      </c>
      <c r="E1271">
        <v>2</v>
      </c>
      <c r="F1271">
        <v>3</v>
      </c>
      <c r="G1271" t="s">
        <v>32</v>
      </c>
      <c r="H1271">
        <v>2</v>
      </c>
      <c r="I1271" t="s">
        <v>38</v>
      </c>
      <c r="J1271">
        <v>3</v>
      </c>
      <c r="K1271">
        <v>1</v>
      </c>
      <c r="L1271" t="s">
        <v>52</v>
      </c>
      <c r="M1271">
        <v>4</v>
      </c>
      <c r="N1271" t="s">
        <v>35</v>
      </c>
      <c r="O1271">
        <v>3539</v>
      </c>
      <c r="P1271">
        <v>0</v>
      </c>
      <c r="Q1271" t="s">
        <v>36</v>
      </c>
      <c r="R1271">
        <v>2</v>
      </c>
      <c r="S1271">
        <v>10</v>
      </c>
      <c r="T1271">
        <v>3</v>
      </c>
      <c r="U1271">
        <v>9</v>
      </c>
      <c r="V1271">
        <v>7</v>
      </c>
      <c r="W1271">
        <v>1</v>
      </c>
      <c r="X1271">
        <v>8</v>
      </c>
      <c r="Y1271">
        <v>13</v>
      </c>
      <c r="Z1271">
        <f>IF(H_A[[#This Row],[Attrition]]="Yes",1,0)</f>
        <v>0</v>
      </c>
      <c r="AA1271" t="str">
        <f>IF(H_A[[#This Row],[Age]]&lt;30,"Young",IF(H_A[[#This Row],[Age]]&lt;45,"Mid","Senior"))</f>
        <v>Mid</v>
      </c>
      <c r="AB1271" t="str">
        <f>IF(H_A[[#This Row],[MonthlyIncome]]&lt;5000,"Low",IF(H_A[[#This Row],[MonthlyIncome]]&lt;10000,"Medium","High"))</f>
        <v>Low</v>
      </c>
      <c r="AC1271" t="str">
        <f>IF(H_A[[#This Row],[YearsAtCompany]]&lt;3,"Early",IF(H_A[[#This Row],[YearsAtCompany]]&lt;7,"Mid","Long"))</f>
        <v>Long</v>
      </c>
      <c r="AD1271" t="str">
        <f>IF(H_A[[#This Row],[PercentSalaryHike]]&lt;13,"Low",IF(H_A[[#This Row],[PercentSalaryHike]]&lt;18,"Medium","High"))</f>
        <v>Medium</v>
      </c>
    </row>
    <row r="1272" spans="1:30" x14ac:dyDescent="0.3">
      <c r="A1272">
        <v>34</v>
      </c>
      <c r="B1272">
        <v>1779</v>
      </c>
      <c r="C1272" t="s">
        <v>36</v>
      </c>
      <c r="D1272" t="s">
        <v>31</v>
      </c>
      <c r="E1272">
        <v>3</v>
      </c>
      <c r="F1272">
        <v>2</v>
      </c>
      <c r="G1272" t="s">
        <v>32</v>
      </c>
      <c r="H1272">
        <v>4</v>
      </c>
      <c r="I1272" t="s">
        <v>33</v>
      </c>
      <c r="J1272">
        <v>1</v>
      </c>
      <c r="K1272">
        <v>2</v>
      </c>
      <c r="L1272" t="s">
        <v>34</v>
      </c>
      <c r="M1272">
        <v>4</v>
      </c>
      <c r="N1272" t="s">
        <v>35</v>
      </c>
      <c r="O1272">
        <v>6029</v>
      </c>
      <c r="P1272">
        <v>5</v>
      </c>
      <c r="Q1272" t="s">
        <v>36</v>
      </c>
      <c r="R1272">
        <v>1</v>
      </c>
      <c r="S1272">
        <v>6</v>
      </c>
      <c r="T1272">
        <v>3</v>
      </c>
      <c r="U1272">
        <v>2</v>
      </c>
      <c r="V1272">
        <v>2</v>
      </c>
      <c r="W1272">
        <v>2</v>
      </c>
      <c r="X1272">
        <v>2</v>
      </c>
      <c r="Y1272">
        <v>12</v>
      </c>
      <c r="Z1272">
        <f>IF(H_A[[#This Row],[Attrition]]="Yes",1,0)</f>
        <v>0</v>
      </c>
      <c r="AA1272" t="str">
        <f>IF(H_A[[#This Row],[Age]]&lt;30,"Young",IF(H_A[[#This Row],[Age]]&lt;45,"Mid","Senior"))</f>
        <v>Mid</v>
      </c>
      <c r="AB1272" t="str">
        <f>IF(H_A[[#This Row],[MonthlyIncome]]&lt;5000,"Low",IF(H_A[[#This Row],[MonthlyIncome]]&lt;10000,"Medium","High"))</f>
        <v>Medium</v>
      </c>
      <c r="AC1272" t="str">
        <f>IF(H_A[[#This Row],[YearsAtCompany]]&lt;3,"Early",IF(H_A[[#This Row],[YearsAtCompany]]&lt;7,"Mid","Long"))</f>
        <v>Early</v>
      </c>
      <c r="AD1272" t="str">
        <f>IF(H_A[[#This Row],[PercentSalaryHike]]&lt;13,"Low",IF(H_A[[#This Row],[PercentSalaryHike]]&lt;18,"Medium","High"))</f>
        <v>Low</v>
      </c>
    </row>
    <row r="1273" spans="1:30" x14ac:dyDescent="0.3">
      <c r="A1273">
        <v>21</v>
      </c>
      <c r="B1273">
        <v>1780</v>
      </c>
      <c r="C1273" t="s">
        <v>30</v>
      </c>
      <c r="D1273" t="s">
        <v>31</v>
      </c>
      <c r="E1273">
        <v>7</v>
      </c>
      <c r="F1273">
        <v>1</v>
      </c>
      <c r="G1273" t="s">
        <v>50</v>
      </c>
      <c r="H1273">
        <v>2</v>
      </c>
      <c r="I1273" t="s">
        <v>38</v>
      </c>
      <c r="J1273">
        <v>3</v>
      </c>
      <c r="K1273">
        <v>1</v>
      </c>
      <c r="L1273" t="s">
        <v>48</v>
      </c>
      <c r="M1273">
        <v>2</v>
      </c>
      <c r="N1273" t="s">
        <v>35</v>
      </c>
      <c r="O1273">
        <v>2679</v>
      </c>
      <c r="P1273">
        <v>1</v>
      </c>
      <c r="Q1273" t="s">
        <v>36</v>
      </c>
      <c r="R1273">
        <v>2</v>
      </c>
      <c r="S1273">
        <v>1</v>
      </c>
      <c r="T1273">
        <v>3</v>
      </c>
      <c r="U1273">
        <v>1</v>
      </c>
      <c r="V1273">
        <v>0</v>
      </c>
      <c r="W1273">
        <v>1</v>
      </c>
      <c r="X1273">
        <v>0</v>
      </c>
      <c r="Y1273">
        <v>13</v>
      </c>
      <c r="Z1273">
        <f>IF(H_A[[#This Row],[Attrition]]="Yes",1,0)</f>
        <v>1</v>
      </c>
      <c r="AA1273" t="str">
        <f>IF(H_A[[#This Row],[Age]]&lt;30,"Young",IF(H_A[[#This Row],[Age]]&lt;45,"Mid","Senior"))</f>
        <v>Young</v>
      </c>
      <c r="AB1273" t="str">
        <f>IF(H_A[[#This Row],[MonthlyIncome]]&lt;5000,"Low",IF(H_A[[#This Row],[MonthlyIncome]]&lt;10000,"Medium","High"))</f>
        <v>Low</v>
      </c>
      <c r="AC1273" t="str">
        <f>IF(H_A[[#This Row],[YearsAtCompany]]&lt;3,"Early",IF(H_A[[#This Row],[YearsAtCompany]]&lt;7,"Mid","Long"))</f>
        <v>Early</v>
      </c>
      <c r="AD1273" t="str">
        <f>IF(H_A[[#This Row],[PercentSalaryHike]]&lt;13,"Low",IF(H_A[[#This Row],[PercentSalaryHike]]&lt;18,"Medium","High"))</f>
        <v>Medium</v>
      </c>
    </row>
    <row r="1274" spans="1:30" x14ac:dyDescent="0.3">
      <c r="A1274">
        <v>38</v>
      </c>
      <c r="B1274">
        <v>1782</v>
      </c>
      <c r="C1274" t="s">
        <v>36</v>
      </c>
      <c r="D1274" t="s">
        <v>37</v>
      </c>
      <c r="E1274">
        <v>6</v>
      </c>
      <c r="F1274">
        <v>2</v>
      </c>
      <c r="G1274" t="s">
        <v>41</v>
      </c>
      <c r="H1274">
        <v>4</v>
      </c>
      <c r="I1274" t="s">
        <v>33</v>
      </c>
      <c r="J1274">
        <v>2</v>
      </c>
      <c r="K1274">
        <v>1</v>
      </c>
      <c r="L1274" t="s">
        <v>42</v>
      </c>
      <c r="M1274">
        <v>3</v>
      </c>
      <c r="N1274" t="s">
        <v>40</v>
      </c>
      <c r="O1274">
        <v>3702</v>
      </c>
      <c r="P1274">
        <v>1</v>
      </c>
      <c r="Q1274" t="s">
        <v>36</v>
      </c>
      <c r="R1274">
        <v>2</v>
      </c>
      <c r="S1274">
        <v>5</v>
      </c>
      <c r="T1274">
        <v>3</v>
      </c>
      <c r="U1274">
        <v>5</v>
      </c>
      <c r="V1274">
        <v>4</v>
      </c>
      <c r="W1274">
        <v>0</v>
      </c>
      <c r="X1274">
        <v>4</v>
      </c>
      <c r="Y1274">
        <v>11</v>
      </c>
      <c r="Z1274">
        <f>IF(H_A[[#This Row],[Attrition]]="Yes",1,0)</f>
        <v>0</v>
      </c>
      <c r="AA1274" t="str">
        <f>IF(H_A[[#This Row],[Age]]&lt;30,"Young",IF(H_A[[#This Row],[Age]]&lt;45,"Mid","Senior"))</f>
        <v>Mid</v>
      </c>
      <c r="AB1274" t="str">
        <f>IF(H_A[[#This Row],[MonthlyIncome]]&lt;5000,"Low",IF(H_A[[#This Row],[MonthlyIncome]]&lt;10000,"Medium","High"))</f>
        <v>Low</v>
      </c>
      <c r="AC1274" t="str">
        <f>IF(H_A[[#This Row],[YearsAtCompany]]&lt;3,"Early",IF(H_A[[#This Row],[YearsAtCompany]]&lt;7,"Mid","Long"))</f>
        <v>Mid</v>
      </c>
      <c r="AD1274" t="str">
        <f>IF(H_A[[#This Row],[PercentSalaryHike]]&lt;13,"Low",IF(H_A[[#This Row],[PercentSalaryHike]]&lt;18,"Medium","High"))</f>
        <v>Low</v>
      </c>
    </row>
    <row r="1275" spans="1:30" x14ac:dyDescent="0.3">
      <c r="A1275">
        <v>22</v>
      </c>
      <c r="B1275">
        <v>1783</v>
      </c>
      <c r="C1275" t="s">
        <v>30</v>
      </c>
      <c r="D1275" t="s">
        <v>37</v>
      </c>
      <c r="E1275">
        <v>8</v>
      </c>
      <c r="F1275">
        <v>1</v>
      </c>
      <c r="G1275" t="s">
        <v>43</v>
      </c>
      <c r="H1275">
        <v>3</v>
      </c>
      <c r="I1275" t="s">
        <v>33</v>
      </c>
      <c r="J1275">
        <v>3</v>
      </c>
      <c r="K1275">
        <v>1</v>
      </c>
      <c r="L1275" t="s">
        <v>42</v>
      </c>
      <c r="M1275">
        <v>1</v>
      </c>
      <c r="N1275" t="s">
        <v>40</v>
      </c>
      <c r="O1275">
        <v>2398</v>
      </c>
      <c r="P1275">
        <v>1</v>
      </c>
      <c r="Q1275" t="s">
        <v>30</v>
      </c>
      <c r="R1275">
        <v>3</v>
      </c>
      <c r="S1275">
        <v>1</v>
      </c>
      <c r="T1275">
        <v>3</v>
      </c>
      <c r="U1275">
        <v>1</v>
      </c>
      <c r="V1275">
        <v>0</v>
      </c>
      <c r="W1275">
        <v>0</v>
      </c>
      <c r="X1275">
        <v>0</v>
      </c>
      <c r="Y1275">
        <v>17</v>
      </c>
      <c r="Z1275">
        <f>IF(H_A[[#This Row],[Attrition]]="Yes",1,0)</f>
        <v>1</v>
      </c>
      <c r="AA1275" t="str">
        <f>IF(H_A[[#This Row],[Age]]&lt;30,"Young",IF(H_A[[#This Row],[Age]]&lt;45,"Mid","Senior"))</f>
        <v>Young</v>
      </c>
      <c r="AB1275" t="str">
        <f>IF(H_A[[#This Row],[MonthlyIncome]]&lt;5000,"Low",IF(H_A[[#This Row],[MonthlyIncome]]&lt;10000,"Medium","High"))</f>
        <v>Low</v>
      </c>
      <c r="AC1275" t="str">
        <f>IF(H_A[[#This Row],[YearsAtCompany]]&lt;3,"Early",IF(H_A[[#This Row],[YearsAtCompany]]&lt;7,"Mid","Long"))</f>
        <v>Early</v>
      </c>
      <c r="AD1275" t="str">
        <f>IF(H_A[[#This Row],[PercentSalaryHike]]&lt;13,"Low",IF(H_A[[#This Row],[PercentSalaryHike]]&lt;18,"Medium","High"))</f>
        <v>Medium</v>
      </c>
    </row>
    <row r="1276" spans="1:30" x14ac:dyDescent="0.3">
      <c r="A1276">
        <v>31</v>
      </c>
      <c r="B1276">
        <v>1784</v>
      </c>
      <c r="C1276" t="s">
        <v>36</v>
      </c>
      <c r="D1276" t="s">
        <v>31</v>
      </c>
      <c r="E1276">
        <v>29</v>
      </c>
      <c r="F1276">
        <v>4</v>
      </c>
      <c r="G1276" t="s">
        <v>50</v>
      </c>
      <c r="H1276">
        <v>1</v>
      </c>
      <c r="I1276" t="s">
        <v>33</v>
      </c>
      <c r="J1276">
        <v>2</v>
      </c>
      <c r="K1276">
        <v>2</v>
      </c>
      <c r="L1276" t="s">
        <v>34</v>
      </c>
      <c r="M1276">
        <v>4</v>
      </c>
      <c r="N1276" t="s">
        <v>40</v>
      </c>
      <c r="O1276">
        <v>5468</v>
      </c>
      <c r="P1276">
        <v>1</v>
      </c>
      <c r="Q1276" t="s">
        <v>36</v>
      </c>
      <c r="R1276">
        <v>1</v>
      </c>
      <c r="S1276">
        <v>13</v>
      </c>
      <c r="T1276">
        <v>3</v>
      </c>
      <c r="U1276">
        <v>12</v>
      </c>
      <c r="V1276">
        <v>7</v>
      </c>
      <c r="W1276">
        <v>5</v>
      </c>
      <c r="X1276">
        <v>7</v>
      </c>
      <c r="Y1276">
        <v>14</v>
      </c>
      <c r="Z1276">
        <f>IF(H_A[[#This Row],[Attrition]]="Yes",1,0)</f>
        <v>0</v>
      </c>
      <c r="AA1276" t="str">
        <f>IF(H_A[[#This Row],[Age]]&lt;30,"Young",IF(H_A[[#This Row],[Age]]&lt;45,"Mid","Senior"))</f>
        <v>Mid</v>
      </c>
      <c r="AB1276" t="str">
        <f>IF(H_A[[#This Row],[MonthlyIncome]]&lt;5000,"Low",IF(H_A[[#This Row],[MonthlyIncome]]&lt;10000,"Medium","High"))</f>
        <v>Medium</v>
      </c>
      <c r="AC1276" t="str">
        <f>IF(H_A[[#This Row],[YearsAtCompany]]&lt;3,"Early",IF(H_A[[#This Row],[YearsAtCompany]]&lt;7,"Mid","Long"))</f>
        <v>Long</v>
      </c>
      <c r="AD1276" t="str">
        <f>IF(H_A[[#This Row],[PercentSalaryHike]]&lt;13,"Low",IF(H_A[[#This Row],[PercentSalaryHike]]&lt;18,"Medium","High"))</f>
        <v>Medium</v>
      </c>
    </row>
    <row r="1277" spans="1:30" x14ac:dyDescent="0.3">
      <c r="A1277">
        <v>51</v>
      </c>
      <c r="B1277">
        <v>1786</v>
      </c>
      <c r="C1277" t="s">
        <v>36</v>
      </c>
      <c r="D1277" t="s">
        <v>37</v>
      </c>
      <c r="E1277">
        <v>3</v>
      </c>
      <c r="F1277">
        <v>3</v>
      </c>
      <c r="G1277" t="s">
        <v>51</v>
      </c>
      <c r="H1277">
        <v>1</v>
      </c>
      <c r="I1277" t="s">
        <v>33</v>
      </c>
      <c r="J1277">
        <v>3</v>
      </c>
      <c r="K1277">
        <v>3</v>
      </c>
      <c r="L1277" t="s">
        <v>47</v>
      </c>
      <c r="M1277">
        <v>3</v>
      </c>
      <c r="N1277" t="s">
        <v>40</v>
      </c>
      <c r="O1277">
        <v>13116</v>
      </c>
      <c r="P1277">
        <v>2</v>
      </c>
      <c r="Q1277" t="s">
        <v>36</v>
      </c>
      <c r="R1277">
        <v>4</v>
      </c>
      <c r="S1277">
        <v>15</v>
      </c>
      <c r="T1277">
        <v>3</v>
      </c>
      <c r="U1277">
        <v>2</v>
      </c>
      <c r="V1277">
        <v>2</v>
      </c>
      <c r="W1277">
        <v>2</v>
      </c>
      <c r="X1277">
        <v>2</v>
      </c>
      <c r="Y1277">
        <v>11</v>
      </c>
      <c r="Z1277">
        <f>IF(H_A[[#This Row],[Attrition]]="Yes",1,0)</f>
        <v>0</v>
      </c>
      <c r="AA1277" t="str">
        <f>IF(H_A[[#This Row],[Age]]&lt;30,"Young",IF(H_A[[#This Row],[Age]]&lt;45,"Mid","Senior"))</f>
        <v>Senior</v>
      </c>
      <c r="AB1277" t="str">
        <f>IF(H_A[[#This Row],[MonthlyIncome]]&lt;5000,"Low",IF(H_A[[#This Row],[MonthlyIncome]]&lt;10000,"Medium","High"))</f>
        <v>High</v>
      </c>
      <c r="AC1277" t="str">
        <f>IF(H_A[[#This Row],[YearsAtCompany]]&lt;3,"Early",IF(H_A[[#This Row],[YearsAtCompany]]&lt;7,"Mid","Long"))</f>
        <v>Early</v>
      </c>
      <c r="AD1277" t="str">
        <f>IF(H_A[[#This Row],[PercentSalaryHike]]&lt;13,"Low",IF(H_A[[#This Row],[PercentSalaryHike]]&lt;18,"Medium","High"))</f>
        <v>Low</v>
      </c>
    </row>
    <row r="1278" spans="1:30" x14ac:dyDescent="0.3">
      <c r="A1278">
        <v>37</v>
      </c>
      <c r="B1278">
        <v>1787</v>
      </c>
      <c r="C1278" t="s">
        <v>36</v>
      </c>
      <c r="D1278" t="s">
        <v>31</v>
      </c>
      <c r="E1278">
        <v>9</v>
      </c>
      <c r="F1278">
        <v>2</v>
      </c>
      <c r="G1278" t="s">
        <v>50</v>
      </c>
      <c r="H1278">
        <v>2</v>
      </c>
      <c r="I1278" t="s">
        <v>38</v>
      </c>
      <c r="J1278">
        <v>2</v>
      </c>
      <c r="K1278">
        <v>2</v>
      </c>
      <c r="L1278" t="s">
        <v>34</v>
      </c>
      <c r="M1278">
        <v>2</v>
      </c>
      <c r="N1278" t="s">
        <v>40</v>
      </c>
      <c r="O1278">
        <v>4189</v>
      </c>
      <c r="P1278">
        <v>1</v>
      </c>
      <c r="Q1278" t="s">
        <v>36</v>
      </c>
      <c r="R1278">
        <v>1</v>
      </c>
      <c r="S1278">
        <v>5</v>
      </c>
      <c r="T1278">
        <v>3</v>
      </c>
      <c r="U1278">
        <v>5</v>
      </c>
      <c r="V1278">
        <v>2</v>
      </c>
      <c r="W1278">
        <v>0</v>
      </c>
      <c r="X1278">
        <v>3</v>
      </c>
      <c r="Y1278">
        <v>14</v>
      </c>
      <c r="Z1278">
        <f>IF(H_A[[#This Row],[Attrition]]="Yes",1,0)</f>
        <v>0</v>
      </c>
      <c r="AA1278" t="str">
        <f>IF(H_A[[#This Row],[Age]]&lt;30,"Young",IF(H_A[[#This Row],[Age]]&lt;45,"Mid","Senior"))</f>
        <v>Mid</v>
      </c>
      <c r="AB1278" t="str">
        <f>IF(H_A[[#This Row],[MonthlyIncome]]&lt;5000,"Low",IF(H_A[[#This Row],[MonthlyIncome]]&lt;10000,"Medium","High"))</f>
        <v>Low</v>
      </c>
      <c r="AC1278" t="str">
        <f>IF(H_A[[#This Row],[YearsAtCompany]]&lt;3,"Early",IF(H_A[[#This Row],[YearsAtCompany]]&lt;7,"Mid","Long"))</f>
        <v>Mid</v>
      </c>
      <c r="AD1278" t="str">
        <f>IF(H_A[[#This Row],[PercentSalaryHike]]&lt;13,"Low",IF(H_A[[#This Row],[PercentSalaryHike]]&lt;18,"Medium","High"))</f>
        <v>Medium</v>
      </c>
    </row>
    <row r="1279" spans="1:30" x14ac:dyDescent="0.3">
      <c r="A1279">
        <v>46</v>
      </c>
      <c r="B1279">
        <v>1789</v>
      </c>
      <c r="C1279" t="s">
        <v>36</v>
      </c>
      <c r="D1279" t="s">
        <v>37</v>
      </c>
      <c r="E1279">
        <v>2</v>
      </c>
      <c r="F1279">
        <v>4</v>
      </c>
      <c r="G1279" t="s">
        <v>43</v>
      </c>
      <c r="H1279">
        <v>3</v>
      </c>
      <c r="I1279" t="s">
        <v>38</v>
      </c>
      <c r="J1279">
        <v>3</v>
      </c>
      <c r="K1279">
        <v>5</v>
      </c>
      <c r="L1279" t="s">
        <v>49</v>
      </c>
      <c r="M1279">
        <v>4</v>
      </c>
      <c r="N1279" t="s">
        <v>44</v>
      </c>
      <c r="O1279">
        <v>19328</v>
      </c>
      <c r="P1279">
        <v>7</v>
      </c>
      <c r="Q1279" t="s">
        <v>30</v>
      </c>
      <c r="R1279">
        <v>3</v>
      </c>
      <c r="S1279">
        <v>24</v>
      </c>
      <c r="T1279">
        <v>3</v>
      </c>
      <c r="U1279">
        <v>2</v>
      </c>
      <c r="V1279">
        <v>1</v>
      </c>
      <c r="W1279">
        <v>2</v>
      </c>
      <c r="X1279">
        <v>2</v>
      </c>
      <c r="Y1279">
        <v>17</v>
      </c>
      <c r="Z1279">
        <f>IF(H_A[[#This Row],[Attrition]]="Yes",1,0)</f>
        <v>0</v>
      </c>
      <c r="AA1279" t="str">
        <f>IF(H_A[[#This Row],[Age]]&lt;30,"Young",IF(H_A[[#This Row],[Age]]&lt;45,"Mid","Senior"))</f>
        <v>Senior</v>
      </c>
      <c r="AB1279" t="str">
        <f>IF(H_A[[#This Row],[MonthlyIncome]]&lt;5000,"Low",IF(H_A[[#This Row],[MonthlyIncome]]&lt;10000,"Medium","High"))</f>
        <v>High</v>
      </c>
      <c r="AC1279" t="str">
        <f>IF(H_A[[#This Row],[YearsAtCompany]]&lt;3,"Early",IF(H_A[[#This Row],[YearsAtCompany]]&lt;7,"Mid","Long"))</f>
        <v>Early</v>
      </c>
      <c r="AD1279" t="str">
        <f>IF(H_A[[#This Row],[PercentSalaryHike]]&lt;13,"Low",IF(H_A[[#This Row],[PercentSalaryHike]]&lt;18,"Medium","High"))</f>
        <v>Medium</v>
      </c>
    </row>
    <row r="1280" spans="1:30" x14ac:dyDescent="0.3">
      <c r="A1280">
        <v>36</v>
      </c>
      <c r="B1280">
        <v>1790</v>
      </c>
      <c r="C1280" t="s">
        <v>36</v>
      </c>
      <c r="D1280" t="s">
        <v>37</v>
      </c>
      <c r="E1280">
        <v>10</v>
      </c>
      <c r="F1280">
        <v>3</v>
      </c>
      <c r="G1280" t="s">
        <v>32</v>
      </c>
      <c r="H1280">
        <v>4</v>
      </c>
      <c r="I1280" t="s">
        <v>38</v>
      </c>
      <c r="J1280">
        <v>3</v>
      </c>
      <c r="K1280">
        <v>3</v>
      </c>
      <c r="L1280" t="s">
        <v>46</v>
      </c>
      <c r="M1280">
        <v>1</v>
      </c>
      <c r="N1280" t="s">
        <v>40</v>
      </c>
      <c r="O1280">
        <v>8321</v>
      </c>
      <c r="P1280">
        <v>7</v>
      </c>
      <c r="Q1280" t="s">
        <v>30</v>
      </c>
      <c r="R1280">
        <v>4</v>
      </c>
      <c r="S1280">
        <v>15</v>
      </c>
      <c r="T1280">
        <v>3</v>
      </c>
      <c r="U1280">
        <v>12</v>
      </c>
      <c r="V1280">
        <v>8</v>
      </c>
      <c r="W1280">
        <v>5</v>
      </c>
      <c r="X1280">
        <v>7</v>
      </c>
      <c r="Y1280">
        <v>13</v>
      </c>
      <c r="Z1280">
        <f>IF(H_A[[#This Row],[Attrition]]="Yes",1,0)</f>
        <v>0</v>
      </c>
      <c r="AA1280" t="str">
        <f>IF(H_A[[#This Row],[Age]]&lt;30,"Young",IF(H_A[[#This Row],[Age]]&lt;45,"Mid","Senior"))</f>
        <v>Mid</v>
      </c>
      <c r="AB1280" t="str">
        <f>IF(H_A[[#This Row],[MonthlyIncome]]&lt;5000,"Low",IF(H_A[[#This Row],[MonthlyIncome]]&lt;10000,"Medium","High"))</f>
        <v>Medium</v>
      </c>
      <c r="AC1280" t="str">
        <f>IF(H_A[[#This Row],[YearsAtCompany]]&lt;3,"Early",IF(H_A[[#This Row],[YearsAtCompany]]&lt;7,"Mid","Long"))</f>
        <v>Long</v>
      </c>
      <c r="AD1280" t="str">
        <f>IF(H_A[[#This Row],[PercentSalaryHike]]&lt;13,"Low",IF(H_A[[#This Row],[PercentSalaryHike]]&lt;18,"Medium","High"))</f>
        <v>Medium</v>
      </c>
    </row>
    <row r="1281" spans="1:30" x14ac:dyDescent="0.3">
      <c r="A1281">
        <v>44</v>
      </c>
      <c r="B1281">
        <v>1792</v>
      </c>
      <c r="C1281" t="s">
        <v>30</v>
      </c>
      <c r="D1281" t="s">
        <v>37</v>
      </c>
      <c r="E1281">
        <v>1</v>
      </c>
      <c r="F1281">
        <v>2</v>
      </c>
      <c r="G1281" t="s">
        <v>43</v>
      </c>
      <c r="H1281">
        <v>3</v>
      </c>
      <c r="I1281" t="s">
        <v>38</v>
      </c>
      <c r="J1281">
        <v>3</v>
      </c>
      <c r="K1281">
        <v>1</v>
      </c>
      <c r="L1281" t="s">
        <v>39</v>
      </c>
      <c r="M1281">
        <v>2</v>
      </c>
      <c r="N1281" t="s">
        <v>44</v>
      </c>
      <c r="O1281">
        <v>2342</v>
      </c>
      <c r="P1281">
        <v>1</v>
      </c>
      <c r="Q1281" t="s">
        <v>30</v>
      </c>
      <c r="R1281">
        <v>3</v>
      </c>
      <c r="S1281">
        <v>6</v>
      </c>
      <c r="T1281">
        <v>2</v>
      </c>
      <c r="U1281">
        <v>5</v>
      </c>
      <c r="V1281">
        <v>3</v>
      </c>
      <c r="W1281">
        <v>2</v>
      </c>
      <c r="X1281">
        <v>3</v>
      </c>
      <c r="Y1281">
        <v>12</v>
      </c>
      <c r="Z1281">
        <f>IF(H_A[[#This Row],[Attrition]]="Yes",1,0)</f>
        <v>1</v>
      </c>
      <c r="AA1281" t="str">
        <f>IF(H_A[[#This Row],[Age]]&lt;30,"Young",IF(H_A[[#This Row],[Age]]&lt;45,"Mid","Senior"))</f>
        <v>Mid</v>
      </c>
      <c r="AB1281" t="str">
        <f>IF(H_A[[#This Row],[MonthlyIncome]]&lt;5000,"Low",IF(H_A[[#This Row],[MonthlyIncome]]&lt;10000,"Medium","High"))</f>
        <v>Low</v>
      </c>
      <c r="AC1281" t="str">
        <f>IF(H_A[[#This Row],[YearsAtCompany]]&lt;3,"Early",IF(H_A[[#This Row],[YearsAtCompany]]&lt;7,"Mid","Long"))</f>
        <v>Mid</v>
      </c>
      <c r="AD1281" t="str">
        <f>IF(H_A[[#This Row],[PercentSalaryHike]]&lt;13,"Low",IF(H_A[[#This Row],[PercentSalaryHike]]&lt;18,"Medium","High"))</f>
        <v>Low</v>
      </c>
    </row>
    <row r="1282" spans="1:30" x14ac:dyDescent="0.3">
      <c r="A1282">
        <v>37</v>
      </c>
      <c r="B1282">
        <v>1794</v>
      </c>
      <c r="C1282" t="s">
        <v>36</v>
      </c>
      <c r="D1282" t="s">
        <v>52</v>
      </c>
      <c r="E1282">
        <v>8</v>
      </c>
      <c r="F1282">
        <v>2</v>
      </c>
      <c r="G1282" t="s">
        <v>41</v>
      </c>
      <c r="H1282">
        <v>3</v>
      </c>
      <c r="I1282" t="s">
        <v>38</v>
      </c>
      <c r="J1282">
        <v>3</v>
      </c>
      <c r="K1282">
        <v>2</v>
      </c>
      <c r="L1282" t="s">
        <v>52</v>
      </c>
      <c r="M1282">
        <v>2</v>
      </c>
      <c r="N1282" t="s">
        <v>44</v>
      </c>
      <c r="O1282">
        <v>4071</v>
      </c>
      <c r="P1282">
        <v>2</v>
      </c>
      <c r="Q1282" t="s">
        <v>36</v>
      </c>
      <c r="R1282">
        <v>3</v>
      </c>
      <c r="S1282">
        <v>19</v>
      </c>
      <c r="T1282">
        <v>2</v>
      </c>
      <c r="U1282">
        <v>10</v>
      </c>
      <c r="V1282">
        <v>0</v>
      </c>
      <c r="W1282">
        <v>4</v>
      </c>
      <c r="X1282">
        <v>7</v>
      </c>
      <c r="Y1282">
        <v>13</v>
      </c>
      <c r="Z1282">
        <f>IF(H_A[[#This Row],[Attrition]]="Yes",1,0)</f>
        <v>0</v>
      </c>
      <c r="AA1282" t="str">
        <f>IF(H_A[[#This Row],[Age]]&lt;30,"Young",IF(H_A[[#This Row],[Age]]&lt;45,"Mid","Senior"))</f>
        <v>Mid</v>
      </c>
      <c r="AB1282" t="str">
        <f>IF(H_A[[#This Row],[MonthlyIncome]]&lt;5000,"Low",IF(H_A[[#This Row],[MonthlyIncome]]&lt;10000,"Medium","High"))</f>
        <v>Low</v>
      </c>
      <c r="AC1282" t="str">
        <f>IF(H_A[[#This Row],[YearsAtCompany]]&lt;3,"Early",IF(H_A[[#This Row],[YearsAtCompany]]&lt;7,"Mid","Long"))</f>
        <v>Long</v>
      </c>
      <c r="AD1282" t="str">
        <f>IF(H_A[[#This Row],[PercentSalaryHike]]&lt;13,"Low",IF(H_A[[#This Row],[PercentSalaryHike]]&lt;18,"Medium","High"))</f>
        <v>Medium</v>
      </c>
    </row>
    <row r="1283" spans="1:30" x14ac:dyDescent="0.3">
      <c r="A1283">
        <v>35</v>
      </c>
      <c r="B1283">
        <v>1797</v>
      </c>
      <c r="C1283" t="s">
        <v>30</v>
      </c>
      <c r="D1283" t="s">
        <v>31</v>
      </c>
      <c r="E1283">
        <v>27</v>
      </c>
      <c r="F1283">
        <v>3</v>
      </c>
      <c r="G1283" t="s">
        <v>32</v>
      </c>
      <c r="H1283">
        <v>3</v>
      </c>
      <c r="I1283" t="s">
        <v>38</v>
      </c>
      <c r="J1283">
        <v>3</v>
      </c>
      <c r="K1283">
        <v>2</v>
      </c>
      <c r="L1283" t="s">
        <v>34</v>
      </c>
      <c r="M1283">
        <v>4</v>
      </c>
      <c r="N1283" t="s">
        <v>35</v>
      </c>
      <c r="O1283">
        <v>5813</v>
      </c>
      <c r="P1283">
        <v>1</v>
      </c>
      <c r="Q1283" t="s">
        <v>30</v>
      </c>
      <c r="R1283">
        <v>4</v>
      </c>
      <c r="S1283">
        <v>10</v>
      </c>
      <c r="T1283">
        <v>3</v>
      </c>
      <c r="U1283">
        <v>10</v>
      </c>
      <c r="V1283">
        <v>7</v>
      </c>
      <c r="W1283">
        <v>7</v>
      </c>
      <c r="X1283">
        <v>7</v>
      </c>
      <c r="Y1283">
        <v>18</v>
      </c>
      <c r="Z1283">
        <f>IF(H_A[[#This Row],[Attrition]]="Yes",1,0)</f>
        <v>1</v>
      </c>
      <c r="AA1283" t="str">
        <f>IF(H_A[[#This Row],[Age]]&lt;30,"Young",IF(H_A[[#This Row],[Age]]&lt;45,"Mid","Senior"))</f>
        <v>Mid</v>
      </c>
      <c r="AB1283" t="str">
        <f>IF(H_A[[#This Row],[MonthlyIncome]]&lt;5000,"Low",IF(H_A[[#This Row],[MonthlyIncome]]&lt;10000,"Medium","High"))</f>
        <v>Medium</v>
      </c>
      <c r="AC1283" t="str">
        <f>IF(H_A[[#This Row],[YearsAtCompany]]&lt;3,"Early",IF(H_A[[#This Row],[YearsAtCompany]]&lt;7,"Mid","Long"))</f>
        <v>Long</v>
      </c>
      <c r="AD1283" t="str">
        <f>IF(H_A[[#This Row],[PercentSalaryHike]]&lt;13,"Low",IF(H_A[[#This Row],[PercentSalaryHike]]&lt;18,"Medium","High"))</f>
        <v>High</v>
      </c>
    </row>
    <row r="1284" spans="1:30" x14ac:dyDescent="0.3">
      <c r="A1284">
        <v>33</v>
      </c>
      <c r="B1284">
        <v>1798</v>
      </c>
      <c r="C1284" t="s">
        <v>36</v>
      </c>
      <c r="D1284" t="s">
        <v>37</v>
      </c>
      <c r="E1284">
        <v>8</v>
      </c>
      <c r="F1284">
        <v>4</v>
      </c>
      <c r="G1284" t="s">
        <v>32</v>
      </c>
      <c r="H1284">
        <v>4</v>
      </c>
      <c r="I1284" t="s">
        <v>38</v>
      </c>
      <c r="J1284">
        <v>4</v>
      </c>
      <c r="K1284">
        <v>1</v>
      </c>
      <c r="L1284" t="s">
        <v>39</v>
      </c>
      <c r="M1284">
        <v>1</v>
      </c>
      <c r="N1284" t="s">
        <v>40</v>
      </c>
      <c r="O1284">
        <v>3143</v>
      </c>
      <c r="P1284">
        <v>6</v>
      </c>
      <c r="Q1284" t="s">
        <v>36</v>
      </c>
      <c r="R1284">
        <v>2</v>
      </c>
      <c r="S1284">
        <v>14</v>
      </c>
      <c r="T1284">
        <v>3</v>
      </c>
      <c r="U1284">
        <v>10</v>
      </c>
      <c r="V1284">
        <v>8</v>
      </c>
      <c r="W1284">
        <v>7</v>
      </c>
      <c r="X1284">
        <v>6</v>
      </c>
      <c r="Y1284">
        <v>19</v>
      </c>
      <c r="Z1284">
        <f>IF(H_A[[#This Row],[Attrition]]="Yes",1,0)</f>
        <v>0</v>
      </c>
      <c r="AA1284" t="str">
        <f>IF(H_A[[#This Row],[Age]]&lt;30,"Young",IF(H_A[[#This Row],[Age]]&lt;45,"Mid","Senior"))</f>
        <v>Mid</v>
      </c>
      <c r="AB1284" t="str">
        <f>IF(H_A[[#This Row],[MonthlyIncome]]&lt;5000,"Low",IF(H_A[[#This Row],[MonthlyIncome]]&lt;10000,"Medium","High"))</f>
        <v>Low</v>
      </c>
      <c r="AC1284" t="str">
        <f>IF(H_A[[#This Row],[YearsAtCompany]]&lt;3,"Early",IF(H_A[[#This Row],[YearsAtCompany]]&lt;7,"Mid","Long"))</f>
        <v>Long</v>
      </c>
      <c r="AD1284" t="str">
        <f>IF(H_A[[#This Row],[PercentSalaryHike]]&lt;13,"Low",IF(H_A[[#This Row],[PercentSalaryHike]]&lt;18,"Medium","High"))</f>
        <v>High</v>
      </c>
    </row>
    <row r="1285" spans="1:30" x14ac:dyDescent="0.3">
      <c r="A1285">
        <v>28</v>
      </c>
      <c r="B1285">
        <v>1799</v>
      </c>
      <c r="C1285" t="s">
        <v>36</v>
      </c>
      <c r="D1285" t="s">
        <v>37</v>
      </c>
      <c r="E1285">
        <v>1</v>
      </c>
      <c r="F1285">
        <v>3</v>
      </c>
      <c r="G1285" t="s">
        <v>32</v>
      </c>
      <c r="H1285">
        <v>3</v>
      </c>
      <c r="I1285" t="s">
        <v>38</v>
      </c>
      <c r="J1285">
        <v>3</v>
      </c>
      <c r="K1285">
        <v>1</v>
      </c>
      <c r="L1285" t="s">
        <v>39</v>
      </c>
      <c r="M1285">
        <v>4</v>
      </c>
      <c r="N1285" t="s">
        <v>40</v>
      </c>
      <c r="O1285">
        <v>2044</v>
      </c>
      <c r="P1285">
        <v>1</v>
      </c>
      <c r="Q1285" t="s">
        <v>36</v>
      </c>
      <c r="R1285">
        <v>3</v>
      </c>
      <c r="S1285">
        <v>5</v>
      </c>
      <c r="T1285">
        <v>4</v>
      </c>
      <c r="U1285">
        <v>5</v>
      </c>
      <c r="V1285">
        <v>3</v>
      </c>
      <c r="W1285">
        <v>0</v>
      </c>
      <c r="X1285">
        <v>3</v>
      </c>
      <c r="Y1285">
        <v>11</v>
      </c>
      <c r="Z1285">
        <f>IF(H_A[[#This Row],[Attrition]]="Yes",1,0)</f>
        <v>0</v>
      </c>
      <c r="AA1285" t="str">
        <f>IF(H_A[[#This Row],[Age]]&lt;30,"Young",IF(H_A[[#This Row],[Age]]&lt;45,"Mid","Senior"))</f>
        <v>Young</v>
      </c>
      <c r="AB1285" t="str">
        <f>IF(H_A[[#This Row],[MonthlyIncome]]&lt;5000,"Low",IF(H_A[[#This Row],[MonthlyIncome]]&lt;10000,"Medium","High"))</f>
        <v>Low</v>
      </c>
      <c r="AC1285" t="str">
        <f>IF(H_A[[#This Row],[YearsAtCompany]]&lt;3,"Early",IF(H_A[[#This Row],[YearsAtCompany]]&lt;7,"Mid","Long"))</f>
        <v>Mid</v>
      </c>
      <c r="AD1285" t="str">
        <f>IF(H_A[[#This Row],[PercentSalaryHike]]&lt;13,"Low",IF(H_A[[#This Row],[PercentSalaryHike]]&lt;18,"Medium","High"))</f>
        <v>Low</v>
      </c>
    </row>
    <row r="1286" spans="1:30" x14ac:dyDescent="0.3">
      <c r="A1286">
        <v>39</v>
      </c>
      <c r="B1286">
        <v>1800</v>
      </c>
      <c r="C1286" t="s">
        <v>36</v>
      </c>
      <c r="D1286" t="s">
        <v>37</v>
      </c>
      <c r="E1286">
        <v>10</v>
      </c>
      <c r="F1286">
        <v>1</v>
      </c>
      <c r="G1286" t="s">
        <v>43</v>
      </c>
      <c r="H1286">
        <v>3</v>
      </c>
      <c r="I1286" t="s">
        <v>38</v>
      </c>
      <c r="J1286">
        <v>3</v>
      </c>
      <c r="K1286">
        <v>3</v>
      </c>
      <c r="L1286" t="s">
        <v>49</v>
      </c>
      <c r="M1286">
        <v>3</v>
      </c>
      <c r="N1286" t="s">
        <v>35</v>
      </c>
      <c r="O1286">
        <v>13464</v>
      </c>
      <c r="P1286">
        <v>7</v>
      </c>
      <c r="Q1286" t="s">
        <v>36</v>
      </c>
      <c r="R1286">
        <v>3</v>
      </c>
      <c r="S1286">
        <v>9</v>
      </c>
      <c r="T1286">
        <v>3</v>
      </c>
      <c r="U1286">
        <v>4</v>
      </c>
      <c r="V1286">
        <v>3</v>
      </c>
      <c r="W1286">
        <v>2</v>
      </c>
      <c r="X1286">
        <v>2</v>
      </c>
      <c r="Y1286">
        <v>21</v>
      </c>
      <c r="Z1286">
        <f>IF(H_A[[#This Row],[Attrition]]="Yes",1,0)</f>
        <v>0</v>
      </c>
      <c r="AA1286" t="str">
        <f>IF(H_A[[#This Row],[Age]]&lt;30,"Young",IF(H_A[[#This Row],[Age]]&lt;45,"Mid","Senior"))</f>
        <v>Mid</v>
      </c>
      <c r="AB1286" t="str">
        <f>IF(H_A[[#This Row],[MonthlyIncome]]&lt;5000,"Low",IF(H_A[[#This Row],[MonthlyIncome]]&lt;10000,"Medium","High"))</f>
        <v>High</v>
      </c>
      <c r="AC1286" t="str">
        <f>IF(H_A[[#This Row],[YearsAtCompany]]&lt;3,"Early",IF(H_A[[#This Row],[YearsAtCompany]]&lt;7,"Mid","Long"))</f>
        <v>Mid</v>
      </c>
      <c r="AD1286" t="str">
        <f>IF(H_A[[#This Row],[PercentSalaryHike]]&lt;13,"Low",IF(H_A[[#This Row],[PercentSalaryHike]]&lt;18,"Medium","High"))</f>
        <v>High</v>
      </c>
    </row>
    <row r="1287" spans="1:30" x14ac:dyDescent="0.3">
      <c r="A1287">
        <v>46</v>
      </c>
      <c r="B1287">
        <v>1801</v>
      </c>
      <c r="C1287" t="s">
        <v>36</v>
      </c>
      <c r="D1287" t="s">
        <v>31</v>
      </c>
      <c r="E1287">
        <v>26</v>
      </c>
      <c r="F1287">
        <v>2</v>
      </c>
      <c r="G1287" t="s">
        <v>32</v>
      </c>
      <c r="H1287">
        <v>2</v>
      </c>
      <c r="I1287" t="s">
        <v>38</v>
      </c>
      <c r="J1287">
        <v>2</v>
      </c>
      <c r="K1287">
        <v>2</v>
      </c>
      <c r="L1287" t="s">
        <v>34</v>
      </c>
      <c r="M1287">
        <v>2</v>
      </c>
      <c r="N1287" t="s">
        <v>35</v>
      </c>
      <c r="O1287">
        <v>7991</v>
      </c>
      <c r="P1287">
        <v>8</v>
      </c>
      <c r="Q1287" t="s">
        <v>36</v>
      </c>
      <c r="R1287">
        <v>3</v>
      </c>
      <c r="S1287">
        <v>6</v>
      </c>
      <c r="T1287">
        <v>3</v>
      </c>
      <c r="U1287">
        <v>2</v>
      </c>
      <c r="V1287">
        <v>2</v>
      </c>
      <c r="W1287">
        <v>2</v>
      </c>
      <c r="X1287">
        <v>2</v>
      </c>
      <c r="Y1287">
        <v>15</v>
      </c>
      <c r="Z1287">
        <f>IF(H_A[[#This Row],[Attrition]]="Yes",1,0)</f>
        <v>0</v>
      </c>
      <c r="AA1287" t="str">
        <f>IF(H_A[[#This Row],[Age]]&lt;30,"Young",IF(H_A[[#This Row],[Age]]&lt;45,"Mid","Senior"))</f>
        <v>Senior</v>
      </c>
      <c r="AB1287" t="str">
        <f>IF(H_A[[#This Row],[MonthlyIncome]]&lt;5000,"Low",IF(H_A[[#This Row],[MonthlyIncome]]&lt;10000,"Medium","High"))</f>
        <v>Medium</v>
      </c>
      <c r="AC1287" t="str">
        <f>IF(H_A[[#This Row],[YearsAtCompany]]&lt;3,"Early",IF(H_A[[#This Row],[YearsAtCompany]]&lt;7,"Mid","Long"))</f>
        <v>Early</v>
      </c>
      <c r="AD1287" t="str">
        <f>IF(H_A[[#This Row],[PercentSalaryHike]]&lt;13,"Low",IF(H_A[[#This Row],[PercentSalaryHike]]&lt;18,"Medium","High"))</f>
        <v>Medium</v>
      </c>
    </row>
    <row r="1288" spans="1:30" x14ac:dyDescent="0.3">
      <c r="A1288">
        <v>40</v>
      </c>
      <c r="B1288">
        <v>1802</v>
      </c>
      <c r="C1288" t="s">
        <v>36</v>
      </c>
      <c r="D1288" t="s">
        <v>37</v>
      </c>
      <c r="E1288">
        <v>2</v>
      </c>
      <c r="F1288">
        <v>2</v>
      </c>
      <c r="G1288" t="s">
        <v>32</v>
      </c>
      <c r="H1288">
        <v>3</v>
      </c>
      <c r="I1288" t="s">
        <v>33</v>
      </c>
      <c r="J1288">
        <v>3</v>
      </c>
      <c r="K1288">
        <v>1</v>
      </c>
      <c r="L1288" t="s">
        <v>42</v>
      </c>
      <c r="M1288">
        <v>1</v>
      </c>
      <c r="N1288" t="s">
        <v>40</v>
      </c>
      <c r="O1288">
        <v>3377</v>
      </c>
      <c r="P1288">
        <v>4</v>
      </c>
      <c r="Q1288" t="s">
        <v>36</v>
      </c>
      <c r="R1288">
        <v>4</v>
      </c>
      <c r="S1288">
        <v>7</v>
      </c>
      <c r="T1288">
        <v>2</v>
      </c>
      <c r="U1288">
        <v>4</v>
      </c>
      <c r="V1288">
        <v>3</v>
      </c>
      <c r="W1288">
        <v>0</v>
      </c>
      <c r="X1288">
        <v>2</v>
      </c>
      <c r="Y1288">
        <v>17</v>
      </c>
      <c r="Z1288">
        <f>IF(H_A[[#This Row],[Attrition]]="Yes",1,0)</f>
        <v>0</v>
      </c>
      <c r="AA1288" t="str">
        <f>IF(H_A[[#This Row],[Age]]&lt;30,"Young",IF(H_A[[#This Row],[Age]]&lt;45,"Mid","Senior"))</f>
        <v>Mid</v>
      </c>
      <c r="AB1288" t="str">
        <f>IF(H_A[[#This Row],[MonthlyIncome]]&lt;5000,"Low",IF(H_A[[#This Row],[MonthlyIncome]]&lt;10000,"Medium","High"))</f>
        <v>Low</v>
      </c>
      <c r="AC1288" t="str">
        <f>IF(H_A[[#This Row],[YearsAtCompany]]&lt;3,"Early",IF(H_A[[#This Row],[YearsAtCompany]]&lt;7,"Mid","Long"))</f>
        <v>Mid</v>
      </c>
      <c r="AD1288" t="str">
        <f>IF(H_A[[#This Row],[PercentSalaryHike]]&lt;13,"Low",IF(H_A[[#This Row],[PercentSalaryHike]]&lt;18,"Medium","High"))</f>
        <v>Medium</v>
      </c>
    </row>
    <row r="1289" spans="1:30" x14ac:dyDescent="0.3">
      <c r="A1289">
        <v>42</v>
      </c>
      <c r="B1289">
        <v>1803</v>
      </c>
      <c r="C1289" t="s">
        <v>36</v>
      </c>
      <c r="D1289" t="s">
        <v>37</v>
      </c>
      <c r="E1289">
        <v>13</v>
      </c>
      <c r="F1289">
        <v>3</v>
      </c>
      <c r="G1289" t="s">
        <v>43</v>
      </c>
      <c r="H1289">
        <v>2</v>
      </c>
      <c r="I1289" t="s">
        <v>38</v>
      </c>
      <c r="J1289">
        <v>4</v>
      </c>
      <c r="K1289">
        <v>2</v>
      </c>
      <c r="L1289" t="s">
        <v>46</v>
      </c>
      <c r="M1289">
        <v>1</v>
      </c>
      <c r="N1289" t="s">
        <v>40</v>
      </c>
      <c r="O1289">
        <v>5538</v>
      </c>
      <c r="P1289">
        <v>5</v>
      </c>
      <c r="Q1289" t="s">
        <v>36</v>
      </c>
      <c r="R1289">
        <v>3</v>
      </c>
      <c r="S1289">
        <v>10</v>
      </c>
      <c r="T1289">
        <v>2</v>
      </c>
      <c r="U1289">
        <v>0</v>
      </c>
      <c r="V1289">
        <v>0</v>
      </c>
      <c r="W1289">
        <v>0</v>
      </c>
      <c r="X1289">
        <v>0</v>
      </c>
      <c r="Y1289">
        <v>18</v>
      </c>
      <c r="Z1289">
        <f>IF(H_A[[#This Row],[Attrition]]="Yes",1,0)</f>
        <v>0</v>
      </c>
      <c r="AA1289" t="str">
        <f>IF(H_A[[#This Row],[Age]]&lt;30,"Young",IF(H_A[[#This Row],[Age]]&lt;45,"Mid","Senior"))</f>
        <v>Mid</v>
      </c>
      <c r="AB1289" t="str">
        <f>IF(H_A[[#This Row],[MonthlyIncome]]&lt;5000,"Low",IF(H_A[[#This Row],[MonthlyIncome]]&lt;10000,"Medium","High"))</f>
        <v>Medium</v>
      </c>
      <c r="AC1289" t="str">
        <f>IF(H_A[[#This Row],[YearsAtCompany]]&lt;3,"Early",IF(H_A[[#This Row],[YearsAtCompany]]&lt;7,"Mid","Long"))</f>
        <v>Early</v>
      </c>
      <c r="AD1289" t="str">
        <f>IF(H_A[[#This Row],[PercentSalaryHike]]&lt;13,"Low",IF(H_A[[#This Row],[PercentSalaryHike]]&lt;18,"Medium","High"))</f>
        <v>High</v>
      </c>
    </row>
    <row r="1290" spans="1:30" x14ac:dyDescent="0.3">
      <c r="A1290">
        <v>35</v>
      </c>
      <c r="B1290">
        <v>1804</v>
      </c>
      <c r="C1290" t="s">
        <v>36</v>
      </c>
      <c r="D1290" t="s">
        <v>37</v>
      </c>
      <c r="E1290">
        <v>2</v>
      </c>
      <c r="F1290">
        <v>2</v>
      </c>
      <c r="G1290" t="s">
        <v>43</v>
      </c>
      <c r="H1290">
        <v>2</v>
      </c>
      <c r="I1290" t="s">
        <v>38</v>
      </c>
      <c r="J1290">
        <v>3</v>
      </c>
      <c r="K1290">
        <v>2</v>
      </c>
      <c r="L1290" t="s">
        <v>45</v>
      </c>
      <c r="M1290">
        <v>4</v>
      </c>
      <c r="N1290" t="s">
        <v>44</v>
      </c>
      <c r="O1290">
        <v>5762</v>
      </c>
      <c r="P1290">
        <v>2</v>
      </c>
      <c r="Q1290" t="s">
        <v>36</v>
      </c>
      <c r="R1290">
        <v>3</v>
      </c>
      <c r="S1290">
        <v>15</v>
      </c>
      <c r="T1290">
        <v>3</v>
      </c>
      <c r="U1290">
        <v>7</v>
      </c>
      <c r="V1290">
        <v>7</v>
      </c>
      <c r="W1290">
        <v>1</v>
      </c>
      <c r="X1290">
        <v>7</v>
      </c>
      <c r="Y1290">
        <v>14</v>
      </c>
      <c r="Z1290">
        <f>IF(H_A[[#This Row],[Attrition]]="Yes",1,0)</f>
        <v>0</v>
      </c>
      <c r="AA1290" t="str">
        <f>IF(H_A[[#This Row],[Age]]&lt;30,"Young",IF(H_A[[#This Row],[Age]]&lt;45,"Mid","Senior"))</f>
        <v>Mid</v>
      </c>
      <c r="AB1290" t="str">
        <f>IF(H_A[[#This Row],[MonthlyIncome]]&lt;5000,"Low",IF(H_A[[#This Row],[MonthlyIncome]]&lt;10000,"Medium","High"))</f>
        <v>Medium</v>
      </c>
      <c r="AC1290" t="str">
        <f>IF(H_A[[#This Row],[YearsAtCompany]]&lt;3,"Early",IF(H_A[[#This Row],[YearsAtCompany]]&lt;7,"Mid","Long"))</f>
        <v>Long</v>
      </c>
      <c r="AD1290" t="str">
        <f>IF(H_A[[#This Row],[PercentSalaryHike]]&lt;13,"Low",IF(H_A[[#This Row],[PercentSalaryHike]]&lt;18,"Medium","High"))</f>
        <v>Medium</v>
      </c>
    </row>
    <row r="1291" spans="1:30" x14ac:dyDescent="0.3">
      <c r="A1291">
        <v>38</v>
      </c>
      <c r="B1291">
        <v>1805</v>
      </c>
      <c r="C1291" t="s">
        <v>36</v>
      </c>
      <c r="D1291" t="s">
        <v>52</v>
      </c>
      <c r="E1291">
        <v>2</v>
      </c>
      <c r="F1291">
        <v>3</v>
      </c>
      <c r="G1291" t="s">
        <v>52</v>
      </c>
      <c r="H1291">
        <v>1</v>
      </c>
      <c r="I1291" t="s">
        <v>38</v>
      </c>
      <c r="J1291">
        <v>3</v>
      </c>
      <c r="K1291">
        <v>1</v>
      </c>
      <c r="L1291" t="s">
        <v>52</v>
      </c>
      <c r="M1291">
        <v>2</v>
      </c>
      <c r="N1291" t="s">
        <v>44</v>
      </c>
      <c r="O1291">
        <v>2592</v>
      </c>
      <c r="P1291">
        <v>5</v>
      </c>
      <c r="Q1291" t="s">
        <v>36</v>
      </c>
      <c r="R1291">
        <v>4</v>
      </c>
      <c r="S1291">
        <v>13</v>
      </c>
      <c r="T1291">
        <v>3</v>
      </c>
      <c r="U1291">
        <v>11</v>
      </c>
      <c r="V1291">
        <v>10</v>
      </c>
      <c r="W1291">
        <v>3</v>
      </c>
      <c r="X1291">
        <v>8</v>
      </c>
      <c r="Y1291">
        <v>13</v>
      </c>
      <c r="Z1291">
        <f>IF(H_A[[#This Row],[Attrition]]="Yes",1,0)</f>
        <v>0</v>
      </c>
      <c r="AA1291" t="str">
        <f>IF(H_A[[#This Row],[Age]]&lt;30,"Young",IF(H_A[[#This Row],[Age]]&lt;45,"Mid","Senior"))</f>
        <v>Mid</v>
      </c>
      <c r="AB1291" t="str">
        <f>IF(H_A[[#This Row],[MonthlyIncome]]&lt;5000,"Low",IF(H_A[[#This Row],[MonthlyIncome]]&lt;10000,"Medium","High"))</f>
        <v>Low</v>
      </c>
      <c r="AC1291" t="str">
        <f>IF(H_A[[#This Row],[YearsAtCompany]]&lt;3,"Early",IF(H_A[[#This Row],[YearsAtCompany]]&lt;7,"Mid","Long"))</f>
        <v>Long</v>
      </c>
      <c r="AD1291" t="str">
        <f>IF(H_A[[#This Row],[PercentSalaryHike]]&lt;13,"Low",IF(H_A[[#This Row],[PercentSalaryHike]]&lt;18,"Medium","High"))</f>
        <v>Medium</v>
      </c>
    </row>
    <row r="1292" spans="1:30" x14ac:dyDescent="0.3">
      <c r="A1292">
        <v>34</v>
      </c>
      <c r="B1292">
        <v>1807</v>
      </c>
      <c r="C1292" t="s">
        <v>30</v>
      </c>
      <c r="D1292" t="s">
        <v>37</v>
      </c>
      <c r="E1292">
        <v>9</v>
      </c>
      <c r="F1292">
        <v>4</v>
      </c>
      <c r="G1292" t="s">
        <v>32</v>
      </c>
      <c r="H1292">
        <v>4</v>
      </c>
      <c r="I1292" t="s">
        <v>38</v>
      </c>
      <c r="J1292">
        <v>3</v>
      </c>
      <c r="K1292">
        <v>2</v>
      </c>
      <c r="L1292" t="s">
        <v>42</v>
      </c>
      <c r="M1292">
        <v>1</v>
      </c>
      <c r="N1292" t="s">
        <v>40</v>
      </c>
      <c r="O1292">
        <v>5346</v>
      </c>
      <c r="P1292">
        <v>4</v>
      </c>
      <c r="Q1292" t="s">
        <v>36</v>
      </c>
      <c r="R1292">
        <v>3</v>
      </c>
      <c r="S1292">
        <v>11</v>
      </c>
      <c r="T1292">
        <v>2</v>
      </c>
      <c r="U1292">
        <v>7</v>
      </c>
      <c r="V1292">
        <v>1</v>
      </c>
      <c r="W1292">
        <v>0</v>
      </c>
      <c r="X1292">
        <v>7</v>
      </c>
      <c r="Y1292">
        <v>17</v>
      </c>
      <c r="Z1292">
        <f>IF(H_A[[#This Row],[Attrition]]="Yes",1,0)</f>
        <v>1</v>
      </c>
      <c r="AA1292" t="str">
        <f>IF(H_A[[#This Row],[Age]]&lt;30,"Young",IF(H_A[[#This Row],[Age]]&lt;45,"Mid","Senior"))</f>
        <v>Mid</v>
      </c>
      <c r="AB1292" t="str">
        <f>IF(H_A[[#This Row],[MonthlyIncome]]&lt;5000,"Low",IF(H_A[[#This Row],[MonthlyIncome]]&lt;10000,"Medium","High"))</f>
        <v>Medium</v>
      </c>
      <c r="AC1292" t="str">
        <f>IF(H_A[[#This Row],[YearsAtCompany]]&lt;3,"Early",IF(H_A[[#This Row],[YearsAtCompany]]&lt;7,"Mid","Long"))</f>
        <v>Long</v>
      </c>
      <c r="AD1292" t="str">
        <f>IF(H_A[[#This Row],[PercentSalaryHike]]&lt;13,"Low",IF(H_A[[#This Row],[PercentSalaryHike]]&lt;18,"Medium","High"))</f>
        <v>Medium</v>
      </c>
    </row>
    <row r="1293" spans="1:30" x14ac:dyDescent="0.3">
      <c r="A1293">
        <v>37</v>
      </c>
      <c r="B1293">
        <v>1809</v>
      </c>
      <c r="C1293" t="s">
        <v>30</v>
      </c>
      <c r="D1293" t="s">
        <v>37</v>
      </c>
      <c r="E1293">
        <v>10</v>
      </c>
      <c r="F1293">
        <v>4</v>
      </c>
      <c r="G1293" t="s">
        <v>43</v>
      </c>
      <c r="H1293">
        <v>4</v>
      </c>
      <c r="I1293" t="s">
        <v>38</v>
      </c>
      <c r="J1293">
        <v>3</v>
      </c>
      <c r="K1293">
        <v>2</v>
      </c>
      <c r="L1293" t="s">
        <v>45</v>
      </c>
      <c r="M1293">
        <v>1</v>
      </c>
      <c r="N1293" t="s">
        <v>35</v>
      </c>
      <c r="O1293">
        <v>4213</v>
      </c>
      <c r="P1293">
        <v>1</v>
      </c>
      <c r="Q1293" t="s">
        <v>36</v>
      </c>
      <c r="R1293">
        <v>2</v>
      </c>
      <c r="S1293">
        <v>10</v>
      </c>
      <c r="T1293">
        <v>1</v>
      </c>
      <c r="U1293">
        <v>10</v>
      </c>
      <c r="V1293">
        <v>3</v>
      </c>
      <c r="W1293">
        <v>0</v>
      </c>
      <c r="X1293">
        <v>8</v>
      </c>
      <c r="Y1293">
        <v>15</v>
      </c>
      <c r="Z1293">
        <f>IF(H_A[[#This Row],[Attrition]]="Yes",1,0)</f>
        <v>1</v>
      </c>
      <c r="AA1293" t="str">
        <f>IF(H_A[[#This Row],[Age]]&lt;30,"Young",IF(H_A[[#This Row],[Age]]&lt;45,"Mid","Senior"))</f>
        <v>Mid</v>
      </c>
      <c r="AB1293" t="str">
        <f>IF(H_A[[#This Row],[MonthlyIncome]]&lt;5000,"Low",IF(H_A[[#This Row],[MonthlyIncome]]&lt;10000,"Medium","High"))</f>
        <v>Low</v>
      </c>
      <c r="AC1293" t="str">
        <f>IF(H_A[[#This Row],[YearsAtCompany]]&lt;3,"Early",IF(H_A[[#This Row],[YearsAtCompany]]&lt;7,"Mid","Long"))</f>
        <v>Long</v>
      </c>
      <c r="AD1293" t="str">
        <f>IF(H_A[[#This Row],[PercentSalaryHike]]&lt;13,"Low",IF(H_A[[#This Row],[PercentSalaryHike]]&lt;18,"Medium","High"))</f>
        <v>Medium</v>
      </c>
    </row>
    <row r="1294" spans="1:30" x14ac:dyDescent="0.3">
      <c r="A1294">
        <v>39</v>
      </c>
      <c r="B1294">
        <v>1812</v>
      </c>
      <c r="C1294" t="s">
        <v>36</v>
      </c>
      <c r="D1294" t="s">
        <v>31</v>
      </c>
      <c r="E1294">
        <v>20</v>
      </c>
      <c r="F1294">
        <v>3</v>
      </c>
      <c r="G1294" t="s">
        <v>32</v>
      </c>
      <c r="H1294">
        <v>3</v>
      </c>
      <c r="I1294" t="s">
        <v>38</v>
      </c>
      <c r="J1294">
        <v>3</v>
      </c>
      <c r="K1294">
        <v>2</v>
      </c>
      <c r="L1294" t="s">
        <v>34</v>
      </c>
      <c r="M1294">
        <v>4</v>
      </c>
      <c r="N1294" t="s">
        <v>44</v>
      </c>
      <c r="O1294">
        <v>4127</v>
      </c>
      <c r="P1294">
        <v>2</v>
      </c>
      <c r="Q1294" t="s">
        <v>36</v>
      </c>
      <c r="R1294">
        <v>4</v>
      </c>
      <c r="S1294">
        <v>7</v>
      </c>
      <c r="T1294">
        <v>3</v>
      </c>
      <c r="U1294">
        <v>2</v>
      </c>
      <c r="V1294">
        <v>1</v>
      </c>
      <c r="W1294">
        <v>2</v>
      </c>
      <c r="X1294">
        <v>2</v>
      </c>
      <c r="Y1294">
        <v>18</v>
      </c>
      <c r="Z1294">
        <f>IF(H_A[[#This Row],[Attrition]]="Yes",1,0)</f>
        <v>0</v>
      </c>
      <c r="AA1294" t="str">
        <f>IF(H_A[[#This Row],[Age]]&lt;30,"Young",IF(H_A[[#This Row],[Age]]&lt;45,"Mid","Senior"))</f>
        <v>Mid</v>
      </c>
      <c r="AB1294" t="str">
        <f>IF(H_A[[#This Row],[MonthlyIncome]]&lt;5000,"Low",IF(H_A[[#This Row],[MonthlyIncome]]&lt;10000,"Medium","High"))</f>
        <v>Low</v>
      </c>
      <c r="AC1294" t="str">
        <f>IF(H_A[[#This Row],[YearsAtCompany]]&lt;3,"Early",IF(H_A[[#This Row],[YearsAtCompany]]&lt;7,"Mid","Long"))</f>
        <v>Early</v>
      </c>
      <c r="AD1294" t="str">
        <f>IF(H_A[[#This Row],[PercentSalaryHike]]&lt;13,"Low",IF(H_A[[#This Row],[PercentSalaryHike]]&lt;18,"Medium","High"))</f>
        <v>High</v>
      </c>
    </row>
    <row r="1295" spans="1:30" x14ac:dyDescent="0.3">
      <c r="A1295">
        <v>43</v>
      </c>
      <c r="B1295">
        <v>1813</v>
      </c>
      <c r="C1295" t="s">
        <v>36</v>
      </c>
      <c r="D1295" t="s">
        <v>37</v>
      </c>
      <c r="E1295">
        <v>9</v>
      </c>
      <c r="F1295">
        <v>3</v>
      </c>
      <c r="G1295" t="s">
        <v>32</v>
      </c>
      <c r="H1295">
        <v>1</v>
      </c>
      <c r="I1295" t="s">
        <v>38</v>
      </c>
      <c r="J1295">
        <v>3</v>
      </c>
      <c r="K1295">
        <v>1</v>
      </c>
      <c r="L1295" t="s">
        <v>39</v>
      </c>
      <c r="M1295">
        <v>3</v>
      </c>
      <c r="N1295" t="s">
        <v>35</v>
      </c>
      <c r="O1295">
        <v>2438</v>
      </c>
      <c r="P1295">
        <v>4</v>
      </c>
      <c r="Q1295" t="s">
        <v>36</v>
      </c>
      <c r="R1295">
        <v>3</v>
      </c>
      <c r="S1295">
        <v>7</v>
      </c>
      <c r="T1295">
        <v>2</v>
      </c>
      <c r="U1295">
        <v>3</v>
      </c>
      <c r="V1295">
        <v>2</v>
      </c>
      <c r="W1295">
        <v>1</v>
      </c>
      <c r="X1295">
        <v>2</v>
      </c>
      <c r="Y1295">
        <v>13</v>
      </c>
      <c r="Z1295">
        <f>IF(H_A[[#This Row],[Attrition]]="Yes",1,0)</f>
        <v>0</v>
      </c>
      <c r="AA1295" t="str">
        <f>IF(H_A[[#This Row],[Age]]&lt;30,"Young",IF(H_A[[#This Row],[Age]]&lt;45,"Mid","Senior"))</f>
        <v>Mid</v>
      </c>
      <c r="AB1295" t="str">
        <f>IF(H_A[[#This Row],[MonthlyIncome]]&lt;5000,"Low",IF(H_A[[#This Row],[MonthlyIncome]]&lt;10000,"Medium","High"))</f>
        <v>Low</v>
      </c>
      <c r="AC1295" t="str">
        <f>IF(H_A[[#This Row],[YearsAtCompany]]&lt;3,"Early",IF(H_A[[#This Row],[YearsAtCompany]]&lt;7,"Mid","Long"))</f>
        <v>Mid</v>
      </c>
      <c r="AD1295" t="str">
        <f>IF(H_A[[#This Row],[PercentSalaryHike]]&lt;13,"Low",IF(H_A[[#This Row],[PercentSalaryHike]]&lt;18,"Medium","High"))</f>
        <v>Medium</v>
      </c>
    </row>
    <row r="1296" spans="1:30" x14ac:dyDescent="0.3">
      <c r="A1296">
        <v>41</v>
      </c>
      <c r="B1296">
        <v>1814</v>
      </c>
      <c r="C1296" t="s">
        <v>36</v>
      </c>
      <c r="D1296" t="s">
        <v>37</v>
      </c>
      <c r="E1296">
        <v>5</v>
      </c>
      <c r="F1296">
        <v>3</v>
      </c>
      <c r="G1296" t="s">
        <v>32</v>
      </c>
      <c r="H1296">
        <v>2</v>
      </c>
      <c r="I1296" t="s">
        <v>38</v>
      </c>
      <c r="J1296">
        <v>4</v>
      </c>
      <c r="K1296">
        <v>2</v>
      </c>
      <c r="L1296" t="s">
        <v>46</v>
      </c>
      <c r="M1296">
        <v>2</v>
      </c>
      <c r="N1296" t="s">
        <v>35</v>
      </c>
      <c r="O1296">
        <v>6870</v>
      </c>
      <c r="P1296">
        <v>3</v>
      </c>
      <c r="Q1296" t="s">
        <v>36</v>
      </c>
      <c r="R1296">
        <v>1</v>
      </c>
      <c r="S1296">
        <v>11</v>
      </c>
      <c r="T1296">
        <v>1</v>
      </c>
      <c r="U1296">
        <v>3</v>
      </c>
      <c r="V1296">
        <v>2</v>
      </c>
      <c r="W1296">
        <v>1</v>
      </c>
      <c r="X1296">
        <v>2</v>
      </c>
      <c r="Y1296">
        <v>12</v>
      </c>
      <c r="Z1296">
        <f>IF(H_A[[#This Row],[Attrition]]="Yes",1,0)</f>
        <v>0</v>
      </c>
      <c r="AA1296" t="str">
        <f>IF(H_A[[#This Row],[Age]]&lt;30,"Young",IF(H_A[[#This Row],[Age]]&lt;45,"Mid","Senior"))</f>
        <v>Mid</v>
      </c>
      <c r="AB1296" t="str">
        <f>IF(H_A[[#This Row],[MonthlyIncome]]&lt;5000,"Low",IF(H_A[[#This Row],[MonthlyIncome]]&lt;10000,"Medium","High"))</f>
        <v>Medium</v>
      </c>
      <c r="AC1296" t="str">
        <f>IF(H_A[[#This Row],[YearsAtCompany]]&lt;3,"Early",IF(H_A[[#This Row],[YearsAtCompany]]&lt;7,"Mid","Long"))</f>
        <v>Mid</v>
      </c>
      <c r="AD1296" t="str">
        <f>IF(H_A[[#This Row],[PercentSalaryHike]]&lt;13,"Low",IF(H_A[[#This Row],[PercentSalaryHike]]&lt;18,"Medium","High"))</f>
        <v>Low</v>
      </c>
    </row>
    <row r="1297" spans="1:30" x14ac:dyDescent="0.3">
      <c r="A1297">
        <v>41</v>
      </c>
      <c r="B1297">
        <v>1815</v>
      </c>
      <c r="C1297" t="s">
        <v>36</v>
      </c>
      <c r="D1297" t="s">
        <v>31</v>
      </c>
      <c r="E1297">
        <v>4</v>
      </c>
      <c r="F1297">
        <v>1</v>
      </c>
      <c r="G1297" t="s">
        <v>50</v>
      </c>
      <c r="H1297">
        <v>3</v>
      </c>
      <c r="I1297" t="s">
        <v>33</v>
      </c>
      <c r="J1297">
        <v>3</v>
      </c>
      <c r="K1297">
        <v>3</v>
      </c>
      <c r="L1297" t="s">
        <v>34</v>
      </c>
      <c r="M1297">
        <v>3</v>
      </c>
      <c r="N1297" t="s">
        <v>44</v>
      </c>
      <c r="O1297">
        <v>10447</v>
      </c>
      <c r="P1297">
        <v>0</v>
      </c>
      <c r="Q1297" t="s">
        <v>30</v>
      </c>
      <c r="R1297">
        <v>4</v>
      </c>
      <c r="S1297">
        <v>23</v>
      </c>
      <c r="T1297">
        <v>4</v>
      </c>
      <c r="U1297">
        <v>22</v>
      </c>
      <c r="V1297">
        <v>14</v>
      </c>
      <c r="W1297">
        <v>13</v>
      </c>
      <c r="X1297">
        <v>5</v>
      </c>
      <c r="Y1297">
        <v>13</v>
      </c>
      <c r="Z1297">
        <f>IF(H_A[[#This Row],[Attrition]]="Yes",1,0)</f>
        <v>0</v>
      </c>
      <c r="AA1297" t="str">
        <f>IF(H_A[[#This Row],[Age]]&lt;30,"Young",IF(H_A[[#This Row],[Age]]&lt;45,"Mid","Senior"))</f>
        <v>Mid</v>
      </c>
      <c r="AB1297" t="str">
        <f>IF(H_A[[#This Row],[MonthlyIncome]]&lt;5000,"Low",IF(H_A[[#This Row],[MonthlyIncome]]&lt;10000,"Medium","High"))</f>
        <v>High</v>
      </c>
      <c r="AC1297" t="str">
        <f>IF(H_A[[#This Row],[YearsAtCompany]]&lt;3,"Early",IF(H_A[[#This Row],[YearsAtCompany]]&lt;7,"Mid","Long"))</f>
        <v>Long</v>
      </c>
      <c r="AD1297" t="str">
        <f>IF(H_A[[#This Row],[PercentSalaryHike]]&lt;13,"Low",IF(H_A[[#This Row],[PercentSalaryHike]]&lt;18,"Medium","High"))</f>
        <v>Medium</v>
      </c>
    </row>
    <row r="1298" spans="1:30" x14ac:dyDescent="0.3">
      <c r="A1298">
        <v>30</v>
      </c>
      <c r="B1298">
        <v>1816</v>
      </c>
      <c r="C1298" t="s">
        <v>36</v>
      </c>
      <c r="D1298" t="s">
        <v>37</v>
      </c>
      <c r="E1298">
        <v>10</v>
      </c>
      <c r="F1298">
        <v>3</v>
      </c>
      <c r="G1298" t="s">
        <v>43</v>
      </c>
      <c r="H1298">
        <v>1</v>
      </c>
      <c r="I1298" t="s">
        <v>33</v>
      </c>
      <c r="J1298">
        <v>3</v>
      </c>
      <c r="K1298">
        <v>3</v>
      </c>
      <c r="L1298" t="s">
        <v>45</v>
      </c>
      <c r="M1298">
        <v>3</v>
      </c>
      <c r="N1298" t="s">
        <v>35</v>
      </c>
      <c r="O1298">
        <v>9667</v>
      </c>
      <c r="P1298">
        <v>9</v>
      </c>
      <c r="Q1298" t="s">
        <v>36</v>
      </c>
      <c r="R1298">
        <v>2</v>
      </c>
      <c r="S1298">
        <v>9</v>
      </c>
      <c r="T1298">
        <v>3</v>
      </c>
      <c r="U1298">
        <v>7</v>
      </c>
      <c r="V1298">
        <v>7</v>
      </c>
      <c r="W1298">
        <v>0</v>
      </c>
      <c r="X1298">
        <v>2</v>
      </c>
      <c r="Y1298">
        <v>14</v>
      </c>
      <c r="Z1298">
        <f>IF(H_A[[#This Row],[Attrition]]="Yes",1,0)</f>
        <v>0</v>
      </c>
      <c r="AA1298" t="str">
        <f>IF(H_A[[#This Row],[Age]]&lt;30,"Young",IF(H_A[[#This Row],[Age]]&lt;45,"Mid","Senior"))</f>
        <v>Mid</v>
      </c>
      <c r="AB1298" t="str">
        <f>IF(H_A[[#This Row],[MonthlyIncome]]&lt;5000,"Low",IF(H_A[[#This Row],[MonthlyIncome]]&lt;10000,"Medium","High"))</f>
        <v>Medium</v>
      </c>
      <c r="AC1298" t="str">
        <f>IF(H_A[[#This Row],[YearsAtCompany]]&lt;3,"Early",IF(H_A[[#This Row],[YearsAtCompany]]&lt;7,"Mid","Long"))</f>
        <v>Long</v>
      </c>
      <c r="AD1298" t="str">
        <f>IF(H_A[[#This Row],[PercentSalaryHike]]&lt;13,"Low",IF(H_A[[#This Row],[PercentSalaryHike]]&lt;18,"Medium","High"))</f>
        <v>Medium</v>
      </c>
    </row>
    <row r="1299" spans="1:30" x14ac:dyDescent="0.3">
      <c r="A1299">
        <v>26</v>
      </c>
      <c r="B1299">
        <v>1818</v>
      </c>
      <c r="C1299" t="s">
        <v>30</v>
      </c>
      <c r="D1299" t="s">
        <v>52</v>
      </c>
      <c r="E1299">
        <v>20</v>
      </c>
      <c r="F1299">
        <v>2</v>
      </c>
      <c r="G1299" t="s">
        <v>43</v>
      </c>
      <c r="H1299">
        <v>4</v>
      </c>
      <c r="I1299" t="s">
        <v>33</v>
      </c>
      <c r="J1299">
        <v>3</v>
      </c>
      <c r="K1299">
        <v>1</v>
      </c>
      <c r="L1299" t="s">
        <v>52</v>
      </c>
      <c r="M1299">
        <v>2</v>
      </c>
      <c r="N1299" t="s">
        <v>40</v>
      </c>
      <c r="O1299">
        <v>2148</v>
      </c>
      <c r="P1299">
        <v>0</v>
      </c>
      <c r="Q1299" t="s">
        <v>30</v>
      </c>
      <c r="R1299">
        <v>3</v>
      </c>
      <c r="S1299">
        <v>6</v>
      </c>
      <c r="T1299">
        <v>3</v>
      </c>
      <c r="U1299">
        <v>5</v>
      </c>
      <c r="V1299">
        <v>1</v>
      </c>
      <c r="W1299">
        <v>1</v>
      </c>
      <c r="X1299">
        <v>4</v>
      </c>
      <c r="Y1299">
        <v>11</v>
      </c>
      <c r="Z1299">
        <f>IF(H_A[[#This Row],[Attrition]]="Yes",1,0)</f>
        <v>1</v>
      </c>
      <c r="AA1299" t="str">
        <f>IF(H_A[[#This Row],[Age]]&lt;30,"Young",IF(H_A[[#This Row],[Age]]&lt;45,"Mid","Senior"))</f>
        <v>Young</v>
      </c>
      <c r="AB1299" t="str">
        <f>IF(H_A[[#This Row],[MonthlyIncome]]&lt;5000,"Low",IF(H_A[[#This Row],[MonthlyIncome]]&lt;10000,"Medium","High"))</f>
        <v>Low</v>
      </c>
      <c r="AC1299" t="str">
        <f>IF(H_A[[#This Row],[YearsAtCompany]]&lt;3,"Early",IF(H_A[[#This Row],[YearsAtCompany]]&lt;7,"Mid","Long"))</f>
        <v>Mid</v>
      </c>
      <c r="AD1299" t="str">
        <f>IF(H_A[[#This Row],[PercentSalaryHike]]&lt;13,"Low",IF(H_A[[#This Row],[PercentSalaryHike]]&lt;18,"Medium","High"))</f>
        <v>Low</v>
      </c>
    </row>
    <row r="1300" spans="1:30" x14ac:dyDescent="0.3">
      <c r="A1300">
        <v>46</v>
      </c>
      <c r="B1300">
        <v>1821</v>
      </c>
      <c r="C1300" t="s">
        <v>30</v>
      </c>
      <c r="D1300" t="s">
        <v>37</v>
      </c>
      <c r="E1300">
        <v>21</v>
      </c>
      <c r="F1300">
        <v>2</v>
      </c>
      <c r="G1300" t="s">
        <v>43</v>
      </c>
      <c r="H1300">
        <v>4</v>
      </c>
      <c r="I1300" t="s">
        <v>33</v>
      </c>
      <c r="J1300">
        <v>3</v>
      </c>
      <c r="K1300">
        <v>2</v>
      </c>
      <c r="L1300" t="s">
        <v>46</v>
      </c>
      <c r="M1300">
        <v>2</v>
      </c>
      <c r="N1300" t="s">
        <v>40</v>
      </c>
      <c r="O1300">
        <v>8926</v>
      </c>
      <c r="P1300">
        <v>4</v>
      </c>
      <c r="Q1300" t="s">
        <v>36</v>
      </c>
      <c r="R1300">
        <v>4</v>
      </c>
      <c r="S1300">
        <v>13</v>
      </c>
      <c r="T1300">
        <v>4</v>
      </c>
      <c r="U1300">
        <v>9</v>
      </c>
      <c r="V1300">
        <v>7</v>
      </c>
      <c r="W1300">
        <v>3</v>
      </c>
      <c r="X1300">
        <v>7</v>
      </c>
      <c r="Y1300">
        <v>22</v>
      </c>
      <c r="Z1300">
        <f>IF(H_A[[#This Row],[Attrition]]="Yes",1,0)</f>
        <v>1</v>
      </c>
      <c r="AA1300" t="str">
        <f>IF(H_A[[#This Row],[Age]]&lt;30,"Young",IF(H_A[[#This Row],[Age]]&lt;45,"Mid","Senior"))</f>
        <v>Senior</v>
      </c>
      <c r="AB1300" t="str">
        <f>IF(H_A[[#This Row],[MonthlyIncome]]&lt;5000,"Low",IF(H_A[[#This Row],[MonthlyIncome]]&lt;10000,"Medium","High"))</f>
        <v>Medium</v>
      </c>
      <c r="AC1300" t="str">
        <f>IF(H_A[[#This Row],[YearsAtCompany]]&lt;3,"Early",IF(H_A[[#This Row],[YearsAtCompany]]&lt;7,"Mid","Long"))</f>
        <v>Long</v>
      </c>
      <c r="AD1300" t="str">
        <f>IF(H_A[[#This Row],[PercentSalaryHike]]&lt;13,"Low",IF(H_A[[#This Row],[PercentSalaryHike]]&lt;18,"Medium","High"))</f>
        <v>High</v>
      </c>
    </row>
    <row r="1301" spans="1:30" x14ac:dyDescent="0.3">
      <c r="A1301">
        <v>40</v>
      </c>
      <c r="B1301">
        <v>1822</v>
      </c>
      <c r="C1301" t="s">
        <v>36</v>
      </c>
      <c r="D1301" t="s">
        <v>37</v>
      </c>
      <c r="E1301">
        <v>1</v>
      </c>
      <c r="F1301">
        <v>3</v>
      </c>
      <c r="G1301" t="s">
        <v>32</v>
      </c>
      <c r="H1301">
        <v>3</v>
      </c>
      <c r="I1301" t="s">
        <v>33</v>
      </c>
      <c r="J1301">
        <v>3</v>
      </c>
      <c r="K1301">
        <v>2</v>
      </c>
      <c r="L1301" t="s">
        <v>46</v>
      </c>
      <c r="M1301">
        <v>4</v>
      </c>
      <c r="N1301" t="s">
        <v>44</v>
      </c>
      <c r="O1301">
        <v>6513</v>
      </c>
      <c r="P1301">
        <v>4</v>
      </c>
      <c r="Q1301" t="s">
        <v>36</v>
      </c>
      <c r="R1301">
        <v>4</v>
      </c>
      <c r="S1301">
        <v>12</v>
      </c>
      <c r="T1301">
        <v>3</v>
      </c>
      <c r="U1301">
        <v>5</v>
      </c>
      <c r="V1301">
        <v>3</v>
      </c>
      <c r="W1301">
        <v>0</v>
      </c>
      <c r="X1301">
        <v>3</v>
      </c>
      <c r="Y1301">
        <v>17</v>
      </c>
      <c r="Z1301">
        <f>IF(H_A[[#This Row],[Attrition]]="Yes",1,0)</f>
        <v>0</v>
      </c>
      <c r="AA1301" t="str">
        <f>IF(H_A[[#This Row],[Age]]&lt;30,"Young",IF(H_A[[#This Row],[Age]]&lt;45,"Mid","Senior"))</f>
        <v>Mid</v>
      </c>
      <c r="AB1301" t="str">
        <f>IF(H_A[[#This Row],[MonthlyIncome]]&lt;5000,"Low",IF(H_A[[#This Row],[MonthlyIncome]]&lt;10000,"Medium","High"))</f>
        <v>Medium</v>
      </c>
      <c r="AC1301" t="str">
        <f>IF(H_A[[#This Row],[YearsAtCompany]]&lt;3,"Early",IF(H_A[[#This Row],[YearsAtCompany]]&lt;7,"Mid","Long"))</f>
        <v>Mid</v>
      </c>
      <c r="AD1301" t="str">
        <f>IF(H_A[[#This Row],[PercentSalaryHike]]&lt;13,"Low",IF(H_A[[#This Row],[PercentSalaryHike]]&lt;18,"Medium","High"))</f>
        <v>Medium</v>
      </c>
    </row>
    <row r="1302" spans="1:30" x14ac:dyDescent="0.3">
      <c r="A1302">
        <v>34</v>
      </c>
      <c r="B1302">
        <v>1823</v>
      </c>
      <c r="C1302" t="s">
        <v>36</v>
      </c>
      <c r="D1302" t="s">
        <v>31</v>
      </c>
      <c r="E1302">
        <v>8</v>
      </c>
      <c r="F1302">
        <v>2</v>
      </c>
      <c r="G1302" t="s">
        <v>51</v>
      </c>
      <c r="H1302">
        <v>2</v>
      </c>
      <c r="I1302" t="s">
        <v>38</v>
      </c>
      <c r="J1302">
        <v>4</v>
      </c>
      <c r="K1302">
        <v>2</v>
      </c>
      <c r="L1302" t="s">
        <v>34</v>
      </c>
      <c r="M1302">
        <v>3</v>
      </c>
      <c r="N1302" t="s">
        <v>40</v>
      </c>
      <c r="O1302">
        <v>6799</v>
      </c>
      <c r="P1302">
        <v>1</v>
      </c>
      <c r="Q1302" t="s">
        <v>36</v>
      </c>
      <c r="R1302">
        <v>3</v>
      </c>
      <c r="S1302">
        <v>10</v>
      </c>
      <c r="T1302">
        <v>3</v>
      </c>
      <c r="U1302">
        <v>10</v>
      </c>
      <c r="V1302">
        <v>8</v>
      </c>
      <c r="W1302">
        <v>4</v>
      </c>
      <c r="X1302">
        <v>8</v>
      </c>
      <c r="Y1302">
        <v>21</v>
      </c>
      <c r="Z1302">
        <f>IF(H_A[[#This Row],[Attrition]]="Yes",1,0)</f>
        <v>0</v>
      </c>
      <c r="AA1302" t="str">
        <f>IF(H_A[[#This Row],[Age]]&lt;30,"Young",IF(H_A[[#This Row],[Age]]&lt;45,"Mid","Senior"))</f>
        <v>Mid</v>
      </c>
      <c r="AB1302" t="str">
        <f>IF(H_A[[#This Row],[MonthlyIncome]]&lt;5000,"Low",IF(H_A[[#This Row],[MonthlyIncome]]&lt;10000,"Medium","High"))</f>
        <v>Medium</v>
      </c>
      <c r="AC1302" t="str">
        <f>IF(H_A[[#This Row],[YearsAtCompany]]&lt;3,"Early",IF(H_A[[#This Row],[YearsAtCompany]]&lt;7,"Mid","Long"))</f>
        <v>Long</v>
      </c>
      <c r="AD1302" t="str">
        <f>IF(H_A[[#This Row],[PercentSalaryHike]]&lt;13,"Low",IF(H_A[[#This Row],[PercentSalaryHike]]&lt;18,"Medium","High"))</f>
        <v>High</v>
      </c>
    </row>
    <row r="1303" spans="1:30" x14ac:dyDescent="0.3">
      <c r="A1303">
        <v>58</v>
      </c>
      <c r="B1303">
        <v>1824</v>
      </c>
      <c r="C1303" t="s">
        <v>36</v>
      </c>
      <c r="D1303" t="s">
        <v>31</v>
      </c>
      <c r="E1303">
        <v>2</v>
      </c>
      <c r="F1303">
        <v>3</v>
      </c>
      <c r="G1303" t="s">
        <v>43</v>
      </c>
      <c r="H1303">
        <v>2</v>
      </c>
      <c r="I1303" t="s">
        <v>38</v>
      </c>
      <c r="J1303">
        <v>3</v>
      </c>
      <c r="K1303">
        <v>4</v>
      </c>
      <c r="L1303" t="s">
        <v>47</v>
      </c>
      <c r="M1303">
        <v>2</v>
      </c>
      <c r="N1303" t="s">
        <v>44</v>
      </c>
      <c r="O1303">
        <v>16291</v>
      </c>
      <c r="P1303">
        <v>4</v>
      </c>
      <c r="Q1303" t="s">
        <v>36</v>
      </c>
      <c r="R1303">
        <v>4</v>
      </c>
      <c r="S1303">
        <v>37</v>
      </c>
      <c r="T1303">
        <v>2</v>
      </c>
      <c r="U1303">
        <v>16</v>
      </c>
      <c r="V1303">
        <v>9</v>
      </c>
      <c r="W1303">
        <v>14</v>
      </c>
      <c r="X1303">
        <v>14</v>
      </c>
      <c r="Y1303">
        <v>22</v>
      </c>
      <c r="Z1303">
        <f>IF(H_A[[#This Row],[Attrition]]="Yes",1,0)</f>
        <v>0</v>
      </c>
      <c r="AA1303" t="str">
        <f>IF(H_A[[#This Row],[Age]]&lt;30,"Young",IF(H_A[[#This Row],[Age]]&lt;45,"Mid","Senior"))</f>
        <v>Senior</v>
      </c>
      <c r="AB1303" t="str">
        <f>IF(H_A[[#This Row],[MonthlyIncome]]&lt;5000,"Low",IF(H_A[[#This Row],[MonthlyIncome]]&lt;10000,"Medium","High"))</f>
        <v>High</v>
      </c>
      <c r="AC1303" t="str">
        <f>IF(H_A[[#This Row],[YearsAtCompany]]&lt;3,"Early",IF(H_A[[#This Row],[YearsAtCompany]]&lt;7,"Mid","Long"))</f>
        <v>Long</v>
      </c>
      <c r="AD1303" t="str">
        <f>IF(H_A[[#This Row],[PercentSalaryHike]]&lt;13,"Low",IF(H_A[[#This Row],[PercentSalaryHike]]&lt;18,"Medium","High"))</f>
        <v>High</v>
      </c>
    </row>
    <row r="1304" spans="1:30" x14ac:dyDescent="0.3">
      <c r="A1304">
        <v>35</v>
      </c>
      <c r="B1304">
        <v>1826</v>
      </c>
      <c r="C1304" t="s">
        <v>36</v>
      </c>
      <c r="D1304" t="s">
        <v>37</v>
      </c>
      <c r="E1304">
        <v>23</v>
      </c>
      <c r="F1304">
        <v>4</v>
      </c>
      <c r="G1304" t="s">
        <v>43</v>
      </c>
      <c r="H1304">
        <v>2</v>
      </c>
      <c r="I1304" t="s">
        <v>38</v>
      </c>
      <c r="J1304">
        <v>1</v>
      </c>
      <c r="K1304">
        <v>1</v>
      </c>
      <c r="L1304" t="s">
        <v>42</v>
      </c>
      <c r="M1304">
        <v>3</v>
      </c>
      <c r="N1304" t="s">
        <v>40</v>
      </c>
      <c r="O1304">
        <v>2705</v>
      </c>
      <c r="P1304">
        <v>0</v>
      </c>
      <c r="Q1304" t="s">
        <v>36</v>
      </c>
      <c r="R1304">
        <v>2</v>
      </c>
      <c r="S1304">
        <v>6</v>
      </c>
      <c r="T1304">
        <v>4</v>
      </c>
      <c r="U1304">
        <v>5</v>
      </c>
      <c r="V1304">
        <v>4</v>
      </c>
      <c r="W1304">
        <v>0</v>
      </c>
      <c r="X1304">
        <v>3</v>
      </c>
      <c r="Y1304">
        <v>16</v>
      </c>
      <c r="Z1304">
        <f>IF(H_A[[#This Row],[Attrition]]="Yes",1,0)</f>
        <v>0</v>
      </c>
      <c r="AA1304" t="str">
        <f>IF(H_A[[#This Row],[Age]]&lt;30,"Young",IF(H_A[[#This Row],[Age]]&lt;45,"Mid","Senior"))</f>
        <v>Mid</v>
      </c>
      <c r="AB1304" t="str">
        <f>IF(H_A[[#This Row],[MonthlyIncome]]&lt;5000,"Low",IF(H_A[[#This Row],[MonthlyIncome]]&lt;10000,"Medium","High"))</f>
        <v>Low</v>
      </c>
      <c r="AC1304" t="str">
        <f>IF(H_A[[#This Row],[YearsAtCompany]]&lt;3,"Early",IF(H_A[[#This Row],[YearsAtCompany]]&lt;7,"Mid","Long"))</f>
        <v>Mid</v>
      </c>
      <c r="AD1304" t="str">
        <f>IF(H_A[[#This Row],[PercentSalaryHike]]&lt;13,"Low",IF(H_A[[#This Row],[PercentSalaryHike]]&lt;18,"Medium","High"))</f>
        <v>Medium</v>
      </c>
    </row>
    <row r="1305" spans="1:30" x14ac:dyDescent="0.3">
      <c r="A1305">
        <v>47</v>
      </c>
      <c r="B1305">
        <v>1827</v>
      </c>
      <c r="C1305" t="s">
        <v>36</v>
      </c>
      <c r="D1305" t="s">
        <v>37</v>
      </c>
      <c r="E1305">
        <v>4</v>
      </c>
      <c r="F1305">
        <v>3</v>
      </c>
      <c r="G1305" t="s">
        <v>32</v>
      </c>
      <c r="H1305">
        <v>3</v>
      </c>
      <c r="I1305" t="s">
        <v>33</v>
      </c>
      <c r="J1305">
        <v>2</v>
      </c>
      <c r="K1305">
        <v>3</v>
      </c>
      <c r="L1305" t="s">
        <v>45</v>
      </c>
      <c r="M1305">
        <v>2</v>
      </c>
      <c r="N1305" t="s">
        <v>44</v>
      </c>
      <c r="O1305">
        <v>10333</v>
      </c>
      <c r="P1305">
        <v>8</v>
      </c>
      <c r="Q1305" t="s">
        <v>30</v>
      </c>
      <c r="R1305">
        <v>3</v>
      </c>
      <c r="S1305">
        <v>28</v>
      </c>
      <c r="T1305">
        <v>3</v>
      </c>
      <c r="U1305">
        <v>22</v>
      </c>
      <c r="V1305">
        <v>11</v>
      </c>
      <c r="W1305">
        <v>14</v>
      </c>
      <c r="X1305">
        <v>10</v>
      </c>
      <c r="Y1305">
        <v>12</v>
      </c>
      <c r="Z1305">
        <f>IF(H_A[[#This Row],[Attrition]]="Yes",1,0)</f>
        <v>0</v>
      </c>
      <c r="AA1305" t="str">
        <f>IF(H_A[[#This Row],[Age]]&lt;30,"Young",IF(H_A[[#This Row],[Age]]&lt;45,"Mid","Senior"))</f>
        <v>Senior</v>
      </c>
      <c r="AB1305" t="str">
        <f>IF(H_A[[#This Row],[MonthlyIncome]]&lt;5000,"Low",IF(H_A[[#This Row],[MonthlyIncome]]&lt;10000,"Medium","High"))</f>
        <v>High</v>
      </c>
      <c r="AC1305" t="str">
        <f>IF(H_A[[#This Row],[YearsAtCompany]]&lt;3,"Early",IF(H_A[[#This Row],[YearsAtCompany]]&lt;7,"Mid","Long"))</f>
        <v>Long</v>
      </c>
      <c r="AD1305" t="str">
        <f>IF(H_A[[#This Row],[PercentSalaryHike]]&lt;13,"Low",IF(H_A[[#This Row],[PercentSalaryHike]]&lt;18,"Medium","High"))</f>
        <v>Low</v>
      </c>
    </row>
    <row r="1306" spans="1:30" x14ac:dyDescent="0.3">
      <c r="A1306">
        <v>40</v>
      </c>
      <c r="B1306">
        <v>1829</v>
      </c>
      <c r="C1306" t="s">
        <v>36</v>
      </c>
      <c r="D1306" t="s">
        <v>37</v>
      </c>
      <c r="E1306">
        <v>12</v>
      </c>
      <c r="F1306">
        <v>3</v>
      </c>
      <c r="G1306" t="s">
        <v>32</v>
      </c>
      <c r="H1306">
        <v>2</v>
      </c>
      <c r="I1306" t="s">
        <v>33</v>
      </c>
      <c r="J1306">
        <v>3</v>
      </c>
      <c r="K1306">
        <v>2</v>
      </c>
      <c r="L1306" t="s">
        <v>46</v>
      </c>
      <c r="M1306">
        <v>1</v>
      </c>
      <c r="N1306" t="s">
        <v>44</v>
      </c>
      <c r="O1306">
        <v>4448</v>
      </c>
      <c r="P1306">
        <v>2</v>
      </c>
      <c r="Q1306" t="s">
        <v>36</v>
      </c>
      <c r="R1306">
        <v>2</v>
      </c>
      <c r="S1306">
        <v>15</v>
      </c>
      <c r="T1306">
        <v>3</v>
      </c>
      <c r="U1306">
        <v>7</v>
      </c>
      <c r="V1306">
        <v>4</v>
      </c>
      <c r="W1306">
        <v>7</v>
      </c>
      <c r="X1306">
        <v>7</v>
      </c>
      <c r="Y1306">
        <v>12</v>
      </c>
      <c r="Z1306">
        <f>IF(H_A[[#This Row],[Attrition]]="Yes",1,0)</f>
        <v>0</v>
      </c>
      <c r="AA1306" t="str">
        <f>IF(H_A[[#This Row],[Age]]&lt;30,"Young",IF(H_A[[#This Row],[Age]]&lt;45,"Mid","Senior"))</f>
        <v>Mid</v>
      </c>
      <c r="AB1306" t="str">
        <f>IF(H_A[[#This Row],[MonthlyIncome]]&lt;5000,"Low",IF(H_A[[#This Row],[MonthlyIncome]]&lt;10000,"Medium","High"))</f>
        <v>Low</v>
      </c>
      <c r="AC1306" t="str">
        <f>IF(H_A[[#This Row],[YearsAtCompany]]&lt;3,"Early",IF(H_A[[#This Row],[YearsAtCompany]]&lt;7,"Mid","Long"))</f>
        <v>Long</v>
      </c>
      <c r="AD1306" t="str">
        <f>IF(H_A[[#This Row],[PercentSalaryHike]]&lt;13,"Low",IF(H_A[[#This Row],[PercentSalaryHike]]&lt;18,"Medium","High"))</f>
        <v>Low</v>
      </c>
    </row>
    <row r="1307" spans="1:30" x14ac:dyDescent="0.3">
      <c r="A1307">
        <v>54</v>
      </c>
      <c r="B1307">
        <v>1830</v>
      </c>
      <c r="C1307" t="s">
        <v>36</v>
      </c>
      <c r="D1307" t="s">
        <v>37</v>
      </c>
      <c r="E1307">
        <v>7</v>
      </c>
      <c r="F1307">
        <v>4</v>
      </c>
      <c r="G1307" t="s">
        <v>43</v>
      </c>
      <c r="H1307">
        <v>4</v>
      </c>
      <c r="I1307" t="s">
        <v>33</v>
      </c>
      <c r="J1307">
        <v>3</v>
      </c>
      <c r="K1307">
        <v>2</v>
      </c>
      <c r="L1307" t="s">
        <v>39</v>
      </c>
      <c r="M1307">
        <v>4</v>
      </c>
      <c r="N1307" t="s">
        <v>40</v>
      </c>
      <c r="O1307">
        <v>6854</v>
      </c>
      <c r="P1307">
        <v>4</v>
      </c>
      <c r="Q1307" t="s">
        <v>36</v>
      </c>
      <c r="R1307">
        <v>2</v>
      </c>
      <c r="S1307">
        <v>14</v>
      </c>
      <c r="T1307">
        <v>2</v>
      </c>
      <c r="U1307">
        <v>7</v>
      </c>
      <c r="V1307">
        <v>1</v>
      </c>
      <c r="W1307">
        <v>1</v>
      </c>
      <c r="X1307">
        <v>7</v>
      </c>
      <c r="Y1307">
        <v>15</v>
      </c>
      <c r="Z1307">
        <f>IF(H_A[[#This Row],[Attrition]]="Yes",1,0)</f>
        <v>0</v>
      </c>
      <c r="AA1307" t="str">
        <f>IF(H_A[[#This Row],[Age]]&lt;30,"Young",IF(H_A[[#This Row],[Age]]&lt;45,"Mid","Senior"))</f>
        <v>Senior</v>
      </c>
      <c r="AB1307" t="str">
        <f>IF(H_A[[#This Row],[MonthlyIncome]]&lt;5000,"Low",IF(H_A[[#This Row],[MonthlyIncome]]&lt;10000,"Medium","High"))</f>
        <v>Medium</v>
      </c>
      <c r="AC1307" t="str">
        <f>IF(H_A[[#This Row],[YearsAtCompany]]&lt;3,"Early",IF(H_A[[#This Row],[YearsAtCompany]]&lt;7,"Mid","Long"))</f>
        <v>Long</v>
      </c>
      <c r="AD1307" t="str">
        <f>IF(H_A[[#This Row],[PercentSalaryHike]]&lt;13,"Low",IF(H_A[[#This Row],[PercentSalaryHike]]&lt;18,"Medium","High"))</f>
        <v>Medium</v>
      </c>
    </row>
    <row r="1308" spans="1:30" x14ac:dyDescent="0.3">
      <c r="A1308">
        <v>31</v>
      </c>
      <c r="B1308">
        <v>1833</v>
      </c>
      <c r="C1308" t="s">
        <v>36</v>
      </c>
      <c r="D1308" t="s">
        <v>31</v>
      </c>
      <c r="E1308">
        <v>7</v>
      </c>
      <c r="F1308">
        <v>4</v>
      </c>
      <c r="G1308" t="s">
        <v>50</v>
      </c>
      <c r="H1308">
        <v>1</v>
      </c>
      <c r="I1308" t="s">
        <v>33</v>
      </c>
      <c r="J1308">
        <v>3</v>
      </c>
      <c r="K1308">
        <v>3</v>
      </c>
      <c r="L1308" t="s">
        <v>34</v>
      </c>
      <c r="M1308">
        <v>1</v>
      </c>
      <c r="N1308" t="s">
        <v>40</v>
      </c>
      <c r="O1308">
        <v>9637</v>
      </c>
      <c r="P1308">
        <v>2</v>
      </c>
      <c r="Q1308" t="s">
        <v>36</v>
      </c>
      <c r="R1308">
        <v>4</v>
      </c>
      <c r="S1308">
        <v>9</v>
      </c>
      <c r="T1308">
        <v>3</v>
      </c>
      <c r="U1308">
        <v>3</v>
      </c>
      <c r="V1308">
        <v>2</v>
      </c>
      <c r="W1308">
        <v>2</v>
      </c>
      <c r="X1308">
        <v>2</v>
      </c>
      <c r="Y1308">
        <v>14</v>
      </c>
      <c r="Z1308">
        <f>IF(H_A[[#This Row],[Attrition]]="Yes",1,0)</f>
        <v>0</v>
      </c>
      <c r="AA1308" t="str">
        <f>IF(H_A[[#This Row],[Age]]&lt;30,"Young",IF(H_A[[#This Row],[Age]]&lt;45,"Mid","Senior"))</f>
        <v>Mid</v>
      </c>
      <c r="AB1308" t="str">
        <f>IF(H_A[[#This Row],[MonthlyIncome]]&lt;5000,"Low",IF(H_A[[#This Row],[MonthlyIncome]]&lt;10000,"Medium","High"))</f>
        <v>Medium</v>
      </c>
      <c r="AC1308" t="str">
        <f>IF(H_A[[#This Row],[YearsAtCompany]]&lt;3,"Early",IF(H_A[[#This Row],[YearsAtCompany]]&lt;7,"Mid","Long"))</f>
        <v>Mid</v>
      </c>
      <c r="AD1308" t="str">
        <f>IF(H_A[[#This Row],[PercentSalaryHike]]&lt;13,"Low",IF(H_A[[#This Row],[PercentSalaryHike]]&lt;18,"Medium","High"))</f>
        <v>Medium</v>
      </c>
    </row>
    <row r="1309" spans="1:30" x14ac:dyDescent="0.3">
      <c r="A1309">
        <v>28</v>
      </c>
      <c r="B1309">
        <v>1834</v>
      </c>
      <c r="C1309" t="s">
        <v>36</v>
      </c>
      <c r="D1309" t="s">
        <v>37</v>
      </c>
      <c r="E1309">
        <v>1</v>
      </c>
      <c r="F1309">
        <v>3</v>
      </c>
      <c r="G1309" t="s">
        <v>43</v>
      </c>
      <c r="H1309">
        <v>3</v>
      </c>
      <c r="I1309" t="s">
        <v>33</v>
      </c>
      <c r="J1309">
        <v>3</v>
      </c>
      <c r="K1309">
        <v>1</v>
      </c>
      <c r="L1309" t="s">
        <v>39</v>
      </c>
      <c r="M1309">
        <v>1</v>
      </c>
      <c r="N1309" t="s">
        <v>40</v>
      </c>
      <c r="O1309">
        <v>3591</v>
      </c>
      <c r="P1309">
        <v>1</v>
      </c>
      <c r="Q1309" t="s">
        <v>36</v>
      </c>
      <c r="R1309">
        <v>3</v>
      </c>
      <c r="S1309">
        <v>3</v>
      </c>
      <c r="T1309">
        <v>3</v>
      </c>
      <c r="U1309">
        <v>3</v>
      </c>
      <c r="V1309">
        <v>2</v>
      </c>
      <c r="W1309">
        <v>1</v>
      </c>
      <c r="X1309">
        <v>2</v>
      </c>
      <c r="Y1309">
        <v>25</v>
      </c>
      <c r="Z1309">
        <f>IF(H_A[[#This Row],[Attrition]]="Yes",1,0)</f>
        <v>0</v>
      </c>
      <c r="AA1309" t="str">
        <f>IF(H_A[[#This Row],[Age]]&lt;30,"Young",IF(H_A[[#This Row],[Age]]&lt;45,"Mid","Senior"))</f>
        <v>Young</v>
      </c>
      <c r="AB1309" t="str">
        <f>IF(H_A[[#This Row],[MonthlyIncome]]&lt;5000,"Low",IF(H_A[[#This Row],[MonthlyIncome]]&lt;10000,"Medium","High"))</f>
        <v>Low</v>
      </c>
      <c r="AC1309" t="str">
        <f>IF(H_A[[#This Row],[YearsAtCompany]]&lt;3,"Early",IF(H_A[[#This Row],[YearsAtCompany]]&lt;7,"Mid","Long"))</f>
        <v>Mid</v>
      </c>
      <c r="AD1309" t="str">
        <f>IF(H_A[[#This Row],[PercentSalaryHike]]&lt;13,"Low",IF(H_A[[#This Row],[PercentSalaryHike]]&lt;18,"Medium","High"))</f>
        <v>High</v>
      </c>
    </row>
    <row r="1310" spans="1:30" x14ac:dyDescent="0.3">
      <c r="A1310">
        <v>38</v>
      </c>
      <c r="B1310">
        <v>1835</v>
      </c>
      <c r="C1310" t="s">
        <v>36</v>
      </c>
      <c r="D1310" t="s">
        <v>31</v>
      </c>
      <c r="E1310">
        <v>2</v>
      </c>
      <c r="F1310">
        <v>4</v>
      </c>
      <c r="G1310" t="s">
        <v>50</v>
      </c>
      <c r="H1310">
        <v>2</v>
      </c>
      <c r="I1310" t="s">
        <v>33</v>
      </c>
      <c r="J1310">
        <v>1</v>
      </c>
      <c r="K1310">
        <v>2</v>
      </c>
      <c r="L1310" t="s">
        <v>48</v>
      </c>
      <c r="M1310">
        <v>4</v>
      </c>
      <c r="N1310" t="s">
        <v>40</v>
      </c>
      <c r="O1310">
        <v>5405</v>
      </c>
      <c r="P1310">
        <v>2</v>
      </c>
      <c r="Q1310" t="s">
        <v>30</v>
      </c>
      <c r="R1310">
        <v>1</v>
      </c>
      <c r="S1310">
        <v>20</v>
      </c>
      <c r="T1310">
        <v>2</v>
      </c>
      <c r="U1310">
        <v>4</v>
      </c>
      <c r="V1310">
        <v>2</v>
      </c>
      <c r="W1310">
        <v>0</v>
      </c>
      <c r="X1310">
        <v>3</v>
      </c>
      <c r="Y1310">
        <v>20</v>
      </c>
      <c r="Z1310">
        <f>IF(H_A[[#This Row],[Attrition]]="Yes",1,0)</f>
        <v>0</v>
      </c>
      <c r="AA1310" t="str">
        <f>IF(H_A[[#This Row],[Age]]&lt;30,"Young",IF(H_A[[#This Row],[Age]]&lt;45,"Mid","Senior"))</f>
        <v>Mid</v>
      </c>
      <c r="AB1310" t="str">
        <f>IF(H_A[[#This Row],[MonthlyIncome]]&lt;5000,"Low",IF(H_A[[#This Row],[MonthlyIncome]]&lt;10000,"Medium","High"))</f>
        <v>Medium</v>
      </c>
      <c r="AC1310" t="str">
        <f>IF(H_A[[#This Row],[YearsAtCompany]]&lt;3,"Early",IF(H_A[[#This Row],[YearsAtCompany]]&lt;7,"Mid","Long"))</f>
        <v>Mid</v>
      </c>
      <c r="AD1310" t="str">
        <f>IF(H_A[[#This Row],[PercentSalaryHike]]&lt;13,"Low",IF(H_A[[#This Row],[PercentSalaryHike]]&lt;18,"Medium","High"))</f>
        <v>High</v>
      </c>
    </row>
    <row r="1311" spans="1:30" x14ac:dyDescent="0.3">
      <c r="A1311">
        <v>26</v>
      </c>
      <c r="B1311">
        <v>1836</v>
      </c>
      <c r="C1311" t="s">
        <v>36</v>
      </c>
      <c r="D1311" t="s">
        <v>31</v>
      </c>
      <c r="E1311">
        <v>10</v>
      </c>
      <c r="F1311">
        <v>3</v>
      </c>
      <c r="G1311" t="s">
        <v>43</v>
      </c>
      <c r="H1311">
        <v>3</v>
      </c>
      <c r="I1311" t="s">
        <v>38</v>
      </c>
      <c r="J1311">
        <v>3</v>
      </c>
      <c r="K1311">
        <v>2</v>
      </c>
      <c r="L1311" t="s">
        <v>34</v>
      </c>
      <c r="M1311">
        <v>4</v>
      </c>
      <c r="N1311" t="s">
        <v>35</v>
      </c>
      <c r="O1311">
        <v>4684</v>
      </c>
      <c r="P1311">
        <v>1</v>
      </c>
      <c r="Q1311" t="s">
        <v>36</v>
      </c>
      <c r="R1311">
        <v>1</v>
      </c>
      <c r="S1311">
        <v>5</v>
      </c>
      <c r="T1311">
        <v>3</v>
      </c>
      <c r="U1311">
        <v>5</v>
      </c>
      <c r="V1311">
        <v>3</v>
      </c>
      <c r="W1311">
        <v>1</v>
      </c>
      <c r="X1311">
        <v>2</v>
      </c>
      <c r="Y1311">
        <v>13</v>
      </c>
      <c r="Z1311">
        <f>IF(H_A[[#This Row],[Attrition]]="Yes",1,0)</f>
        <v>0</v>
      </c>
      <c r="AA1311" t="str">
        <f>IF(H_A[[#This Row],[Age]]&lt;30,"Young",IF(H_A[[#This Row],[Age]]&lt;45,"Mid","Senior"))</f>
        <v>Young</v>
      </c>
      <c r="AB1311" t="str">
        <f>IF(H_A[[#This Row],[MonthlyIncome]]&lt;5000,"Low",IF(H_A[[#This Row],[MonthlyIncome]]&lt;10000,"Medium","High"))</f>
        <v>Low</v>
      </c>
      <c r="AC1311" t="str">
        <f>IF(H_A[[#This Row],[YearsAtCompany]]&lt;3,"Early",IF(H_A[[#This Row],[YearsAtCompany]]&lt;7,"Mid","Long"))</f>
        <v>Mid</v>
      </c>
      <c r="AD1311" t="str">
        <f>IF(H_A[[#This Row],[PercentSalaryHike]]&lt;13,"Low",IF(H_A[[#This Row],[PercentSalaryHike]]&lt;18,"Medium","High"))</f>
        <v>Medium</v>
      </c>
    </row>
    <row r="1312" spans="1:30" x14ac:dyDescent="0.3">
      <c r="A1312">
        <v>58</v>
      </c>
      <c r="B1312">
        <v>1837</v>
      </c>
      <c r="C1312" t="s">
        <v>36</v>
      </c>
      <c r="D1312" t="s">
        <v>37</v>
      </c>
      <c r="E1312">
        <v>15</v>
      </c>
      <c r="F1312">
        <v>4</v>
      </c>
      <c r="G1312" t="s">
        <v>32</v>
      </c>
      <c r="H1312">
        <v>1</v>
      </c>
      <c r="I1312" t="s">
        <v>38</v>
      </c>
      <c r="J1312">
        <v>3</v>
      </c>
      <c r="K1312">
        <v>4</v>
      </c>
      <c r="L1312" t="s">
        <v>49</v>
      </c>
      <c r="M1312">
        <v>3</v>
      </c>
      <c r="N1312" t="s">
        <v>40</v>
      </c>
      <c r="O1312">
        <v>15787</v>
      </c>
      <c r="P1312">
        <v>2</v>
      </c>
      <c r="Q1312" t="s">
        <v>30</v>
      </c>
      <c r="R1312">
        <v>2</v>
      </c>
      <c r="S1312">
        <v>23</v>
      </c>
      <c r="T1312">
        <v>3</v>
      </c>
      <c r="U1312">
        <v>2</v>
      </c>
      <c r="V1312">
        <v>2</v>
      </c>
      <c r="W1312">
        <v>2</v>
      </c>
      <c r="X1312">
        <v>2</v>
      </c>
      <c r="Y1312">
        <v>14</v>
      </c>
      <c r="Z1312">
        <f>IF(H_A[[#This Row],[Attrition]]="Yes",1,0)</f>
        <v>0</v>
      </c>
      <c r="AA1312" t="str">
        <f>IF(H_A[[#This Row],[Age]]&lt;30,"Young",IF(H_A[[#This Row],[Age]]&lt;45,"Mid","Senior"))</f>
        <v>Senior</v>
      </c>
      <c r="AB1312" t="str">
        <f>IF(H_A[[#This Row],[MonthlyIncome]]&lt;5000,"Low",IF(H_A[[#This Row],[MonthlyIncome]]&lt;10000,"Medium","High"))</f>
        <v>High</v>
      </c>
      <c r="AC1312" t="str">
        <f>IF(H_A[[#This Row],[YearsAtCompany]]&lt;3,"Early",IF(H_A[[#This Row],[YearsAtCompany]]&lt;7,"Mid","Long"))</f>
        <v>Early</v>
      </c>
      <c r="AD1312" t="str">
        <f>IF(H_A[[#This Row],[PercentSalaryHike]]&lt;13,"Low",IF(H_A[[#This Row],[PercentSalaryHike]]&lt;18,"Medium","High"))</f>
        <v>Medium</v>
      </c>
    </row>
    <row r="1313" spans="1:30" x14ac:dyDescent="0.3">
      <c r="A1313">
        <v>18</v>
      </c>
      <c r="B1313">
        <v>1839</v>
      </c>
      <c r="C1313" t="s">
        <v>36</v>
      </c>
      <c r="D1313" t="s">
        <v>37</v>
      </c>
      <c r="E1313">
        <v>14</v>
      </c>
      <c r="F1313">
        <v>3</v>
      </c>
      <c r="G1313" t="s">
        <v>43</v>
      </c>
      <c r="H1313">
        <v>2</v>
      </c>
      <c r="I1313" t="s">
        <v>33</v>
      </c>
      <c r="J1313">
        <v>3</v>
      </c>
      <c r="K1313">
        <v>1</v>
      </c>
      <c r="L1313" t="s">
        <v>39</v>
      </c>
      <c r="M1313">
        <v>3</v>
      </c>
      <c r="N1313" t="s">
        <v>35</v>
      </c>
      <c r="O1313">
        <v>1514</v>
      </c>
      <c r="P1313">
        <v>1</v>
      </c>
      <c r="Q1313" t="s">
        <v>36</v>
      </c>
      <c r="R1313">
        <v>3</v>
      </c>
      <c r="S1313">
        <v>0</v>
      </c>
      <c r="T1313">
        <v>1</v>
      </c>
      <c r="U1313">
        <v>0</v>
      </c>
      <c r="V1313">
        <v>0</v>
      </c>
      <c r="W1313">
        <v>0</v>
      </c>
      <c r="X1313">
        <v>0</v>
      </c>
      <c r="Y1313">
        <v>16</v>
      </c>
      <c r="Z1313">
        <f>IF(H_A[[#This Row],[Attrition]]="Yes",1,0)</f>
        <v>0</v>
      </c>
      <c r="AA1313" t="str">
        <f>IF(H_A[[#This Row],[Age]]&lt;30,"Young",IF(H_A[[#This Row],[Age]]&lt;45,"Mid","Senior"))</f>
        <v>Young</v>
      </c>
      <c r="AB1313" t="str">
        <f>IF(H_A[[#This Row],[MonthlyIncome]]&lt;5000,"Low",IF(H_A[[#This Row],[MonthlyIncome]]&lt;10000,"Medium","High"))</f>
        <v>Low</v>
      </c>
      <c r="AC1313" t="str">
        <f>IF(H_A[[#This Row],[YearsAtCompany]]&lt;3,"Early",IF(H_A[[#This Row],[YearsAtCompany]]&lt;7,"Mid","Long"))</f>
        <v>Early</v>
      </c>
      <c r="AD1313" t="str">
        <f>IF(H_A[[#This Row],[PercentSalaryHike]]&lt;13,"Low",IF(H_A[[#This Row],[PercentSalaryHike]]&lt;18,"Medium","High"))</f>
        <v>Medium</v>
      </c>
    </row>
    <row r="1314" spans="1:30" x14ac:dyDescent="0.3">
      <c r="A1314">
        <v>31</v>
      </c>
      <c r="B1314">
        <v>1842</v>
      </c>
      <c r="C1314" t="s">
        <v>30</v>
      </c>
      <c r="D1314" t="s">
        <v>52</v>
      </c>
      <c r="E1314">
        <v>18</v>
      </c>
      <c r="F1314">
        <v>5</v>
      </c>
      <c r="G1314" t="s">
        <v>52</v>
      </c>
      <c r="H1314">
        <v>4</v>
      </c>
      <c r="I1314" t="s">
        <v>38</v>
      </c>
      <c r="J1314">
        <v>4</v>
      </c>
      <c r="K1314">
        <v>1</v>
      </c>
      <c r="L1314" t="s">
        <v>52</v>
      </c>
      <c r="M1314">
        <v>1</v>
      </c>
      <c r="N1314" t="s">
        <v>40</v>
      </c>
      <c r="O1314">
        <v>2956</v>
      </c>
      <c r="P1314">
        <v>0</v>
      </c>
      <c r="Q1314" t="s">
        <v>36</v>
      </c>
      <c r="R1314">
        <v>3</v>
      </c>
      <c r="S1314">
        <v>2</v>
      </c>
      <c r="T1314">
        <v>3</v>
      </c>
      <c r="U1314">
        <v>1</v>
      </c>
      <c r="V1314">
        <v>0</v>
      </c>
      <c r="W1314">
        <v>0</v>
      </c>
      <c r="X1314">
        <v>0</v>
      </c>
      <c r="Y1314">
        <v>17</v>
      </c>
      <c r="Z1314">
        <f>IF(H_A[[#This Row],[Attrition]]="Yes",1,0)</f>
        <v>1</v>
      </c>
      <c r="AA1314" t="str">
        <f>IF(H_A[[#This Row],[Age]]&lt;30,"Young",IF(H_A[[#This Row],[Age]]&lt;45,"Mid","Senior"))</f>
        <v>Mid</v>
      </c>
      <c r="AB1314" t="str">
        <f>IF(H_A[[#This Row],[MonthlyIncome]]&lt;5000,"Low",IF(H_A[[#This Row],[MonthlyIncome]]&lt;10000,"Medium","High"))</f>
        <v>Low</v>
      </c>
      <c r="AC1314" t="str">
        <f>IF(H_A[[#This Row],[YearsAtCompany]]&lt;3,"Early",IF(H_A[[#This Row],[YearsAtCompany]]&lt;7,"Mid","Long"))</f>
        <v>Early</v>
      </c>
      <c r="AD1314" t="str">
        <f>IF(H_A[[#This Row],[PercentSalaryHike]]&lt;13,"Low",IF(H_A[[#This Row],[PercentSalaryHike]]&lt;18,"Medium","High"))</f>
        <v>Medium</v>
      </c>
    </row>
    <row r="1315" spans="1:30" x14ac:dyDescent="0.3">
      <c r="A1315">
        <v>29</v>
      </c>
      <c r="B1315">
        <v>1844</v>
      </c>
      <c r="C1315" t="s">
        <v>30</v>
      </c>
      <c r="D1315" t="s">
        <v>52</v>
      </c>
      <c r="E1315">
        <v>13</v>
      </c>
      <c r="F1315">
        <v>3</v>
      </c>
      <c r="G1315" t="s">
        <v>52</v>
      </c>
      <c r="H1315">
        <v>1</v>
      </c>
      <c r="I1315" t="s">
        <v>38</v>
      </c>
      <c r="J1315">
        <v>2</v>
      </c>
      <c r="K1315">
        <v>1</v>
      </c>
      <c r="L1315" t="s">
        <v>52</v>
      </c>
      <c r="M1315">
        <v>1</v>
      </c>
      <c r="N1315" t="s">
        <v>44</v>
      </c>
      <c r="O1315">
        <v>2335</v>
      </c>
      <c r="P1315">
        <v>4</v>
      </c>
      <c r="Q1315" t="s">
        <v>30</v>
      </c>
      <c r="R1315">
        <v>4</v>
      </c>
      <c r="S1315">
        <v>4</v>
      </c>
      <c r="T1315">
        <v>3</v>
      </c>
      <c r="U1315">
        <v>2</v>
      </c>
      <c r="V1315">
        <v>2</v>
      </c>
      <c r="W1315">
        <v>2</v>
      </c>
      <c r="X1315">
        <v>0</v>
      </c>
      <c r="Y1315">
        <v>15</v>
      </c>
      <c r="Z1315">
        <f>IF(H_A[[#This Row],[Attrition]]="Yes",1,0)</f>
        <v>1</v>
      </c>
      <c r="AA1315" t="str">
        <f>IF(H_A[[#This Row],[Age]]&lt;30,"Young",IF(H_A[[#This Row],[Age]]&lt;45,"Mid","Senior"))</f>
        <v>Young</v>
      </c>
      <c r="AB1315" t="str">
        <f>IF(H_A[[#This Row],[MonthlyIncome]]&lt;5000,"Low",IF(H_A[[#This Row],[MonthlyIncome]]&lt;10000,"Medium","High"))</f>
        <v>Low</v>
      </c>
      <c r="AC1315" t="str">
        <f>IF(H_A[[#This Row],[YearsAtCompany]]&lt;3,"Early",IF(H_A[[#This Row],[YearsAtCompany]]&lt;7,"Mid","Long"))</f>
        <v>Early</v>
      </c>
      <c r="AD1315" t="str">
        <f>IF(H_A[[#This Row],[PercentSalaryHike]]&lt;13,"Low",IF(H_A[[#This Row],[PercentSalaryHike]]&lt;18,"Medium","High"))</f>
        <v>Medium</v>
      </c>
    </row>
    <row r="1316" spans="1:30" x14ac:dyDescent="0.3">
      <c r="A1316">
        <v>45</v>
      </c>
      <c r="B1316">
        <v>1845</v>
      </c>
      <c r="C1316" t="s">
        <v>36</v>
      </c>
      <c r="D1316" t="s">
        <v>31</v>
      </c>
      <c r="E1316">
        <v>2</v>
      </c>
      <c r="F1316">
        <v>4</v>
      </c>
      <c r="G1316" t="s">
        <v>32</v>
      </c>
      <c r="H1316">
        <v>3</v>
      </c>
      <c r="I1316" t="s">
        <v>33</v>
      </c>
      <c r="J1316">
        <v>3</v>
      </c>
      <c r="K1316">
        <v>2</v>
      </c>
      <c r="L1316" t="s">
        <v>34</v>
      </c>
      <c r="M1316">
        <v>3</v>
      </c>
      <c r="N1316" t="s">
        <v>40</v>
      </c>
      <c r="O1316">
        <v>5154</v>
      </c>
      <c r="P1316">
        <v>4</v>
      </c>
      <c r="Q1316" t="s">
        <v>36</v>
      </c>
      <c r="R1316">
        <v>2</v>
      </c>
      <c r="S1316">
        <v>10</v>
      </c>
      <c r="T1316">
        <v>4</v>
      </c>
      <c r="U1316">
        <v>8</v>
      </c>
      <c r="V1316">
        <v>7</v>
      </c>
      <c r="W1316">
        <v>5</v>
      </c>
      <c r="X1316">
        <v>7</v>
      </c>
      <c r="Y1316">
        <v>22</v>
      </c>
      <c r="Z1316">
        <f>IF(H_A[[#This Row],[Attrition]]="Yes",1,0)</f>
        <v>0</v>
      </c>
      <c r="AA1316" t="str">
        <f>IF(H_A[[#This Row],[Age]]&lt;30,"Young",IF(H_A[[#This Row],[Age]]&lt;45,"Mid","Senior"))</f>
        <v>Senior</v>
      </c>
      <c r="AB1316" t="str">
        <f>IF(H_A[[#This Row],[MonthlyIncome]]&lt;5000,"Low",IF(H_A[[#This Row],[MonthlyIncome]]&lt;10000,"Medium","High"))</f>
        <v>Medium</v>
      </c>
      <c r="AC1316" t="str">
        <f>IF(H_A[[#This Row],[YearsAtCompany]]&lt;3,"Early",IF(H_A[[#This Row],[YearsAtCompany]]&lt;7,"Mid","Long"))</f>
        <v>Long</v>
      </c>
      <c r="AD1316" t="str">
        <f>IF(H_A[[#This Row],[PercentSalaryHike]]&lt;13,"Low",IF(H_A[[#This Row],[PercentSalaryHike]]&lt;18,"Medium","High"))</f>
        <v>High</v>
      </c>
    </row>
    <row r="1317" spans="1:30" x14ac:dyDescent="0.3">
      <c r="A1317">
        <v>36</v>
      </c>
      <c r="B1317">
        <v>1847</v>
      </c>
      <c r="C1317" t="s">
        <v>36</v>
      </c>
      <c r="D1317" t="s">
        <v>37</v>
      </c>
      <c r="E1317">
        <v>2</v>
      </c>
      <c r="F1317">
        <v>4</v>
      </c>
      <c r="G1317" t="s">
        <v>41</v>
      </c>
      <c r="H1317">
        <v>4</v>
      </c>
      <c r="I1317" t="s">
        <v>33</v>
      </c>
      <c r="J1317">
        <v>3</v>
      </c>
      <c r="K1317">
        <v>2</v>
      </c>
      <c r="L1317" t="s">
        <v>39</v>
      </c>
      <c r="M1317">
        <v>2</v>
      </c>
      <c r="N1317" t="s">
        <v>40</v>
      </c>
      <c r="O1317">
        <v>6962</v>
      </c>
      <c r="P1317">
        <v>4</v>
      </c>
      <c r="Q1317" t="s">
        <v>30</v>
      </c>
      <c r="R1317">
        <v>4</v>
      </c>
      <c r="S1317">
        <v>15</v>
      </c>
      <c r="T1317">
        <v>3</v>
      </c>
      <c r="U1317">
        <v>1</v>
      </c>
      <c r="V1317">
        <v>0</v>
      </c>
      <c r="W1317">
        <v>0</v>
      </c>
      <c r="X1317">
        <v>0</v>
      </c>
      <c r="Y1317">
        <v>22</v>
      </c>
      <c r="Z1317">
        <f>IF(H_A[[#This Row],[Attrition]]="Yes",1,0)</f>
        <v>0</v>
      </c>
      <c r="AA1317" t="str">
        <f>IF(H_A[[#This Row],[Age]]&lt;30,"Young",IF(H_A[[#This Row],[Age]]&lt;45,"Mid","Senior"))</f>
        <v>Mid</v>
      </c>
      <c r="AB1317" t="str">
        <f>IF(H_A[[#This Row],[MonthlyIncome]]&lt;5000,"Low",IF(H_A[[#This Row],[MonthlyIncome]]&lt;10000,"Medium","High"))</f>
        <v>Medium</v>
      </c>
      <c r="AC1317" t="str">
        <f>IF(H_A[[#This Row],[YearsAtCompany]]&lt;3,"Early",IF(H_A[[#This Row],[YearsAtCompany]]&lt;7,"Mid","Long"))</f>
        <v>Early</v>
      </c>
      <c r="AD1317" t="str">
        <f>IF(H_A[[#This Row],[PercentSalaryHike]]&lt;13,"Low",IF(H_A[[#This Row],[PercentSalaryHike]]&lt;18,"Medium","High"))</f>
        <v>High</v>
      </c>
    </row>
    <row r="1318" spans="1:30" x14ac:dyDescent="0.3">
      <c r="A1318">
        <v>43</v>
      </c>
      <c r="B1318">
        <v>1849</v>
      </c>
      <c r="C1318" t="s">
        <v>36</v>
      </c>
      <c r="D1318" t="s">
        <v>31</v>
      </c>
      <c r="E1318">
        <v>2</v>
      </c>
      <c r="F1318">
        <v>4</v>
      </c>
      <c r="G1318" t="s">
        <v>32</v>
      </c>
      <c r="H1318">
        <v>1</v>
      </c>
      <c r="I1318" t="s">
        <v>38</v>
      </c>
      <c r="J1318">
        <v>3</v>
      </c>
      <c r="K1318">
        <v>2</v>
      </c>
      <c r="L1318" t="s">
        <v>34</v>
      </c>
      <c r="M1318">
        <v>4</v>
      </c>
      <c r="N1318" t="s">
        <v>40</v>
      </c>
      <c r="O1318">
        <v>5675</v>
      </c>
      <c r="P1318">
        <v>1</v>
      </c>
      <c r="Q1318" t="s">
        <v>36</v>
      </c>
      <c r="R1318">
        <v>3</v>
      </c>
      <c r="S1318">
        <v>7</v>
      </c>
      <c r="T1318">
        <v>3</v>
      </c>
      <c r="U1318">
        <v>7</v>
      </c>
      <c r="V1318">
        <v>7</v>
      </c>
      <c r="W1318">
        <v>7</v>
      </c>
      <c r="X1318">
        <v>7</v>
      </c>
      <c r="Y1318">
        <v>20</v>
      </c>
      <c r="Z1318">
        <f>IF(H_A[[#This Row],[Attrition]]="Yes",1,0)</f>
        <v>0</v>
      </c>
      <c r="AA1318" t="str">
        <f>IF(H_A[[#This Row],[Age]]&lt;30,"Young",IF(H_A[[#This Row],[Age]]&lt;45,"Mid","Senior"))</f>
        <v>Mid</v>
      </c>
      <c r="AB1318" t="str">
        <f>IF(H_A[[#This Row],[MonthlyIncome]]&lt;5000,"Low",IF(H_A[[#This Row],[MonthlyIncome]]&lt;10000,"Medium","High"))</f>
        <v>Medium</v>
      </c>
      <c r="AC1318" t="str">
        <f>IF(H_A[[#This Row],[YearsAtCompany]]&lt;3,"Early",IF(H_A[[#This Row],[YearsAtCompany]]&lt;7,"Mid","Long"))</f>
        <v>Long</v>
      </c>
      <c r="AD1318" t="str">
        <f>IF(H_A[[#This Row],[PercentSalaryHike]]&lt;13,"Low",IF(H_A[[#This Row],[PercentSalaryHike]]&lt;18,"Medium","High"))</f>
        <v>High</v>
      </c>
    </row>
    <row r="1319" spans="1:30" x14ac:dyDescent="0.3">
      <c r="A1319">
        <v>27</v>
      </c>
      <c r="B1319">
        <v>1850</v>
      </c>
      <c r="C1319" t="s">
        <v>36</v>
      </c>
      <c r="D1319" t="s">
        <v>37</v>
      </c>
      <c r="E1319">
        <v>5</v>
      </c>
      <c r="F1319">
        <v>2</v>
      </c>
      <c r="G1319" t="s">
        <v>32</v>
      </c>
      <c r="H1319">
        <v>4</v>
      </c>
      <c r="I1319" t="s">
        <v>33</v>
      </c>
      <c r="J1319">
        <v>3</v>
      </c>
      <c r="K1319">
        <v>1</v>
      </c>
      <c r="L1319" t="s">
        <v>42</v>
      </c>
      <c r="M1319">
        <v>4</v>
      </c>
      <c r="N1319" t="s">
        <v>35</v>
      </c>
      <c r="O1319">
        <v>2379</v>
      </c>
      <c r="P1319">
        <v>0</v>
      </c>
      <c r="Q1319" t="s">
        <v>30</v>
      </c>
      <c r="R1319">
        <v>3</v>
      </c>
      <c r="S1319">
        <v>6</v>
      </c>
      <c r="T1319">
        <v>2</v>
      </c>
      <c r="U1319">
        <v>5</v>
      </c>
      <c r="V1319">
        <v>4</v>
      </c>
      <c r="W1319">
        <v>0</v>
      </c>
      <c r="X1319">
        <v>2</v>
      </c>
      <c r="Y1319">
        <v>14</v>
      </c>
      <c r="Z1319">
        <f>IF(H_A[[#This Row],[Attrition]]="Yes",1,0)</f>
        <v>0</v>
      </c>
      <c r="AA1319" t="str">
        <f>IF(H_A[[#This Row],[Age]]&lt;30,"Young",IF(H_A[[#This Row],[Age]]&lt;45,"Mid","Senior"))</f>
        <v>Young</v>
      </c>
      <c r="AB1319" t="str">
        <f>IF(H_A[[#This Row],[MonthlyIncome]]&lt;5000,"Low",IF(H_A[[#This Row],[MonthlyIncome]]&lt;10000,"Medium","High"))</f>
        <v>Low</v>
      </c>
      <c r="AC1319" t="str">
        <f>IF(H_A[[#This Row],[YearsAtCompany]]&lt;3,"Early",IF(H_A[[#This Row],[YearsAtCompany]]&lt;7,"Mid","Long"))</f>
        <v>Mid</v>
      </c>
      <c r="AD1319" t="str">
        <f>IF(H_A[[#This Row],[PercentSalaryHike]]&lt;13,"Low",IF(H_A[[#This Row],[PercentSalaryHike]]&lt;18,"Medium","High"))</f>
        <v>Medium</v>
      </c>
    </row>
    <row r="1320" spans="1:30" x14ac:dyDescent="0.3">
      <c r="A1320">
        <v>29</v>
      </c>
      <c r="B1320">
        <v>1852</v>
      </c>
      <c r="C1320" t="s">
        <v>36</v>
      </c>
      <c r="D1320" t="s">
        <v>37</v>
      </c>
      <c r="E1320">
        <v>20</v>
      </c>
      <c r="F1320">
        <v>1</v>
      </c>
      <c r="G1320" t="s">
        <v>43</v>
      </c>
      <c r="H1320">
        <v>4</v>
      </c>
      <c r="I1320" t="s">
        <v>38</v>
      </c>
      <c r="J1320">
        <v>3</v>
      </c>
      <c r="K1320">
        <v>1</v>
      </c>
      <c r="L1320" t="s">
        <v>42</v>
      </c>
      <c r="M1320">
        <v>4</v>
      </c>
      <c r="N1320" t="s">
        <v>40</v>
      </c>
      <c r="O1320">
        <v>3812</v>
      </c>
      <c r="P1320">
        <v>1</v>
      </c>
      <c r="Q1320" t="s">
        <v>36</v>
      </c>
      <c r="R1320">
        <v>2</v>
      </c>
      <c r="S1320">
        <v>11</v>
      </c>
      <c r="T1320">
        <v>4</v>
      </c>
      <c r="U1320">
        <v>11</v>
      </c>
      <c r="V1320">
        <v>8</v>
      </c>
      <c r="W1320">
        <v>3</v>
      </c>
      <c r="X1320">
        <v>10</v>
      </c>
      <c r="Y1320">
        <v>13</v>
      </c>
      <c r="Z1320">
        <f>IF(H_A[[#This Row],[Attrition]]="Yes",1,0)</f>
        <v>0</v>
      </c>
      <c r="AA1320" t="str">
        <f>IF(H_A[[#This Row],[Age]]&lt;30,"Young",IF(H_A[[#This Row],[Age]]&lt;45,"Mid","Senior"))</f>
        <v>Young</v>
      </c>
      <c r="AB1320" t="str">
        <f>IF(H_A[[#This Row],[MonthlyIncome]]&lt;5000,"Low",IF(H_A[[#This Row],[MonthlyIncome]]&lt;10000,"Medium","High"))</f>
        <v>Low</v>
      </c>
      <c r="AC1320" t="str">
        <f>IF(H_A[[#This Row],[YearsAtCompany]]&lt;3,"Early",IF(H_A[[#This Row],[YearsAtCompany]]&lt;7,"Mid","Long"))</f>
        <v>Long</v>
      </c>
      <c r="AD1320" t="str">
        <f>IF(H_A[[#This Row],[PercentSalaryHike]]&lt;13,"Low",IF(H_A[[#This Row],[PercentSalaryHike]]&lt;18,"Medium","High"))</f>
        <v>Medium</v>
      </c>
    </row>
    <row r="1321" spans="1:30" x14ac:dyDescent="0.3">
      <c r="A1321">
        <v>32</v>
      </c>
      <c r="B1321">
        <v>1853</v>
      </c>
      <c r="C1321" t="s">
        <v>36</v>
      </c>
      <c r="D1321" t="s">
        <v>31</v>
      </c>
      <c r="E1321">
        <v>10</v>
      </c>
      <c r="F1321">
        <v>4</v>
      </c>
      <c r="G1321" t="s">
        <v>50</v>
      </c>
      <c r="H1321">
        <v>4</v>
      </c>
      <c r="I1321" t="s">
        <v>38</v>
      </c>
      <c r="J1321">
        <v>3</v>
      </c>
      <c r="K1321">
        <v>2</v>
      </c>
      <c r="L1321" t="s">
        <v>34</v>
      </c>
      <c r="M1321">
        <v>4</v>
      </c>
      <c r="N1321" t="s">
        <v>35</v>
      </c>
      <c r="O1321">
        <v>4648</v>
      </c>
      <c r="P1321">
        <v>8</v>
      </c>
      <c r="Q1321" t="s">
        <v>36</v>
      </c>
      <c r="R1321">
        <v>3</v>
      </c>
      <c r="S1321">
        <v>4</v>
      </c>
      <c r="T1321">
        <v>4</v>
      </c>
      <c r="U1321">
        <v>0</v>
      </c>
      <c r="V1321">
        <v>0</v>
      </c>
      <c r="W1321">
        <v>0</v>
      </c>
      <c r="X1321">
        <v>0</v>
      </c>
      <c r="Y1321">
        <v>13</v>
      </c>
      <c r="Z1321">
        <f>IF(H_A[[#This Row],[Attrition]]="Yes",1,0)</f>
        <v>0</v>
      </c>
      <c r="AA1321" t="str">
        <f>IF(H_A[[#This Row],[Age]]&lt;30,"Young",IF(H_A[[#This Row],[Age]]&lt;45,"Mid","Senior"))</f>
        <v>Mid</v>
      </c>
      <c r="AB1321" t="str">
        <f>IF(H_A[[#This Row],[MonthlyIncome]]&lt;5000,"Low",IF(H_A[[#This Row],[MonthlyIncome]]&lt;10000,"Medium","High"))</f>
        <v>Low</v>
      </c>
      <c r="AC1321" t="str">
        <f>IF(H_A[[#This Row],[YearsAtCompany]]&lt;3,"Early",IF(H_A[[#This Row],[YearsAtCompany]]&lt;7,"Mid","Long"))</f>
        <v>Early</v>
      </c>
      <c r="AD1321" t="str">
        <f>IF(H_A[[#This Row],[PercentSalaryHike]]&lt;13,"Low",IF(H_A[[#This Row],[PercentSalaryHike]]&lt;18,"Medium","High"))</f>
        <v>Medium</v>
      </c>
    </row>
    <row r="1322" spans="1:30" x14ac:dyDescent="0.3">
      <c r="A1322">
        <v>42</v>
      </c>
      <c r="B1322">
        <v>1854</v>
      </c>
      <c r="C1322" t="s">
        <v>36</v>
      </c>
      <c r="D1322" t="s">
        <v>37</v>
      </c>
      <c r="E1322">
        <v>10</v>
      </c>
      <c r="F1322">
        <v>4</v>
      </c>
      <c r="G1322" t="s">
        <v>51</v>
      </c>
      <c r="H1322">
        <v>3</v>
      </c>
      <c r="I1322" t="s">
        <v>38</v>
      </c>
      <c r="J1322">
        <v>3</v>
      </c>
      <c r="K1322">
        <v>1</v>
      </c>
      <c r="L1322" t="s">
        <v>39</v>
      </c>
      <c r="M1322">
        <v>3</v>
      </c>
      <c r="N1322" t="s">
        <v>40</v>
      </c>
      <c r="O1322">
        <v>2936</v>
      </c>
      <c r="P1322">
        <v>3</v>
      </c>
      <c r="Q1322" t="s">
        <v>36</v>
      </c>
      <c r="R1322">
        <v>2</v>
      </c>
      <c r="S1322">
        <v>10</v>
      </c>
      <c r="T1322">
        <v>2</v>
      </c>
      <c r="U1322">
        <v>6</v>
      </c>
      <c r="V1322">
        <v>3</v>
      </c>
      <c r="W1322">
        <v>3</v>
      </c>
      <c r="X1322">
        <v>3</v>
      </c>
      <c r="Y1322">
        <v>22</v>
      </c>
      <c r="Z1322">
        <f>IF(H_A[[#This Row],[Attrition]]="Yes",1,0)</f>
        <v>0</v>
      </c>
      <c r="AA1322" t="str">
        <f>IF(H_A[[#This Row],[Age]]&lt;30,"Young",IF(H_A[[#This Row],[Age]]&lt;45,"Mid","Senior"))</f>
        <v>Mid</v>
      </c>
      <c r="AB1322" t="str">
        <f>IF(H_A[[#This Row],[MonthlyIncome]]&lt;5000,"Low",IF(H_A[[#This Row],[MonthlyIncome]]&lt;10000,"Medium","High"))</f>
        <v>Low</v>
      </c>
      <c r="AC1322" t="str">
        <f>IF(H_A[[#This Row],[YearsAtCompany]]&lt;3,"Early",IF(H_A[[#This Row],[YearsAtCompany]]&lt;7,"Mid","Long"))</f>
        <v>Mid</v>
      </c>
      <c r="AD1322" t="str">
        <f>IF(H_A[[#This Row],[PercentSalaryHike]]&lt;13,"Low",IF(H_A[[#This Row],[PercentSalaryHike]]&lt;18,"Medium","High"))</f>
        <v>High</v>
      </c>
    </row>
    <row r="1323" spans="1:30" x14ac:dyDescent="0.3">
      <c r="A1323">
        <v>47</v>
      </c>
      <c r="B1323">
        <v>1856</v>
      </c>
      <c r="C1323" t="s">
        <v>36</v>
      </c>
      <c r="D1323" t="s">
        <v>37</v>
      </c>
      <c r="E1323">
        <v>9</v>
      </c>
      <c r="F1323">
        <v>4</v>
      </c>
      <c r="G1323" t="s">
        <v>32</v>
      </c>
      <c r="H1323">
        <v>2</v>
      </c>
      <c r="I1323" t="s">
        <v>33</v>
      </c>
      <c r="J1323">
        <v>3</v>
      </c>
      <c r="K1323">
        <v>1</v>
      </c>
      <c r="L1323" t="s">
        <v>42</v>
      </c>
      <c r="M1323">
        <v>3</v>
      </c>
      <c r="N1323" t="s">
        <v>35</v>
      </c>
      <c r="O1323">
        <v>2105</v>
      </c>
      <c r="P1323">
        <v>4</v>
      </c>
      <c r="Q1323" t="s">
        <v>36</v>
      </c>
      <c r="R1323">
        <v>3</v>
      </c>
      <c r="S1323">
        <v>7</v>
      </c>
      <c r="T1323">
        <v>3</v>
      </c>
      <c r="U1323">
        <v>2</v>
      </c>
      <c r="V1323">
        <v>2</v>
      </c>
      <c r="W1323">
        <v>2</v>
      </c>
      <c r="X1323">
        <v>0</v>
      </c>
      <c r="Y1323">
        <v>12</v>
      </c>
      <c r="Z1323">
        <f>IF(H_A[[#This Row],[Attrition]]="Yes",1,0)</f>
        <v>0</v>
      </c>
      <c r="AA1323" t="str">
        <f>IF(H_A[[#This Row],[Age]]&lt;30,"Young",IF(H_A[[#This Row],[Age]]&lt;45,"Mid","Senior"))</f>
        <v>Senior</v>
      </c>
      <c r="AB1323" t="str">
        <f>IF(H_A[[#This Row],[MonthlyIncome]]&lt;5000,"Low",IF(H_A[[#This Row],[MonthlyIncome]]&lt;10000,"Medium","High"))</f>
        <v>Low</v>
      </c>
      <c r="AC1323" t="str">
        <f>IF(H_A[[#This Row],[YearsAtCompany]]&lt;3,"Early",IF(H_A[[#This Row],[YearsAtCompany]]&lt;7,"Mid","Long"))</f>
        <v>Early</v>
      </c>
      <c r="AD1323" t="str">
        <f>IF(H_A[[#This Row],[PercentSalaryHike]]&lt;13,"Low",IF(H_A[[#This Row],[PercentSalaryHike]]&lt;18,"Medium","High"))</f>
        <v>Low</v>
      </c>
    </row>
    <row r="1324" spans="1:30" x14ac:dyDescent="0.3">
      <c r="A1324">
        <v>46</v>
      </c>
      <c r="B1324">
        <v>1857</v>
      </c>
      <c r="C1324" t="s">
        <v>36</v>
      </c>
      <c r="D1324" t="s">
        <v>37</v>
      </c>
      <c r="E1324">
        <v>2</v>
      </c>
      <c r="F1324">
        <v>2</v>
      </c>
      <c r="G1324" t="s">
        <v>32</v>
      </c>
      <c r="H1324">
        <v>4</v>
      </c>
      <c r="I1324" t="s">
        <v>38</v>
      </c>
      <c r="J1324">
        <v>3</v>
      </c>
      <c r="K1324">
        <v>3</v>
      </c>
      <c r="L1324" t="s">
        <v>45</v>
      </c>
      <c r="M1324">
        <v>4</v>
      </c>
      <c r="N1324" t="s">
        <v>44</v>
      </c>
      <c r="O1324">
        <v>8578</v>
      </c>
      <c r="P1324">
        <v>3</v>
      </c>
      <c r="Q1324" t="s">
        <v>36</v>
      </c>
      <c r="R1324">
        <v>3</v>
      </c>
      <c r="S1324">
        <v>12</v>
      </c>
      <c r="T1324">
        <v>2</v>
      </c>
      <c r="U1324">
        <v>9</v>
      </c>
      <c r="V1324">
        <v>8</v>
      </c>
      <c r="W1324">
        <v>4</v>
      </c>
      <c r="X1324">
        <v>7</v>
      </c>
      <c r="Y1324">
        <v>14</v>
      </c>
      <c r="Z1324">
        <f>IF(H_A[[#This Row],[Attrition]]="Yes",1,0)</f>
        <v>0</v>
      </c>
      <c r="AA1324" t="str">
        <f>IF(H_A[[#This Row],[Age]]&lt;30,"Young",IF(H_A[[#This Row],[Age]]&lt;45,"Mid","Senior"))</f>
        <v>Senior</v>
      </c>
      <c r="AB1324" t="str">
        <f>IF(H_A[[#This Row],[MonthlyIncome]]&lt;5000,"Low",IF(H_A[[#This Row],[MonthlyIncome]]&lt;10000,"Medium","High"))</f>
        <v>Medium</v>
      </c>
      <c r="AC1324" t="str">
        <f>IF(H_A[[#This Row],[YearsAtCompany]]&lt;3,"Early",IF(H_A[[#This Row],[YearsAtCompany]]&lt;7,"Mid","Long"))</f>
        <v>Long</v>
      </c>
      <c r="AD1324" t="str">
        <f>IF(H_A[[#This Row],[PercentSalaryHike]]&lt;13,"Low",IF(H_A[[#This Row],[PercentSalaryHike]]&lt;18,"Medium","High"))</f>
        <v>Medium</v>
      </c>
    </row>
    <row r="1325" spans="1:30" x14ac:dyDescent="0.3">
      <c r="A1325">
        <v>28</v>
      </c>
      <c r="B1325">
        <v>1858</v>
      </c>
      <c r="C1325" t="s">
        <v>36</v>
      </c>
      <c r="D1325" t="s">
        <v>52</v>
      </c>
      <c r="E1325">
        <v>1</v>
      </c>
      <c r="F1325">
        <v>2</v>
      </c>
      <c r="G1325" t="s">
        <v>32</v>
      </c>
      <c r="H1325">
        <v>3</v>
      </c>
      <c r="I1325" t="s">
        <v>38</v>
      </c>
      <c r="J1325">
        <v>3</v>
      </c>
      <c r="K1325">
        <v>1</v>
      </c>
      <c r="L1325" t="s">
        <v>52</v>
      </c>
      <c r="M1325">
        <v>4</v>
      </c>
      <c r="N1325" t="s">
        <v>44</v>
      </c>
      <c r="O1325">
        <v>2706</v>
      </c>
      <c r="P1325">
        <v>1</v>
      </c>
      <c r="Q1325" t="s">
        <v>36</v>
      </c>
      <c r="R1325">
        <v>2</v>
      </c>
      <c r="S1325">
        <v>3</v>
      </c>
      <c r="T1325">
        <v>3</v>
      </c>
      <c r="U1325">
        <v>3</v>
      </c>
      <c r="V1325">
        <v>2</v>
      </c>
      <c r="W1325">
        <v>2</v>
      </c>
      <c r="X1325">
        <v>2</v>
      </c>
      <c r="Y1325">
        <v>15</v>
      </c>
      <c r="Z1325">
        <f>IF(H_A[[#This Row],[Attrition]]="Yes",1,0)</f>
        <v>0</v>
      </c>
      <c r="AA1325" t="str">
        <f>IF(H_A[[#This Row],[Age]]&lt;30,"Young",IF(H_A[[#This Row],[Age]]&lt;45,"Mid","Senior"))</f>
        <v>Young</v>
      </c>
      <c r="AB1325" t="str">
        <f>IF(H_A[[#This Row],[MonthlyIncome]]&lt;5000,"Low",IF(H_A[[#This Row],[MonthlyIncome]]&lt;10000,"Medium","High"))</f>
        <v>Low</v>
      </c>
      <c r="AC1325" t="str">
        <f>IF(H_A[[#This Row],[YearsAtCompany]]&lt;3,"Early",IF(H_A[[#This Row],[YearsAtCompany]]&lt;7,"Mid","Long"))</f>
        <v>Mid</v>
      </c>
      <c r="AD1325" t="str">
        <f>IF(H_A[[#This Row],[PercentSalaryHike]]&lt;13,"Low",IF(H_A[[#This Row],[PercentSalaryHike]]&lt;18,"Medium","High"))</f>
        <v>Medium</v>
      </c>
    </row>
    <row r="1326" spans="1:30" x14ac:dyDescent="0.3">
      <c r="A1326">
        <v>29</v>
      </c>
      <c r="B1326">
        <v>1859</v>
      </c>
      <c r="C1326" t="s">
        <v>36</v>
      </c>
      <c r="D1326" t="s">
        <v>37</v>
      </c>
      <c r="E1326">
        <v>29</v>
      </c>
      <c r="F1326">
        <v>1</v>
      </c>
      <c r="G1326" t="s">
        <v>32</v>
      </c>
      <c r="H1326">
        <v>4</v>
      </c>
      <c r="I1326" t="s">
        <v>38</v>
      </c>
      <c r="J1326">
        <v>1</v>
      </c>
      <c r="K1326">
        <v>2</v>
      </c>
      <c r="L1326" t="s">
        <v>46</v>
      </c>
      <c r="M1326">
        <v>3</v>
      </c>
      <c r="N1326" t="s">
        <v>44</v>
      </c>
      <c r="O1326">
        <v>6384</v>
      </c>
      <c r="P1326">
        <v>8</v>
      </c>
      <c r="Q1326" t="s">
        <v>36</v>
      </c>
      <c r="R1326">
        <v>4</v>
      </c>
      <c r="S1326">
        <v>11</v>
      </c>
      <c r="T1326">
        <v>3</v>
      </c>
      <c r="U1326">
        <v>7</v>
      </c>
      <c r="V1326">
        <v>0</v>
      </c>
      <c r="W1326">
        <v>1</v>
      </c>
      <c r="X1326">
        <v>6</v>
      </c>
      <c r="Y1326">
        <v>17</v>
      </c>
      <c r="Z1326">
        <f>IF(H_A[[#This Row],[Attrition]]="Yes",1,0)</f>
        <v>0</v>
      </c>
      <c r="AA1326" t="str">
        <f>IF(H_A[[#This Row],[Age]]&lt;30,"Young",IF(H_A[[#This Row],[Age]]&lt;45,"Mid","Senior"))</f>
        <v>Young</v>
      </c>
      <c r="AB1326" t="str">
        <f>IF(H_A[[#This Row],[MonthlyIncome]]&lt;5000,"Low",IF(H_A[[#This Row],[MonthlyIncome]]&lt;10000,"Medium","High"))</f>
        <v>Medium</v>
      </c>
      <c r="AC1326" t="str">
        <f>IF(H_A[[#This Row],[YearsAtCompany]]&lt;3,"Early",IF(H_A[[#This Row],[YearsAtCompany]]&lt;7,"Mid","Long"))</f>
        <v>Long</v>
      </c>
      <c r="AD1326" t="str">
        <f>IF(H_A[[#This Row],[PercentSalaryHike]]&lt;13,"Low",IF(H_A[[#This Row],[PercentSalaryHike]]&lt;18,"Medium","High"))</f>
        <v>Medium</v>
      </c>
    </row>
    <row r="1327" spans="1:30" x14ac:dyDescent="0.3">
      <c r="A1327">
        <v>42</v>
      </c>
      <c r="B1327">
        <v>1860</v>
      </c>
      <c r="C1327" t="s">
        <v>36</v>
      </c>
      <c r="D1327" t="s">
        <v>37</v>
      </c>
      <c r="E1327">
        <v>8</v>
      </c>
      <c r="F1327">
        <v>3</v>
      </c>
      <c r="G1327" t="s">
        <v>32</v>
      </c>
      <c r="H1327">
        <v>4</v>
      </c>
      <c r="I1327" t="s">
        <v>38</v>
      </c>
      <c r="J1327">
        <v>3</v>
      </c>
      <c r="K1327">
        <v>1</v>
      </c>
      <c r="L1327" t="s">
        <v>42</v>
      </c>
      <c r="M1327">
        <v>3</v>
      </c>
      <c r="N1327" t="s">
        <v>35</v>
      </c>
      <c r="O1327">
        <v>3968</v>
      </c>
      <c r="P1327">
        <v>4</v>
      </c>
      <c r="Q1327" t="s">
        <v>36</v>
      </c>
      <c r="R1327">
        <v>4</v>
      </c>
      <c r="S1327">
        <v>8</v>
      </c>
      <c r="T1327">
        <v>3</v>
      </c>
      <c r="U1327">
        <v>0</v>
      </c>
      <c r="V1327">
        <v>0</v>
      </c>
      <c r="W1327">
        <v>0</v>
      </c>
      <c r="X1327">
        <v>0</v>
      </c>
      <c r="Y1327">
        <v>13</v>
      </c>
      <c r="Z1327">
        <f>IF(H_A[[#This Row],[Attrition]]="Yes",1,0)</f>
        <v>0</v>
      </c>
      <c r="AA1327" t="str">
        <f>IF(H_A[[#This Row],[Age]]&lt;30,"Young",IF(H_A[[#This Row],[Age]]&lt;45,"Mid","Senior"))</f>
        <v>Mid</v>
      </c>
      <c r="AB1327" t="str">
        <f>IF(H_A[[#This Row],[MonthlyIncome]]&lt;5000,"Low",IF(H_A[[#This Row],[MonthlyIncome]]&lt;10000,"Medium","High"))</f>
        <v>Low</v>
      </c>
      <c r="AC1327" t="str">
        <f>IF(H_A[[#This Row],[YearsAtCompany]]&lt;3,"Early",IF(H_A[[#This Row],[YearsAtCompany]]&lt;7,"Mid","Long"))</f>
        <v>Early</v>
      </c>
      <c r="AD1327" t="str">
        <f>IF(H_A[[#This Row],[PercentSalaryHike]]&lt;13,"Low",IF(H_A[[#This Row],[PercentSalaryHike]]&lt;18,"Medium","High"))</f>
        <v>Medium</v>
      </c>
    </row>
    <row r="1328" spans="1:30" x14ac:dyDescent="0.3">
      <c r="A1328">
        <v>32</v>
      </c>
      <c r="B1328">
        <v>1862</v>
      </c>
      <c r="C1328" t="s">
        <v>30</v>
      </c>
      <c r="D1328" t="s">
        <v>31</v>
      </c>
      <c r="E1328">
        <v>2</v>
      </c>
      <c r="F1328">
        <v>4</v>
      </c>
      <c r="G1328" t="s">
        <v>50</v>
      </c>
      <c r="H1328">
        <v>3</v>
      </c>
      <c r="I1328" t="s">
        <v>38</v>
      </c>
      <c r="J1328">
        <v>2</v>
      </c>
      <c r="K1328">
        <v>2</v>
      </c>
      <c r="L1328" t="s">
        <v>34</v>
      </c>
      <c r="M1328">
        <v>2</v>
      </c>
      <c r="N1328" t="s">
        <v>35</v>
      </c>
      <c r="O1328">
        <v>9907</v>
      </c>
      <c r="P1328">
        <v>7</v>
      </c>
      <c r="Q1328" t="s">
        <v>30</v>
      </c>
      <c r="R1328">
        <v>3</v>
      </c>
      <c r="S1328">
        <v>7</v>
      </c>
      <c r="T1328">
        <v>2</v>
      </c>
      <c r="U1328">
        <v>2</v>
      </c>
      <c r="V1328">
        <v>2</v>
      </c>
      <c r="W1328">
        <v>2</v>
      </c>
      <c r="X1328">
        <v>2</v>
      </c>
      <c r="Y1328">
        <v>12</v>
      </c>
      <c r="Z1328">
        <f>IF(H_A[[#This Row],[Attrition]]="Yes",1,0)</f>
        <v>1</v>
      </c>
      <c r="AA1328" t="str">
        <f>IF(H_A[[#This Row],[Age]]&lt;30,"Young",IF(H_A[[#This Row],[Age]]&lt;45,"Mid","Senior"))</f>
        <v>Mid</v>
      </c>
      <c r="AB1328" t="str">
        <f>IF(H_A[[#This Row],[MonthlyIncome]]&lt;5000,"Low",IF(H_A[[#This Row],[MonthlyIncome]]&lt;10000,"Medium","High"))</f>
        <v>Medium</v>
      </c>
      <c r="AC1328" t="str">
        <f>IF(H_A[[#This Row],[YearsAtCompany]]&lt;3,"Early",IF(H_A[[#This Row],[YearsAtCompany]]&lt;7,"Mid","Long"))</f>
        <v>Early</v>
      </c>
      <c r="AD1328" t="str">
        <f>IF(H_A[[#This Row],[PercentSalaryHike]]&lt;13,"Low",IF(H_A[[#This Row],[PercentSalaryHike]]&lt;18,"Medium","High"))</f>
        <v>Low</v>
      </c>
    </row>
    <row r="1329" spans="1:30" x14ac:dyDescent="0.3">
      <c r="A1329">
        <v>46</v>
      </c>
      <c r="B1329">
        <v>1863</v>
      </c>
      <c r="C1329" t="s">
        <v>36</v>
      </c>
      <c r="D1329" t="s">
        <v>31</v>
      </c>
      <c r="E1329">
        <v>3</v>
      </c>
      <c r="F1329">
        <v>3</v>
      </c>
      <c r="G1329" t="s">
        <v>51</v>
      </c>
      <c r="H1329">
        <v>1</v>
      </c>
      <c r="I1329" t="s">
        <v>33</v>
      </c>
      <c r="J1329">
        <v>4</v>
      </c>
      <c r="K1329">
        <v>4</v>
      </c>
      <c r="L1329" t="s">
        <v>34</v>
      </c>
      <c r="M1329">
        <v>1</v>
      </c>
      <c r="N1329" t="s">
        <v>44</v>
      </c>
      <c r="O1329">
        <v>13225</v>
      </c>
      <c r="P1329">
        <v>2</v>
      </c>
      <c r="Q1329" t="s">
        <v>36</v>
      </c>
      <c r="R1329">
        <v>4</v>
      </c>
      <c r="S1329">
        <v>25</v>
      </c>
      <c r="T1329">
        <v>3</v>
      </c>
      <c r="U1329">
        <v>19</v>
      </c>
      <c r="V1329">
        <v>17</v>
      </c>
      <c r="W1329">
        <v>2</v>
      </c>
      <c r="X1329">
        <v>8</v>
      </c>
      <c r="Y1329">
        <v>12</v>
      </c>
      <c r="Z1329">
        <f>IF(H_A[[#This Row],[Attrition]]="Yes",1,0)</f>
        <v>0</v>
      </c>
      <c r="AA1329" t="str">
        <f>IF(H_A[[#This Row],[Age]]&lt;30,"Young",IF(H_A[[#This Row],[Age]]&lt;45,"Mid","Senior"))</f>
        <v>Senior</v>
      </c>
      <c r="AB1329" t="str">
        <f>IF(H_A[[#This Row],[MonthlyIncome]]&lt;5000,"Low",IF(H_A[[#This Row],[MonthlyIncome]]&lt;10000,"Medium","High"))</f>
        <v>High</v>
      </c>
      <c r="AC1329" t="str">
        <f>IF(H_A[[#This Row],[YearsAtCompany]]&lt;3,"Early",IF(H_A[[#This Row],[YearsAtCompany]]&lt;7,"Mid","Long"))</f>
        <v>Long</v>
      </c>
      <c r="AD1329" t="str">
        <f>IF(H_A[[#This Row],[PercentSalaryHike]]&lt;13,"Low",IF(H_A[[#This Row],[PercentSalaryHike]]&lt;18,"Medium","High"))</f>
        <v>Low</v>
      </c>
    </row>
    <row r="1330" spans="1:30" x14ac:dyDescent="0.3">
      <c r="A1330">
        <v>27</v>
      </c>
      <c r="B1330">
        <v>1864</v>
      </c>
      <c r="C1330" t="s">
        <v>36</v>
      </c>
      <c r="D1330" t="s">
        <v>31</v>
      </c>
      <c r="E1330">
        <v>23</v>
      </c>
      <c r="F1330">
        <v>1</v>
      </c>
      <c r="G1330" t="s">
        <v>43</v>
      </c>
      <c r="H1330">
        <v>2</v>
      </c>
      <c r="I1330" t="s">
        <v>33</v>
      </c>
      <c r="J1330">
        <v>2</v>
      </c>
      <c r="K1330">
        <v>2</v>
      </c>
      <c r="L1330" t="s">
        <v>48</v>
      </c>
      <c r="M1330">
        <v>3</v>
      </c>
      <c r="N1330" t="s">
        <v>40</v>
      </c>
      <c r="O1330">
        <v>3540</v>
      </c>
      <c r="P1330">
        <v>1</v>
      </c>
      <c r="Q1330" t="s">
        <v>36</v>
      </c>
      <c r="R1330">
        <v>4</v>
      </c>
      <c r="S1330">
        <v>9</v>
      </c>
      <c r="T1330">
        <v>3</v>
      </c>
      <c r="U1330">
        <v>9</v>
      </c>
      <c r="V1330">
        <v>8</v>
      </c>
      <c r="W1330">
        <v>5</v>
      </c>
      <c r="X1330">
        <v>8</v>
      </c>
      <c r="Y1330">
        <v>21</v>
      </c>
      <c r="Z1330">
        <f>IF(H_A[[#This Row],[Attrition]]="Yes",1,0)</f>
        <v>0</v>
      </c>
      <c r="AA1330" t="str">
        <f>IF(H_A[[#This Row],[Age]]&lt;30,"Young",IF(H_A[[#This Row],[Age]]&lt;45,"Mid","Senior"))</f>
        <v>Young</v>
      </c>
      <c r="AB1330" t="str">
        <f>IF(H_A[[#This Row],[MonthlyIncome]]&lt;5000,"Low",IF(H_A[[#This Row],[MonthlyIncome]]&lt;10000,"Medium","High"))</f>
        <v>Low</v>
      </c>
      <c r="AC1330" t="str">
        <f>IF(H_A[[#This Row],[YearsAtCompany]]&lt;3,"Early",IF(H_A[[#This Row],[YearsAtCompany]]&lt;7,"Mid","Long"))</f>
        <v>Long</v>
      </c>
      <c r="AD1330" t="str">
        <f>IF(H_A[[#This Row],[PercentSalaryHike]]&lt;13,"Low",IF(H_A[[#This Row],[PercentSalaryHike]]&lt;18,"Medium","High"))</f>
        <v>High</v>
      </c>
    </row>
    <row r="1331" spans="1:30" x14ac:dyDescent="0.3">
      <c r="A1331">
        <v>29</v>
      </c>
      <c r="B1331">
        <v>1865</v>
      </c>
      <c r="C1331" t="s">
        <v>36</v>
      </c>
      <c r="D1331" t="s">
        <v>52</v>
      </c>
      <c r="E1331">
        <v>6</v>
      </c>
      <c r="F1331">
        <v>1</v>
      </c>
      <c r="G1331" t="s">
        <v>43</v>
      </c>
      <c r="H1331">
        <v>4</v>
      </c>
      <c r="I1331" t="s">
        <v>38</v>
      </c>
      <c r="J1331">
        <v>2</v>
      </c>
      <c r="K1331">
        <v>1</v>
      </c>
      <c r="L1331" t="s">
        <v>52</v>
      </c>
      <c r="M1331">
        <v>2</v>
      </c>
      <c r="N1331" t="s">
        <v>40</v>
      </c>
      <c r="O1331">
        <v>2804</v>
      </c>
      <c r="P1331">
        <v>1</v>
      </c>
      <c r="Q1331" t="s">
        <v>36</v>
      </c>
      <c r="R1331">
        <v>4</v>
      </c>
      <c r="S1331">
        <v>1</v>
      </c>
      <c r="T1331">
        <v>3</v>
      </c>
      <c r="U1331">
        <v>1</v>
      </c>
      <c r="V1331">
        <v>0</v>
      </c>
      <c r="W1331">
        <v>0</v>
      </c>
      <c r="X1331">
        <v>0</v>
      </c>
      <c r="Y1331">
        <v>11</v>
      </c>
      <c r="Z1331">
        <f>IF(H_A[[#This Row],[Attrition]]="Yes",1,0)</f>
        <v>0</v>
      </c>
      <c r="AA1331" t="str">
        <f>IF(H_A[[#This Row],[Age]]&lt;30,"Young",IF(H_A[[#This Row],[Age]]&lt;45,"Mid","Senior"))</f>
        <v>Young</v>
      </c>
      <c r="AB1331" t="str">
        <f>IF(H_A[[#This Row],[MonthlyIncome]]&lt;5000,"Low",IF(H_A[[#This Row],[MonthlyIncome]]&lt;10000,"Medium","High"))</f>
        <v>Low</v>
      </c>
      <c r="AC1331" t="str">
        <f>IF(H_A[[#This Row],[YearsAtCompany]]&lt;3,"Early",IF(H_A[[#This Row],[YearsAtCompany]]&lt;7,"Mid","Long"))</f>
        <v>Early</v>
      </c>
      <c r="AD1331" t="str">
        <f>IF(H_A[[#This Row],[PercentSalaryHike]]&lt;13,"Low",IF(H_A[[#This Row],[PercentSalaryHike]]&lt;18,"Medium","High"))</f>
        <v>Low</v>
      </c>
    </row>
    <row r="1332" spans="1:30" x14ac:dyDescent="0.3">
      <c r="A1332">
        <v>43</v>
      </c>
      <c r="B1332">
        <v>1866</v>
      </c>
      <c r="C1332" t="s">
        <v>36</v>
      </c>
      <c r="D1332" t="s">
        <v>37</v>
      </c>
      <c r="E1332">
        <v>6</v>
      </c>
      <c r="F1332">
        <v>3</v>
      </c>
      <c r="G1332" t="s">
        <v>43</v>
      </c>
      <c r="H1332">
        <v>1</v>
      </c>
      <c r="I1332" t="s">
        <v>33</v>
      </c>
      <c r="J1332">
        <v>2</v>
      </c>
      <c r="K1332">
        <v>5</v>
      </c>
      <c r="L1332" t="s">
        <v>47</v>
      </c>
      <c r="M1332">
        <v>3</v>
      </c>
      <c r="N1332" t="s">
        <v>40</v>
      </c>
      <c r="O1332">
        <v>19392</v>
      </c>
      <c r="P1332">
        <v>7</v>
      </c>
      <c r="Q1332" t="s">
        <v>36</v>
      </c>
      <c r="R1332">
        <v>4</v>
      </c>
      <c r="S1332">
        <v>21</v>
      </c>
      <c r="T1332">
        <v>3</v>
      </c>
      <c r="U1332">
        <v>16</v>
      </c>
      <c r="V1332">
        <v>12</v>
      </c>
      <c r="W1332">
        <v>6</v>
      </c>
      <c r="X1332">
        <v>14</v>
      </c>
      <c r="Y1332">
        <v>13</v>
      </c>
      <c r="Z1332">
        <f>IF(H_A[[#This Row],[Attrition]]="Yes",1,0)</f>
        <v>0</v>
      </c>
      <c r="AA1332" t="str">
        <f>IF(H_A[[#This Row],[Age]]&lt;30,"Young",IF(H_A[[#This Row],[Age]]&lt;45,"Mid","Senior"))</f>
        <v>Mid</v>
      </c>
      <c r="AB1332" t="str">
        <f>IF(H_A[[#This Row],[MonthlyIncome]]&lt;5000,"Low",IF(H_A[[#This Row],[MonthlyIncome]]&lt;10000,"Medium","High"))</f>
        <v>High</v>
      </c>
      <c r="AC1332" t="str">
        <f>IF(H_A[[#This Row],[YearsAtCompany]]&lt;3,"Early",IF(H_A[[#This Row],[YearsAtCompany]]&lt;7,"Mid","Long"))</f>
        <v>Long</v>
      </c>
      <c r="AD1332" t="str">
        <f>IF(H_A[[#This Row],[PercentSalaryHike]]&lt;13,"Low",IF(H_A[[#This Row],[PercentSalaryHike]]&lt;18,"Medium","High"))</f>
        <v>Medium</v>
      </c>
    </row>
    <row r="1333" spans="1:30" x14ac:dyDescent="0.3">
      <c r="A1333">
        <v>48</v>
      </c>
      <c r="B1333">
        <v>1867</v>
      </c>
      <c r="C1333" t="s">
        <v>36</v>
      </c>
      <c r="D1333" t="s">
        <v>37</v>
      </c>
      <c r="E1333">
        <v>10</v>
      </c>
      <c r="F1333">
        <v>3</v>
      </c>
      <c r="G1333" t="s">
        <v>32</v>
      </c>
      <c r="H1333">
        <v>4</v>
      </c>
      <c r="I1333" t="s">
        <v>38</v>
      </c>
      <c r="J1333">
        <v>2</v>
      </c>
      <c r="K1333">
        <v>5</v>
      </c>
      <c r="L1333" t="s">
        <v>49</v>
      </c>
      <c r="M1333">
        <v>2</v>
      </c>
      <c r="N1333" t="s">
        <v>40</v>
      </c>
      <c r="O1333">
        <v>19665</v>
      </c>
      <c r="P1333">
        <v>4</v>
      </c>
      <c r="Q1333" t="s">
        <v>36</v>
      </c>
      <c r="R1333">
        <v>4</v>
      </c>
      <c r="S1333">
        <v>29</v>
      </c>
      <c r="T1333">
        <v>3</v>
      </c>
      <c r="U1333">
        <v>22</v>
      </c>
      <c r="V1333">
        <v>10</v>
      </c>
      <c r="W1333">
        <v>12</v>
      </c>
      <c r="X1333">
        <v>9</v>
      </c>
      <c r="Y1333">
        <v>12</v>
      </c>
      <c r="Z1333">
        <f>IF(H_A[[#This Row],[Attrition]]="Yes",1,0)</f>
        <v>0</v>
      </c>
      <c r="AA1333" t="str">
        <f>IF(H_A[[#This Row],[Age]]&lt;30,"Young",IF(H_A[[#This Row],[Age]]&lt;45,"Mid","Senior"))</f>
        <v>Senior</v>
      </c>
      <c r="AB1333" t="str">
        <f>IF(H_A[[#This Row],[MonthlyIncome]]&lt;5000,"Low",IF(H_A[[#This Row],[MonthlyIncome]]&lt;10000,"Medium","High"))</f>
        <v>High</v>
      </c>
      <c r="AC1333" t="str">
        <f>IF(H_A[[#This Row],[YearsAtCompany]]&lt;3,"Early",IF(H_A[[#This Row],[YearsAtCompany]]&lt;7,"Mid","Long"))</f>
        <v>Long</v>
      </c>
      <c r="AD1333" t="str">
        <f>IF(H_A[[#This Row],[PercentSalaryHike]]&lt;13,"Low",IF(H_A[[#This Row],[PercentSalaryHike]]&lt;18,"Medium","High"))</f>
        <v>Low</v>
      </c>
    </row>
    <row r="1334" spans="1:30" x14ac:dyDescent="0.3">
      <c r="A1334">
        <v>29</v>
      </c>
      <c r="B1334">
        <v>1868</v>
      </c>
      <c r="C1334" t="s">
        <v>30</v>
      </c>
      <c r="D1334" t="s">
        <v>37</v>
      </c>
      <c r="E1334">
        <v>24</v>
      </c>
      <c r="F1334">
        <v>2</v>
      </c>
      <c r="G1334" t="s">
        <v>32</v>
      </c>
      <c r="H1334">
        <v>4</v>
      </c>
      <c r="I1334" t="s">
        <v>38</v>
      </c>
      <c r="J1334">
        <v>2</v>
      </c>
      <c r="K1334">
        <v>1</v>
      </c>
      <c r="L1334" t="s">
        <v>39</v>
      </c>
      <c r="M1334">
        <v>4</v>
      </c>
      <c r="N1334" t="s">
        <v>35</v>
      </c>
      <c r="O1334">
        <v>2439</v>
      </c>
      <c r="P1334">
        <v>1</v>
      </c>
      <c r="Q1334" t="s">
        <v>30</v>
      </c>
      <c r="R1334">
        <v>2</v>
      </c>
      <c r="S1334">
        <v>1</v>
      </c>
      <c r="T1334">
        <v>2</v>
      </c>
      <c r="U1334">
        <v>1</v>
      </c>
      <c r="V1334">
        <v>0</v>
      </c>
      <c r="W1334">
        <v>1</v>
      </c>
      <c r="X1334">
        <v>0</v>
      </c>
      <c r="Y1334">
        <v>24</v>
      </c>
      <c r="Z1334">
        <f>IF(H_A[[#This Row],[Attrition]]="Yes",1,0)</f>
        <v>1</v>
      </c>
      <c r="AA1334" t="str">
        <f>IF(H_A[[#This Row],[Age]]&lt;30,"Young",IF(H_A[[#This Row],[Age]]&lt;45,"Mid","Senior"))</f>
        <v>Young</v>
      </c>
      <c r="AB1334" t="str">
        <f>IF(H_A[[#This Row],[MonthlyIncome]]&lt;5000,"Low",IF(H_A[[#This Row],[MonthlyIncome]]&lt;10000,"Medium","High"))</f>
        <v>Low</v>
      </c>
      <c r="AC1334" t="str">
        <f>IF(H_A[[#This Row],[YearsAtCompany]]&lt;3,"Early",IF(H_A[[#This Row],[YearsAtCompany]]&lt;7,"Mid","Long"))</f>
        <v>Early</v>
      </c>
      <c r="AD1334" t="str">
        <f>IF(H_A[[#This Row],[PercentSalaryHike]]&lt;13,"Low",IF(H_A[[#This Row],[PercentSalaryHike]]&lt;18,"Medium","High"))</f>
        <v>High</v>
      </c>
    </row>
    <row r="1335" spans="1:30" x14ac:dyDescent="0.3">
      <c r="A1335">
        <v>46</v>
      </c>
      <c r="B1335">
        <v>1869</v>
      </c>
      <c r="C1335" t="s">
        <v>30</v>
      </c>
      <c r="D1335" t="s">
        <v>31</v>
      </c>
      <c r="E1335">
        <v>10</v>
      </c>
      <c r="F1335">
        <v>3</v>
      </c>
      <c r="G1335" t="s">
        <v>32</v>
      </c>
      <c r="H1335">
        <v>3</v>
      </c>
      <c r="I1335" t="s">
        <v>33</v>
      </c>
      <c r="J1335">
        <v>3</v>
      </c>
      <c r="K1335">
        <v>3</v>
      </c>
      <c r="L1335" t="s">
        <v>34</v>
      </c>
      <c r="M1335">
        <v>2</v>
      </c>
      <c r="N1335" t="s">
        <v>40</v>
      </c>
      <c r="O1335">
        <v>7314</v>
      </c>
      <c r="P1335">
        <v>5</v>
      </c>
      <c r="Q1335" t="s">
        <v>36</v>
      </c>
      <c r="R1335">
        <v>3</v>
      </c>
      <c r="S1335">
        <v>14</v>
      </c>
      <c r="T1335">
        <v>3</v>
      </c>
      <c r="U1335">
        <v>8</v>
      </c>
      <c r="V1335">
        <v>7</v>
      </c>
      <c r="W1335">
        <v>0</v>
      </c>
      <c r="X1335">
        <v>7</v>
      </c>
      <c r="Y1335">
        <v>21</v>
      </c>
      <c r="Z1335">
        <f>IF(H_A[[#This Row],[Attrition]]="Yes",1,0)</f>
        <v>1</v>
      </c>
      <c r="AA1335" t="str">
        <f>IF(H_A[[#This Row],[Age]]&lt;30,"Young",IF(H_A[[#This Row],[Age]]&lt;45,"Mid","Senior"))</f>
        <v>Senior</v>
      </c>
      <c r="AB1335" t="str">
        <f>IF(H_A[[#This Row],[MonthlyIncome]]&lt;5000,"Low",IF(H_A[[#This Row],[MonthlyIncome]]&lt;10000,"Medium","High"))</f>
        <v>Medium</v>
      </c>
      <c r="AC1335" t="str">
        <f>IF(H_A[[#This Row],[YearsAtCompany]]&lt;3,"Early",IF(H_A[[#This Row],[YearsAtCompany]]&lt;7,"Mid","Long"))</f>
        <v>Long</v>
      </c>
      <c r="AD1335" t="str">
        <f>IF(H_A[[#This Row],[PercentSalaryHike]]&lt;13,"Low",IF(H_A[[#This Row],[PercentSalaryHike]]&lt;18,"Medium","High"))</f>
        <v>High</v>
      </c>
    </row>
    <row r="1336" spans="1:30" x14ac:dyDescent="0.3">
      <c r="A1336">
        <v>27</v>
      </c>
      <c r="B1336">
        <v>1870</v>
      </c>
      <c r="C1336" t="s">
        <v>36</v>
      </c>
      <c r="D1336" t="s">
        <v>37</v>
      </c>
      <c r="E1336">
        <v>15</v>
      </c>
      <c r="F1336">
        <v>3</v>
      </c>
      <c r="G1336" t="s">
        <v>32</v>
      </c>
      <c r="H1336">
        <v>4</v>
      </c>
      <c r="I1336" t="s">
        <v>33</v>
      </c>
      <c r="J1336">
        <v>2</v>
      </c>
      <c r="K1336">
        <v>1</v>
      </c>
      <c r="L1336" t="s">
        <v>39</v>
      </c>
      <c r="M1336">
        <v>1</v>
      </c>
      <c r="N1336" t="s">
        <v>40</v>
      </c>
      <c r="O1336">
        <v>4774</v>
      </c>
      <c r="P1336">
        <v>0</v>
      </c>
      <c r="Q1336" t="s">
        <v>36</v>
      </c>
      <c r="R1336">
        <v>4</v>
      </c>
      <c r="S1336">
        <v>8</v>
      </c>
      <c r="T1336">
        <v>2</v>
      </c>
      <c r="U1336">
        <v>7</v>
      </c>
      <c r="V1336">
        <v>6</v>
      </c>
      <c r="W1336">
        <v>7</v>
      </c>
      <c r="X1336">
        <v>3</v>
      </c>
      <c r="Y1336">
        <v>19</v>
      </c>
      <c r="Z1336">
        <f>IF(H_A[[#This Row],[Attrition]]="Yes",1,0)</f>
        <v>0</v>
      </c>
      <c r="AA1336" t="str">
        <f>IF(H_A[[#This Row],[Age]]&lt;30,"Young",IF(H_A[[#This Row],[Age]]&lt;45,"Mid","Senior"))</f>
        <v>Young</v>
      </c>
      <c r="AB1336" t="str">
        <f>IF(H_A[[#This Row],[MonthlyIncome]]&lt;5000,"Low",IF(H_A[[#This Row],[MonthlyIncome]]&lt;10000,"Medium","High"))</f>
        <v>Low</v>
      </c>
      <c r="AC1336" t="str">
        <f>IF(H_A[[#This Row],[YearsAtCompany]]&lt;3,"Early",IF(H_A[[#This Row],[YearsAtCompany]]&lt;7,"Mid","Long"))</f>
        <v>Long</v>
      </c>
      <c r="AD1336" t="str">
        <f>IF(H_A[[#This Row],[PercentSalaryHike]]&lt;13,"Low",IF(H_A[[#This Row],[PercentSalaryHike]]&lt;18,"Medium","High"))</f>
        <v>High</v>
      </c>
    </row>
    <row r="1337" spans="1:30" x14ac:dyDescent="0.3">
      <c r="A1337">
        <v>39</v>
      </c>
      <c r="B1337">
        <v>1871</v>
      </c>
      <c r="C1337" t="s">
        <v>36</v>
      </c>
      <c r="D1337" t="s">
        <v>37</v>
      </c>
      <c r="E1337">
        <v>19</v>
      </c>
      <c r="F1337">
        <v>4</v>
      </c>
      <c r="G1337" t="s">
        <v>41</v>
      </c>
      <c r="H1337">
        <v>4</v>
      </c>
      <c r="I1337" t="s">
        <v>38</v>
      </c>
      <c r="J1337">
        <v>3</v>
      </c>
      <c r="K1337">
        <v>2</v>
      </c>
      <c r="L1337" t="s">
        <v>39</v>
      </c>
      <c r="M1337">
        <v>4</v>
      </c>
      <c r="N1337" t="s">
        <v>44</v>
      </c>
      <c r="O1337">
        <v>3902</v>
      </c>
      <c r="P1337">
        <v>8</v>
      </c>
      <c r="Q1337" t="s">
        <v>36</v>
      </c>
      <c r="R1337">
        <v>2</v>
      </c>
      <c r="S1337">
        <v>7</v>
      </c>
      <c r="T1337">
        <v>3</v>
      </c>
      <c r="U1337">
        <v>2</v>
      </c>
      <c r="V1337">
        <v>2</v>
      </c>
      <c r="W1337">
        <v>2</v>
      </c>
      <c r="X1337">
        <v>2</v>
      </c>
      <c r="Y1337">
        <v>14</v>
      </c>
      <c r="Z1337">
        <f>IF(H_A[[#This Row],[Attrition]]="Yes",1,0)</f>
        <v>0</v>
      </c>
      <c r="AA1337" t="str">
        <f>IF(H_A[[#This Row],[Age]]&lt;30,"Young",IF(H_A[[#This Row],[Age]]&lt;45,"Mid","Senior"))</f>
        <v>Mid</v>
      </c>
      <c r="AB1337" t="str">
        <f>IF(H_A[[#This Row],[MonthlyIncome]]&lt;5000,"Low",IF(H_A[[#This Row],[MonthlyIncome]]&lt;10000,"Medium","High"))</f>
        <v>Low</v>
      </c>
      <c r="AC1337" t="str">
        <f>IF(H_A[[#This Row],[YearsAtCompany]]&lt;3,"Early",IF(H_A[[#This Row],[YearsAtCompany]]&lt;7,"Mid","Long"))</f>
        <v>Early</v>
      </c>
      <c r="AD1337" t="str">
        <f>IF(H_A[[#This Row],[PercentSalaryHike]]&lt;13,"Low",IF(H_A[[#This Row],[PercentSalaryHike]]&lt;18,"Medium","High"))</f>
        <v>Medium</v>
      </c>
    </row>
    <row r="1338" spans="1:30" x14ac:dyDescent="0.3">
      <c r="A1338">
        <v>55</v>
      </c>
      <c r="B1338">
        <v>1873</v>
      </c>
      <c r="C1338" t="s">
        <v>36</v>
      </c>
      <c r="D1338" t="s">
        <v>37</v>
      </c>
      <c r="E1338">
        <v>2</v>
      </c>
      <c r="F1338">
        <v>4</v>
      </c>
      <c r="G1338" t="s">
        <v>51</v>
      </c>
      <c r="H1338">
        <v>2</v>
      </c>
      <c r="I1338" t="s">
        <v>38</v>
      </c>
      <c r="J1338">
        <v>2</v>
      </c>
      <c r="K1338">
        <v>1</v>
      </c>
      <c r="L1338" t="s">
        <v>39</v>
      </c>
      <c r="M1338">
        <v>4</v>
      </c>
      <c r="N1338" t="s">
        <v>40</v>
      </c>
      <c r="O1338">
        <v>2662</v>
      </c>
      <c r="P1338">
        <v>8</v>
      </c>
      <c r="Q1338" t="s">
        <v>36</v>
      </c>
      <c r="R1338">
        <v>2</v>
      </c>
      <c r="S1338">
        <v>19</v>
      </c>
      <c r="T1338">
        <v>4</v>
      </c>
      <c r="U1338">
        <v>5</v>
      </c>
      <c r="V1338">
        <v>2</v>
      </c>
      <c r="W1338">
        <v>0</v>
      </c>
      <c r="X1338">
        <v>4</v>
      </c>
      <c r="Y1338">
        <v>20</v>
      </c>
      <c r="Z1338">
        <f>IF(H_A[[#This Row],[Attrition]]="Yes",1,0)</f>
        <v>0</v>
      </c>
      <c r="AA1338" t="str">
        <f>IF(H_A[[#This Row],[Age]]&lt;30,"Young",IF(H_A[[#This Row],[Age]]&lt;45,"Mid","Senior"))</f>
        <v>Senior</v>
      </c>
      <c r="AB1338" t="str">
        <f>IF(H_A[[#This Row],[MonthlyIncome]]&lt;5000,"Low",IF(H_A[[#This Row],[MonthlyIncome]]&lt;10000,"Medium","High"))</f>
        <v>Low</v>
      </c>
      <c r="AC1338" t="str">
        <f>IF(H_A[[#This Row],[YearsAtCompany]]&lt;3,"Early",IF(H_A[[#This Row],[YearsAtCompany]]&lt;7,"Mid","Long"))</f>
        <v>Mid</v>
      </c>
      <c r="AD1338" t="str">
        <f>IF(H_A[[#This Row],[PercentSalaryHike]]&lt;13,"Low",IF(H_A[[#This Row],[PercentSalaryHike]]&lt;18,"Medium","High"))</f>
        <v>High</v>
      </c>
    </row>
    <row r="1339" spans="1:30" x14ac:dyDescent="0.3">
      <c r="A1339">
        <v>28</v>
      </c>
      <c r="B1339">
        <v>1875</v>
      </c>
      <c r="C1339" t="s">
        <v>36</v>
      </c>
      <c r="D1339" t="s">
        <v>31</v>
      </c>
      <c r="E1339">
        <v>3</v>
      </c>
      <c r="F1339">
        <v>3</v>
      </c>
      <c r="G1339" t="s">
        <v>43</v>
      </c>
      <c r="H1339">
        <v>2</v>
      </c>
      <c r="I1339" t="s">
        <v>33</v>
      </c>
      <c r="J1339">
        <v>3</v>
      </c>
      <c r="K1339">
        <v>1</v>
      </c>
      <c r="L1339" t="s">
        <v>48</v>
      </c>
      <c r="M1339">
        <v>2</v>
      </c>
      <c r="N1339" t="s">
        <v>40</v>
      </c>
      <c r="O1339">
        <v>2856</v>
      </c>
      <c r="P1339">
        <v>1</v>
      </c>
      <c r="Q1339" t="s">
        <v>36</v>
      </c>
      <c r="R1339">
        <v>4</v>
      </c>
      <c r="S1339">
        <v>1</v>
      </c>
      <c r="T1339">
        <v>3</v>
      </c>
      <c r="U1339">
        <v>1</v>
      </c>
      <c r="V1339">
        <v>0</v>
      </c>
      <c r="W1339">
        <v>0</v>
      </c>
      <c r="X1339">
        <v>0</v>
      </c>
      <c r="Y1339">
        <v>19</v>
      </c>
      <c r="Z1339">
        <f>IF(H_A[[#This Row],[Attrition]]="Yes",1,0)</f>
        <v>0</v>
      </c>
      <c r="AA1339" t="str">
        <f>IF(H_A[[#This Row],[Age]]&lt;30,"Young",IF(H_A[[#This Row],[Age]]&lt;45,"Mid","Senior"))</f>
        <v>Young</v>
      </c>
      <c r="AB1339" t="str">
        <f>IF(H_A[[#This Row],[MonthlyIncome]]&lt;5000,"Low",IF(H_A[[#This Row],[MonthlyIncome]]&lt;10000,"Medium","High"))</f>
        <v>Low</v>
      </c>
      <c r="AC1339" t="str">
        <f>IF(H_A[[#This Row],[YearsAtCompany]]&lt;3,"Early",IF(H_A[[#This Row],[YearsAtCompany]]&lt;7,"Mid","Long"))</f>
        <v>Early</v>
      </c>
      <c r="AD1339" t="str">
        <f>IF(H_A[[#This Row],[PercentSalaryHike]]&lt;13,"Low",IF(H_A[[#This Row],[PercentSalaryHike]]&lt;18,"Medium","High"))</f>
        <v>High</v>
      </c>
    </row>
    <row r="1340" spans="1:30" x14ac:dyDescent="0.3">
      <c r="A1340">
        <v>30</v>
      </c>
      <c r="B1340">
        <v>1876</v>
      </c>
      <c r="C1340" t="s">
        <v>30</v>
      </c>
      <c r="D1340" t="s">
        <v>31</v>
      </c>
      <c r="E1340">
        <v>9</v>
      </c>
      <c r="F1340">
        <v>3</v>
      </c>
      <c r="G1340" t="s">
        <v>43</v>
      </c>
      <c r="H1340">
        <v>2</v>
      </c>
      <c r="I1340" t="s">
        <v>38</v>
      </c>
      <c r="J1340">
        <v>3</v>
      </c>
      <c r="K1340">
        <v>1</v>
      </c>
      <c r="L1340" t="s">
        <v>48</v>
      </c>
      <c r="M1340">
        <v>4</v>
      </c>
      <c r="N1340" t="s">
        <v>35</v>
      </c>
      <c r="O1340">
        <v>1081</v>
      </c>
      <c r="P1340">
        <v>1</v>
      </c>
      <c r="Q1340" t="s">
        <v>36</v>
      </c>
      <c r="R1340">
        <v>3</v>
      </c>
      <c r="S1340">
        <v>1</v>
      </c>
      <c r="T1340">
        <v>2</v>
      </c>
      <c r="U1340">
        <v>1</v>
      </c>
      <c r="V1340">
        <v>0</v>
      </c>
      <c r="W1340">
        <v>0</v>
      </c>
      <c r="X1340">
        <v>0</v>
      </c>
      <c r="Y1340">
        <v>13</v>
      </c>
      <c r="Z1340">
        <f>IF(H_A[[#This Row],[Attrition]]="Yes",1,0)</f>
        <v>1</v>
      </c>
      <c r="AA1340" t="str">
        <f>IF(H_A[[#This Row],[Age]]&lt;30,"Young",IF(H_A[[#This Row],[Age]]&lt;45,"Mid","Senior"))</f>
        <v>Mid</v>
      </c>
      <c r="AB1340" t="str">
        <f>IF(H_A[[#This Row],[MonthlyIncome]]&lt;5000,"Low",IF(H_A[[#This Row],[MonthlyIncome]]&lt;10000,"Medium","High"))</f>
        <v>Low</v>
      </c>
      <c r="AC1340" t="str">
        <f>IF(H_A[[#This Row],[YearsAtCompany]]&lt;3,"Early",IF(H_A[[#This Row],[YearsAtCompany]]&lt;7,"Mid","Long"))</f>
        <v>Early</v>
      </c>
      <c r="AD1340" t="str">
        <f>IF(H_A[[#This Row],[PercentSalaryHike]]&lt;13,"Low",IF(H_A[[#This Row],[PercentSalaryHike]]&lt;18,"Medium","High"))</f>
        <v>Medium</v>
      </c>
    </row>
    <row r="1341" spans="1:30" x14ac:dyDescent="0.3">
      <c r="A1341">
        <v>22</v>
      </c>
      <c r="B1341">
        <v>1878</v>
      </c>
      <c r="C1341" t="s">
        <v>30</v>
      </c>
      <c r="D1341" t="s">
        <v>37</v>
      </c>
      <c r="E1341">
        <v>7</v>
      </c>
      <c r="F1341">
        <v>1</v>
      </c>
      <c r="G1341" t="s">
        <v>32</v>
      </c>
      <c r="H1341">
        <v>4</v>
      </c>
      <c r="I1341" t="s">
        <v>38</v>
      </c>
      <c r="J1341">
        <v>3</v>
      </c>
      <c r="K1341">
        <v>1</v>
      </c>
      <c r="L1341" t="s">
        <v>39</v>
      </c>
      <c r="M1341">
        <v>2</v>
      </c>
      <c r="N1341" t="s">
        <v>35</v>
      </c>
      <c r="O1341">
        <v>2472</v>
      </c>
      <c r="P1341">
        <v>1</v>
      </c>
      <c r="Q1341" t="s">
        <v>30</v>
      </c>
      <c r="R1341">
        <v>1</v>
      </c>
      <c r="S1341">
        <v>1</v>
      </c>
      <c r="T1341">
        <v>3</v>
      </c>
      <c r="U1341">
        <v>1</v>
      </c>
      <c r="V1341">
        <v>0</v>
      </c>
      <c r="W1341">
        <v>0</v>
      </c>
      <c r="X1341">
        <v>0</v>
      </c>
      <c r="Y1341">
        <v>23</v>
      </c>
      <c r="Z1341">
        <f>IF(H_A[[#This Row],[Attrition]]="Yes",1,0)</f>
        <v>1</v>
      </c>
      <c r="AA1341" t="str">
        <f>IF(H_A[[#This Row],[Age]]&lt;30,"Young",IF(H_A[[#This Row],[Age]]&lt;45,"Mid","Senior"))</f>
        <v>Young</v>
      </c>
      <c r="AB1341" t="str">
        <f>IF(H_A[[#This Row],[MonthlyIncome]]&lt;5000,"Low",IF(H_A[[#This Row],[MonthlyIncome]]&lt;10000,"Medium","High"))</f>
        <v>Low</v>
      </c>
      <c r="AC1341" t="str">
        <f>IF(H_A[[#This Row],[YearsAtCompany]]&lt;3,"Early",IF(H_A[[#This Row],[YearsAtCompany]]&lt;7,"Mid","Long"))</f>
        <v>Early</v>
      </c>
      <c r="AD1341" t="str">
        <f>IF(H_A[[#This Row],[PercentSalaryHike]]&lt;13,"Low",IF(H_A[[#This Row],[PercentSalaryHike]]&lt;18,"Medium","High"))</f>
        <v>High</v>
      </c>
    </row>
    <row r="1342" spans="1:30" x14ac:dyDescent="0.3">
      <c r="A1342">
        <v>36</v>
      </c>
      <c r="B1342">
        <v>1880</v>
      </c>
      <c r="C1342" t="s">
        <v>36</v>
      </c>
      <c r="D1342" t="s">
        <v>31</v>
      </c>
      <c r="E1342">
        <v>10</v>
      </c>
      <c r="F1342">
        <v>4</v>
      </c>
      <c r="G1342" t="s">
        <v>51</v>
      </c>
      <c r="H1342">
        <v>2</v>
      </c>
      <c r="I1342" t="s">
        <v>33</v>
      </c>
      <c r="J1342">
        <v>2</v>
      </c>
      <c r="K1342">
        <v>2</v>
      </c>
      <c r="L1342" t="s">
        <v>34</v>
      </c>
      <c r="M1342">
        <v>3</v>
      </c>
      <c r="N1342" t="s">
        <v>40</v>
      </c>
      <c r="O1342">
        <v>5673</v>
      </c>
      <c r="P1342">
        <v>1</v>
      </c>
      <c r="Q1342" t="s">
        <v>30</v>
      </c>
      <c r="R1342">
        <v>1</v>
      </c>
      <c r="S1342">
        <v>10</v>
      </c>
      <c r="T1342">
        <v>3</v>
      </c>
      <c r="U1342">
        <v>10</v>
      </c>
      <c r="V1342">
        <v>9</v>
      </c>
      <c r="W1342">
        <v>1</v>
      </c>
      <c r="X1342">
        <v>7</v>
      </c>
      <c r="Y1342">
        <v>13</v>
      </c>
      <c r="Z1342">
        <f>IF(H_A[[#This Row],[Attrition]]="Yes",1,0)</f>
        <v>0</v>
      </c>
      <c r="AA1342" t="str">
        <f>IF(H_A[[#This Row],[Age]]&lt;30,"Young",IF(H_A[[#This Row],[Age]]&lt;45,"Mid","Senior"))</f>
        <v>Mid</v>
      </c>
      <c r="AB1342" t="str">
        <f>IF(H_A[[#This Row],[MonthlyIncome]]&lt;5000,"Low",IF(H_A[[#This Row],[MonthlyIncome]]&lt;10000,"Medium","High"))</f>
        <v>Medium</v>
      </c>
      <c r="AC1342" t="str">
        <f>IF(H_A[[#This Row],[YearsAtCompany]]&lt;3,"Early",IF(H_A[[#This Row],[YearsAtCompany]]&lt;7,"Mid","Long"))</f>
        <v>Long</v>
      </c>
      <c r="AD1342" t="str">
        <f>IF(H_A[[#This Row],[PercentSalaryHike]]&lt;13,"Low",IF(H_A[[#This Row],[PercentSalaryHike]]&lt;18,"Medium","High"))</f>
        <v>Medium</v>
      </c>
    </row>
    <row r="1343" spans="1:30" x14ac:dyDescent="0.3">
      <c r="A1343">
        <v>31</v>
      </c>
      <c r="B1343">
        <v>1881</v>
      </c>
      <c r="C1343" t="s">
        <v>36</v>
      </c>
      <c r="D1343" t="s">
        <v>37</v>
      </c>
      <c r="E1343">
        <v>20</v>
      </c>
      <c r="F1343">
        <v>3</v>
      </c>
      <c r="G1343" t="s">
        <v>32</v>
      </c>
      <c r="H1343">
        <v>2</v>
      </c>
      <c r="I1343" t="s">
        <v>38</v>
      </c>
      <c r="J1343">
        <v>3</v>
      </c>
      <c r="K1343">
        <v>2</v>
      </c>
      <c r="L1343" t="s">
        <v>42</v>
      </c>
      <c r="M1343">
        <v>3</v>
      </c>
      <c r="N1343" t="s">
        <v>44</v>
      </c>
      <c r="O1343">
        <v>4197</v>
      </c>
      <c r="P1343">
        <v>1</v>
      </c>
      <c r="Q1343" t="s">
        <v>36</v>
      </c>
      <c r="R1343">
        <v>1</v>
      </c>
      <c r="S1343">
        <v>10</v>
      </c>
      <c r="T1343">
        <v>3</v>
      </c>
      <c r="U1343">
        <v>10</v>
      </c>
      <c r="V1343">
        <v>8</v>
      </c>
      <c r="W1343">
        <v>0</v>
      </c>
      <c r="X1343">
        <v>2</v>
      </c>
      <c r="Y1343">
        <v>11</v>
      </c>
      <c r="Z1343">
        <f>IF(H_A[[#This Row],[Attrition]]="Yes",1,0)</f>
        <v>0</v>
      </c>
      <c r="AA1343" t="str">
        <f>IF(H_A[[#This Row],[Age]]&lt;30,"Young",IF(H_A[[#This Row],[Age]]&lt;45,"Mid","Senior"))</f>
        <v>Mid</v>
      </c>
      <c r="AB1343" t="str">
        <f>IF(H_A[[#This Row],[MonthlyIncome]]&lt;5000,"Low",IF(H_A[[#This Row],[MonthlyIncome]]&lt;10000,"Medium","High"))</f>
        <v>Low</v>
      </c>
      <c r="AC1343" t="str">
        <f>IF(H_A[[#This Row],[YearsAtCompany]]&lt;3,"Early",IF(H_A[[#This Row],[YearsAtCompany]]&lt;7,"Mid","Long"))</f>
        <v>Long</v>
      </c>
      <c r="AD1343" t="str">
        <f>IF(H_A[[#This Row],[PercentSalaryHike]]&lt;13,"Low",IF(H_A[[#This Row],[PercentSalaryHike]]&lt;18,"Medium","High"))</f>
        <v>Low</v>
      </c>
    </row>
    <row r="1344" spans="1:30" x14ac:dyDescent="0.3">
      <c r="A1344">
        <v>34</v>
      </c>
      <c r="B1344">
        <v>1882</v>
      </c>
      <c r="C1344" t="s">
        <v>36</v>
      </c>
      <c r="D1344" t="s">
        <v>31</v>
      </c>
      <c r="E1344">
        <v>4</v>
      </c>
      <c r="F1344">
        <v>3</v>
      </c>
      <c r="G1344" t="s">
        <v>32</v>
      </c>
      <c r="H1344">
        <v>3</v>
      </c>
      <c r="I1344" t="s">
        <v>38</v>
      </c>
      <c r="J1344">
        <v>3</v>
      </c>
      <c r="K1344">
        <v>3</v>
      </c>
      <c r="L1344" t="s">
        <v>34</v>
      </c>
      <c r="M1344">
        <v>4</v>
      </c>
      <c r="N1344" t="s">
        <v>40</v>
      </c>
      <c r="O1344">
        <v>9713</v>
      </c>
      <c r="P1344">
        <v>2</v>
      </c>
      <c r="Q1344" t="s">
        <v>30</v>
      </c>
      <c r="R1344">
        <v>4</v>
      </c>
      <c r="S1344">
        <v>9</v>
      </c>
      <c r="T1344">
        <v>3</v>
      </c>
      <c r="U1344">
        <v>5</v>
      </c>
      <c r="V1344">
        <v>3</v>
      </c>
      <c r="W1344">
        <v>1</v>
      </c>
      <c r="X1344">
        <v>0</v>
      </c>
      <c r="Y1344">
        <v>13</v>
      </c>
      <c r="Z1344">
        <f>IF(H_A[[#This Row],[Attrition]]="Yes",1,0)</f>
        <v>0</v>
      </c>
      <c r="AA1344" t="str">
        <f>IF(H_A[[#This Row],[Age]]&lt;30,"Young",IF(H_A[[#This Row],[Age]]&lt;45,"Mid","Senior"))</f>
        <v>Mid</v>
      </c>
      <c r="AB1344" t="str">
        <f>IF(H_A[[#This Row],[MonthlyIncome]]&lt;5000,"Low",IF(H_A[[#This Row],[MonthlyIncome]]&lt;10000,"Medium","High"))</f>
        <v>Medium</v>
      </c>
      <c r="AC1344" t="str">
        <f>IF(H_A[[#This Row],[YearsAtCompany]]&lt;3,"Early",IF(H_A[[#This Row],[YearsAtCompany]]&lt;7,"Mid","Long"))</f>
        <v>Mid</v>
      </c>
      <c r="AD1344" t="str">
        <f>IF(H_A[[#This Row],[PercentSalaryHike]]&lt;13,"Low",IF(H_A[[#This Row],[PercentSalaryHike]]&lt;18,"Medium","High"))</f>
        <v>Medium</v>
      </c>
    </row>
    <row r="1345" spans="1:30" x14ac:dyDescent="0.3">
      <c r="A1345">
        <v>29</v>
      </c>
      <c r="B1345">
        <v>1883</v>
      </c>
      <c r="C1345" t="s">
        <v>36</v>
      </c>
      <c r="D1345" t="s">
        <v>37</v>
      </c>
      <c r="E1345">
        <v>7</v>
      </c>
      <c r="F1345">
        <v>3</v>
      </c>
      <c r="G1345" t="s">
        <v>32</v>
      </c>
      <c r="H1345">
        <v>4</v>
      </c>
      <c r="I1345" t="s">
        <v>38</v>
      </c>
      <c r="J1345">
        <v>3</v>
      </c>
      <c r="K1345">
        <v>1</v>
      </c>
      <c r="L1345" t="s">
        <v>42</v>
      </c>
      <c r="M1345">
        <v>1</v>
      </c>
      <c r="N1345" t="s">
        <v>35</v>
      </c>
      <c r="O1345">
        <v>2062</v>
      </c>
      <c r="P1345">
        <v>3</v>
      </c>
      <c r="Q1345" t="s">
        <v>36</v>
      </c>
      <c r="R1345">
        <v>2</v>
      </c>
      <c r="S1345">
        <v>11</v>
      </c>
      <c r="T1345">
        <v>3</v>
      </c>
      <c r="U1345">
        <v>3</v>
      </c>
      <c r="V1345">
        <v>2</v>
      </c>
      <c r="W1345">
        <v>1</v>
      </c>
      <c r="X1345">
        <v>2</v>
      </c>
      <c r="Y1345">
        <v>14</v>
      </c>
      <c r="Z1345">
        <f>IF(H_A[[#This Row],[Attrition]]="Yes",1,0)</f>
        <v>0</v>
      </c>
      <c r="AA1345" t="str">
        <f>IF(H_A[[#This Row],[Age]]&lt;30,"Young",IF(H_A[[#This Row],[Age]]&lt;45,"Mid","Senior"))</f>
        <v>Young</v>
      </c>
      <c r="AB1345" t="str">
        <f>IF(H_A[[#This Row],[MonthlyIncome]]&lt;5000,"Low",IF(H_A[[#This Row],[MonthlyIncome]]&lt;10000,"Medium","High"))</f>
        <v>Low</v>
      </c>
      <c r="AC1345" t="str">
        <f>IF(H_A[[#This Row],[YearsAtCompany]]&lt;3,"Early",IF(H_A[[#This Row],[YearsAtCompany]]&lt;7,"Mid","Long"))</f>
        <v>Mid</v>
      </c>
      <c r="AD1345" t="str">
        <f>IF(H_A[[#This Row],[PercentSalaryHike]]&lt;13,"Low",IF(H_A[[#This Row],[PercentSalaryHike]]&lt;18,"Medium","High"))</f>
        <v>Medium</v>
      </c>
    </row>
    <row r="1346" spans="1:30" x14ac:dyDescent="0.3">
      <c r="A1346">
        <v>37</v>
      </c>
      <c r="B1346">
        <v>1885</v>
      </c>
      <c r="C1346" t="s">
        <v>36</v>
      </c>
      <c r="D1346" t="s">
        <v>37</v>
      </c>
      <c r="E1346">
        <v>7</v>
      </c>
      <c r="F1346">
        <v>4</v>
      </c>
      <c r="G1346" t="s">
        <v>43</v>
      </c>
      <c r="H1346">
        <v>4</v>
      </c>
      <c r="I1346" t="s">
        <v>38</v>
      </c>
      <c r="J1346">
        <v>3</v>
      </c>
      <c r="K1346">
        <v>2</v>
      </c>
      <c r="L1346" t="s">
        <v>39</v>
      </c>
      <c r="M1346">
        <v>1</v>
      </c>
      <c r="N1346" t="s">
        <v>40</v>
      </c>
      <c r="O1346">
        <v>4284</v>
      </c>
      <c r="P1346">
        <v>5</v>
      </c>
      <c r="Q1346" t="s">
        <v>30</v>
      </c>
      <c r="R1346">
        <v>3</v>
      </c>
      <c r="S1346">
        <v>16</v>
      </c>
      <c r="T1346">
        <v>3</v>
      </c>
      <c r="U1346">
        <v>5</v>
      </c>
      <c r="V1346">
        <v>3</v>
      </c>
      <c r="W1346">
        <v>0</v>
      </c>
      <c r="X1346">
        <v>4</v>
      </c>
      <c r="Y1346">
        <v>22</v>
      </c>
      <c r="Z1346">
        <f>IF(H_A[[#This Row],[Attrition]]="Yes",1,0)</f>
        <v>0</v>
      </c>
      <c r="AA1346" t="str">
        <f>IF(H_A[[#This Row],[Age]]&lt;30,"Young",IF(H_A[[#This Row],[Age]]&lt;45,"Mid","Senior"))</f>
        <v>Mid</v>
      </c>
      <c r="AB1346" t="str">
        <f>IF(H_A[[#This Row],[MonthlyIncome]]&lt;5000,"Low",IF(H_A[[#This Row],[MonthlyIncome]]&lt;10000,"Medium","High"))</f>
        <v>Low</v>
      </c>
      <c r="AC1346" t="str">
        <f>IF(H_A[[#This Row],[YearsAtCompany]]&lt;3,"Early",IF(H_A[[#This Row],[YearsAtCompany]]&lt;7,"Mid","Long"))</f>
        <v>Mid</v>
      </c>
      <c r="AD1346" t="str">
        <f>IF(H_A[[#This Row],[PercentSalaryHike]]&lt;13,"Low",IF(H_A[[#This Row],[PercentSalaryHike]]&lt;18,"Medium","High"))</f>
        <v>High</v>
      </c>
    </row>
    <row r="1347" spans="1:30" x14ac:dyDescent="0.3">
      <c r="A1347">
        <v>35</v>
      </c>
      <c r="B1347">
        <v>1886</v>
      </c>
      <c r="C1347" t="s">
        <v>36</v>
      </c>
      <c r="D1347" t="s">
        <v>37</v>
      </c>
      <c r="E1347">
        <v>16</v>
      </c>
      <c r="F1347">
        <v>2</v>
      </c>
      <c r="G1347" t="s">
        <v>41</v>
      </c>
      <c r="H1347">
        <v>4</v>
      </c>
      <c r="I1347" t="s">
        <v>33</v>
      </c>
      <c r="J1347">
        <v>2</v>
      </c>
      <c r="K1347">
        <v>2</v>
      </c>
      <c r="L1347" t="s">
        <v>45</v>
      </c>
      <c r="M1347">
        <v>2</v>
      </c>
      <c r="N1347" t="s">
        <v>40</v>
      </c>
      <c r="O1347">
        <v>4788</v>
      </c>
      <c r="P1347">
        <v>0</v>
      </c>
      <c r="Q1347" t="s">
        <v>30</v>
      </c>
      <c r="R1347">
        <v>4</v>
      </c>
      <c r="S1347">
        <v>4</v>
      </c>
      <c r="T1347">
        <v>3</v>
      </c>
      <c r="U1347">
        <v>3</v>
      </c>
      <c r="V1347">
        <v>2</v>
      </c>
      <c r="W1347">
        <v>0</v>
      </c>
      <c r="X1347">
        <v>2</v>
      </c>
      <c r="Y1347">
        <v>11</v>
      </c>
      <c r="Z1347">
        <f>IF(H_A[[#This Row],[Attrition]]="Yes",1,0)</f>
        <v>0</v>
      </c>
      <c r="AA1347" t="str">
        <f>IF(H_A[[#This Row],[Age]]&lt;30,"Young",IF(H_A[[#This Row],[Age]]&lt;45,"Mid","Senior"))</f>
        <v>Mid</v>
      </c>
      <c r="AB1347" t="str">
        <f>IF(H_A[[#This Row],[MonthlyIncome]]&lt;5000,"Low",IF(H_A[[#This Row],[MonthlyIncome]]&lt;10000,"Medium","High"))</f>
        <v>Low</v>
      </c>
      <c r="AC1347" t="str">
        <f>IF(H_A[[#This Row],[YearsAtCompany]]&lt;3,"Early",IF(H_A[[#This Row],[YearsAtCompany]]&lt;7,"Mid","Long"))</f>
        <v>Mid</v>
      </c>
      <c r="AD1347" t="str">
        <f>IF(H_A[[#This Row],[PercentSalaryHike]]&lt;13,"Low",IF(H_A[[#This Row],[PercentSalaryHike]]&lt;18,"Medium","High"))</f>
        <v>Low</v>
      </c>
    </row>
    <row r="1348" spans="1:30" x14ac:dyDescent="0.3">
      <c r="A1348">
        <v>45</v>
      </c>
      <c r="B1348">
        <v>1888</v>
      </c>
      <c r="C1348" t="s">
        <v>36</v>
      </c>
      <c r="D1348" t="s">
        <v>37</v>
      </c>
      <c r="E1348">
        <v>25</v>
      </c>
      <c r="F1348">
        <v>2</v>
      </c>
      <c r="G1348" t="s">
        <v>32</v>
      </c>
      <c r="H1348">
        <v>2</v>
      </c>
      <c r="I1348" t="s">
        <v>33</v>
      </c>
      <c r="J1348">
        <v>2</v>
      </c>
      <c r="K1348">
        <v>2</v>
      </c>
      <c r="L1348" t="s">
        <v>45</v>
      </c>
      <c r="M1348">
        <v>4</v>
      </c>
      <c r="N1348" t="s">
        <v>40</v>
      </c>
      <c r="O1348">
        <v>5906</v>
      </c>
      <c r="P1348">
        <v>0</v>
      </c>
      <c r="Q1348" t="s">
        <v>36</v>
      </c>
      <c r="R1348">
        <v>4</v>
      </c>
      <c r="S1348">
        <v>10</v>
      </c>
      <c r="T1348">
        <v>2</v>
      </c>
      <c r="U1348">
        <v>9</v>
      </c>
      <c r="V1348">
        <v>8</v>
      </c>
      <c r="W1348">
        <v>3</v>
      </c>
      <c r="X1348">
        <v>8</v>
      </c>
      <c r="Y1348">
        <v>13</v>
      </c>
      <c r="Z1348">
        <f>IF(H_A[[#This Row],[Attrition]]="Yes",1,0)</f>
        <v>0</v>
      </c>
      <c r="AA1348" t="str">
        <f>IF(H_A[[#This Row],[Age]]&lt;30,"Young",IF(H_A[[#This Row],[Age]]&lt;45,"Mid","Senior"))</f>
        <v>Senior</v>
      </c>
      <c r="AB1348" t="str">
        <f>IF(H_A[[#This Row],[MonthlyIncome]]&lt;5000,"Low",IF(H_A[[#This Row],[MonthlyIncome]]&lt;10000,"Medium","High"))</f>
        <v>Medium</v>
      </c>
      <c r="AC1348" t="str">
        <f>IF(H_A[[#This Row],[YearsAtCompany]]&lt;3,"Early",IF(H_A[[#This Row],[YearsAtCompany]]&lt;7,"Mid","Long"))</f>
        <v>Long</v>
      </c>
      <c r="AD1348" t="str">
        <f>IF(H_A[[#This Row],[PercentSalaryHike]]&lt;13,"Low",IF(H_A[[#This Row],[PercentSalaryHike]]&lt;18,"Medium","High"))</f>
        <v>Medium</v>
      </c>
    </row>
    <row r="1349" spans="1:30" x14ac:dyDescent="0.3">
      <c r="A1349">
        <v>36</v>
      </c>
      <c r="B1349">
        <v>1890</v>
      </c>
      <c r="C1349" t="s">
        <v>36</v>
      </c>
      <c r="D1349" t="s">
        <v>52</v>
      </c>
      <c r="E1349">
        <v>2</v>
      </c>
      <c r="F1349">
        <v>1</v>
      </c>
      <c r="G1349" t="s">
        <v>52</v>
      </c>
      <c r="H1349">
        <v>2</v>
      </c>
      <c r="I1349" t="s">
        <v>38</v>
      </c>
      <c r="J1349">
        <v>2</v>
      </c>
      <c r="K1349">
        <v>2</v>
      </c>
      <c r="L1349" t="s">
        <v>52</v>
      </c>
      <c r="M1349">
        <v>4</v>
      </c>
      <c r="N1349" t="s">
        <v>35</v>
      </c>
      <c r="O1349">
        <v>3886</v>
      </c>
      <c r="P1349">
        <v>1</v>
      </c>
      <c r="Q1349" t="s">
        <v>36</v>
      </c>
      <c r="R1349">
        <v>4</v>
      </c>
      <c r="S1349">
        <v>10</v>
      </c>
      <c r="T1349">
        <v>2</v>
      </c>
      <c r="U1349">
        <v>10</v>
      </c>
      <c r="V1349">
        <v>1</v>
      </c>
      <c r="W1349">
        <v>0</v>
      </c>
      <c r="X1349">
        <v>8</v>
      </c>
      <c r="Y1349">
        <v>21</v>
      </c>
      <c r="Z1349">
        <f>IF(H_A[[#This Row],[Attrition]]="Yes",1,0)</f>
        <v>0</v>
      </c>
      <c r="AA1349" t="str">
        <f>IF(H_A[[#This Row],[Age]]&lt;30,"Young",IF(H_A[[#This Row],[Age]]&lt;45,"Mid","Senior"))</f>
        <v>Mid</v>
      </c>
      <c r="AB1349" t="str">
        <f>IF(H_A[[#This Row],[MonthlyIncome]]&lt;5000,"Low",IF(H_A[[#This Row],[MonthlyIncome]]&lt;10000,"Medium","High"))</f>
        <v>Low</v>
      </c>
      <c r="AC1349" t="str">
        <f>IF(H_A[[#This Row],[YearsAtCompany]]&lt;3,"Early",IF(H_A[[#This Row],[YearsAtCompany]]&lt;7,"Mid","Long"))</f>
        <v>Long</v>
      </c>
      <c r="AD1349" t="str">
        <f>IF(H_A[[#This Row],[PercentSalaryHike]]&lt;13,"Low",IF(H_A[[#This Row],[PercentSalaryHike]]&lt;18,"Medium","High"))</f>
        <v>High</v>
      </c>
    </row>
    <row r="1350" spans="1:30" x14ac:dyDescent="0.3">
      <c r="A1350">
        <v>40</v>
      </c>
      <c r="B1350">
        <v>1892</v>
      </c>
      <c r="C1350" t="s">
        <v>36</v>
      </c>
      <c r="D1350" t="s">
        <v>37</v>
      </c>
      <c r="E1350">
        <v>1</v>
      </c>
      <c r="F1350">
        <v>4</v>
      </c>
      <c r="G1350" t="s">
        <v>32</v>
      </c>
      <c r="H1350">
        <v>1</v>
      </c>
      <c r="I1350" t="s">
        <v>38</v>
      </c>
      <c r="J1350">
        <v>3</v>
      </c>
      <c r="K1350">
        <v>4</v>
      </c>
      <c r="L1350" t="s">
        <v>47</v>
      </c>
      <c r="M1350">
        <v>1</v>
      </c>
      <c r="N1350" t="s">
        <v>44</v>
      </c>
      <c r="O1350">
        <v>16823</v>
      </c>
      <c r="P1350">
        <v>2</v>
      </c>
      <c r="Q1350" t="s">
        <v>36</v>
      </c>
      <c r="R1350">
        <v>1</v>
      </c>
      <c r="S1350">
        <v>22</v>
      </c>
      <c r="T1350">
        <v>3</v>
      </c>
      <c r="U1350">
        <v>19</v>
      </c>
      <c r="V1350">
        <v>7</v>
      </c>
      <c r="W1350">
        <v>11</v>
      </c>
      <c r="X1350">
        <v>16</v>
      </c>
      <c r="Y1350">
        <v>11</v>
      </c>
      <c r="Z1350">
        <f>IF(H_A[[#This Row],[Attrition]]="Yes",1,0)</f>
        <v>0</v>
      </c>
      <c r="AA1350" t="str">
        <f>IF(H_A[[#This Row],[Age]]&lt;30,"Young",IF(H_A[[#This Row],[Age]]&lt;45,"Mid","Senior"))</f>
        <v>Mid</v>
      </c>
      <c r="AB1350" t="str">
        <f>IF(H_A[[#This Row],[MonthlyIncome]]&lt;5000,"Low",IF(H_A[[#This Row],[MonthlyIncome]]&lt;10000,"Medium","High"))</f>
        <v>High</v>
      </c>
      <c r="AC1350" t="str">
        <f>IF(H_A[[#This Row],[YearsAtCompany]]&lt;3,"Early",IF(H_A[[#This Row],[YearsAtCompany]]&lt;7,"Mid","Long"))</f>
        <v>Long</v>
      </c>
      <c r="AD1350" t="str">
        <f>IF(H_A[[#This Row],[PercentSalaryHike]]&lt;13,"Low",IF(H_A[[#This Row],[PercentSalaryHike]]&lt;18,"Medium","High"))</f>
        <v>Low</v>
      </c>
    </row>
    <row r="1351" spans="1:30" x14ac:dyDescent="0.3">
      <c r="A1351">
        <v>26</v>
      </c>
      <c r="B1351">
        <v>1893</v>
      </c>
      <c r="C1351" t="s">
        <v>36</v>
      </c>
      <c r="D1351" t="s">
        <v>37</v>
      </c>
      <c r="E1351">
        <v>1</v>
      </c>
      <c r="F1351">
        <v>2</v>
      </c>
      <c r="G1351" t="s">
        <v>32</v>
      </c>
      <c r="H1351">
        <v>2</v>
      </c>
      <c r="I1351" t="s">
        <v>33</v>
      </c>
      <c r="J1351">
        <v>2</v>
      </c>
      <c r="K1351">
        <v>1</v>
      </c>
      <c r="L1351" t="s">
        <v>39</v>
      </c>
      <c r="M1351">
        <v>3</v>
      </c>
      <c r="N1351" t="s">
        <v>40</v>
      </c>
      <c r="O1351">
        <v>2933</v>
      </c>
      <c r="P1351">
        <v>1</v>
      </c>
      <c r="Q1351" t="s">
        <v>30</v>
      </c>
      <c r="R1351">
        <v>3</v>
      </c>
      <c r="S1351">
        <v>1</v>
      </c>
      <c r="T1351">
        <v>2</v>
      </c>
      <c r="U1351">
        <v>1</v>
      </c>
      <c r="V1351">
        <v>0</v>
      </c>
      <c r="W1351">
        <v>1</v>
      </c>
      <c r="X1351">
        <v>0</v>
      </c>
      <c r="Y1351">
        <v>13</v>
      </c>
      <c r="Z1351">
        <f>IF(H_A[[#This Row],[Attrition]]="Yes",1,0)</f>
        <v>0</v>
      </c>
      <c r="AA1351" t="str">
        <f>IF(H_A[[#This Row],[Age]]&lt;30,"Young",IF(H_A[[#This Row],[Age]]&lt;45,"Mid","Senior"))</f>
        <v>Young</v>
      </c>
      <c r="AB1351" t="str">
        <f>IF(H_A[[#This Row],[MonthlyIncome]]&lt;5000,"Low",IF(H_A[[#This Row],[MonthlyIncome]]&lt;10000,"Medium","High"))</f>
        <v>Low</v>
      </c>
      <c r="AC1351" t="str">
        <f>IF(H_A[[#This Row],[YearsAtCompany]]&lt;3,"Early",IF(H_A[[#This Row],[YearsAtCompany]]&lt;7,"Mid","Long"))</f>
        <v>Early</v>
      </c>
      <c r="AD1351" t="str">
        <f>IF(H_A[[#This Row],[PercentSalaryHike]]&lt;13,"Low",IF(H_A[[#This Row],[PercentSalaryHike]]&lt;18,"Medium","High"))</f>
        <v>Medium</v>
      </c>
    </row>
    <row r="1352" spans="1:30" x14ac:dyDescent="0.3">
      <c r="A1352">
        <v>27</v>
      </c>
      <c r="B1352">
        <v>1898</v>
      </c>
      <c r="C1352" t="s">
        <v>36</v>
      </c>
      <c r="D1352" t="s">
        <v>31</v>
      </c>
      <c r="E1352">
        <v>2</v>
      </c>
      <c r="F1352">
        <v>2</v>
      </c>
      <c r="G1352" t="s">
        <v>43</v>
      </c>
      <c r="H1352">
        <v>1</v>
      </c>
      <c r="I1352" t="s">
        <v>33</v>
      </c>
      <c r="J1352">
        <v>4</v>
      </c>
      <c r="K1352">
        <v>2</v>
      </c>
      <c r="L1352" t="s">
        <v>34</v>
      </c>
      <c r="M1352">
        <v>3</v>
      </c>
      <c r="N1352" t="s">
        <v>35</v>
      </c>
      <c r="O1352">
        <v>6500</v>
      </c>
      <c r="P1352">
        <v>0</v>
      </c>
      <c r="Q1352" t="s">
        <v>36</v>
      </c>
      <c r="R1352">
        <v>2</v>
      </c>
      <c r="S1352">
        <v>9</v>
      </c>
      <c r="T1352">
        <v>2</v>
      </c>
      <c r="U1352">
        <v>8</v>
      </c>
      <c r="V1352">
        <v>7</v>
      </c>
      <c r="W1352">
        <v>0</v>
      </c>
      <c r="X1352">
        <v>7</v>
      </c>
      <c r="Y1352">
        <v>14</v>
      </c>
      <c r="Z1352">
        <f>IF(H_A[[#This Row],[Attrition]]="Yes",1,0)</f>
        <v>0</v>
      </c>
      <c r="AA1352" t="str">
        <f>IF(H_A[[#This Row],[Age]]&lt;30,"Young",IF(H_A[[#This Row],[Age]]&lt;45,"Mid","Senior"))</f>
        <v>Young</v>
      </c>
      <c r="AB1352" t="str">
        <f>IF(H_A[[#This Row],[MonthlyIncome]]&lt;5000,"Low",IF(H_A[[#This Row],[MonthlyIncome]]&lt;10000,"Medium","High"))</f>
        <v>Medium</v>
      </c>
      <c r="AC1352" t="str">
        <f>IF(H_A[[#This Row],[YearsAtCompany]]&lt;3,"Early",IF(H_A[[#This Row],[YearsAtCompany]]&lt;7,"Mid","Long"))</f>
        <v>Long</v>
      </c>
      <c r="AD1352" t="str">
        <f>IF(H_A[[#This Row],[PercentSalaryHike]]&lt;13,"Low",IF(H_A[[#This Row],[PercentSalaryHike]]&lt;18,"Medium","High"))</f>
        <v>Medium</v>
      </c>
    </row>
    <row r="1353" spans="1:30" x14ac:dyDescent="0.3">
      <c r="A1353">
        <v>48</v>
      </c>
      <c r="B1353">
        <v>1900</v>
      </c>
      <c r="C1353" t="s">
        <v>36</v>
      </c>
      <c r="D1353" t="s">
        <v>37</v>
      </c>
      <c r="E1353">
        <v>22</v>
      </c>
      <c r="F1353">
        <v>3</v>
      </c>
      <c r="G1353" t="s">
        <v>43</v>
      </c>
      <c r="H1353">
        <v>4</v>
      </c>
      <c r="I1353" t="s">
        <v>33</v>
      </c>
      <c r="J1353">
        <v>3</v>
      </c>
      <c r="K1353">
        <v>4</v>
      </c>
      <c r="L1353" t="s">
        <v>47</v>
      </c>
      <c r="M1353">
        <v>4</v>
      </c>
      <c r="N1353" t="s">
        <v>44</v>
      </c>
      <c r="O1353">
        <v>17174</v>
      </c>
      <c r="P1353">
        <v>3</v>
      </c>
      <c r="Q1353" t="s">
        <v>36</v>
      </c>
      <c r="R1353">
        <v>2</v>
      </c>
      <c r="S1353">
        <v>24</v>
      </c>
      <c r="T1353">
        <v>3</v>
      </c>
      <c r="U1353">
        <v>22</v>
      </c>
      <c r="V1353">
        <v>17</v>
      </c>
      <c r="W1353">
        <v>4</v>
      </c>
      <c r="X1353">
        <v>7</v>
      </c>
      <c r="Y1353">
        <v>11</v>
      </c>
      <c r="Z1353">
        <f>IF(H_A[[#This Row],[Attrition]]="Yes",1,0)</f>
        <v>0</v>
      </c>
      <c r="AA1353" t="str">
        <f>IF(H_A[[#This Row],[Age]]&lt;30,"Young",IF(H_A[[#This Row],[Age]]&lt;45,"Mid","Senior"))</f>
        <v>Senior</v>
      </c>
      <c r="AB1353" t="str">
        <f>IF(H_A[[#This Row],[MonthlyIncome]]&lt;5000,"Low",IF(H_A[[#This Row],[MonthlyIncome]]&lt;10000,"Medium","High"))</f>
        <v>High</v>
      </c>
      <c r="AC1353" t="str">
        <f>IF(H_A[[#This Row],[YearsAtCompany]]&lt;3,"Early",IF(H_A[[#This Row],[YearsAtCompany]]&lt;7,"Mid","Long"))</f>
        <v>Long</v>
      </c>
      <c r="AD1353" t="str">
        <f>IF(H_A[[#This Row],[PercentSalaryHike]]&lt;13,"Low",IF(H_A[[#This Row],[PercentSalaryHike]]&lt;18,"Medium","High"))</f>
        <v>Low</v>
      </c>
    </row>
    <row r="1354" spans="1:30" x14ac:dyDescent="0.3">
      <c r="A1354">
        <v>44</v>
      </c>
      <c r="B1354">
        <v>1903</v>
      </c>
      <c r="C1354" t="s">
        <v>36</v>
      </c>
      <c r="D1354" t="s">
        <v>37</v>
      </c>
      <c r="E1354">
        <v>1</v>
      </c>
      <c r="F1354">
        <v>4</v>
      </c>
      <c r="G1354" t="s">
        <v>32</v>
      </c>
      <c r="H1354">
        <v>2</v>
      </c>
      <c r="I1354" t="s">
        <v>38</v>
      </c>
      <c r="J1354">
        <v>4</v>
      </c>
      <c r="K1354">
        <v>2</v>
      </c>
      <c r="L1354" t="s">
        <v>46</v>
      </c>
      <c r="M1354">
        <v>1</v>
      </c>
      <c r="N1354" t="s">
        <v>40</v>
      </c>
      <c r="O1354">
        <v>5033</v>
      </c>
      <c r="P1354">
        <v>2</v>
      </c>
      <c r="Q1354" t="s">
        <v>36</v>
      </c>
      <c r="R1354">
        <v>4</v>
      </c>
      <c r="S1354">
        <v>10</v>
      </c>
      <c r="T1354">
        <v>3</v>
      </c>
      <c r="U1354">
        <v>2</v>
      </c>
      <c r="V1354">
        <v>0</v>
      </c>
      <c r="W1354">
        <v>2</v>
      </c>
      <c r="X1354">
        <v>2</v>
      </c>
      <c r="Y1354">
        <v>15</v>
      </c>
      <c r="Z1354">
        <f>IF(H_A[[#This Row],[Attrition]]="Yes",1,0)</f>
        <v>0</v>
      </c>
      <c r="AA1354" t="str">
        <f>IF(H_A[[#This Row],[Age]]&lt;30,"Young",IF(H_A[[#This Row],[Age]]&lt;45,"Mid","Senior"))</f>
        <v>Mid</v>
      </c>
      <c r="AB1354" t="str">
        <f>IF(H_A[[#This Row],[MonthlyIncome]]&lt;5000,"Low",IF(H_A[[#This Row],[MonthlyIncome]]&lt;10000,"Medium","High"))</f>
        <v>Medium</v>
      </c>
      <c r="AC1354" t="str">
        <f>IF(H_A[[#This Row],[YearsAtCompany]]&lt;3,"Early",IF(H_A[[#This Row],[YearsAtCompany]]&lt;7,"Mid","Long"))</f>
        <v>Early</v>
      </c>
      <c r="AD1354" t="str">
        <f>IF(H_A[[#This Row],[PercentSalaryHike]]&lt;13,"Low",IF(H_A[[#This Row],[PercentSalaryHike]]&lt;18,"Medium","High"))</f>
        <v>Medium</v>
      </c>
    </row>
    <row r="1355" spans="1:30" x14ac:dyDescent="0.3">
      <c r="A1355">
        <v>34</v>
      </c>
      <c r="B1355">
        <v>1905</v>
      </c>
      <c r="C1355" t="s">
        <v>30</v>
      </c>
      <c r="D1355" t="s">
        <v>37</v>
      </c>
      <c r="E1355">
        <v>16</v>
      </c>
      <c r="F1355">
        <v>4</v>
      </c>
      <c r="G1355" t="s">
        <v>51</v>
      </c>
      <c r="H1355">
        <v>4</v>
      </c>
      <c r="I1355" t="s">
        <v>38</v>
      </c>
      <c r="J1355">
        <v>1</v>
      </c>
      <c r="K1355">
        <v>1</v>
      </c>
      <c r="L1355" t="s">
        <v>39</v>
      </c>
      <c r="M1355">
        <v>1</v>
      </c>
      <c r="N1355" t="s">
        <v>40</v>
      </c>
      <c r="O1355">
        <v>2307</v>
      </c>
      <c r="P1355">
        <v>1</v>
      </c>
      <c r="Q1355" t="s">
        <v>30</v>
      </c>
      <c r="R1355">
        <v>2</v>
      </c>
      <c r="S1355">
        <v>5</v>
      </c>
      <c r="T1355">
        <v>3</v>
      </c>
      <c r="U1355">
        <v>5</v>
      </c>
      <c r="V1355">
        <v>2</v>
      </c>
      <c r="W1355">
        <v>3</v>
      </c>
      <c r="X1355">
        <v>0</v>
      </c>
      <c r="Y1355">
        <v>23</v>
      </c>
      <c r="Z1355">
        <f>IF(H_A[[#This Row],[Attrition]]="Yes",1,0)</f>
        <v>1</v>
      </c>
      <c r="AA1355" t="str">
        <f>IF(H_A[[#This Row],[Age]]&lt;30,"Young",IF(H_A[[#This Row],[Age]]&lt;45,"Mid","Senior"))</f>
        <v>Mid</v>
      </c>
      <c r="AB1355" t="str">
        <f>IF(H_A[[#This Row],[MonthlyIncome]]&lt;5000,"Low",IF(H_A[[#This Row],[MonthlyIncome]]&lt;10000,"Medium","High"))</f>
        <v>Low</v>
      </c>
      <c r="AC1355" t="str">
        <f>IF(H_A[[#This Row],[YearsAtCompany]]&lt;3,"Early",IF(H_A[[#This Row],[YearsAtCompany]]&lt;7,"Mid","Long"))</f>
        <v>Mid</v>
      </c>
      <c r="AD1355" t="str">
        <f>IF(H_A[[#This Row],[PercentSalaryHike]]&lt;13,"Low",IF(H_A[[#This Row],[PercentSalaryHike]]&lt;18,"Medium","High"))</f>
        <v>High</v>
      </c>
    </row>
    <row r="1356" spans="1:30" x14ac:dyDescent="0.3">
      <c r="A1356">
        <v>56</v>
      </c>
      <c r="B1356">
        <v>1907</v>
      </c>
      <c r="C1356" t="s">
        <v>30</v>
      </c>
      <c r="D1356" t="s">
        <v>37</v>
      </c>
      <c r="E1356">
        <v>24</v>
      </c>
      <c r="F1356">
        <v>2</v>
      </c>
      <c r="G1356" t="s">
        <v>32</v>
      </c>
      <c r="H1356">
        <v>1</v>
      </c>
      <c r="I1356" t="s">
        <v>38</v>
      </c>
      <c r="J1356">
        <v>3</v>
      </c>
      <c r="K1356">
        <v>1</v>
      </c>
      <c r="L1356" t="s">
        <v>42</v>
      </c>
      <c r="M1356">
        <v>4</v>
      </c>
      <c r="N1356" t="s">
        <v>35</v>
      </c>
      <c r="O1356">
        <v>2587</v>
      </c>
      <c r="P1356">
        <v>1</v>
      </c>
      <c r="Q1356" t="s">
        <v>36</v>
      </c>
      <c r="R1356">
        <v>4</v>
      </c>
      <c r="S1356">
        <v>5</v>
      </c>
      <c r="T1356">
        <v>3</v>
      </c>
      <c r="U1356">
        <v>4</v>
      </c>
      <c r="V1356">
        <v>2</v>
      </c>
      <c r="W1356">
        <v>1</v>
      </c>
      <c r="X1356">
        <v>0</v>
      </c>
      <c r="Y1356">
        <v>16</v>
      </c>
      <c r="Z1356">
        <f>IF(H_A[[#This Row],[Attrition]]="Yes",1,0)</f>
        <v>1</v>
      </c>
      <c r="AA1356" t="str">
        <f>IF(H_A[[#This Row],[Age]]&lt;30,"Young",IF(H_A[[#This Row],[Age]]&lt;45,"Mid","Senior"))</f>
        <v>Senior</v>
      </c>
      <c r="AB1356" t="str">
        <f>IF(H_A[[#This Row],[MonthlyIncome]]&lt;5000,"Low",IF(H_A[[#This Row],[MonthlyIncome]]&lt;10000,"Medium","High"))</f>
        <v>Low</v>
      </c>
      <c r="AC1356" t="str">
        <f>IF(H_A[[#This Row],[YearsAtCompany]]&lt;3,"Early",IF(H_A[[#This Row],[YearsAtCompany]]&lt;7,"Mid","Long"))</f>
        <v>Mid</v>
      </c>
      <c r="AD1356" t="str">
        <f>IF(H_A[[#This Row],[PercentSalaryHike]]&lt;13,"Low",IF(H_A[[#This Row],[PercentSalaryHike]]&lt;18,"Medium","High"))</f>
        <v>Medium</v>
      </c>
    </row>
    <row r="1357" spans="1:30" x14ac:dyDescent="0.3">
      <c r="A1357">
        <v>36</v>
      </c>
      <c r="B1357">
        <v>1908</v>
      </c>
      <c r="C1357" t="s">
        <v>36</v>
      </c>
      <c r="D1357" t="s">
        <v>31</v>
      </c>
      <c r="E1357">
        <v>17</v>
      </c>
      <c r="F1357">
        <v>2</v>
      </c>
      <c r="G1357" t="s">
        <v>50</v>
      </c>
      <c r="H1357">
        <v>3</v>
      </c>
      <c r="I1357" t="s">
        <v>38</v>
      </c>
      <c r="J1357">
        <v>2</v>
      </c>
      <c r="K1357">
        <v>2</v>
      </c>
      <c r="L1357" t="s">
        <v>34</v>
      </c>
      <c r="M1357">
        <v>2</v>
      </c>
      <c r="N1357" t="s">
        <v>40</v>
      </c>
      <c r="O1357">
        <v>5507</v>
      </c>
      <c r="P1357">
        <v>2</v>
      </c>
      <c r="Q1357" t="s">
        <v>36</v>
      </c>
      <c r="R1357">
        <v>3</v>
      </c>
      <c r="S1357">
        <v>12</v>
      </c>
      <c r="T1357">
        <v>1</v>
      </c>
      <c r="U1357">
        <v>4</v>
      </c>
      <c r="V1357">
        <v>2</v>
      </c>
      <c r="W1357">
        <v>1</v>
      </c>
      <c r="X1357">
        <v>3</v>
      </c>
      <c r="Y1357">
        <v>16</v>
      </c>
      <c r="Z1357">
        <f>IF(H_A[[#This Row],[Attrition]]="Yes",1,0)</f>
        <v>0</v>
      </c>
      <c r="AA1357" t="str">
        <f>IF(H_A[[#This Row],[Age]]&lt;30,"Young",IF(H_A[[#This Row],[Age]]&lt;45,"Mid","Senior"))</f>
        <v>Mid</v>
      </c>
      <c r="AB1357" t="str">
        <f>IF(H_A[[#This Row],[MonthlyIncome]]&lt;5000,"Low",IF(H_A[[#This Row],[MonthlyIncome]]&lt;10000,"Medium","High"))</f>
        <v>Medium</v>
      </c>
      <c r="AC1357" t="str">
        <f>IF(H_A[[#This Row],[YearsAtCompany]]&lt;3,"Early",IF(H_A[[#This Row],[YearsAtCompany]]&lt;7,"Mid","Long"))</f>
        <v>Mid</v>
      </c>
      <c r="AD1357" t="str">
        <f>IF(H_A[[#This Row],[PercentSalaryHike]]&lt;13,"Low",IF(H_A[[#This Row],[PercentSalaryHike]]&lt;18,"Medium","High"))</f>
        <v>Medium</v>
      </c>
    </row>
    <row r="1358" spans="1:30" x14ac:dyDescent="0.3">
      <c r="A1358">
        <v>41</v>
      </c>
      <c r="B1358">
        <v>1909</v>
      </c>
      <c r="C1358" t="s">
        <v>36</v>
      </c>
      <c r="D1358" t="s">
        <v>31</v>
      </c>
      <c r="E1358">
        <v>8</v>
      </c>
      <c r="F1358">
        <v>3</v>
      </c>
      <c r="G1358" t="s">
        <v>50</v>
      </c>
      <c r="H1358">
        <v>3</v>
      </c>
      <c r="I1358" t="s">
        <v>33</v>
      </c>
      <c r="J1358">
        <v>3</v>
      </c>
      <c r="K1358">
        <v>2</v>
      </c>
      <c r="L1358" t="s">
        <v>34</v>
      </c>
      <c r="M1358">
        <v>2</v>
      </c>
      <c r="N1358" t="s">
        <v>40</v>
      </c>
      <c r="O1358">
        <v>4393</v>
      </c>
      <c r="P1358">
        <v>5</v>
      </c>
      <c r="Q1358" t="s">
        <v>36</v>
      </c>
      <c r="R1358">
        <v>3</v>
      </c>
      <c r="S1358">
        <v>14</v>
      </c>
      <c r="T1358">
        <v>3</v>
      </c>
      <c r="U1358">
        <v>5</v>
      </c>
      <c r="V1358">
        <v>4</v>
      </c>
      <c r="W1358">
        <v>1</v>
      </c>
      <c r="X1358">
        <v>4</v>
      </c>
      <c r="Y1358">
        <v>21</v>
      </c>
      <c r="Z1358">
        <f>IF(H_A[[#This Row],[Attrition]]="Yes",1,0)</f>
        <v>0</v>
      </c>
      <c r="AA1358" t="str">
        <f>IF(H_A[[#This Row],[Age]]&lt;30,"Young",IF(H_A[[#This Row],[Age]]&lt;45,"Mid","Senior"))</f>
        <v>Mid</v>
      </c>
      <c r="AB1358" t="str">
        <f>IF(H_A[[#This Row],[MonthlyIncome]]&lt;5000,"Low",IF(H_A[[#This Row],[MonthlyIncome]]&lt;10000,"Medium","High"))</f>
        <v>Low</v>
      </c>
      <c r="AC1358" t="str">
        <f>IF(H_A[[#This Row],[YearsAtCompany]]&lt;3,"Early",IF(H_A[[#This Row],[YearsAtCompany]]&lt;7,"Mid","Long"))</f>
        <v>Mid</v>
      </c>
      <c r="AD1358" t="str">
        <f>IF(H_A[[#This Row],[PercentSalaryHike]]&lt;13,"Low",IF(H_A[[#This Row],[PercentSalaryHike]]&lt;18,"Medium","High"))</f>
        <v>High</v>
      </c>
    </row>
    <row r="1359" spans="1:30" x14ac:dyDescent="0.3">
      <c r="A1359">
        <v>42</v>
      </c>
      <c r="B1359">
        <v>1911</v>
      </c>
      <c r="C1359" t="s">
        <v>36</v>
      </c>
      <c r="D1359" t="s">
        <v>37</v>
      </c>
      <c r="E1359">
        <v>6</v>
      </c>
      <c r="F1359">
        <v>3</v>
      </c>
      <c r="G1359" t="s">
        <v>43</v>
      </c>
      <c r="H1359">
        <v>3</v>
      </c>
      <c r="I1359" t="s">
        <v>38</v>
      </c>
      <c r="J1359">
        <v>3</v>
      </c>
      <c r="K1359">
        <v>3</v>
      </c>
      <c r="L1359" t="s">
        <v>49</v>
      </c>
      <c r="M1359">
        <v>1</v>
      </c>
      <c r="N1359" t="s">
        <v>40</v>
      </c>
      <c r="O1359">
        <v>13348</v>
      </c>
      <c r="P1359">
        <v>9</v>
      </c>
      <c r="Q1359" t="s">
        <v>36</v>
      </c>
      <c r="R1359">
        <v>2</v>
      </c>
      <c r="S1359">
        <v>18</v>
      </c>
      <c r="T1359">
        <v>4</v>
      </c>
      <c r="U1359">
        <v>13</v>
      </c>
      <c r="V1359">
        <v>7</v>
      </c>
      <c r="W1359">
        <v>5</v>
      </c>
      <c r="X1359">
        <v>7</v>
      </c>
      <c r="Y1359">
        <v>13</v>
      </c>
      <c r="Z1359">
        <f>IF(H_A[[#This Row],[Attrition]]="Yes",1,0)</f>
        <v>0</v>
      </c>
      <c r="AA1359" t="str">
        <f>IF(H_A[[#This Row],[Age]]&lt;30,"Young",IF(H_A[[#This Row],[Age]]&lt;45,"Mid","Senior"))</f>
        <v>Mid</v>
      </c>
      <c r="AB1359" t="str">
        <f>IF(H_A[[#This Row],[MonthlyIncome]]&lt;5000,"Low",IF(H_A[[#This Row],[MonthlyIncome]]&lt;10000,"Medium","High"))</f>
        <v>High</v>
      </c>
      <c r="AC1359" t="str">
        <f>IF(H_A[[#This Row],[YearsAtCompany]]&lt;3,"Early",IF(H_A[[#This Row],[YearsAtCompany]]&lt;7,"Mid","Long"))</f>
        <v>Long</v>
      </c>
      <c r="AD1359" t="str">
        <f>IF(H_A[[#This Row],[PercentSalaryHike]]&lt;13,"Low",IF(H_A[[#This Row],[PercentSalaryHike]]&lt;18,"Medium","High"))</f>
        <v>Medium</v>
      </c>
    </row>
    <row r="1360" spans="1:30" x14ac:dyDescent="0.3">
      <c r="A1360">
        <v>31</v>
      </c>
      <c r="B1360">
        <v>1912</v>
      </c>
      <c r="C1360" t="s">
        <v>36</v>
      </c>
      <c r="D1360" t="s">
        <v>31</v>
      </c>
      <c r="E1360">
        <v>10</v>
      </c>
      <c r="F1360">
        <v>2</v>
      </c>
      <c r="G1360" t="s">
        <v>43</v>
      </c>
      <c r="H1360">
        <v>3</v>
      </c>
      <c r="I1360" t="s">
        <v>33</v>
      </c>
      <c r="J1360">
        <v>3</v>
      </c>
      <c r="K1360">
        <v>2</v>
      </c>
      <c r="L1360" t="s">
        <v>34</v>
      </c>
      <c r="M1360">
        <v>4</v>
      </c>
      <c r="N1360" t="s">
        <v>44</v>
      </c>
      <c r="O1360">
        <v>6583</v>
      </c>
      <c r="P1360">
        <v>2</v>
      </c>
      <c r="Q1360" t="s">
        <v>30</v>
      </c>
      <c r="R1360">
        <v>4</v>
      </c>
      <c r="S1360">
        <v>8</v>
      </c>
      <c r="T1360">
        <v>3</v>
      </c>
      <c r="U1360">
        <v>5</v>
      </c>
      <c r="V1360">
        <v>2</v>
      </c>
      <c r="W1360">
        <v>1</v>
      </c>
      <c r="X1360">
        <v>4</v>
      </c>
      <c r="Y1360">
        <v>11</v>
      </c>
      <c r="Z1360">
        <f>IF(H_A[[#This Row],[Attrition]]="Yes",1,0)</f>
        <v>0</v>
      </c>
      <c r="AA1360" t="str">
        <f>IF(H_A[[#This Row],[Age]]&lt;30,"Young",IF(H_A[[#This Row],[Age]]&lt;45,"Mid","Senior"))</f>
        <v>Mid</v>
      </c>
      <c r="AB1360" t="str">
        <f>IF(H_A[[#This Row],[MonthlyIncome]]&lt;5000,"Low",IF(H_A[[#This Row],[MonthlyIncome]]&lt;10000,"Medium","High"))</f>
        <v>Medium</v>
      </c>
      <c r="AC1360" t="str">
        <f>IF(H_A[[#This Row],[YearsAtCompany]]&lt;3,"Early",IF(H_A[[#This Row],[YearsAtCompany]]&lt;7,"Mid","Long"))</f>
        <v>Mid</v>
      </c>
      <c r="AD1360" t="str">
        <f>IF(H_A[[#This Row],[PercentSalaryHike]]&lt;13,"Low",IF(H_A[[#This Row],[PercentSalaryHike]]&lt;18,"Medium","High"))</f>
        <v>Low</v>
      </c>
    </row>
    <row r="1361" spans="1:41" x14ac:dyDescent="0.3">
      <c r="A1361">
        <v>34</v>
      </c>
      <c r="B1361">
        <v>1915</v>
      </c>
      <c r="C1361" t="s">
        <v>36</v>
      </c>
      <c r="D1361" t="s">
        <v>31</v>
      </c>
      <c r="E1361">
        <v>3</v>
      </c>
      <c r="F1361">
        <v>1</v>
      </c>
      <c r="G1361" t="s">
        <v>43</v>
      </c>
      <c r="H1361">
        <v>4</v>
      </c>
      <c r="I1361" t="s">
        <v>33</v>
      </c>
      <c r="J1361">
        <v>2</v>
      </c>
      <c r="K1361">
        <v>2</v>
      </c>
      <c r="L1361" t="s">
        <v>34</v>
      </c>
      <c r="M1361">
        <v>4</v>
      </c>
      <c r="N1361" t="s">
        <v>40</v>
      </c>
      <c r="O1361">
        <v>8103</v>
      </c>
      <c r="P1361">
        <v>3</v>
      </c>
      <c r="Q1361" t="s">
        <v>30</v>
      </c>
      <c r="R1361">
        <v>3</v>
      </c>
      <c r="S1361">
        <v>9</v>
      </c>
      <c r="T1361">
        <v>2</v>
      </c>
      <c r="U1361">
        <v>4</v>
      </c>
      <c r="V1361">
        <v>2</v>
      </c>
      <c r="W1361">
        <v>0</v>
      </c>
      <c r="X1361">
        <v>1</v>
      </c>
      <c r="Y1361">
        <v>12</v>
      </c>
      <c r="Z1361">
        <f>IF(H_A[[#This Row],[Attrition]]="Yes",1,0)</f>
        <v>0</v>
      </c>
      <c r="AA1361" t="str">
        <f>IF(H_A[[#This Row],[Age]]&lt;30,"Young",IF(H_A[[#This Row],[Age]]&lt;45,"Mid","Senior"))</f>
        <v>Mid</v>
      </c>
      <c r="AB1361" t="str">
        <f>IF(H_A[[#This Row],[MonthlyIncome]]&lt;5000,"Low",IF(H_A[[#This Row],[MonthlyIncome]]&lt;10000,"Medium","High"))</f>
        <v>Medium</v>
      </c>
      <c r="AC1361" t="str">
        <f>IF(H_A[[#This Row],[YearsAtCompany]]&lt;3,"Early",IF(H_A[[#This Row],[YearsAtCompany]]&lt;7,"Mid","Long"))</f>
        <v>Mid</v>
      </c>
      <c r="AD1361" t="str">
        <f>IF(H_A[[#This Row],[PercentSalaryHike]]&lt;13,"Low",IF(H_A[[#This Row],[PercentSalaryHike]]&lt;18,"Medium","High"))</f>
        <v>Low</v>
      </c>
    </row>
    <row r="1362" spans="1:41" x14ac:dyDescent="0.3">
      <c r="A1362">
        <v>31</v>
      </c>
      <c r="B1362">
        <v>1916</v>
      </c>
      <c r="C1362" t="s">
        <v>36</v>
      </c>
      <c r="D1362" t="s">
        <v>37</v>
      </c>
      <c r="E1362">
        <v>4</v>
      </c>
      <c r="F1362">
        <v>3</v>
      </c>
      <c r="G1362" t="s">
        <v>43</v>
      </c>
      <c r="H1362">
        <v>1</v>
      </c>
      <c r="I1362" t="s">
        <v>33</v>
      </c>
      <c r="J1362">
        <v>4</v>
      </c>
      <c r="K1362">
        <v>1</v>
      </c>
      <c r="L1362" t="s">
        <v>42</v>
      </c>
      <c r="M1362">
        <v>3</v>
      </c>
      <c r="N1362" t="s">
        <v>44</v>
      </c>
      <c r="O1362">
        <v>3978</v>
      </c>
      <c r="P1362">
        <v>8</v>
      </c>
      <c r="Q1362" t="s">
        <v>36</v>
      </c>
      <c r="R1362">
        <v>2</v>
      </c>
      <c r="S1362">
        <v>4</v>
      </c>
      <c r="T1362">
        <v>2</v>
      </c>
      <c r="U1362">
        <v>2</v>
      </c>
      <c r="V1362">
        <v>2</v>
      </c>
      <c r="W1362">
        <v>2</v>
      </c>
      <c r="X1362">
        <v>2</v>
      </c>
      <c r="Y1362">
        <v>12</v>
      </c>
      <c r="Z1362">
        <f>IF(H_A[[#This Row],[Attrition]]="Yes",1,0)</f>
        <v>0</v>
      </c>
      <c r="AA1362" t="str">
        <f>IF(H_A[[#This Row],[Age]]&lt;30,"Young",IF(H_A[[#This Row],[Age]]&lt;45,"Mid","Senior"))</f>
        <v>Mid</v>
      </c>
      <c r="AB1362" t="str">
        <f>IF(H_A[[#This Row],[MonthlyIncome]]&lt;5000,"Low",IF(H_A[[#This Row],[MonthlyIncome]]&lt;10000,"Medium","High"))</f>
        <v>Low</v>
      </c>
      <c r="AC1362" t="str">
        <f>IF(H_A[[#This Row],[YearsAtCompany]]&lt;3,"Early",IF(H_A[[#This Row],[YearsAtCompany]]&lt;7,"Mid","Long"))</f>
        <v>Early</v>
      </c>
      <c r="AD1362" t="str">
        <f>IF(H_A[[#This Row],[PercentSalaryHike]]&lt;13,"Low",IF(H_A[[#This Row],[PercentSalaryHike]]&lt;18,"Medium","High"))</f>
        <v>Low</v>
      </c>
    </row>
    <row r="1363" spans="1:41" x14ac:dyDescent="0.3">
      <c r="A1363">
        <v>26</v>
      </c>
      <c r="B1363">
        <v>1918</v>
      </c>
      <c r="C1363" t="s">
        <v>36</v>
      </c>
      <c r="D1363" t="s">
        <v>37</v>
      </c>
      <c r="E1363">
        <v>6</v>
      </c>
      <c r="F1363">
        <v>3</v>
      </c>
      <c r="G1363" t="s">
        <v>41</v>
      </c>
      <c r="H1363">
        <v>3</v>
      </c>
      <c r="I1363" t="s">
        <v>38</v>
      </c>
      <c r="J1363">
        <v>4</v>
      </c>
      <c r="K1363">
        <v>1</v>
      </c>
      <c r="L1363" t="s">
        <v>42</v>
      </c>
      <c r="M1363">
        <v>4</v>
      </c>
      <c r="N1363" t="s">
        <v>40</v>
      </c>
      <c r="O1363">
        <v>2544</v>
      </c>
      <c r="P1363">
        <v>0</v>
      </c>
      <c r="Q1363" t="s">
        <v>36</v>
      </c>
      <c r="R1363">
        <v>1</v>
      </c>
      <c r="S1363">
        <v>8</v>
      </c>
      <c r="T1363">
        <v>3</v>
      </c>
      <c r="U1363">
        <v>7</v>
      </c>
      <c r="V1363">
        <v>7</v>
      </c>
      <c r="W1363">
        <v>7</v>
      </c>
      <c r="X1363">
        <v>7</v>
      </c>
      <c r="Y1363">
        <v>18</v>
      </c>
      <c r="Z1363">
        <f>IF(H_A[[#This Row],[Attrition]]="Yes",1,0)</f>
        <v>0</v>
      </c>
      <c r="AA1363" t="str">
        <f>IF(H_A[[#This Row],[Age]]&lt;30,"Young",IF(H_A[[#This Row],[Age]]&lt;45,"Mid","Senior"))</f>
        <v>Young</v>
      </c>
      <c r="AB1363" t="str">
        <f>IF(H_A[[#This Row],[MonthlyIncome]]&lt;5000,"Low",IF(H_A[[#This Row],[MonthlyIncome]]&lt;10000,"Medium","High"))</f>
        <v>Low</v>
      </c>
      <c r="AC1363" t="str">
        <f>IF(H_A[[#This Row],[YearsAtCompany]]&lt;3,"Early",IF(H_A[[#This Row],[YearsAtCompany]]&lt;7,"Mid","Long"))</f>
        <v>Long</v>
      </c>
      <c r="AD1363" t="str">
        <f>IF(H_A[[#This Row],[PercentSalaryHike]]&lt;13,"Low",IF(H_A[[#This Row],[PercentSalaryHike]]&lt;18,"Medium","High"))</f>
        <v>High</v>
      </c>
    </row>
    <row r="1364" spans="1:41" x14ac:dyDescent="0.3">
      <c r="A1364">
        <v>45</v>
      </c>
      <c r="B1364">
        <v>1922</v>
      </c>
      <c r="C1364" t="s">
        <v>36</v>
      </c>
      <c r="D1364" t="s">
        <v>37</v>
      </c>
      <c r="E1364">
        <v>1</v>
      </c>
      <c r="F1364">
        <v>4</v>
      </c>
      <c r="G1364" t="s">
        <v>43</v>
      </c>
      <c r="H1364">
        <v>2</v>
      </c>
      <c r="I1364" t="s">
        <v>38</v>
      </c>
      <c r="J1364">
        <v>3</v>
      </c>
      <c r="K1364">
        <v>2</v>
      </c>
      <c r="L1364" t="s">
        <v>46</v>
      </c>
      <c r="M1364">
        <v>3</v>
      </c>
      <c r="N1364" t="s">
        <v>35</v>
      </c>
      <c r="O1364">
        <v>5399</v>
      </c>
      <c r="P1364">
        <v>4</v>
      </c>
      <c r="Q1364" t="s">
        <v>36</v>
      </c>
      <c r="R1364">
        <v>3</v>
      </c>
      <c r="S1364">
        <v>12</v>
      </c>
      <c r="T1364">
        <v>3</v>
      </c>
      <c r="U1364">
        <v>4</v>
      </c>
      <c r="V1364">
        <v>2</v>
      </c>
      <c r="W1364">
        <v>0</v>
      </c>
      <c r="X1364">
        <v>3</v>
      </c>
      <c r="Y1364">
        <v>12</v>
      </c>
      <c r="Z1364">
        <f>IF(H_A[[#This Row],[Attrition]]="Yes",1,0)</f>
        <v>0</v>
      </c>
      <c r="AA1364" t="str">
        <f>IF(H_A[[#This Row],[Age]]&lt;30,"Young",IF(H_A[[#This Row],[Age]]&lt;45,"Mid","Senior"))</f>
        <v>Senior</v>
      </c>
      <c r="AB1364" t="str">
        <f>IF(H_A[[#This Row],[MonthlyIncome]]&lt;5000,"Low",IF(H_A[[#This Row],[MonthlyIncome]]&lt;10000,"Medium","High"))</f>
        <v>Medium</v>
      </c>
      <c r="AC1364" t="str">
        <f>IF(H_A[[#This Row],[YearsAtCompany]]&lt;3,"Early",IF(H_A[[#This Row],[YearsAtCompany]]&lt;7,"Mid","Long"))</f>
        <v>Mid</v>
      </c>
      <c r="AD1364" t="str">
        <f>IF(H_A[[#This Row],[PercentSalaryHike]]&lt;13,"Low",IF(H_A[[#This Row],[PercentSalaryHike]]&lt;18,"Medium","High"))</f>
        <v>Low</v>
      </c>
    </row>
    <row r="1365" spans="1:41" x14ac:dyDescent="0.3">
      <c r="A1365">
        <v>33</v>
      </c>
      <c r="B1365">
        <v>1924</v>
      </c>
      <c r="C1365" t="s">
        <v>36</v>
      </c>
      <c r="D1365" t="s">
        <v>31</v>
      </c>
      <c r="E1365">
        <v>10</v>
      </c>
      <c r="F1365">
        <v>4</v>
      </c>
      <c r="G1365" t="s">
        <v>50</v>
      </c>
      <c r="H1365">
        <v>2</v>
      </c>
      <c r="I1365" t="s">
        <v>38</v>
      </c>
      <c r="J1365">
        <v>3</v>
      </c>
      <c r="K1365">
        <v>2</v>
      </c>
      <c r="L1365" t="s">
        <v>34</v>
      </c>
      <c r="M1365">
        <v>3</v>
      </c>
      <c r="N1365" t="s">
        <v>35</v>
      </c>
      <c r="O1365">
        <v>5487</v>
      </c>
      <c r="P1365">
        <v>1</v>
      </c>
      <c r="Q1365" t="s">
        <v>36</v>
      </c>
      <c r="R1365">
        <v>2</v>
      </c>
      <c r="S1365">
        <v>10</v>
      </c>
      <c r="T1365">
        <v>2</v>
      </c>
      <c r="U1365">
        <v>10</v>
      </c>
      <c r="V1365">
        <v>4</v>
      </c>
      <c r="W1365">
        <v>0</v>
      </c>
      <c r="X1365">
        <v>9</v>
      </c>
      <c r="Y1365">
        <v>14</v>
      </c>
      <c r="Z1365">
        <f>IF(H_A[[#This Row],[Attrition]]="Yes",1,0)</f>
        <v>0</v>
      </c>
      <c r="AA1365" t="str">
        <f>IF(H_A[[#This Row],[Age]]&lt;30,"Young",IF(H_A[[#This Row],[Age]]&lt;45,"Mid","Senior"))</f>
        <v>Mid</v>
      </c>
      <c r="AB1365" t="str">
        <f>IF(H_A[[#This Row],[MonthlyIncome]]&lt;5000,"Low",IF(H_A[[#This Row],[MonthlyIncome]]&lt;10000,"Medium","High"))</f>
        <v>Medium</v>
      </c>
      <c r="AC1365" t="str">
        <f>IF(H_A[[#This Row],[YearsAtCompany]]&lt;3,"Early",IF(H_A[[#This Row],[YearsAtCompany]]&lt;7,"Mid","Long"))</f>
        <v>Long</v>
      </c>
      <c r="AD1365" t="str">
        <f>IF(H_A[[#This Row],[PercentSalaryHike]]&lt;13,"Low",IF(H_A[[#This Row],[PercentSalaryHike]]&lt;18,"Medium","High"))</f>
        <v>Medium</v>
      </c>
    </row>
    <row r="1366" spans="1:41" x14ac:dyDescent="0.3">
      <c r="A1366">
        <v>28</v>
      </c>
      <c r="B1366">
        <v>1927</v>
      </c>
      <c r="C1366" t="s">
        <v>36</v>
      </c>
      <c r="D1366" t="s">
        <v>31</v>
      </c>
      <c r="E1366">
        <v>1</v>
      </c>
      <c r="F1366">
        <v>2</v>
      </c>
      <c r="G1366" t="s">
        <v>32</v>
      </c>
      <c r="H1366">
        <v>3</v>
      </c>
      <c r="I1366" t="s">
        <v>38</v>
      </c>
      <c r="J1366">
        <v>2</v>
      </c>
      <c r="K1366">
        <v>2</v>
      </c>
      <c r="L1366" t="s">
        <v>34</v>
      </c>
      <c r="M1366">
        <v>4</v>
      </c>
      <c r="N1366" t="s">
        <v>40</v>
      </c>
      <c r="O1366">
        <v>6834</v>
      </c>
      <c r="P1366">
        <v>1</v>
      </c>
      <c r="Q1366" t="s">
        <v>30</v>
      </c>
      <c r="R1366">
        <v>3</v>
      </c>
      <c r="S1366">
        <v>7</v>
      </c>
      <c r="T1366">
        <v>3</v>
      </c>
      <c r="U1366">
        <v>7</v>
      </c>
      <c r="V1366">
        <v>7</v>
      </c>
      <c r="W1366">
        <v>0</v>
      </c>
      <c r="X1366">
        <v>7</v>
      </c>
      <c r="Y1366">
        <v>12</v>
      </c>
      <c r="Z1366">
        <f>IF(H_A[[#This Row],[Attrition]]="Yes",1,0)</f>
        <v>0</v>
      </c>
      <c r="AA1366" t="str">
        <f>IF(H_A[[#This Row],[Age]]&lt;30,"Young",IF(H_A[[#This Row],[Age]]&lt;45,"Mid","Senior"))</f>
        <v>Young</v>
      </c>
      <c r="AB1366" t="str">
        <f>IF(H_A[[#This Row],[MonthlyIncome]]&lt;5000,"Low",IF(H_A[[#This Row],[MonthlyIncome]]&lt;10000,"Medium","High"))</f>
        <v>Medium</v>
      </c>
      <c r="AC1366" t="str">
        <f>IF(H_A[[#This Row],[YearsAtCompany]]&lt;3,"Early",IF(H_A[[#This Row],[YearsAtCompany]]&lt;7,"Mid","Long"))</f>
        <v>Long</v>
      </c>
      <c r="AD1366" t="str">
        <f>IF(H_A[[#This Row],[PercentSalaryHike]]&lt;13,"Low",IF(H_A[[#This Row],[PercentSalaryHike]]&lt;18,"Medium","High"))</f>
        <v>Low</v>
      </c>
    </row>
    <row r="1367" spans="1:41" ht="15" thickBot="1" x14ac:dyDescent="0.35">
      <c r="A1367">
        <v>29</v>
      </c>
      <c r="B1367">
        <v>1928</v>
      </c>
      <c r="C1367" t="s">
        <v>30</v>
      </c>
      <c r="D1367" t="s">
        <v>31</v>
      </c>
      <c r="E1367">
        <v>24</v>
      </c>
      <c r="F1367">
        <v>3</v>
      </c>
      <c r="G1367" t="s">
        <v>51</v>
      </c>
      <c r="H1367">
        <v>3</v>
      </c>
      <c r="I1367" t="s">
        <v>38</v>
      </c>
      <c r="J1367">
        <v>4</v>
      </c>
      <c r="K1367">
        <v>1</v>
      </c>
      <c r="L1367" t="s">
        <v>48</v>
      </c>
      <c r="M1367">
        <v>1</v>
      </c>
      <c r="N1367" t="s">
        <v>35</v>
      </c>
      <c r="O1367">
        <v>1091</v>
      </c>
      <c r="P1367">
        <v>1</v>
      </c>
      <c r="Q1367" t="s">
        <v>36</v>
      </c>
      <c r="R1367">
        <v>4</v>
      </c>
      <c r="S1367">
        <v>1</v>
      </c>
      <c r="T1367">
        <v>3</v>
      </c>
      <c r="U1367">
        <v>1</v>
      </c>
      <c r="V1367">
        <v>0</v>
      </c>
      <c r="W1367">
        <v>0</v>
      </c>
      <c r="X1367">
        <v>0</v>
      </c>
      <c r="Y1367">
        <v>17</v>
      </c>
      <c r="Z1367">
        <f>IF(H_A[[#This Row],[Attrition]]="Yes",1,0)</f>
        <v>1</v>
      </c>
      <c r="AA1367" t="str">
        <f>IF(H_A[[#This Row],[Age]]&lt;30,"Young",IF(H_A[[#This Row],[Age]]&lt;45,"Mid","Senior"))</f>
        <v>Young</v>
      </c>
      <c r="AB1367" t="str">
        <f>IF(H_A[[#This Row],[MonthlyIncome]]&lt;5000,"Low",IF(H_A[[#This Row],[MonthlyIncome]]&lt;10000,"Medium","High"))</f>
        <v>Low</v>
      </c>
      <c r="AC1367" t="str">
        <f>IF(H_A[[#This Row],[YearsAtCompany]]&lt;3,"Early",IF(H_A[[#This Row],[YearsAtCompany]]&lt;7,"Mid","Long"))</f>
        <v>Early</v>
      </c>
      <c r="AD1367" t="str">
        <f>IF(H_A[[#This Row],[PercentSalaryHike]]&lt;13,"Low",IF(H_A[[#This Row],[PercentSalaryHike]]&lt;18,"Medium","High"))</f>
        <v>Medium</v>
      </c>
    </row>
    <row r="1368" spans="1:41" x14ac:dyDescent="0.3">
      <c r="A1368">
        <v>39</v>
      </c>
      <c r="B1368">
        <v>1929</v>
      </c>
      <c r="C1368" t="s">
        <v>36</v>
      </c>
      <c r="D1368" t="s">
        <v>31</v>
      </c>
      <c r="E1368">
        <v>21</v>
      </c>
      <c r="F1368">
        <v>4</v>
      </c>
      <c r="G1368" t="s">
        <v>32</v>
      </c>
      <c r="H1368">
        <v>1</v>
      </c>
      <c r="I1368" t="s">
        <v>33</v>
      </c>
      <c r="J1368">
        <v>1</v>
      </c>
      <c r="K1368">
        <v>2</v>
      </c>
      <c r="L1368" t="s">
        <v>34</v>
      </c>
      <c r="M1368">
        <v>3</v>
      </c>
      <c r="N1368" t="s">
        <v>40</v>
      </c>
      <c r="O1368">
        <v>5736</v>
      </c>
      <c r="P1368">
        <v>6</v>
      </c>
      <c r="Q1368" t="s">
        <v>36</v>
      </c>
      <c r="R1368">
        <v>3</v>
      </c>
      <c r="S1368">
        <v>10</v>
      </c>
      <c r="T1368">
        <v>3</v>
      </c>
      <c r="U1368">
        <v>3</v>
      </c>
      <c r="V1368">
        <v>2</v>
      </c>
      <c r="W1368">
        <v>1</v>
      </c>
      <c r="X1368">
        <v>2</v>
      </c>
      <c r="Y1368">
        <v>19</v>
      </c>
      <c r="Z1368">
        <f>IF(H_A[[#This Row],[Attrition]]="Yes",1,0)</f>
        <v>0</v>
      </c>
      <c r="AA1368" t="str">
        <f>IF(H_A[[#This Row],[Age]]&lt;30,"Young",IF(H_A[[#This Row],[Age]]&lt;45,"Mid","Senior"))</f>
        <v>Mid</v>
      </c>
      <c r="AB1368" t="str">
        <f>IF(H_A[[#This Row],[MonthlyIncome]]&lt;5000,"Low",IF(H_A[[#This Row],[MonthlyIncome]]&lt;10000,"Medium","High"))</f>
        <v>Medium</v>
      </c>
      <c r="AC1368" t="str">
        <f>IF(H_A[[#This Row],[YearsAtCompany]]&lt;3,"Early",IF(H_A[[#This Row],[YearsAtCompany]]&lt;7,"Mid","Long"))</f>
        <v>Mid</v>
      </c>
      <c r="AD1368" t="str">
        <f>IF(H_A[[#This Row],[PercentSalaryHike]]&lt;13,"Low",IF(H_A[[#This Row],[PercentSalaryHike]]&lt;18,"Medium","High"))</f>
        <v>High</v>
      </c>
      <c r="AO1368" s="4">
        <v>1</v>
      </c>
    </row>
    <row r="1369" spans="1:41" x14ac:dyDescent="0.3">
      <c r="A1369">
        <v>27</v>
      </c>
      <c r="B1369">
        <v>1931</v>
      </c>
      <c r="C1369" t="s">
        <v>36</v>
      </c>
      <c r="D1369" t="s">
        <v>37</v>
      </c>
      <c r="E1369">
        <v>2</v>
      </c>
      <c r="F1369">
        <v>4</v>
      </c>
      <c r="G1369" t="s">
        <v>51</v>
      </c>
      <c r="H1369">
        <v>2</v>
      </c>
      <c r="I1369" t="s">
        <v>38</v>
      </c>
      <c r="J1369">
        <v>3</v>
      </c>
      <c r="K1369">
        <v>1</v>
      </c>
      <c r="L1369" t="s">
        <v>39</v>
      </c>
      <c r="M1369">
        <v>2</v>
      </c>
      <c r="N1369" t="s">
        <v>40</v>
      </c>
      <c r="O1369">
        <v>2226</v>
      </c>
      <c r="P1369">
        <v>1</v>
      </c>
      <c r="Q1369" t="s">
        <v>36</v>
      </c>
      <c r="R1369">
        <v>3</v>
      </c>
      <c r="S1369">
        <v>6</v>
      </c>
      <c r="T1369">
        <v>2</v>
      </c>
      <c r="U1369">
        <v>5</v>
      </c>
      <c r="V1369">
        <v>3</v>
      </c>
      <c r="W1369">
        <v>1</v>
      </c>
      <c r="X1369">
        <v>2</v>
      </c>
      <c r="Y1369">
        <v>11</v>
      </c>
      <c r="Z1369">
        <f>IF(H_A[[#This Row],[Attrition]]="Yes",1,0)</f>
        <v>0</v>
      </c>
      <c r="AA1369" t="str">
        <f>IF(H_A[[#This Row],[Age]]&lt;30,"Young",IF(H_A[[#This Row],[Age]]&lt;45,"Mid","Senior"))</f>
        <v>Young</v>
      </c>
      <c r="AB1369" t="str">
        <f>IF(H_A[[#This Row],[MonthlyIncome]]&lt;5000,"Low",IF(H_A[[#This Row],[MonthlyIncome]]&lt;10000,"Medium","High"))</f>
        <v>Low</v>
      </c>
      <c r="AC1369" t="str">
        <f>IF(H_A[[#This Row],[YearsAtCompany]]&lt;3,"Early",IF(H_A[[#This Row],[YearsAtCompany]]&lt;7,"Mid","Long"))</f>
        <v>Mid</v>
      </c>
      <c r="AD1369" t="str">
        <f>IF(H_A[[#This Row],[PercentSalaryHike]]&lt;13,"Low",IF(H_A[[#This Row],[PercentSalaryHike]]&lt;18,"Medium","High"))</f>
        <v>Low</v>
      </c>
      <c r="AO1369" s="5">
        <v>2</v>
      </c>
    </row>
    <row r="1370" spans="1:41" x14ac:dyDescent="0.3">
      <c r="A1370">
        <v>34</v>
      </c>
      <c r="B1370">
        <v>1932</v>
      </c>
      <c r="C1370" t="s">
        <v>36</v>
      </c>
      <c r="D1370" t="s">
        <v>37</v>
      </c>
      <c r="E1370">
        <v>22</v>
      </c>
      <c r="F1370">
        <v>4</v>
      </c>
      <c r="G1370" t="s">
        <v>41</v>
      </c>
      <c r="H1370">
        <v>3</v>
      </c>
      <c r="I1370" t="s">
        <v>38</v>
      </c>
      <c r="J1370">
        <v>2</v>
      </c>
      <c r="K1370">
        <v>2</v>
      </c>
      <c r="L1370" t="s">
        <v>39</v>
      </c>
      <c r="M1370">
        <v>4</v>
      </c>
      <c r="N1370" t="s">
        <v>40</v>
      </c>
      <c r="O1370">
        <v>5747</v>
      </c>
      <c r="P1370">
        <v>1</v>
      </c>
      <c r="Q1370" t="s">
        <v>30</v>
      </c>
      <c r="R1370">
        <v>2</v>
      </c>
      <c r="S1370">
        <v>16</v>
      </c>
      <c r="T1370">
        <v>3</v>
      </c>
      <c r="U1370">
        <v>15</v>
      </c>
      <c r="V1370">
        <v>10</v>
      </c>
      <c r="W1370">
        <v>6</v>
      </c>
      <c r="X1370">
        <v>11</v>
      </c>
      <c r="Y1370">
        <v>15</v>
      </c>
      <c r="Z1370">
        <f>IF(H_A[[#This Row],[Attrition]]="Yes",1,0)</f>
        <v>0</v>
      </c>
      <c r="AA1370" t="str">
        <f>IF(H_A[[#This Row],[Age]]&lt;30,"Young",IF(H_A[[#This Row],[Age]]&lt;45,"Mid","Senior"))</f>
        <v>Mid</v>
      </c>
      <c r="AB1370" t="str">
        <f>IF(H_A[[#This Row],[MonthlyIncome]]&lt;5000,"Low",IF(H_A[[#This Row],[MonthlyIncome]]&lt;10000,"Medium","High"))</f>
        <v>Medium</v>
      </c>
      <c r="AC1370" t="str">
        <f>IF(H_A[[#This Row],[YearsAtCompany]]&lt;3,"Early",IF(H_A[[#This Row],[YearsAtCompany]]&lt;7,"Mid","Long"))</f>
        <v>Long</v>
      </c>
      <c r="AD1370" t="str">
        <f>IF(H_A[[#This Row],[PercentSalaryHike]]&lt;13,"Low",IF(H_A[[#This Row],[PercentSalaryHike]]&lt;18,"Medium","High"))</f>
        <v>Medium</v>
      </c>
      <c r="AO1370" s="7">
        <v>36934</v>
      </c>
    </row>
    <row r="1371" spans="1:41" x14ac:dyDescent="0.3">
      <c r="A1371">
        <v>28</v>
      </c>
      <c r="B1371">
        <v>1933</v>
      </c>
      <c r="C1371" t="s">
        <v>30</v>
      </c>
      <c r="D1371" t="s">
        <v>31</v>
      </c>
      <c r="E1371">
        <v>13</v>
      </c>
      <c r="F1371">
        <v>2</v>
      </c>
      <c r="G1371" t="s">
        <v>50</v>
      </c>
      <c r="H1371">
        <v>4</v>
      </c>
      <c r="I1371" t="s">
        <v>33</v>
      </c>
      <c r="J1371">
        <v>3</v>
      </c>
      <c r="K1371">
        <v>2</v>
      </c>
      <c r="L1371" t="s">
        <v>34</v>
      </c>
      <c r="M1371">
        <v>3</v>
      </c>
      <c r="N1371" t="s">
        <v>35</v>
      </c>
      <c r="O1371">
        <v>9854</v>
      </c>
      <c r="P1371">
        <v>3</v>
      </c>
      <c r="Q1371" t="s">
        <v>30</v>
      </c>
      <c r="R1371">
        <v>4</v>
      </c>
      <c r="S1371">
        <v>6</v>
      </c>
      <c r="T1371">
        <v>3</v>
      </c>
      <c r="U1371">
        <v>2</v>
      </c>
      <c r="V1371">
        <v>0</v>
      </c>
      <c r="W1371">
        <v>2</v>
      </c>
      <c r="X1371">
        <v>2</v>
      </c>
      <c r="Y1371">
        <v>11</v>
      </c>
      <c r="Z1371">
        <f>IF(H_A[[#This Row],[Attrition]]="Yes",1,0)</f>
        <v>1</v>
      </c>
      <c r="AA1371" t="str">
        <f>IF(H_A[[#This Row],[Age]]&lt;30,"Young",IF(H_A[[#This Row],[Age]]&lt;45,"Mid","Senior"))</f>
        <v>Young</v>
      </c>
      <c r="AB1371" t="str">
        <f>IF(H_A[[#This Row],[MonthlyIncome]]&lt;5000,"Low",IF(H_A[[#This Row],[MonthlyIncome]]&lt;10000,"Medium","High"))</f>
        <v>Medium</v>
      </c>
      <c r="AC1371" t="str">
        <f>IF(H_A[[#This Row],[YearsAtCompany]]&lt;3,"Early",IF(H_A[[#This Row],[YearsAtCompany]]&lt;7,"Mid","Long"))</f>
        <v>Early</v>
      </c>
      <c r="AD1371" t="str">
        <f>IF(H_A[[#This Row],[PercentSalaryHike]]&lt;13,"Low",IF(H_A[[#This Row],[PercentSalaryHike]]&lt;18,"Medium","High"))</f>
        <v>Low</v>
      </c>
      <c r="AO1371" s="5" t="s">
        <v>79</v>
      </c>
    </row>
    <row r="1372" spans="1:41" x14ac:dyDescent="0.3">
      <c r="A1372">
        <v>47</v>
      </c>
      <c r="B1372">
        <v>1934</v>
      </c>
      <c r="C1372" t="s">
        <v>36</v>
      </c>
      <c r="D1372" t="s">
        <v>37</v>
      </c>
      <c r="E1372">
        <v>14</v>
      </c>
      <c r="F1372">
        <v>4</v>
      </c>
      <c r="G1372" t="s">
        <v>51</v>
      </c>
      <c r="H1372">
        <v>3</v>
      </c>
      <c r="I1372" t="s">
        <v>38</v>
      </c>
      <c r="J1372">
        <v>3</v>
      </c>
      <c r="K1372">
        <v>2</v>
      </c>
      <c r="L1372" t="s">
        <v>39</v>
      </c>
      <c r="M1372">
        <v>2</v>
      </c>
      <c r="N1372" t="s">
        <v>40</v>
      </c>
      <c r="O1372">
        <v>5467</v>
      </c>
      <c r="P1372">
        <v>8</v>
      </c>
      <c r="Q1372" t="s">
        <v>36</v>
      </c>
      <c r="R1372">
        <v>3</v>
      </c>
      <c r="S1372">
        <v>16</v>
      </c>
      <c r="T1372">
        <v>4</v>
      </c>
      <c r="U1372">
        <v>8</v>
      </c>
      <c r="V1372">
        <v>7</v>
      </c>
      <c r="W1372">
        <v>1</v>
      </c>
      <c r="X1372">
        <v>7</v>
      </c>
      <c r="Y1372">
        <v>18</v>
      </c>
      <c r="Z1372">
        <f>IF(H_A[[#This Row],[Attrition]]="Yes",1,0)</f>
        <v>0</v>
      </c>
      <c r="AA1372" t="str">
        <f>IF(H_A[[#This Row],[Age]]&lt;30,"Young",IF(H_A[[#This Row],[Age]]&lt;45,"Mid","Senior"))</f>
        <v>Senior</v>
      </c>
      <c r="AB1372" t="str">
        <f>IF(H_A[[#This Row],[MonthlyIncome]]&lt;5000,"Low",IF(H_A[[#This Row],[MonthlyIncome]]&lt;10000,"Medium","High"))</f>
        <v>Medium</v>
      </c>
      <c r="AC1372" t="str">
        <f>IF(H_A[[#This Row],[YearsAtCompany]]&lt;3,"Early",IF(H_A[[#This Row],[YearsAtCompany]]&lt;7,"Mid","Long"))</f>
        <v>Long</v>
      </c>
      <c r="AD1372" t="str">
        <f>IF(H_A[[#This Row],[PercentSalaryHike]]&lt;13,"Low",IF(H_A[[#This Row],[PercentSalaryHike]]&lt;18,"Medium","High"))</f>
        <v>High</v>
      </c>
      <c r="AO1372" s="5">
        <v>5</v>
      </c>
    </row>
    <row r="1373" spans="1:41" x14ac:dyDescent="0.3">
      <c r="A1373">
        <v>56</v>
      </c>
      <c r="B1373">
        <v>1935</v>
      </c>
      <c r="C1373" t="s">
        <v>36</v>
      </c>
      <c r="D1373" t="s">
        <v>31</v>
      </c>
      <c r="E1373">
        <v>11</v>
      </c>
      <c r="F1373">
        <v>5</v>
      </c>
      <c r="G1373" t="s">
        <v>50</v>
      </c>
      <c r="H1373">
        <v>4</v>
      </c>
      <c r="I1373" t="s">
        <v>33</v>
      </c>
      <c r="J1373">
        <v>2</v>
      </c>
      <c r="K1373">
        <v>2</v>
      </c>
      <c r="L1373" t="s">
        <v>34</v>
      </c>
      <c r="M1373">
        <v>1</v>
      </c>
      <c r="N1373" t="s">
        <v>40</v>
      </c>
      <c r="O1373">
        <v>5380</v>
      </c>
      <c r="P1373">
        <v>4</v>
      </c>
      <c r="Q1373" t="s">
        <v>36</v>
      </c>
      <c r="R1373">
        <v>3</v>
      </c>
      <c r="S1373">
        <v>6</v>
      </c>
      <c r="T1373">
        <v>3</v>
      </c>
      <c r="U1373">
        <v>0</v>
      </c>
      <c r="V1373">
        <v>0</v>
      </c>
      <c r="W1373">
        <v>0</v>
      </c>
      <c r="X1373">
        <v>0</v>
      </c>
      <c r="Y1373">
        <v>16</v>
      </c>
      <c r="Z1373">
        <f>IF(H_A[[#This Row],[Attrition]]="Yes",1,0)</f>
        <v>0</v>
      </c>
      <c r="AA1373" t="str">
        <f>IF(H_A[[#This Row],[Age]]&lt;30,"Young",IF(H_A[[#This Row],[Age]]&lt;45,"Mid","Senior"))</f>
        <v>Senior</v>
      </c>
      <c r="AB1373" t="str">
        <f>IF(H_A[[#This Row],[MonthlyIncome]]&lt;5000,"Low",IF(H_A[[#This Row],[MonthlyIncome]]&lt;10000,"Medium","High"))</f>
        <v>Medium</v>
      </c>
      <c r="AC1373" t="str">
        <f>IF(H_A[[#This Row],[YearsAtCompany]]&lt;3,"Early",IF(H_A[[#This Row],[YearsAtCompany]]&lt;7,"Mid","Long"))</f>
        <v>Early</v>
      </c>
      <c r="AD1373" t="str">
        <f>IF(H_A[[#This Row],[PercentSalaryHike]]&lt;13,"Low",IF(H_A[[#This Row],[PercentSalaryHike]]&lt;18,"Medium","High"))</f>
        <v>Medium</v>
      </c>
      <c r="AO1373" s="5"/>
    </row>
    <row r="1374" spans="1:41" x14ac:dyDescent="0.3">
      <c r="A1374">
        <v>39</v>
      </c>
      <c r="B1374">
        <v>1936</v>
      </c>
      <c r="C1374" t="s">
        <v>36</v>
      </c>
      <c r="D1374" t="s">
        <v>37</v>
      </c>
      <c r="E1374">
        <v>9</v>
      </c>
      <c r="F1374">
        <v>2</v>
      </c>
      <c r="G1374" t="s">
        <v>43</v>
      </c>
      <c r="H1374">
        <v>1</v>
      </c>
      <c r="I1374" t="s">
        <v>38</v>
      </c>
      <c r="J1374">
        <v>3</v>
      </c>
      <c r="K1374">
        <v>2</v>
      </c>
      <c r="L1374" t="s">
        <v>45</v>
      </c>
      <c r="M1374">
        <v>1</v>
      </c>
      <c r="N1374" t="s">
        <v>40</v>
      </c>
      <c r="O1374">
        <v>5151</v>
      </c>
      <c r="P1374">
        <v>1</v>
      </c>
      <c r="Q1374" t="s">
        <v>36</v>
      </c>
      <c r="R1374">
        <v>4</v>
      </c>
      <c r="S1374">
        <v>10</v>
      </c>
      <c r="T1374">
        <v>3</v>
      </c>
      <c r="U1374">
        <v>10</v>
      </c>
      <c r="V1374">
        <v>0</v>
      </c>
      <c r="W1374">
        <v>7</v>
      </c>
      <c r="X1374">
        <v>9</v>
      </c>
      <c r="Y1374">
        <v>25</v>
      </c>
      <c r="Z1374">
        <f>IF(H_A[[#This Row],[Attrition]]="Yes",1,0)</f>
        <v>0</v>
      </c>
      <c r="AA1374" t="str">
        <f>IF(H_A[[#This Row],[Age]]&lt;30,"Young",IF(H_A[[#This Row],[Age]]&lt;45,"Mid","Senior"))</f>
        <v>Mid</v>
      </c>
      <c r="AB1374" t="str">
        <f>IF(H_A[[#This Row],[MonthlyIncome]]&lt;5000,"Low",IF(H_A[[#This Row],[MonthlyIncome]]&lt;10000,"Medium","High"))</f>
        <v>Medium</v>
      </c>
      <c r="AC1374" t="str">
        <f>IF(H_A[[#This Row],[YearsAtCompany]]&lt;3,"Early",IF(H_A[[#This Row],[YearsAtCompany]]&lt;7,"Mid","Long"))</f>
        <v>Long</v>
      </c>
      <c r="AD1374" t="str">
        <f>IF(H_A[[#This Row],[PercentSalaryHike]]&lt;13,"Low",IF(H_A[[#This Row],[PercentSalaryHike]]&lt;18,"Medium","High"))</f>
        <v>High</v>
      </c>
      <c r="AO1374" s="5">
        <v>5</v>
      </c>
    </row>
    <row r="1375" spans="1:41" x14ac:dyDescent="0.3">
      <c r="A1375">
        <v>38</v>
      </c>
      <c r="B1375">
        <v>1937</v>
      </c>
      <c r="C1375" t="s">
        <v>36</v>
      </c>
      <c r="D1375" t="s">
        <v>37</v>
      </c>
      <c r="E1375">
        <v>8</v>
      </c>
      <c r="F1375">
        <v>3</v>
      </c>
      <c r="G1375" t="s">
        <v>43</v>
      </c>
      <c r="H1375">
        <v>4</v>
      </c>
      <c r="I1375" t="s">
        <v>33</v>
      </c>
      <c r="J1375">
        <v>2</v>
      </c>
      <c r="K1375">
        <v>2</v>
      </c>
      <c r="L1375" t="s">
        <v>39</v>
      </c>
      <c r="M1375">
        <v>2</v>
      </c>
      <c r="N1375" t="s">
        <v>44</v>
      </c>
      <c r="O1375">
        <v>2133</v>
      </c>
      <c r="P1375">
        <v>1</v>
      </c>
      <c r="Q1375" t="s">
        <v>30</v>
      </c>
      <c r="R1375">
        <v>3</v>
      </c>
      <c r="S1375">
        <v>20</v>
      </c>
      <c r="T1375">
        <v>3</v>
      </c>
      <c r="U1375">
        <v>20</v>
      </c>
      <c r="V1375">
        <v>11</v>
      </c>
      <c r="W1375">
        <v>0</v>
      </c>
      <c r="X1375">
        <v>7</v>
      </c>
      <c r="Y1375">
        <v>16</v>
      </c>
      <c r="Z1375">
        <f>IF(H_A[[#This Row],[Attrition]]="Yes",1,0)</f>
        <v>0</v>
      </c>
      <c r="AA1375" t="str">
        <f>IF(H_A[[#This Row],[Age]]&lt;30,"Young",IF(H_A[[#This Row],[Age]]&lt;45,"Mid","Senior"))</f>
        <v>Mid</v>
      </c>
      <c r="AB1375" t="str">
        <f>IF(H_A[[#This Row],[MonthlyIncome]]&lt;5000,"Low",IF(H_A[[#This Row],[MonthlyIncome]]&lt;10000,"Medium","High"))</f>
        <v>Low</v>
      </c>
      <c r="AC1375" t="str">
        <f>IF(H_A[[#This Row],[YearsAtCompany]]&lt;3,"Early",IF(H_A[[#This Row],[YearsAtCompany]]&lt;7,"Mid","Long"))</f>
        <v>Long</v>
      </c>
      <c r="AD1375" t="str">
        <f>IF(H_A[[#This Row],[PercentSalaryHike]]&lt;13,"Low",IF(H_A[[#This Row],[PercentSalaryHike]]&lt;18,"Medium","High"))</f>
        <v>Medium</v>
      </c>
      <c r="AO1375" s="5">
        <v>4</v>
      </c>
    </row>
    <row r="1376" spans="1:41" x14ac:dyDescent="0.3">
      <c r="A1376">
        <v>58</v>
      </c>
      <c r="B1376">
        <v>1938</v>
      </c>
      <c r="C1376" t="s">
        <v>36</v>
      </c>
      <c r="D1376" t="s">
        <v>31</v>
      </c>
      <c r="E1376">
        <v>21</v>
      </c>
      <c r="F1376">
        <v>3</v>
      </c>
      <c r="G1376" t="s">
        <v>32</v>
      </c>
      <c r="H1376">
        <v>4</v>
      </c>
      <c r="I1376" t="s">
        <v>33</v>
      </c>
      <c r="J1376">
        <v>3</v>
      </c>
      <c r="K1376">
        <v>4</v>
      </c>
      <c r="L1376" t="s">
        <v>47</v>
      </c>
      <c r="M1376">
        <v>4</v>
      </c>
      <c r="N1376" t="s">
        <v>40</v>
      </c>
      <c r="O1376">
        <v>17875</v>
      </c>
      <c r="P1376">
        <v>4</v>
      </c>
      <c r="Q1376" t="s">
        <v>30</v>
      </c>
      <c r="R1376">
        <v>3</v>
      </c>
      <c r="S1376">
        <v>29</v>
      </c>
      <c r="T1376">
        <v>2</v>
      </c>
      <c r="U1376">
        <v>1</v>
      </c>
      <c r="V1376">
        <v>0</v>
      </c>
      <c r="W1376">
        <v>0</v>
      </c>
      <c r="X1376">
        <v>0</v>
      </c>
      <c r="Y1376">
        <v>13</v>
      </c>
      <c r="Z1376">
        <f>IF(H_A[[#This Row],[Attrition]]="Yes",1,0)</f>
        <v>0</v>
      </c>
      <c r="AA1376" t="str">
        <f>IF(H_A[[#This Row],[Age]]&lt;30,"Young",IF(H_A[[#This Row],[Age]]&lt;45,"Mid","Senior"))</f>
        <v>Senior</v>
      </c>
      <c r="AB1376" t="str">
        <f>IF(H_A[[#This Row],[MonthlyIncome]]&lt;5000,"Low",IF(H_A[[#This Row],[MonthlyIncome]]&lt;10000,"Medium","High"))</f>
        <v>High</v>
      </c>
      <c r="AC1376" t="str">
        <f>IF(H_A[[#This Row],[YearsAtCompany]]&lt;3,"Early",IF(H_A[[#This Row],[YearsAtCompany]]&lt;7,"Mid","Long"))</f>
        <v>Early</v>
      </c>
      <c r="AD1376" t="str">
        <f>IF(H_A[[#This Row],[PercentSalaryHike]]&lt;13,"Low",IF(H_A[[#This Row],[PercentSalaryHike]]&lt;18,"Medium","High"))</f>
        <v>Medium</v>
      </c>
      <c r="AO1376" s="5" t="s">
        <v>80</v>
      </c>
    </row>
    <row r="1377" spans="1:41" x14ac:dyDescent="0.3">
      <c r="A1377">
        <v>32</v>
      </c>
      <c r="B1377">
        <v>1939</v>
      </c>
      <c r="C1377" t="s">
        <v>30</v>
      </c>
      <c r="D1377" t="s">
        <v>37</v>
      </c>
      <c r="E1377">
        <v>5</v>
      </c>
      <c r="F1377">
        <v>2</v>
      </c>
      <c r="G1377" t="s">
        <v>32</v>
      </c>
      <c r="H1377">
        <v>1</v>
      </c>
      <c r="I1377" t="s">
        <v>33</v>
      </c>
      <c r="J1377">
        <v>4</v>
      </c>
      <c r="K1377">
        <v>1</v>
      </c>
      <c r="L1377" t="s">
        <v>39</v>
      </c>
      <c r="M1377">
        <v>3</v>
      </c>
      <c r="N1377" t="s">
        <v>35</v>
      </c>
      <c r="O1377">
        <v>2432</v>
      </c>
      <c r="P1377">
        <v>3</v>
      </c>
      <c r="Q1377" t="s">
        <v>30</v>
      </c>
      <c r="R1377">
        <v>1</v>
      </c>
      <c r="S1377">
        <v>8</v>
      </c>
      <c r="T1377">
        <v>3</v>
      </c>
      <c r="U1377">
        <v>4</v>
      </c>
      <c r="V1377">
        <v>1</v>
      </c>
      <c r="W1377">
        <v>0</v>
      </c>
      <c r="X1377">
        <v>3</v>
      </c>
      <c r="Y1377">
        <v>14</v>
      </c>
      <c r="Z1377">
        <f>IF(H_A[[#This Row],[Attrition]]="Yes",1,0)</f>
        <v>1</v>
      </c>
      <c r="AA1377" t="str">
        <f>IF(H_A[[#This Row],[Age]]&lt;30,"Young",IF(H_A[[#This Row],[Age]]&lt;45,"Mid","Senior"))</f>
        <v>Mid</v>
      </c>
      <c r="AB1377" t="str">
        <f>IF(H_A[[#This Row],[MonthlyIncome]]&lt;5000,"Low",IF(H_A[[#This Row],[MonthlyIncome]]&lt;10000,"Medium","High"))</f>
        <v>Low</v>
      </c>
      <c r="AC1377" t="str">
        <f>IF(H_A[[#This Row],[YearsAtCompany]]&lt;3,"Early",IF(H_A[[#This Row],[YearsAtCompany]]&lt;7,"Mid","Long"))</f>
        <v>Mid</v>
      </c>
      <c r="AD1377" t="str">
        <f>IF(H_A[[#This Row],[PercentSalaryHike]]&lt;13,"Low",IF(H_A[[#This Row],[PercentSalaryHike]]&lt;18,"Medium","High"))</f>
        <v>Medium</v>
      </c>
      <c r="AO1377" s="5" t="s">
        <v>81</v>
      </c>
    </row>
    <row r="1378" spans="1:41" x14ac:dyDescent="0.3">
      <c r="A1378">
        <v>38</v>
      </c>
      <c r="B1378">
        <v>1940</v>
      </c>
      <c r="C1378" t="s">
        <v>36</v>
      </c>
      <c r="D1378" t="s">
        <v>37</v>
      </c>
      <c r="E1378">
        <v>9</v>
      </c>
      <c r="F1378">
        <v>2</v>
      </c>
      <c r="G1378" t="s">
        <v>32</v>
      </c>
      <c r="H1378">
        <v>2</v>
      </c>
      <c r="I1378" t="s">
        <v>38</v>
      </c>
      <c r="J1378">
        <v>3</v>
      </c>
      <c r="K1378">
        <v>1</v>
      </c>
      <c r="L1378" t="s">
        <v>39</v>
      </c>
      <c r="M1378">
        <v>4</v>
      </c>
      <c r="N1378" t="s">
        <v>44</v>
      </c>
      <c r="O1378">
        <v>4771</v>
      </c>
      <c r="P1378">
        <v>2</v>
      </c>
      <c r="Q1378" t="s">
        <v>36</v>
      </c>
      <c r="R1378">
        <v>4</v>
      </c>
      <c r="S1378">
        <v>10</v>
      </c>
      <c r="T1378">
        <v>4</v>
      </c>
      <c r="U1378">
        <v>5</v>
      </c>
      <c r="V1378">
        <v>2</v>
      </c>
      <c r="W1378">
        <v>0</v>
      </c>
      <c r="X1378">
        <v>3</v>
      </c>
      <c r="Y1378">
        <v>19</v>
      </c>
      <c r="Z1378">
        <f>IF(H_A[[#This Row],[Attrition]]="Yes",1,0)</f>
        <v>0</v>
      </c>
      <c r="AA1378" t="str">
        <f>IF(H_A[[#This Row],[Age]]&lt;30,"Young",IF(H_A[[#This Row],[Age]]&lt;45,"Mid","Senior"))</f>
        <v>Mid</v>
      </c>
      <c r="AB1378" t="str">
        <f>IF(H_A[[#This Row],[MonthlyIncome]]&lt;5000,"Low",IF(H_A[[#This Row],[MonthlyIncome]]&lt;10000,"Medium","High"))</f>
        <v>Low</v>
      </c>
      <c r="AC1378" t="str">
        <f>IF(H_A[[#This Row],[YearsAtCompany]]&lt;3,"Early",IF(H_A[[#This Row],[YearsAtCompany]]&lt;7,"Mid","Long"))</f>
        <v>Mid</v>
      </c>
      <c r="AD1378" t="str">
        <f>IF(H_A[[#This Row],[PercentSalaryHike]]&lt;13,"Low",IF(H_A[[#This Row],[PercentSalaryHike]]&lt;18,"Medium","High"))</f>
        <v>High</v>
      </c>
      <c r="AO1378" s="5">
        <v>54</v>
      </c>
    </row>
    <row r="1379" spans="1:41" x14ac:dyDescent="0.3">
      <c r="A1379">
        <v>49</v>
      </c>
      <c r="B1379">
        <v>1941</v>
      </c>
      <c r="C1379" t="s">
        <v>36</v>
      </c>
      <c r="D1379" t="s">
        <v>37</v>
      </c>
      <c r="E1379">
        <v>2</v>
      </c>
      <c r="F1379">
        <v>1</v>
      </c>
      <c r="G1379" t="s">
        <v>32</v>
      </c>
      <c r="H1379">
        <v>2</v>
      </c>
      <c r="I1379" t="s">
        <v>38</v>
      </c>
      <c r="J1379">
        <v>3</v>
      </c>
      <c r="K1379">
        <v>5</v>
      </c>
      <c r="L1379" t="s">
        <v>49</v>
      </c>
      <c r="M1379">
        <v>4</v>
      </c>
      <c r="N1379" t="s">
        <v>40</v>
      </c>
      <c r="O1379">
        <v>19161</v>
      </c>
      <c r="P1379">
        <v>3</v>
      </c>
      <c r="Q1379" t="s">
        <v>36</v>
      </c>
      <c r="R1379">
        <v>4</v>
      </c>
      <c r="S1379">
        <v>28</v>
      </c>
      <c r="T1379">
        <v>3</v>
      </c>
      <c r="U1379">
        <v>5</v>
      </c>
      <c r="V1379">
        <v>4</v>
      </c>
      <c r="W1379">
        <v>4</v>
      </c>
      <c r="X1379">
        <v>3</v>
      </c>
      <c r="Y1379">
        <v>15</v>
      </c>
      <c r="Z1379">
        <f>IF(H_A[[#This Row],[Attrition]]="Yes",1,0)</f>
        <v>0</v>
      </c>
      <c r="AA1379" t="str">
        <f>IF(H_A[[#This Row],[Age]]&lt;30,"Young",IF(H_A[[#This Row],[Age]]&lt;45,"Mid","Senior"))</f>
        <v>Senior</v>
      </c>
      <c r="AB1379" t="str">
        <f>IF(H_A[[#This Row],[MonthlyIncome]]&lt;5000,"Low",IF(H_A[[#This Row],[MonthlyIncome]]&lt;10000,"Medium","High"))</f>
        <v>High</v>
      </c>
      <c r="AC1379" t="str">
        <f>IF(H_A[[#This Row],[YearsAtCompany]]&lt;3,"Early",IF(H_A[[#This Row],[YearsAtCompany]]&lt;7,"Mid","Long"))</f>
        <v>Mid</v>
      </c>
      <c r="AD1379" t="str">
        <f>IF(H_A[[#This Row],[PercentSalaryHike]]&lt;13,"Low",IF(H_A[[#This Row],[PercentSalaryHike]]&lt;18,"Medium","High"))</f>
        <v>Medium</v>
      </c>
      <c r="AO1379" s="5">
        <v>55</v>
      </c>
    </row>
    <row r="1380" spans="1:41" x14ac:dyDescent="0.3">
      <c r="A1380">
        <v>42</v>
      </c>
      <c r="B1380">
        <v>1943</v>
      </c>
      <c r="C1380" t="s">
        <v>36</v>
      </c>
      <c r="D1380" t="s">
        <v>31</v>
      </c>
      <c r="E1380">
        <v>12</v>
      </c>
      <c r="F1380">
        <v>4</v>
      </c>
      <c r="G1380" t="s">
        <v>50</v>
      </c>
      <c r="H1380">
        <v>2</v>
      </c>
      <c r="I1380" t="s">
        <v>38</v>
      </c>
      <c r="J1380">
        <v>3</v>
      </c>
      <c r="K1380">
        <v>2</v>
      </c>
      <c r="L1380" t="s">
        <v>34</v>
      </c>
      <c r="M1380">
        <v>4</v>
      </c>
      <c r="N1380" t="s">
        <v>44</v>
      </c>
      <c r="O1380">
        <v>5087</v>
      </c>
      <c r="P1380">
        <v>3</v>
      </c>
      <c r="Q1380" t="s">
        <v>30</v>
      </c>
      <c r="R1380">
        <v>3</v>
      </c>
      <c r="S1380">
        <v>14</v>
      </c>
      <c r="T1380">
        <v>3</v>
      </c>
      <c r="U1380">
        <v>0</v>
      </c>
      <c r="V1380">
        <v>0</v>
      </c>
      <c r="W1380">
        <v>0</v>
      </c>
      <c r="X1380">
        <v>0</v>
      </c>
      <c r="Y1380">
        <v>12</v>
      </c>
      <c r="Z1380">
        <f>IF(H_A[[#This Row],[Attrition]]="Yes",1,0)</f>
        <v>0</v>
      </c>
      <c r="AA1380" t="str">
        <f>IF(H_A[[#This Row],[Age]]&lt;30,"Young",IF(H_A[[#This Row],[Age]]&lt;45,"Mid","Senior"))</f>
        <v>Mid</v>
      </c>
      <c r="AB1380" t="str">
        <f>IF(H_A[[#This Row],[MonthlyIncome]]&lt;5000,"Low",IF(H_A[[#This Row],[MonthlyIncome]]&lt;10000,"Medium","High"))</f>
        <v>Medium</v>
      </c>
      <c r="AC1380" t="str">
        <f>IF(H_A[[#This Row],[YearsAtCompany]]&lt;3,"Early",IF(H_A[[#This Row],[YearsAtCompany]]&lt;7,"Mid","Long"))</f>
        <v>Early</v>
      </c>
      <c r="AD1380" t="str">
        <f>IF(H_A[[#This Row],[PercentSalaryHike]]&lt;13,"Low",IF(H_A[[#This Row],[PercentSalaryHike]]&lt;18,"Medium","High"))</f>
        <v>Low</v>
      </c>
      <c r="AO1380" s="5"/>
    </row>
    <row r="1381" spans="1:41" x14ac:dyDescent="0.3">
      <c r="A1381">
        <v>27</v>
      </c>
      <c r="B1381">
        <v>1944</v>
      </c>
      <c r="C1381" t="s">
        <v>30</v>
      </c>
      <c r="D1381" t="s">
        <v>52</v>
      </c>
      <c r="E1381">
        <v>22</v>
      </c>
      <c r="F1381">
        <v>3</v>
      </c>
      <c r="G1381" t="s">
        <v>52</v>
      </c>
      <c r="H1381">
        <v>1</v>
      </c>
      <c r="I1381" t="s">
        <v>33</v>
      </c>
      <c r="J1381">
        <v>2</v>
      </c>
      <c r="K1381">
        <v>1</v>
      </c>
      <c r="L1381" t="s">
        <v>52</v>
      </c>
      <c r="M1381">
        <v>2</v>
      </c>
      <c r="N1381" t="s">
        <v>40</v>
      </c>
      <c r="O1381">
        <v>2863</v>
      </c>
      <c r="P1381">
        <v>1</v>
      </c>
      <c r="Q1381" t="s">
        <v>36</v>
      </c>
      <c r="R1381">
        <v>1</v>
      </c>
      <c r="S1381">
        <v>1</v>
      </c>
      <c r="T1381">
        <v>3</v>
      </c>
      <c r="U1381">
        <v>1</v>
      </c>
      <c r="V1381">
        <v>0</v>
      </c>
      <c r="W1381">
        <v>0</v>
      </c>
      <c r="X1381">
        <v>0</v>
      </c>
      <c r="Y1381">
        <v>12</v>
      </c>
      <c r="Z1381">
        <f>IF(H_A[[#This Row],[Attrition]]="Yes",1,0)</f>
        <v>1</v>
      </c>
      <c r="AA1381" t="str">
        <f>IF(H_A[[#This Row],[Age]]&lt;30,"Young",IF(H_A[[#This Row],[Age]]&lt;45,"Mid","Senior"))</f>
        <v>Young</v>
      </c>
      <c r="AB1381" t="str">
        <f>IF(H_A[[#This Row],[MonthlyIncome]]&lt;5000,"Low",IF(H_A[[#This Row],[MonthlyIncome]]&lt;10000,"Medium","High"))</f>
        <v>Low</v>
      </c>
      <c r="AC1381" t="str">
        <f>IF(H_A[[#This Row],[YearsAtCompany]]&lt;3,"Early",IF(H_A[[#This Row],[YearsAtCompany]]&lt;7,"Mid","Long"))</f>
        <v>Early</v>
      </c>
      <c r="AD1381" t="str">
        <f>IF(H_A[[#This Row],[PercentSalaryHike]]&lt;13,"Low",IF(H_A[[#This Row],[PercentSalaryHike]]&lt;18,"Medium","High"))</f>
        <v>Low</v>
      </c>
      <c r="AO1381" s="5"/>
    </row>
    <row r="1382" spans="1:41" x14ac:dyDescent="0.3">
      <c r="A1382">
        <v>35</v>
      </c>
      <c r="B1382">
        <v>1945</v>
      </c>
      <c r="C1382" t="s">
        <v>36</v>
      </c>
      <c r="D1382" t="s">
        <v>31</v>
      </c>
      <c r="E1382">
        <v>18</v>
      </c>
      <c r="F1382">
        <v>4</v>
      </c>
      <c r="G1382" t="s">
        <v>43</v>
      </c>
      <c r="H1382">
        <v>2</v>
      </c>
      <c r="I1382" t="s">
        <v>38</v>
      </c>
      <c r="J1382">
        <v>3</v>
      </c>
      <c r="K1382">
        <v>2</v>
      </c>
      <c r="L1382" t="s">
        <v>34</v>
      </c>
      <c r="M1382">
        <v>1</v>
      </c>
      <c r="N1382" t="s">
        <v>40</v>
      </c>
      <c r="O1382">
        <v>5561</v>
      </c>
      <c r="P1382">
        <v>0</v>
      </c>
      <c r="Q1382" t="s">
        <v>36</v>
      </c>
      <c r="R1382">
        <v>4</v>
      </c>
      <c r="S1382">
        <v>6</v>
      </c>
      <c r="T1382">
        <v>1</v>
      </c>
      <c r="U1382">
        <v>5</v>
      </c>
      <c r="V1382">
        <v>3</v>
      </c>
      <c r="W1382">
        <v>0</v>
      </c>
      <c r="X1382">
        <v>4</v>
      </c>
      <c r="Y1382">
        <v>16</v>
      </c>
      <c r="Z1382">
        <f>IF(H_A[[#This Row],[Attrition]]="Yes",1,0)</f>
        <v>0</v>
      </c>
      <c r="AA1382" t="str">
        <f>IF(H_A[[#This Row],[Age]]&lt;30,"Young",IF(H_A[[#This Row],[Age]]&lt;45,"Mid","Senior"))</f>
        <v>Mid</v>
      </c>
      <c r="AB1382" t="str">
        <f>IF(H_A[[#This Row],[MonthlyIncome]]&lt;5000,"Low",IF(H_A[[#This Row],[MonthlyIncome]]&lt;10000,"Medium","High"))</f>
        <v>Medium</v>
      </c>
      <c r="AC1382" t="str">
        <f>IF(H_A[[#This Row],[YearsAtCompany]]&lt;3,"Early",IF(H_A[[#This Row],[YearsAtCompany]]&lt;7,"Mid","Long"))</f>
        <v>Mid</v>
      </c>
      <c r="AD1382" t="str">
        <f>IF(H_A[[#This Row],[PercentSalaryHike]]&lt;13,"Low",IF(H_A[[#This Row],[PercentSalaryHike]]&lt;18,"Medium","High"))</f>
        <v>Medium</v>
      </c>
      <c r="AO1382" s="5">
        <v>5</v>
      </c>
    </row>
    <row r="1383" spans="1:41" x14ac:dyDescent="0.3">
      <c r="A1383">
        <v>28</v>
      </c>
      <c r="B1383">
        <v>1947</v>
      </c>
      <c r="C1383" t="s">
        <v>36</v>
      </c>
      <c r="D1383" t="s">
        <v>37</v>
      </c>
      <c r="E1383">
        <v>16</v>
      </c>
      <c r="F1383">
        <v>3</v>
      </c>
      <c r="G1383" t="s">
        <v>43</v>
      </c>
      <c r="H1383">
        <v>3</v>
      </c>
      <c r="I1383" t="s">
        <v>38</v>
      </c>
      <c r="J1383">
        <v>3</v>
      </c>
      <c r="K1383">
        <v>1</v>
      </c>
      <c r="L1383" t="s">
        <v>39</v>
      </c>
      <c r="M1383">
        <v>3</v>
      </c>
      <c r="N1383" t="s">
        <v>35</v>
      </c>
      <c r="O1383">
        <v>2144</v>
      </c>
      <c r="P1383">
        <v>1</v>
      </c>
      <c r="Q1383" t="s">
        <v>36</v>
      </c>
      <c r="R1383">
        <v>3</v>
      </c>
      <c r="S1383">
        <v>5</v>
      </c>
      <c r="T1383">
        <v>2</v>
      </c>
      <c r="U1383">
        <v>5</v>
      </c>
      <c r="V1383">
        <v>3</v>
      </c>
      <c r="W1383">
        <v>1</v>
      </c>
      <c r="X1383">
        <v>4</v>
      </c>
      <c r="Y1383">
        <v>14</v>
      </c>
      <c r="Z1383">
        <f>IF(H_A[[#This Row],[Attrition]]="Yes",1,0)</f>
        <v>0</v>
      </c>
      <c r="AA1383" t="str">
        <f>IF(H_A[[#This Row],[Age]]&lt;30,"Young",IF(H_A[[#This Row],[Age]]&lt;45,"Mid","Senior"))</f>
        <v>Young</v>
      </c>
      <c r="AB1383" t="str">
        <f>IF(H_A[[#This Row],[MonthlyIncome]]&lt;5000,"Low",IF(H_A[[#This Row],[MonthlyIncome]]&lt;10000,"Medium","High"))</f>
        <v>Low</v>
      </c>
      <c r="AC1383" t="str">
        <f>IF(H_A[[#This Row],[YearsAtCompany]]&lt;3,"Early",IF(H_A[[#This Row],[YearsAtCompany]]&lt;7,"Mid","Long"))</f>
        <v>Mid</v>
      </c>
      <c r="AD1383" t="str">
        <f>IF(H_A[[#This Row],[PercentSalaryHike]]&lt;13,"Low",IF(H_A[[#This Row],[PercentSalaryHike]]&lt;18,"Medium","High"))</f>
        <v>Medium</v>
      </c>
      <c r="AO1383" s="5">
        <v>5</v>
      </c>
    </row>
    <row r="1384" spans="1:41" ht="15" thickBot="1" x14ac:dyDescent="0.35">
      <c r="A1384">
        <v>31</v>
      </c>
      <c r="B1384">
        <v>1948</v>
      </c>
      <c r="C1384" t="s">
        <v>36</v>
      </c>
      <c r="D1384" t="s">
        <v>37</v>
      </c>
      <c r="E1384">
        <v>3</v>
      </c>
      <c r="F1384">
        <v>2</v>
      </c>
      <c r="G1384" t="s">
        <v>43</v>
      </c>
      <c r="H1384">
        <v>3</v>
      </c>
      <c r="I1384" t="s">
        <v>38</v>
      </c>
      <c r="J1384">
        <v>3</v>
      </c>
      <c r="K1384">
        <v>1</v>
      </c>
      <c r="L1384" t="s">
        <v>39</v>
      </c>
      <c r="M1384">
        <v>1</v>
      </c>
      <c r="N1384" t="s">
        <v>44</v>
      </c>
      <c r="O1384">
        <v>3065</v>
      </c>
      <c r="P1384">
        <v>1</v>
      </c>
      <c r="Q1384" t="s">
        <v>30</v>
      </c>
      <c r="R1384">
        <v>4</v>
      </c>
      <c r="S1384">
        <v>4</v>
      </c>
      <c r="T1384">
        <v>4</v>
      </c>
      <c r="U1384">
        <v>4</v>
      </c>
      <c r="V1384">
        <v>2</v>
      </c>
      <c r="W1384">
        <v>2</v>
      </c>
      <c r="X1384">
        <v>3</v>
      </c>
      <c r="Y1384">
        <v>13</v>
      </c>
      <c r="Z1384">
        <f>IF(H_A[[#This Row],[Attrition]]="Yes",1,0)</f>
        <v>0</v>
      </c>
      <c r="AA1384" t="str">
        <f>IF(H_A[[#This Row],[Age]]&lt;30,"Young",IF(H_A[[#This Row],[Age]]&lt;45,"Mid","Senior"))</f>
        <v>Mid</v>
      </c>
      <c r="AB1384" t="str">
        <f>IF(H_A[[#This Row],[MonthlyIncome]]&lt;5000,"Low",IF(H_A[[#This Row],[MonthlyIncome]]&lt;10000,"Medium","High"))</f>
        <v>Low</v>
      </c>
      <c r="AC1384" t="str">
        <f>IF(H_A[[#This Row],[YearsAtCompany]]&lt;3,"Early",IF(H_A[[#This Row],[YearsAtCompany]]&lt;7,"Mid","Long"))</f>
        <v>Mid</v>
      </c>
      <c r="AD1384" t="str">
        <f>IF(H_A[[#This Row],[PercentSalaryHike]]&lt;13,"Low",IF(H_A[[#This Row],[PercentSalaryHike]]&lt;18,"Medium","High"))</f>
        <v>Medium</v>
      </c>
      <c r="AO1384" s="6">
        <v>5</v>
      </c>
    </row>
    <row r="1385" spans="1:41" x14ac:dyDescent="0.3">
      <c r="A1385">
        <v>36</v>
      </c>
      <c r="B1385">
        <v>1949</v>
      </c>
      <c r="C1385" t="s">
        <v>36</v>
      </c>
      <c r="D1385" t="s">
        <v>37</v>
      </c>
      <c r="E1385">
        <v>9</v>
      </c>
      <c r="F1385">
        <v>4</v>
      </c>
      <c r="G1385" t="s">
        <v>32</v>
      </c>
      <c r="H1385">
        <v>1</v>
      </c>
      <c r="I1385" t="s">
        <v>38</v>
      </c>
      <c r="J1385">
        <v>4</v>
      </c>
      <c r="K1385">
        <v>1</v>
      </c>
      <c r="L1385" t="s">
        <v>42</v>
      </c>
      <c r="M1385">
        <v>2</v>
      </c>
      <c r="N1385" t="s">
        <v>40</v>
      </c>
      <c r="O1385">
        <v>2810</v>
      </c>
      <c r="P1385">
        <v>1</v>
      </c>
      <c r="Q1385" t="s">
        <v>36</v>
      </c>
      <c r="R1385">
        <v>2</v>
      </c>
      <c r="S1385">
        <v>5</v>
      </c>
      <c r="T1385">
        <v>3</v>
      </c>
      <c r="U1385">
        <v>5</v>
      </c>
      <c r="V1385">
        <v>4</v>
      </c>
      <c r="W1385">
        <v>0</v>
      </c>
      <c r="X1385">
        <v>2</v>
      </c>
      <c r="Y1385">
        <v>22</v>
      </c>
      <c r="Z1385">
        <f>IF(H_A[[#This Row],[Attrition]]="Yes",1,0)</f>
        <v>0</v>
      </c>
      <c r="AA1385" t="str">
        <f>IF(H_A[[#This Row],[Age]]&lt;30,"Young",IF(H_A[[#This Row],[Age]]&lt;45,"Mid","Senior"))</f>
        <v>Mid</v>
      </c>
      <c r="AB1385" t="str">
        <f>IF(H_A[[#This Row],[MonthlyIncome]]&lt;5000,"Low",IF(H_A[[#This Row],[MonthlyIncome]]&lt;10000,"Medium","High"))</f>
        <v>Low</v>
      </c>
      <c r="AC1385" t="str">
        <f>IF(H_A[[#This Row],[YearsAtCompany]]&lt;3,"Early",IF(H_A[[#This Row],[YearsAtCompany]]&lt;7,"Mid","Long"))</f>
        <v>Mid</v>
      </c>
      <c r="AD1385" t="str">
        <f>IF(H_A[[#This Row],[PercentSalaryHike]]&lt;13,"Low",IF(H_A[[#This Row],[PercentSalaryHike]]&lt;18,"Medium","High"))</f>
        <v>High</v>
      </c>
    </row>
    <row r="1386" spans="1:41" x14ac:dyDescent="0.3">
      <c r="A1386">
        <v>34</v>
      </c>
      <c r="B1386">
        <v>1950</v>
      </c>
      <c r="C1386" t="s">
        <v>36</v>
      </c>
      <c r="D1386" t="s">
        <v>31</v>
      </c>
      <c r="E1386">
        <v>1</v>
      </c>
      <c r="F1386">
        <v>3</v>
      </c>
      <c r="G1386" t="s">
        <v>50</v>
      </c>
      <c r="H1386">
        <v>1</v>
      </c>
      <c r="I1386" t="s">
        <v>38</v>
      </c>
      <c r="J1386">
        <v>3</v>
      </c>
      <c r="K1386">
        <v>3</v>
      </c>
      <c r="L1386" t="s">
        <v>34</v>
      </c>
      <c r="M1386">
        <v>4</v>
      </c>
      <c r="N1386" t="s">
        <v>35</v>
      </c>
      <c r="O1386">
        <v>9888</v>
      </c>
      <c r="P1386">
        <v>1</v>
      </c>
      <c r="Q1386" t="s">
        <v>36</v>
      </c>
      <c r="R1386">
        <v>1</v>
      </c>
      <c r="S1386">
        <v>14</v>
      </c>
      <c r="T1386">
        <v>2</v>
      </c>
      <c r="U1386">
        <v>14</v>
      </c>
      <c r="V1386">
        <v>8</v>
      </c>
      <c r="W1386">
        <v>2</v>
      </c>
      <c r="X1386">
        <v>1</v>
      </c>
      <c r="Y1386">
        <v>21</v>
      </c>
      <c r="Z1386">
        <f>IF(H_A[[#This Row],[Attrition]]="Yes",1,0)</f>
        <v>0</v>
      </c>
      <c r="AA1386" t="str">
        <f>IF(H_A[[#This Row],[Age]]&lt;30,"Young",IF(H_A[[#This Row],[Age]]&lt;45,"Mid","Senior"))</f>
        <v>Mid</v>
      </c>
      <c r="AB1386" t="str">
        <f>IF(H_A[[#This Row],[MonthlyIncome]]&lt;5000,"Low",IF(H_A[[#This Row],[MonthlyIncome]]&lt;10000,"Medium","High"))</f>
        <v>Medium</v>
      </c>
      <c r="AC1386" t="str">
        <f>IF(H_A[[#This Row],[YearsAtCompany]]&lt;3,"Early",IF(H_A[[#This Row],[YearsAtCompany]]&lt;7,"Mid","Long"))</f>
        <v>Long</v>
      </c>
      <c r="AD1386" t="str">
        <f>IF(H_A[[#This Row],[PercentSalaryHike]]&lt;13,"Low",IF(H_A[[#This Row],[PercentSalaryHike]]&lt;18,"Medium","High"))</f>
        <v>High</v>
      </c>
    </row>
    <row r="1387" spans="1:41" x14ac:dyDescent="0.3">
      <c r="A1387">
        <v>34</v>
      </c>
      <c r="B1387">
        <v>1951</v>
      </c>
      <c r="C1387" t="s">
        <v>36</v>
      </c>
      <c r="D1387" t="s">
        <v>31</v>
      </c>
      <c r="E1387">
        <v>13</v>
      </c>
      <c r="F1387">
        <v>4</v>
      </c>
      <c r="G1387" t="s">
        <v>43</v>
      </c>
      <c r="H1387">
        <v>4</v>
      </c>
      <c r="I1387" t="s">
        <v>38</v>
      </c>
      <c r="J1387">
        <v>3</v>
      </c>
      <c r="K1387">
        <v>3</v>
      </c>
      <c r="L1387" t="s">
        <v>34</v>
      </c>
      <c r="M1387">
        <v>3</v>
      </c>
      <c r="N1387" t="s">
        <v>44</v>
      </c>
      <c r="O1387">
        <v>8628</v>
      </c>
      <c r="P1387">
        <v>1</v>
      </c>
      <c r="Q1387" t="s">
        <v>36</v>
      </c>
      <c r="R1387">
        <v>3</v>
      </c>
      <c r="S1387">
        <v>9</v>
      </c>
      <c r="T1387">
        <v>2</v>
      </c>
      <c r="U1387">
        <v>8</v>
      </c>
      <c r="V1387">
        <v>7</v>
      </c>
      <c r="W1387">
        <v>1</v>
      </c>
      <c r="X1387">
        <v>1</v>
      </c>
      <c r="Y1387">
        <v>18</v>
      </c>
      <c r="Z1387">
        <f>IF(H_A[[#This Row],[Attrition]]="Yes",1,0)</f>
        <v>0</v>
      </c>
      <c r="AA1387" t="str">
        <f>IF(H_A[[#This Row],[Age]]&lt;30,"Young",IF(H_A[[#This Row],[Age]]&lt;45,"Mid","Senior"))</f>
        <v>Mid</v>
      </c>
      <c r="AB1387" t="str">
        <f>IF(H_A[[#This Row],[MonthlyIncome]]&lt;5000,"Low",IF(H_A[[#This Row],[MonthlyIncome]]&lt;10000,"Medium","High"))</f>
        <v>Medium</v>
      </c>
      <c r="AC1387" t="str">
        <f>IF(H_A[[#This Row],[YearsAtCompany]]&lt;3,"Early",IF(H_A[[#This Row],[YearsAtCompany]]&lt;7,"Mid","Long"))</f>
        <v>Long</v>
      </c>
      <c r="AD1387" t="str">
        <f>IF(H_A[[#This Row],[PercentSalaryHike]]&lt;13,"Low",IF(H_A[[#This Row],[PercentSalaryHike]]&lt;18,"Medium","High"))</f>
        <v>High</v>
      </c>
    </row>
    <row r="1388" spans="1:41" x14ac:dyDescent="0.3">
      <c r="A1388">
        <v>26</v>
      </c>
      <c r="B1388">
        <v>1952</v>
      </c>
      <c r="C1388" t="s">
        <v>36</v>
      </c>
      <c r="D1388" t="s">
        <v>37</v>
      </c>
      <c r="E1388">
        <v>1</v>
      </c>
      <c r="F1388">
        <v>3</v>
      </c>
      <c r="G1388" t="s">
        <v>43</v>
      </c>
      <c r="H1388">
        <v>3</v>
      </c>
      <c r="I1388" t="s">
        <v>38</v>
      </c>
      <c r="J1388">
        <v>3</v>
      </c>
      <c r="K1388">
        <v>1</v>
      </c>
      <c r="L1388" t="s">
        <v>42</v>
      </c>
      <c r="M1388">
        <v>1</v>
      </c>
      <c r="N1388" t="s">
        <v>35</v>
      </c>
      <c r="O1388">
        <v>2867</v>
      </c>
      <c r="P1388">
        <v>0</v>
      </c>
      <c r="Q1388" t="s">
        <v>36</v>
      </c>
      <c r="R1388">
        <v>4</v>
      </c>
      <c r="S1388">
        <v>8</v>
      </c>
      <c r="T1388">
        <v>2</v>
      </c>
      <c r="U1388">
        <v>7</v>
      </c>
      <c r="V1388">
        <v>7</v>
      </c>
      <c r="W1388">
        <v>7</v>
      </c>
      <c r="X1388">
        <v>6</v>
      </c>
      <c r="Y1388">
        <v>13</v>
      </c>
      <c r="Z1388">
        <f>IF(H_A[[#This Row],[Attrition]]="Yes",1,0)</f>
        <v>0</v>
      </c>
      <c r="AA1388" t="str">
        <f>IF(H_A[[#This Row],[Age]]&lt;30,"Young",IF(H_A[[#This Row],[Age]]&lt;45,"Mid","Senior"))</f>
        <v>Young</v>
      </c>
      <c r="AB1388" t="str">
        <f>IF(H_A[[#This Row],[MonthlyIncome]]&lt;5000,"Low",IF(H_A[[#This Row],[MonthlyIncome]]&lt;10000,"Medium","High"))</f>
        <v>Low</v>
      </c>
      <c r="AC1388" t="str">
        <f>IF(H_A[[#This Row],[YearsAtCompany]]&lt;3,"Early",IF(H_A[[#This Row],[YearsAtCompany]]&lt;7,"Mid","Long"))</f>
        <v>Long</v>
      </c>
      <c r="AD1388" t="str">
        <f>IF(H_A[[#This Row],[PercentSalaryHike]]&lt;13,"Low",IF(H_A[[#This Row],[PercentSalaryHike]]&lt;18,"Medium","High"))</f>
        <v>Medium</v>
      </c>
    </row>
    <row r="1389" spans="1:41" x14ac:dyDescent="0.3">
      <c r="A1389">
        <v>29</v>
      </c>
      <c r="B1389">
        <v>1954</v>
      </c>
      <c r="C1389" t="s">
        <v>36</v>
      </c>
      <c r="D1389" t="s">
        <v>37</v>
      </c>
      <c r="E1389">
        <v>1</v>
      </c>
      <c r="F1389">
        <v>3</v>
      </c>
      <c r="G1389" t="s">
        <v>32</v>
      </c>
      <c r="H1389">
        <v>1</v>
      </c>
      <c r="I1389" t="s">
        <v>38</v>
      </c>
      <c r="J1389">
        <v>3</v>
      </c>
      <c r="K1389">
        <v>2</v>
      </c>
      <c r="L1389" t="s">
        <v>46</v>
      </c>
      <c r="M1389">
        <v>1</v>
      </c>
      <c r="N1389" t="s">
        <v>40</v>
      </c>
      <c r="O1389">
        <v>5373</v>
      </c>
      <c r="P1389">
        <v>0</v>
      </c>
      <c r="Q1389" t="s">
        <v>36</v>
      </c>
      <c r="R1389">
        <v>1</v>
      </c>
      <c r="S1389">
        <v>6</v>
      </c>
      <c r="T1389">
        <v>2</v>
      </c>
      <c r="U1389">
        <v>5</v>
      </c>
      <c r="V1389">
        <v>3</v>
      </c>
      <c r="W1389">
        <v>0</v>
      </c>
      <c r="X1389">
        <v>2</v>
      </c>
      <c r="Y1389">
        <v>12</v>
      </c>
      <c r="Z1389">
        <f>IF(H_A[[#This Row],[Attrition]]="Yes",1,0)</f>
        <v>0</v>
      </c>
      <c r="AA1389" t="str">
        <f>IF(H_A[[#This Row],[Age]]&lt;30,"Young",IF(H_A[[#This Row],[Age]]&lt;45,"Mid","Senior"))</f>
        <v>Young</v>
      </c>
      <c r="AB1389" t="str">
        <f>IF(H_A[[#This Row],[MonthlyIncome]]&lt;5000,"Low",IF(H_A[[#This Row],[MonthlyIncome]]&lt;10000,"Medium","High"))</f>
        <v>Medium</v>
      </c>
      <c r="AC1389" t="str">
        <f>IF(H_A[[#This Row],[YearsAtCompany]]&lt;3,"Early",IF(H_A[[#This Row],[YearsAtCompany]]&lt;7,"Mid","Long"))</f>
        <v>Mid</v>
      </c>
      <c r="AD1389" t="str">
        <f>IF(H_A[[#This Row],[PercentSalaryHike]]&lt;13,"Low",IF(H_A[[#This Row],[PercentSalaryHike]]&lt;18,"Medium","High"))</f>
        <v>Low</v>
      </c>
    </row>
    <row r="1390" spans="1:41" x14ac:dyDescent="0.3">
      <c r="A1390">
        <v>32</v>
      </c>
      <c r="B1390">
        <v>1955</v>
      </c>
      <c r="C1390" t="s">
        <v>36</v>
      </c>
      <c r="D1390" t="s">
        <v>37</v>
      </c>
      <c r="E1390">
        <v>15</v>
      </c>
      <c r="F1390">
        <v>4</v>
      </c>
      <c r="G1390" t="s">
        <v>43</v>
      </c>
      <c r="H1390">
        <v>3</v>
      </c>
      <c r="I1390" t="s">
        <v>33</v>
      </c>
      <c r="J1390">
        <v>3</v>
      </c>
      <c r="K1390">
        <v>2</v>
      </c>
      <c r="L1390" t="s">
        <v>46</v>
      </c>
      <c r="M1390">
        <v>4</v>
      </c>
      <c r="N1390" t="s">
        <v>44</v>
      </c>
      <c r="O1390">
        <v>6667</v>
      </c>
      <c r="P1390">
        <v>5</v>
      </c>
      <c r="Q1390" t="s">
        <v>36</v>
      </c>
      <c r="R1390">
        <v>2</v>
      </c>
      <c r="S1390">
        <v>9</v>
      </c>
      <c r="T1390">
        <v>3</v>
      </c>
      <c r="U1390">
        <v>5</v>
      </c>
      <c r="V1390">
        <v>1</v>
      </c>
      <c r="W1390">
        <v>1</v>
      </c>
      <c r="X1390">
        <v>2</v>
      </c>
      <c r="Y1390">
        <v>18</v>
      </c>
      <c r="Z1390">
        <f>IF(H_A[[#This Row],[Attrition]]="Yes",1,0)</f>
        <v>0</v>
      </c>
      <c r="AA1390" t="str">
        <f>IF(H_A[[#This Row],[Age]]&lt;30,"Young",IF(H_A[[#This Row],[Age]]&lt;45,"Mid","Senior"))</f>
        <v>Mid</v>
      </c>
      <c r="AB1390" t="str">
        <f>IF(H_A[[#This Row],[MonthlyIncome]]&lt;5000,"Low",IF(H_A[[#This Row],[MonthlyIncome]]&lt;10000,"Medium","High"))</f>
        <v>Medium</v>
      </c>
      <c r="AC1390" t="str">
        <f>IF(H_A[[#This Row],[YearsAtCompany]]&lt;3,"Early",IF(H_A[[#This Row],[YearsAtCompany]]&lt;7,"Mid","Long"))</f>
        <v>Mid</v>
      </c>
      <c r="AD1390" t="str">
        <f>IF(H_A[[#This Row],[PercentSalaryHike]]&lt;13,"Low",IF(H_A[[#This Row],[PercentSalaryHike]]&lt;18,"Medium","High"))</f>
        <v>High</v>
      </c>
    </row>
    <row r="1391" spans="1:41" x14ac:dyDescent="0.3">
      <c r="A1391">
        <v>31</v>
      </c>
      <c r="B1391">
        <v>1956</v>
      </c>
      <c r="C1391" t="s">
        <v>36</v>
      </c>
      <c r="D1391" t="s">
        <v>37</v>
      </c>
      <c r="E1391">
        <v>1</v>
      </c>
      <c r="F1391">
        <v>3</v>
      </c>
      <c r="G1391" t="s">
        <v>32</v>
      </c>
      <c r="H1391">
        <v>4</v>
      </c>
      <c r="I1391" t="s">
        <v>38</v>
      </c>
      <c r="J1391">
        <v>1</v>
      </c>
      <c r="K1391">
        <v>2</v>
      </c>
      <c r="L1391" t="s">
        <v>39</v>
      </c>
      <c r="M1391">
        <v>1</v>
      </c>
      <c r="N1391" t="s">
        <v>40</v>
      </c>
      <c r="O1391">
        <v>5003</v>
      </c>
      <c r="P1391">
        <v>1</v>
      </c>
      <c r="Q1391" t="s">
        <v>36</v>
      </c>
      <c r="R1391">
        <v>2</v>
      </c>
      <c r="S1391">
        <v>10</v>
      </c>
      <c r="T1391">
        <v>3</v>
      </c>
      <c r="U1391">
        <v>10</v>
      </c>
      <c r="V1391">
        <v>8</v>
      </c>
      <c r="W1391">
        <v>8</v>
      </c>
      <c r="X1391">
        <v>7</v>
      </c>
      <c r="Y1391">
        <v>21</v>
      </c>
      <c r="Z1391">
        <f>IF(H_A[[#This Row],[Attrition]]="Yes",1,0)</f>
        <v>0</v>
      </c>
      <c r="AA1391" t="str">
        <f>IF(H_A[[#This Row],[Age]]&lt;30,"Young",IF(H_A[[#This Row],[Age]]&lt;45,"Mid","Senior"))</f>
        <v>Mid</v>
      </c>
      <c r="AB1391" t="str">
        <f>IF(H_A[[#This Row],[MonthlyIncome]]&lt;5000,"Low",IF(H_A[[#This Row],[MonthlyIncome]]&lt;10000,"Medium","High"))</f>
        <v>Medium</v>
      </c>
      <c r="AC1391" t="str">
        <f>IF(H_A[[#This Row],[YearsAtCompany]]&lt;3,"Early",IF(H_A[[#This Row],[YearsAtCompany]]&lt;7,"Mid","Long"))</f>
        <v>Long</v>
      </c>
      <c r="AD1391" t="str">
        <f>IF(H_A[[#This Row],[PercentSalaryHike]]&lt;13,"Low",IF(H_A[[#This Row],[PercentSalaryHike]]&lt;18,"Medium","High"))</f>
        <v>High</v>
      </c>
    </row>
    <row r="1392" spans="1:41" x14ac:dyDescent="0.3">
      <c r="A1392">
        <v>28</v>
      </c>
      <c r="B1392">
        <v>1960</v>
      </c>
      <c r="C1392" t="s">
        <v>30</v>
      </c>
      <c r="D1392" t="s">
        <v>37</v>
      </c>
      <c r="E1392">
        <v>17</v>
      </c>
      <c r="F1392">
        <v>3</v>
      </c>
      <c r="G1392" t="s">
        <v>51</v>
      </c>
      <c r="H1392">
        <v>3</v>
      </c>
      <c r="I1392" t="s">
        <v>38</v>
      </c>
      <c r="J1392">
        <v>2</v>
      </c>
      <c r="K1392">
        <v>1</v>
      </c>
      <c r="L1392" t="s">
        <v>42</v>
      </c>
      <c r="M1392">
        <v>4</v>
      </c>
      <c r="N1392" t="s">
        <v>44</v>
      </c>
      <c r="O1392">
        <v>2367</v>
      </c>
      <c r="P1392">
        <v>5</v>
      </c>
      <c r="Q1392" t="s">
        <v>36</v>
      </c>
      <c r="R1392">
        <v>1</v>
      </c>
      <c r="S1392">
        <v>6</v>
      </c>
      <c r="T1392">
        <v>2</v>
      </c>
      <c r="U1392">
        <v>4</v>
      </c>
      <c r="V1392">
        <v>1</v>
      </c>
      <c r="W1392">
        <v>0</v>
      </c>
      <c r="X1392">
        <v>3</v>
      </c>
      <c r="Y1392">
        <v>12</v>
      </c>
      <c r="Z1392">
        <f>IF(H_A[[#This Row],[Attrition]]="Yes",1,0)</f>
        <v>1</v>
      </c>
      <c r="AA1392" t="str">
        <f>IF(H_A[[#This Row],[Age]]&lt;30,"Young",IF(H_A[[#This Row],[Age]]&lt;45,"Mid","Senior"))</f>
        <v>Young</v>
      </c>
      <c r="AB1392" t="str">
        <f>IF(H_A[[#This Row],[MonthlyIncome]]&lt;5000,"Low",IF(H_A[[#This Row],[MonthlyIncome]]&lt;10000,"Medium","High"))</f>
        <v>Low</v>
      </c>
      <c r="AC1392" t="str">
        <f>IF(H_A[[#This Row],[YearsAtCompany]]&lt;3,"Early",IF(H_A[[#This Row],[YearsAtCompany]]&lt;7,"Mid","Long"))</f>
        <v>Mid</v>
      </c>
      <c r="AD1392" t="str">
        <f>IF(H_A[[#This Row],[PercentSalaryHike]]&lt;13,"Low",IF(H_A[[#This Row],[PercentSalaryHike]]&lt;18,"Medium","High"))</f>
        <v>Low</v>
      </c>
    </row>
    <row r="1393" spans="1:30" x14ac:dyDescent="0.3">
      <c r="A1393">
        <v>38</v>
      </c>
      <c r="B1393">
        <v>1961</v>
      </c>
      <c r="C1393" t="s">
        <v>36</v>
      </c>
      <c r="D1393" t="s">
        <v>31</v>
      </c>
      <c r="E1393">
        <v>1</v>
      </c>
      <c r="F1393">
        <v>3</v>
      </c>
      <c r="G1393" t="s">
        <v>32</v>
      </c>
      <c r="H1393">
        <v>1</v>
      </c>
      <c r="I1393" t="s">
        <v>38</v>
      </c>
      <c r="J1393">
        <v>2</v>
      </c>
      <c r="K1393">
        <v>1</v>
      </c>
      <c r="L1393" t="s">
        <v>48</v>
      </c>
      <c r="M1393">
        <v>1</v>
      </c>
      <c r="N1393" t="s">
        <v>35</v>
      </c>
      <c r="O1393">
        <v>2858</v>
      </c>
      <c r="P1393">
        <v>4</v>
      </c>
      <c r="Q1393" t="s">
        <v>36</v>
      </c>
      <c r="R1393">
        <v>1</v>
      </c>
      <c r="S1393">
        <v>20</v>
      </c>
      <c r="T1393">
        <v>2</v>
      </c>
      <c r="U1393">
        <v>1</v>
      </c>
      <c r="V1393">
        <v>0</v>
      </c>
      <c r="W1393">
        <v>0</v>
      </c>
      <c r="X1393">
        <v>0</v>
      </c>
      <c r="Y1393">
        <v>14</v>
      </c>
      <c r="Z1393">
        <f>IF(H_A[[#This Row],[Attrition]]="Yes",1,0)</f>
        <v>0</v>
      </c>
      <c r="AA1393" t="str">
        <f>IF(H_A[[#This Row],[Age]]&lt;30,"Young",IF(H_A[[#This Row],[Age]]&lt;45,"Mid","Senior"))</f>
        <v>Mid</v>
      </c>
      <c r="AB1393" t="str">
        <f>IF(H_A[[#This Row],[MonthlyIncome]]&lt;5000,"Low",IF(H_A[[#This Row],[MonthlyIncome]]&lt;10000,"Medium","High"))</f>
        <v>Low</v>
      </c>
      <c r="AC1393" t="str">
        <f>IF(H_A[[#This Row],[YearsAtCompany]]&lt;3,"Early",IF(H_A[[#This Row],[YearsAtCompany]]&lt;7,"Mid","Long"))</f>
        <v>Early</v>
      </c>
      <c r="AD1393" t="str">
        <f>IF(H_A[[#This Row],[PercentSalaryHike]]&lt;13,"Low",IF(H_A[[#This Row],[PercentSalaryHike]]&lt;18,"Medium","High"))</f>
        <v>Medium</v>
      </c>
    </row>
    <row r="1394" spans="1:30" x14ac:dyDescent="0.3">
      <c r="A1394">
        <v>35</v>
      </c>
      <c r="B1394">
        <v>1962</v>
      </c>
      <c r="C1394" t="s">
        <v>36</v>
      </c>
      <c r="D1394" t="s">
        <v>31</v>
      </c>
      <c r="E1394">
        <v>7</v>
      </c>
      <c r="F1394">
        <v>4</v>
      </c>
      <c r="G1394" t="s">
        <v>32</v>
      </c>
      <c r="H1394">
        <v>3</v>
      </c>
      <c r="I1394" t="s">
        <v>33</v>
      </c>
      <c r="J1394">
        <v>3</v>
      </c>
      <c r="K1394">
        <v>2</v>
      </c>
      <c r="L1394" t="s">
        <v>34</v>
      </c>
      <c r="M1394">
        <v>4</v>
      </c>
      <c r="N1394" t="s">
        <v>40</v>
      </c>
      <c r="O1394">
        <v>5204</v>
      </c>
      <c r="P1394">
        <v>1</v>
      </c>
      <c r="Q1394" t="s">
        <v>30</v>
      </c>
      <c r="R1394">
        <v>4</v>
      </c>
      <c r="S1394">
        <v>10</v>
      </c>
      <c r="T1394">
        <v>3</v>
      </c>
      <c r="U1394">
        <v>10</v>
      </c>
      <c r="V1394">
        <v>8</v>
      </c>
      <c r="W1394">
        <v>0</v>
      </c>
      <c r="X1394">
        <v>9</v>
      </c>
      <c r="Y1394">
        <v>11</v>
      </c>
      <c r="Z1394">
        <f>IF(H_A[[#This Row],[Attrition]]="Yes",1,0)</f>
        <v>0</v>
      </c>
      <c r="AA1394" t="str">
        <f>IF(H_A[[#This Row],[Age]]&lt;30,"Young",IF(H_A[[#This Row],[Age]]&lt;45,"Mid","Senior"))</f>
        <v>Mid</v>
      </c>
      <c r="AB1394" t="str">
        <f>IF(H_A[[#This Row],[MonthlyIncome]]&lt;5000,"Low",IF(H_A[[#This Row],[MonthlyIncome]]&lt;10000,"Medium","High"))</f>
        <v>Medium</v>
      </c>
      <c r="AC1394" t="str">
        <f>IF(H_A[[#This Row],[YearsAtCompany]]&lt;3,"Early",IF(H_A[[#This Row],[YearsAtCompany]]&lt;7,"Mid","Long"))</f>
        <v>Long</v>
      </c>
      <c r="AD1394" t="str">
        <f>IF(H_A[[#This Row],[PercentSalaryHike]]&lt;13,"Low",IF(H_A[[#This Row],[PercentSalaryHike]]&lt;18,"Medium","High"))</f>
        <v>Low</v>
      </c>
    </row>
    <row r="1395" spans="1:30" x14ac:dyDescent="0.3">
      <c r="A1395">
        <v>27</v>
      </c>
      <c r="B1395">
        <v>1965</v>
      </c>
      <c r="C1395" t="s">
        <v>36</v>
      </c>
      <c r="D1395" t="s">
        <v>31</v>
      </c>
      <c r="E1395">
        <v>9</v>
      </c>
      <c r="F1395">
        <v>3</v>
      </c>
      <c r="G1395" t="s">
        <v>50</v>
      </c>
      <c r="H1395">
        <v>4</v>
      </c>
      <c r="I1395" t="s">
        <v>38</v>
      </c>
      <c r="J1395">
        <v>3</v>
      </c>
      <c r="K1395">
        <v>2</v>
      </c>
      <c r="L1395" t="s">
        <v>34</v>
      </c>
      <c r="M1395">
        <v>4</v>
      </c>
      <c r="N1395" t="s">
        <v>35</v>
      </c>
      <c r="O1395">
        <v>4105</v>
      </c>
      <c r="P1395">
        <v>1</v>
      </c>
      <c r="Q1395" t="s">
        <v>36</v>
      </c>
      <c r="R1395">
        <v>1</v>
      </c>
      <c r="S1395">
        <v>7</v>
      </c>
      <c r="T1395">
        <v>3</v>
      </c>
      <c r="U1395">
        <v>7</v>
      </c>
      <c r="V1395">
        <v>7</v>
      </c>
      <c r="W1395">
        <v>0</v>
      </c>
      <c r="X1395">
        <v>7</v>
      </c>
      <c r="Y1395">
        <v>14</v>
      </c>
      <c r="Z1395">
        <f>IF(H_A[[#This Row],[Attrition]]="Yes",1,0)</f>
        <v>0</v>
      </c>
      <c r="AA1395" t="str">
        <f>IF(H_A[[#This Row],[Age]]&lt;30,"Young",IF(H_A[[#This Row],[Age]]&lt;45,"Mid","Senior"))</f>
        <v>Young</v>
      </c>
      <c r="AB1395" t="str">
        <f>IF(H_A[[#This Row],[MonthlyIncome]]&lt;5000,"Low",IF(H_A[[#This Row],[MonthlyIncome]]&lt;10000,"Medium","High"))</f>
        <v>Low</v>
      </c>
      <c r="AC1395" t="str">
        <f>IF(H_A[[#This Row],[YearsAtCompany]]&lt;3,"Early",IF(H_A[[#This Row],[YearsAtCompany]]&lt;7,"Mid","Long"))</f>
        <v>Long</v>
      </c>
      <c r="AD1395" t="str">
        <f>IF(H_A[[#This Row],[PercentSalaryHike]]&lt;13,"Low",IF(H_A[[#This Row],[PercentSalaryHike]]&lt;18,"Medium","High"))</f>
        <v>Medium</v>
      </c>
    </row>
    <row r="1396" spans="1:30" x14ac:dyDescent="0.3">
      <c r="A1396">
        <v>32</v>
      </c>
      <c r="B1396">
        <v>1966</v>
      </c>
      <c r="C1396" t="s">
        <v>36</v>
      </c>
      <c r="D1396" t="s">
        <v>37</v>
      </c>
      <c r="E1396">
        <v>5</v>
      </c>
      <c r="F1396">
        <v>4</v>
      </c>
      <c r="G1396" t="s">
        <v>32</v>
      </c>
      <c r="H1396">
        <v>4</v>
      </c>
      <c r="I1396" t="s">
        <v>38</v>
      </c>
      <c r="J1396">
        <v>2</v>
      </c>
      <c r="K1396">
        <v>2</v>
      </c>
      <c r="L1396" t="s">
        <v>45</v>
      </c>
      <c r="M1396">
        <v>4</v>
      </c>
      <c r="N1396" t="s">
        <v>35</v>
      </c>
      <c r="O1396">
        <v>9679</v>
      </c>
      <c r="P1396">
        <v>8</v>
      </c>
      <c r="Q1396" t="s">
        <v>36</v>
      </c>
      <c r="R1396">
        <v>2</v>
      </c>
      <c r="S1396">
        <v>8</v>
      </c>
      <c r="T1396">
        <v>3</v>
      </c>
      <c r="U1396">
        <v>1</v>
      </c>
      <c r="V1396">
        <v>0</v>
      </c>
      <c r="W1396">
        <v>0</v>
      </c>
      <c r="X1396">
        <v>0</v>
      </c>
      <c r="Y1396">
        <v>24</v>
      </c>
      <c r="Z1396">
        <f>IF(H_A[[#This Row],[Attrition]]="Yes",1,0)</f>
        <v>0</v>
      </c>
      <c r="AA1396" t="str">
        <f>IF(H_A[[#This Row],[Age]]&lt;30,"Young",IF(H_A[[#This Row],[Age]]&lt;45,"Mid","Senior"))</f>
        <v>Mid</v>
      </c>
      <c r="AB1396" t="str">
        <f>IF(H_A[[#This Row],[MonthlyIncome]]&lt;5000,"Low",IF(H_A[[#This Row],[MonthlyIncome]]&lt;10000,"Medium","High"))</f>
        <v>Medium</v>
      </c>
      <c r="AC1396" t="str">
        <f>IF(H_A[[#This Row],[YearsAtCompany]]&lt;3,"Early",IF(H_A[[#This Row],[YearsAtCompany]]&lt;7,"Mid","Long"))</f>
        <v>Early</v>
      </c>
      <c r="AD1396" t="str">
        <f>IF(H_A[[#This Row],[PercentSalaryHike]]&lt;13,"Low",IF(H_A[[#This Row],[PercentSalaryHike]]&lt;18,"Medium","High"))</f>
        <v>High</v>
      </c>
    </row>
    <row r="1397" spans="1:30" x14ac:dyDescent="0.3">
      <c r="A1397">
        <v>31</v>
      </c>
      <c r="B1397">
        <v>1967</v>
      </c>
      <c r="C1397" t="s">
        <v>30</v>
      </c>
      <c r="D1397" t="s">
        <v>31</v>
      </c>
      <c r="E1397">
        <v>26</v>
      </c>
      <c r="F1397">
        <v>4</v>
      </c>
      <c r="G1397" t="s">
        <v>50</v>
      </c>
      <c r="H1397">
        <v>1</v>
      </c>
      <c r="I1397" t="s">
        <v>38</v>
      </c>
      <c r="J1397">
        <v>3</v>
      </c>
      <c r="K1397">
        <v>2</v>
      </c>
      <c r="L1397" t="s">
        <v>34</v>
      </c>
      <c r="M1397">
        <v>4</v>
      </c>
      <c r="N1397" t="s">
        <v>40</v>
      </c>
      <c r="O1397">
        <v>5617</v>
      </c>
      <c r="P1397">
        <v>1</v>
      </c>
      <c r="Q1397" t="s">
        <v>30</v>
      </c>
      <c r="R1397">
        <v>3</v>
      </c>
      <c r="S1397">
        <v>10</v>
      </c>
      <c r="T1397">
        <v>3</v>
      </c>
      <c r="U1397">
        <v>10</v>
      </c>
      <c r="V1397">
        <v>7</v>
      </c>
      <c r="W1397">
        <v>0</v>
      </c>
      <c r="X1397">
        <v>8</v>
      </c>
      <c r="Y1397">
        <v>11</v>
      </c>
      <c r="Z1397">
        <f>IF(H_A[[#This Row],[Attrition]]="Yes",1,0)</f>
        <v>1</v>
      </c>
      <c r="AA1397" t="str">
        <f>IF(H_A[[#This Row],[Age]]&lt;30,"Young",IF(H_A[[#This Row],[Age]]&lt;45,"Mid","Senior"))</f>
        <v>Mid</v>
      </c>
      <c r="AB1397" t="str">
        <f>IF(H_A[[#This Row],[MonthlyIncome]]&lt;5000,"Low",IF(H_A[[#This Row],[MonthlyIncome]]&lt;10000,"Medium","High"))</f>
        <v>Medium</v>
      </c>
      <c r="AC1397" t="str">
        <f>IF(H_A[[#This Row],[YearsAtCompany]]&lt;3,"Early",IF(H_A[[#This Row],[YearsAtCompany]]&lt;7,"Mid","Long"))</f>
        <v>Long</v>
      </c>
      <c r="AD1397" t="str">
        <f>IF(H_A[[#This Row],[PercentSalaryHike]]&lt;13,"Low",IF(H_A[[#This Row],[PercentSalaryHike]]&lt;18,"Medium","High"))</f>
        <v>Low</v>
      </c>
    </row>
    <row r="1398" spans="1:30" x14ac:dyDescent="0.3">
      <c r="A1398">
        <v>53</v>
      </c>
      <c r="B1398">
        <v>1968</v>
      </c>
      <c r="C1398" t="s">
        <v>30</v>
      </c>
      <c r="D1398" t="s">
        <v>31</v>
      </c>
      <c r="E1398">
        <v>24</v>
      </c>
      <c r="F1398">
        <v>4</v>
      </c>
      <c r="G1398" t="s">
        <v>32</v>
      </c>
      <c r="H1398">
        <v>1</v>
      </c>
      <c r="I1398" t="s">
        <v>38</v>
      </c>
      <c r="J1398">
        <v>3</v>
      </c>
      <c r="K1398">
        <v>3</v>
      </c>
      <c r="L1398" t="s">
        <v>34</v>
      </c>
      <c r="M1398">
        <v>1</v>
      </c>
      <c r="N1398" t="s">
        <v>35</v>
      </c>
      <c r="O1398">
        <v>10448</v>
      </c>
      <c r="P1398">
        <v>6</v>
      </c>
      <c r="Q1398" t="s">
        <v>30</v>
      </c>
      <c r="R1398">
        <v>2</v>
      </c>
      <c r="S1398">
        <v>15</v>
      </c>
      <c r="T1398">
        <v>2</v>
      </c>
      <c r="U1398">
        <v>2</v>
      </c>
      <c r="V1398">
        <v>2</v>
      </c>
      <c r="W1398">
        <v>2</v>
      </c>
      <c r="X1398">
        <v>2</v>
      </c>
      <c r="Y1398">
        <v>13</v>
      </c>
      <c r="Z1398">
        <f>IF(H_A[[#This Row],[Attrition]]="Yes",1,0)</f>
        <v>1</v>
      </c>
      <c r="AA1398" t="str">
        <f>IF(H_A[[#This Row],[Age]]&lt;30,"Young",IF(H_A[[#This Row],[Age]]&lt;45,"Mid","Senior"))</f>
        <v>Senior</v>
      </c>
      <c r="AB1398" t="str">
        <f>IF(H_A[[#This Row],[MonthlyIncome]]&lt;5000,"Low",IF(H_A[[#This Row],[MonthlyIncome]]&lt;10000,"Medium","High"))</f>
        <v>High</v>
      </c>
      <c r="AC1398" t="str">
        <f>IF(H_A[[#This Row],[YearsAtCompany]]&lt;3,"Early",IF(H_A[[#This Row],[YearsAtCompany]]&lt;7,"Mid","Long"))</f>
        <v>Early</v>
      </c>
      <c r="AD1398" t="str">
        <f>IF(H_A[[#This Row],[PercentSalaryHike]]&lt;13,"Low",IF(H_A[[#This Row],[PercentSalaryHike]]&lt;18,"Medium","High"))</f>
        <v>Medium</v>
      </c>
    </row>
    <row r="1399" spans="1:30" x14ac:dyDescent="0.3">
      <c r="A1399">
        <v>54</v>
      </c>
      <c r="B1399">
        <v>1969</v>
      </c>
      <c r="C1399" t="s">
        <v>36</v>
      </c>
      <c r="D1399" t="s">
        <v>37</v>
      </c>
      <c r="E1399">
        <v>9</v>
      </c>
      <c r="F1399">
        <v>2</v>
      </c>
      <c r="G1399" t="s">
        <v>32</v>
      </c>
      <c r="H1399">
        <v>1</v>
      </c>
      <c r="I1399" t="s">
        <v>33</v>
      </c>
      <c r="J1399">
        <v>3</v>
      </c>
      <c r="K1399">
        <v>2</v>
      </c>
      <c r="L1399" t="s">
        <v>39</v>
      </c>
      <c r="M1399">
        <v>3</v>
      </c>
      <c r="N1399" t="s">
        <v>40</v>
      </c>
      <c r="O1399">
        <v>2897</v>
      </c>
      <c r="P1399">
        <v>3</v>
      </c>
      <c r="Q1399" t="s">
        <v>36</v>
      </c>
      <c r="R1399">
        <v>3</v>
      </c>
      <c r="S1399">
        <v>9</v>
      </c>
      <c r="T1399">
        <v>2</v>
      </c>
      <c r="U1399">
        <v>4</v>
      </c>
      <c r="V1399">
        <v>3</v>
      </c>
      <c r="W1399">
        <v>2</v>
      </c>
      <c r="X1399">
        <v>3</v>
      </c>
      <c r="Y1399">
        <v>11</v>
      </c>
      <c r="Z1399">
        <f>IF(H_A[[#This Row],[Attrition]]="Yes",1,0)</f>
        <v>0</v>
      </c>
      <c r="AA1399" t="str">
        <f>IF(H_A[[#This Row],[Age]]&lt;30,"Young",IF(H_A[[#This Row],[Age]]&lt;45,"Mid","Senior"))</f>
        <v>Senior</v>
      </c>
      <c r="AB1399" t="str">
        <f>IF(H_A[[#This Row],[MonthlyIncome]]&lt;5000,"Low",IF(H_A[[#This Row],[MonthlyIncome]]&lt;10000,"Medium","High"))</f>
        <v>Low</v>
      </c>
      <c r="AC1399" t="str">
        <f>IF(H_A[[#This Row],[YearsAtCompany]]&lt;3,"Early",IF(H_A[[#This Row],[YearsAtCompany]]&lt;7,"Mid","Long"))</f>
        <v>Mid</v>
      </c>
      <c r="AD1399" t="str">
        <f>IF(H_A[[#This Row],[PercentSalaryHike]]&lt;13,"Low",IF(H_A[[#This Row],[PercentSalaryHike]]&lt;18,"Medium","High"))</f>
        <v>Low</v>
      </c>
    </row>
    <row r="1400" spans="1:30" x14ac:dyDescent="0.3">
      <c r="A1400">
        <v>33</v>
      </c>
      <c r="B1400">
        <v>1970</v>
      </c>
      <c r="C1400" t="s">
        <v>36</v>
      </c>
      <c r="D1400" t="s">
        <v>37</v>
      </c>
      <c r="E1400">
        <v>7</v>
      </c>
      <c r="F1400">
        <v>2</v>
      </c>
      <c r="G1400" t="s">
        <v>32</v>
      </c>
      <c r="H1400">
        <v>4</v>
      </c>
      <c r="I1400" t="s">
        <v>38</v>
      </c>
      <c r="J1400">
        <v>3</v>
      </c>
      <c r="K1400">
        <v>2</v>
      </c>
      <c r="L1400" t="s">
        <v>46</v>
      </c>
      <c r="M1400">
        <v>3</v>
      </c>
      <c r="N1400" t="s">
        <v>44</v>
      </c>
      <c r="O1400">
        <v>5968</v>
      </c>
      <c r="P1400">
        <v>1</v>
      </c>
      <c r="Q1400" t="s">
        <v>36</v>
      </c>
      <c r="R1400">
        <v>3</v>
      </c>
      <c r="S1400">
        <v>9</v>
      </c>
      <c r="T1400">
        <v>3</v>
      </c>
      <c r="U1400">
        <v>9</v>
      </c>
      <c r="V1400">
        <v>7</v>
      </c>
      <c r="W1400">
        <v>2</v>
      </c>
      <c r="X1400">
        <v>8</v>
      </c>
      <c r="Y1400">
        <v>20</v>
      </c>
      <c r="Z1400">
        <f>IF(H_A[[#This Row],[Attrition]]="Yes",1,0)</f>
        <v>0</v>
      </c>
      <c r="AA1400" t="str">
        <f>IF(H_A[[#This Row],[Age]]&lt;30,"Young",IF(H_A[[#This Row],[Age]]&lt;45,"Mid","Senior"))</f>
        <v>Mid</v>
      </c>
      <c r="AB1400" t="str">
        <f>IF(H_A[[#This Row],[MonthlyIncome]]&lt;5000,"Low",IF(H_A[[#This Row],[MonthlyIncome]]&lt;10000,"Medium","High"))</f>
        <v>Medium</v>
      </c>
      <c r="AC1400" t="str">
        <f>IF(H_A[[#This Row],[YearsAtCompany]]&lt;3,"Early",IF(H_A[[#This Row],[YearsAtCompany]]&lt;7,"Mid","Long"))</f>
        <v>Long</v>
      </c>
      <c r="AD1400" t="str">
        <f>IF(H_A[[#This Row],[PercentSalaryHike]]&lt;13,"Low",IF(H_A[[#This Row],[PercentSalaryHike]]&lt;18,"Medium","High"))</f>
        <v>High</v>
      </c>
    </row>
    <row r="1401" spans="1:30" x14ac:dyDescent="0.3">
      <c r="A1401">
        <v>43</v>
      </c>
      <c r="B1401">
        <v>1971</v>
      </c>
      <c r="C1401" t="s">
        <v>36</v>
      </c>
      <c r="D1401" t="s">
        <v>37</v>
      </c>
      <c r="E1401">
        <v>11</v>
      </c>
      <c r="F1401">
        <v>3</v>
      </c>
      <c r="G1401" t="s">
        <v>32</v>
      </c>
      <c r="H1401">
        <v>1</v>
      </c>
      <c r="I1401" t="s">
        <v>38</v>
      </c>
      <c r="J1401">
        <v>3</v>
      </c>
      <c r="K1401">
        <v>3</v>
      </c>
      <c r="L1401" t="s">
        <v>46</v>
      </c>
      <c r="M1401">
        <v>3</v>
      </c>
      <c r="N1401" t="s">
        <v>40</v>
      </c>
      <c r="O1401">
        <v>7510</v>
      </c>
      <c r="P1401">
        <v>1</v>
      </c>
      <c r="Q1401" t="s">
        <v>36</v>
      </c>
      <c r="R1401">
        <v>2</v>
      </c>
      <c r="S1401">
        <v>10</v>
      </c>
      <c r="T1401">
        <v>3</v>
      </c>
      <c r="U1401">
        <v>10</v>
      </c>
      <c r="V1401">
        <v>9</v>
      </c>
      <c r="W1401">
        <v>0</v>
      </c>
      <c r="X1401">
        <v>9</v>
      </c>
      <c r="Y1401">
        <v>17</v>
      </c>
      <c r="Z1401">
        <f>IF(H_A[[#This Row],[Attrition]]="Yes",1,0)</f>
        <v>0</v>
      </c>
      <c r="AA1401" t="str">
        <f>IF(H_A[[#This Row],[Age]]&lt;30,"Young",IF(H_A[[#This Row],[Age]]&lt;45,"Mid","Senior"))</f>
        <v>Mid</v>
      </c>
      <c r="AB1401" t="str">
        <f>IF(H_A[[#This Row],[MonthlyIncome]]&lt;5000,"Low",IF(H_A[[#This Row],[MonthlyIncome]]&lt;10000,"Medium","High"))</f>
        <v>Medium</v>
      </c>
      <c r="AC1401" t="str">
        <f>IF(H_A[[#This Row],[YearsAtCompany]]&lt;3,"Early",IF(H_A[[#This Row],[YearsAtCompany]]&lt;7,"Mid","Long"))</f>
        <v>Long</v>
      </c>
      <c r="AD1401" t="str">
        <f>IF(H_A[[#This Row],[PercentSalaryHike]]&lt;13,"Low",IF(H_A[[#This Row],[PercentSalaryHike]]&lt;18,"Medium","High"))</f>
        <v>Medium</v>
      </c>
    </row>
    <row r="1402" spans="1:30" x14ac:dyDescent="0.3">
      <c r="A1402">
        <v>38</v>
      </c>
      <c r="B1402">
        <v>1972</v>
      </c>
      <c r="C1402" t="s">
        <v>36</v>
      </c>
      <c r="D1402" t="s">
        <v>52</v>
      </c>
      <c r="E1402">
        <v>1</v>
      </c>
      <c r="F1402">
        <v>4</v>
      </c>
      <c r="G1402" t="s">
        <v>41</v>
      </c>
      <c r="H1402">
        <v>4</v>
      </c>
      <c r="I1402" t="s">
        <v>38</v>
      </c>
      <c r="J1402">
        <v>3</v>
      </c>
      <c r="K1402">
        <v>1</v>
      </c>
      <c r="L1402" t="s">
        <v>52</v>
      </c>
      <c r="M1402">
        <v>2</v>
      </c>
      <c r="N1402" t="s">
        <v>40</v>
      </c>
      <c r="O1402">
        <v>2991</v>
      </c>
      <c r="P1402">
        <v>0</v>
      </c>
      <c r="Q1402" t="s">
        <v>30</v>
      </c>
      <c r="R1402">
        <v>2</v>
      </c>
      <c r="S1402">
        <v>7</v>
      </c>
      <c r="T1402">
        <v>3</v>
      </c>
      <c r="U1402">
        <v>6</v>
      </c>
      <c r="V1402">
        <v>2</v>
      </c>
      <c r="W1402">
        <v>1</v>
      </c>
      <c r="X1402">
        <v>2</v>
      </c>
      <c r="Y1402">
        <v>11</v>
      </c>
      <c r="Z1402">
        <f>IF(H_A[[#This Row],[Attrition]]="Yes",1,0)</f>
        <v>0</v>
      </c>
      <c r="AA1402" t="str">
        <f>IF(H_A[[#This Row],[Age]]&lt;30,"Young",IF(H_A[[#This Row],[Age]]&lt;45,"Mid","Senior"))</f>
        <v>Mid</v>
      </c>
      <c r="AB1402" t="str">
        <f>IF(H_A[[#This Row],[MonthlyIncome]]&lt;5000,"Low",IF(H_A[[#This Row],[MonthlyIncome]]&lt;10000,"Medium","High"))</f>
        <v>Low</v>
      </c>
      <c r="AC1402" t="str">
        <f>IF(H_A[[#This Row],[YearsAtCompany]]&lt;3,"Early",IF(H_A[[#This Row],[YearsAtCompany]]&lt;7,"Mid","Long"))</f>
        <v>Mid</v>
      </c>
      <c r="AD1402" t="str">
        <f>IF(H_A[[#This Row],[PercentSalaryHike]]&lt;13,"Low",IF(H_A[[#This Row],[PercentSalaryHike]]&lt;18,"Medium","High"))</f>
        <v>Low</v>
      </c>
    </row>
    <row r="1403" spans="1:30" x14ac:dyDescent="0.3">
      <c r="A1403">
        <v>55</v>
      </c>
      <c r="B1403">
        <v>1973</v>
      </c>
      <c r="C1403" t="s">
        <v>36</v>
      </c>
      <c r="D1403" t="s">
        <v>52</v>
      </c>
      <c r="E1403">
        <v>26</v>
      </c>
      <c r="F1403">
        <v>4</v>
      </c>
      <c r="G1403" t="s">
        <v>52</v>
      </c>
      <c r="H1403">
        <v>3</v>
      </c>
      <c r="I1403" t="s">
        <v>38</v>
      </c>
      <c r="J1403">
        <v>4</v>
      </c>
      <c r="K1403">
        <v>5</v>
      </c>
      <c r="L1403" t="s">
        <v>47</v>
      </c>
      <c r="M1403">
        <v>2</v>
      </c>
      <c r="N1403" t="s">
        <v>40</v>
      </c>
      <c r="O1403">
        <v>19636</v>
      </c>
      <c r="P1403">
        <v>4</v>
      </c>
      <c r="Q1403" t="s">
        <v>30</v>
      </c>
      <c r="R1403">
        <v>1</v>
      </c>
      <c r="S1403">
        <v>35</v>
      </c>
      <c r="T1403">
        <v>3</v>
      </c>
      <c r="U1403">
        <v>10</v>
      </c>
      <c r="V1403">
        <v>9</v>
      </c>
      <c r="W1403">
        <v>1</v>
      </c>
      <c r="X1403">
        <v>4</v>
      </c>
      <c r="Y1403">
        <v>18</v>
      </c>
      <c r="Z1403">
        <f>IF(H_A[[#This Row],[Attrition]]="Yes",1,0)</f>
        <v>0</v>
      </c>
      <c r="AA1403" t="str">
        <f>IF(H_A[[#This Row],[Age]]&lt;30,"Young",IF(H_A[[#This Row],[Age]]&lt;45,"Mid","Senior"))</f>
        <v>Senior</v>
      </c>
      <c r="AB1403" t="str">
        <f>IF(H_A[[#This Row],[MonthlyIncome]]&lt;5000,"Low",IF(H_A[[#This Row],[MonthlyIncome]]&lt;10000,"Medium","High"))</f>
        <v>High</v>
      </c>
      <c r="AC1403" t="str">
        <f>IF(H_A[[#This Row],[YearsAtCompany]]&lt;3,"Early",IF(H_A[[#This Row],[YearsAtCompany]]&lt;7,"Mid","Long"))</f>
        <v>Long</v>
      </c>
      <c r="AD1403" t="str">
        <f>IF(H_A[[#This Row],[PercentSalaryHike]]&lt;13,"Low",IF(H_A[[#This Row],[PercentSalaryHike]]&lt;18,"Medium","High"))</f>
        <v>High</v>
      </c>
    </row>
    <row r="1404" spans="1:30" x14ac:dyDescent="0.3">
      <c r="A1404">
        <v>31</v>
      </c>
      <c r="B1404">
        <v>1974</v>
      </c>
      <c r="C1404" t="s">
        <v>36</v>
      </c>
      <c r="D1404" t="s">
        <v>37</v>
      </c>
      <c r="E1404">
        <v>2</v>
      </c>
      <c r="F1404">
        <v>1</v>
      </c>
      <c r="G1404" t="s">
        <v>43</v>
      </c>
      <c r="H1404">
        <v>4</v>
      </c>
      <c r="I1404" t="s">
        <v>33</v>
      </c>
      <c r="J1404">
        <v>1</v>
      </c>
      <c r="K1404">
        <v>1</v>
      </c>
      <c r="L1404" t="s">
        <v>42</v>
      </c>
      <c r="M1404">
        <v>4</v>
      </c>
      <c r="N1404" t="s">
        <v>44</v>
      </c>
      <c r="O1404">
        <v>1129</v>
      </c>
      <c r="P1404">
        <v>1</v>
      </c>
      <c r="Q1404" t="s">
        <v>30</v>
      </c>
      <c r="R1404">
        <v>3</v>
      </c>
      <c r="S1404">
        <v>1</v>
      </c>
      <c r="T1404">
        <v>3</v>
      </c>
      <c r="U1404">
        <v>1</v>
      </c>
      <c r="V1404">
        <v>0</v>
      </c>
      <c r="W1404">
        <v>0</v>
      </c>
      <c r="X1404">
        <v>0</v>
      </c>
      <c r="Y1404">
        <v>11</v>
      </c>
      <c r="Z1404">
        <f>IF(H_A[[#This Row],[Attrition]]="Yes",1,0)</f>
        <v>0</v>
      </c>
      <c r="AA1404" t="str">
        <f>IF(H_A[[#This Row],[Age]]&lt;30,"Young",IF(H_A[[#This Row],[Age]]&lt;45,"Mid","Senior"))</f>
        <v>Mid</v>
      </c>
      <c r="AB1404" t="str">
        <f>IF(H_A[[#This Row],[MonthlyIncome]]&lt;5000,"Low",IF(H_A[[#This Row],[MonthlyIncome]]&lt;10000,"Medium","High"))</f>
        <v>Low</v>
      </c>
      <c r="AC1404" t="str">
        <f>IF(H_A[[#This Row],[YearsAtCompany]]&lt;3,"Early",IF(H_A[[#This Row],[YearsAtCompany]]&lt;7,"Mid","Long"))</f>
        <v>Early</v>
      </c>
      <c r="AD1404" t="str">
        <f>IF(H_A[[#This Row],[PercentSalaryHike]]&lt;13,"Low",IF(H_A[[#This Row],[PercentSalaryHike]]&lt;18,"Medium","High"))</f>
        <v>Low</v>
      </c>
    </row>
    <row r="1405" spans="1:30" x14ac:dyDescent="0.3">
      <c r="A1405">
        <v>39</v>
      </c>
      <c r="B1405">
        <v>1975</v>
      </c>
      <c r="C1405" t="s">
        <v>36</v>
      </c>
      <c r="D1405" t="s">
        <v>31</v>
      </c>
      <c r="E1405">
        <v>15</v>
      </c>
      <c r="F1405">
        <v>4</v>
      </c>
      <c r="G1405" t="s">
        <v>50</v>
      </c>
      <c r="H1405">
        <v>2</v>
      </c>
      <c r="I1405" t="s">
        <v>38</v>
      </c>
      <c r="J1405">
        <v>3</v>
      </c>
      <c r="K1405">
        <v>4</v>
      </c>
      <c r="L1405" t="s">
        <v>34</v>
      </c>
      <c r="M1405">
        <v>1</v>
      </c>
      <c r="N1405" t="s">
        <v>35</v>
      </c>
      <c r="O1405">
        <v>13341</v>
      </c>
      <c r="P1405">
        <v>0</v>
      </c>
      <c r="Q1405" t="s">
        <v>36</v>
      </c>
      <c r="R1405">
        <v>1</v>
      </c>
      <c r="S1405">
        <v>21</v>
      </c>
      <c r="T1405">
        <v>3</v>
      </c>
      <c r="U1405">
        <v>20</v>
      </c>
      <c r="V1405">
        <v>8</v>
      </c>
      <c r="W1405">
        <v>11</v>
      </c>
      <c r="X1405">
        <v>10</v>
      </c>
      <c r="Y1405">
        <v>12</v>
      </c>
      <c r="Z1405">
        <f>IF(H_A[[#This Row],[Attrition]]="Yes",1,0)</f>
        <v>0</v>
      </c>
      <c r="AA1405" t="str">
        <f>IF(H_A[[#This Row],[Age]]&lt;30,"Young",IF(H_A[[#This Row],[Age]]&lt;45,"Mid","Senior"))</f>
        <v>Mid</v>
      </c>
      <c r="AB1405" t="str">
        <f>IF(H_A[[#This Row],[MonthlyIncome]]&lt;5000,"Low",IF(H_A[[#This Row],[MonthlyIncome]]&lt;10000,"Medium","High"))</f>
        <v>High</v>
      </c>
      <c r="AC1405" t="str">
        <f>IF(H_A[[#This Row],[YearsAtCompany]]&lt;3,"Early",IF(H_A[[#This Row],[YearsAtCompany]]&lt;7,"Mid","Long"))</f>
        <v>Long</v>
      </c>
      <c r="AD1405" t="str">
        <f>IF(H_A[[#This Row],[PercentSalaryHike]]&lt;13,"Low",IF(H_A[[#This Row],[PercentSalaryHike]]&lt;18,"Medium","High"))</f>
        <v>Low</v>
      </c>
    </row>
    <row r="1406" spans="1:30" x14ac:dyDescent="0.3">
      <c r="A1406">
        <v>42</v>
      </c>
      <c r="B1406">
        <v>1976</v>
      </c>
      <c r="C1406" t="s">
        <v>36</v>
      </c>
      <c r="D1406" t="s">
        <v>37</v>
      </c>
      <c r="E1406">
        <v>23</v>
      </c>
      <c r="F1406">
        <v>2</v>
      </c>
      <c r="G1406" t="s">
        <v>32</v>
      </c>
      <c r="H1406">
        <v>4</v>
      </c>
      <c r="I1406" t="s">
        <v>38</v>
      </c>
      <c r="J1406">
        <v>2</v>
      </c>
      <c r="K1406">
        <v>2</v>
      </c>
      <c r="L1406" t="s">
        <v>39</v>
      </c>
      <c r="M1406">
        <v>3</v>
      </c>
      <c r="N1406" t="s">
        <v>35</v>
      </c>
      <c r="O1406">
        <v>4332</v>
      </c>
      <c r="P1406">
        <v>1</v>
      </c>
      <c r="Q1406" t="s">
        <v>36</v>
      </c>
      <c r="R1406">
        <v>4</v>
      </c>
      <c r="S1406">
        <v>20</v>
      </c>
      <c r="T1406">
        <v>3</v>
      </c>
      <c r="U1406">
        <v>20</v>
      </c>
      <c r="V1406">
        <v>9</v>
      </c>
      <c r="W1406">
        <v>3</v>
      </c>
      <c r="X1406">
        <v>7</v>
      </c>
      <c r="Y1406">
        <v>12</v>
      </c>
      <c r="Z1406">
        <f>IF(H_A[[#This Row],[Attrition]]="Yes",1,0)</f>
        <v>0</v>
      </c>
      <c r="AA1406" t="str">
        <f>IF(H_A[[#This Row],[Age]]&lt;30,"Young",IF(H_A[[#This Row],[Age]]&lt;45,"Mid","Senior"))</f>
        <v>Mid</v>
      </c>
      <c r="AB1406" t="str">
        <f>IF(H_A[[#This Row],[MonthlyIncome]]&lt;5000,"Low",IF(H_A[[#This Row],[MonthlyIncome]]&lt;10000,"Medium","High"))</f>
        <v>Low</v>
      </c>
      <c r="AC1406" t="str">
        <f>IF(H_A[[#This Row],[YearsAtCompany]]&lt;3,"Early",IF(H_A[[#This Row],[YearsAtCompany]]&lt;7,"Mid","Long"))</f>
        <v>Long</v>
      </c>
      <c r="AD1406" t="str">
        <f>IF(H_A[[#This Row],[PercentSalaryHike]]&lt;13,"Low",IF(H_A[[#This Row],[PercentSalaryHike]]&lt;18,"Medium","High"))</f>
        <v>Low</v>
      </c>
    </row>
    <row r="1407" spans="1:30" x14ac:dyDescent="0.3">
      <c r="A1407">
        <v>31</v>
      </c>
      <c r="B1407">
        <v>1979</v>
      </c>
      <c r="C1407" t="s">
        <v>36</v>
      </c>
      <c r="D1407" t="s">
        <v>37</v>
      </c>
      <c r="E1407">
        <v>10</v>
      </c>
      <c r="F1407">
        <v>3</v>
      </c>
      <c r="G1407" t="s">
        <v>43</v>
      </c>
      <c r="H1407">
        <v>3</v>
      </c>
      <c r="I1407" t="s">
        <v>33</v>
      </c>
      <c r="J1407">
        <v>3</v>
      </c>
      <c r="K1407">
        <v>3</v>
      </c>
      <c r="L1407" t="s">
        <v>49</v>
      </c>
      <c r="M1407">
        <v>3</v>
      </c>
      <c r="N1407" t="s">
        <v>40</v>
      </c>
      <c r="O1407">
        <v>11031</v>
      </c>
      <c r="P1407">
        <v>4</v>
      </c>
      <c r="Q1407" t="s">
        <v>36</v>
      </c>
      <c r="R1407">
        <v>3</v>
      </c>
      <c r="S1407">
        <v>13</v>
      </c>
      <c r="T1407">
        <v>4</v>
      </c>
      <c r="U1407">
        <v>11</v>
      </c>
      <c r="V1407">
        <v>7</v>
      </c>
      <c r="W1407">
        <v>4</v>
      </c>
      <c r="X1407">
        <v>8</v>
      </c>
      <c r="Y1407">
        <v>20</v>
      </c>
      <c r="Z1407">
        <f>IF(H_A[[#This Row],[Attrition]]="Yes",1,0)</f>
        <v>0</v>
      </c>
      <c r="AA1407" t="str">
        <f>IF(H_A[[#This Row],[Age]]&lt;30,"Young",IF(H_A[[#This Row],[Age]]&lt;45,"Mid","Senior"))</f>
        <v>Mid</v>
      </c>
      <c r="AB1407" t="str">
        <f>IF(H_A[[#This Row],[MonthlyIncome]]&lt;5000,"Low",IF(H_A[[#This Row],[MonthlyIncome]]&lt;10000,"Medium","High"))</f>
        <v>High</v>
      </c>
      <c r="AC1407" t="str">
        <f>IF(H_A[[#This Row],[YearsAtCompany]]&lt;3,"Early",IF(H_A[[#This Row],[YearsAtCompany]]&lt;7,"Mid","Long"))</f>
        <v>Long</v>
      </c>
      <c r="AD1407" t="str">
        <f>IF(H_A[[#This Row],[PercentSalaryHike]]&lt;13,"Low",IF(H_A[[#This Row],[PercentSalaryHike]]&lt;18,"Medium","High"))</f>
        <v>High</v>
      </c>
    </row>
    <row r="1408" spans="1:30" x14ac:dyDescent="0.3">
      <c r="A1408">
        <v>54</v>
      </c>
      <c r="B1408">
        <v>1980</v>
      </c>
      <c r="C1408" t="s">
        <v>36</v>
      </c>
      <c r="D1408" t="s">
        <v>37</v>
      </c>
      <c r="E1408">
        <v>10</v>
      </c>
      <c r="F1408">
        <v>3</v>
      </c>
      <c r="G1408" t="s">
        <v>43</v>
      </c>
      <c r="H1408">
        <v>3</v>
      </c>
      <c r="I1408" t="s">
        <v>33</v>
      </c>
      <c r="J1408">
        <v>3</v>
      </c>
      <c r="K1408">
        <v>2</v>
      </c>
      <c r="L1408" t="s">
        <v>45</v>
      </c>
      <c r="M1408">
        <v>1</v>
      </c>
      <c r="N1408" t="s">
        <v>35</v>
      </c>
      <c r="O1408">
        <v>4440</v>
      </c>
      <c r="P1408">
        <v>6</v>
      </c>
      <c r="Q1408" t="s">
        <v>30</v>
      </c>
      <c r="R1408">
        <v>4</v>
      </c>
      <c r="S1408">
        <v>9</v>
      </c>
      <c r="T1408">
        <v>3</v>
      </c>
      <c r="U1408">
        <v>5</v>
      </c>
      <c r="V1408">
        <v>2</v>
      </c>
      <c r="W1408">
        <v>1</v>
      </c>
      <c r="X1408">
        <v>4</v>
      </c>
      <c r="Y1408">
        <v>19</v>
      </c>
      <c r="Z1408">
        <f>IF(H_A[[#This Row],[Attrition]]="Yes",1,0)</f>
        <v>0</v>
      </c>
      <c r="AA1408" t="str">
        <f>IF(H_A[[#This Row],[Age]]&lt;30,"Young",IF(H_A[[#This Row],[Age]]&lt;45,"Mid","Senior"))</f>
        <v>Senior</v>
      </c>
      <c r="AB1408" t="str">
        <f>IF(H_A[[#This Row],[MonthlyIncome]]&lt;5000,"Low",IF(H_A[[#This Row],[MonthlyIncome]]&lt;10000,"Medium","High"))</f>
        <v>Low</v>
      </c>
      <c r="AC1408" t="str">
        <f>IF(H_A[[#This Row],[YearsAtCompany]]&lt;3,"Early",IF(H_A[[#This Row],[YearsAtCompany]]&lt;7,"Mid","Long"))</f>
        <v>Mid</v>
      </c>
      <c r="AD1408" t="str">
        <f>IF(H_A[[#This Row],[PercentSalaryHike]]&lt;13,"Low",IF(H_A[[#This Row],[PercentSalaryHike]]&lt;18,"Medium","High"))</f>
        <v>High</v>
      </c>
    </row>
    <row r="1409" spans="1:30" x14ac:dyDescent="0.3">
      <c r="A1409">
        <v>24</v>
      </c>
      <c r="B1409">
        <v>1981</v>
      </c>
      <c r="C1409" t="s">
        <v>36</v>
      </c>
      <c r="D1409" t="s">
        <v>37</v>
      </c>
      <c r="E1409">
        <v>1</v>
      </c>
      <c r="F1409">
        <v>2</v>
      </c>
      <c r="G1409" t="s">
        <v>32</v>
      </c>
      <c r="H1409">
        <v>2</v>
      </c>
      <c r="I1409" t="s">
        <v>38</v>
      </c>
      <c r="J1409">
        <v>2</v>
      </c>
      <c r="K1409">
        <v>2</v>
      </c>
      <c r="L1409" t="s">
        <v>46</v>
      </c>
      <c r="M1409">
        <v>3</v>
      </c>
      <c r="N1409" t="s">
        <v>35</v>
      </c>
      <c r="O1409">
        <v>4617</v>
      </c>
      <c r="P1409">
        <v>1</v>
      </c>
      <c r="Q1409" t="s">
        <v>36</v>
      </c>
      <c r="R1409">
        <v>2</v>
      </c>
      <c r="S1409">
        <v>4</v>
      </c>
      <c r="T1409">
        <v>2</v>
      </c>
      <c r="U1409">
        <v>4</v>
      </c>
      <c r="V1409">
        <v>3</v>
      </c>
      <c r="W1409">
        <v>1</v>
      </c>
      <c r="X1409">
        <v>2</v>
      </c>
      <c r="Y1409">
        <v>12</v>
      </c>
      <c r="Z1409">
        <f>IF(H_A[[#This Row],[Attrition]]="Yes",1,0)</f>
        <v>0</v>
      </c>
      <c r="AA1409" t="str">
        <f>IF(H_A[[#This Row],[Age]]&lt;30,"Young",IF(H_A[[#This Row],[Age]]&lt;45,"Mid","Senior"))</f>
        <v>Young</v>
      </c>
      <c r="AB1409" t="str">
        <f>IF(H_A[[#This Row],[MonthlyIncome]]&lt;5000,"Low",IF(H_A[[#This Row],[MonthlyIncome]]&lt;10000,"Medium","High"))</f>
        <v>Low</v>
      </c>
      <c r="AC1409" t="str">
        <f>IF(H_A[[#This Row],[YearsAtCompany]]&lt;3,"Early",IF(H_A[[#This Row],[YearsAtCompany]]&lt;7,"Mid","Long"))</f>
        <v>Mid</v>
      </c>
      <c r="AD1409" t="str">
        <f>IF(H_A[[#This Row],[PercentSalaryHike]]&lt;13,"Low",IF(H_A[[#This Row],[PercentSalaryHike]]&lt;18,"Medium","High"))</f>
        <v>Low</v>
      </c>
    </row>
    <row r="1410" spans="1:30" x14ac:dyDescent="0.3">
      <c r="A1410">
        <v>23</v>
      </c>
      <c r="B1410">
        <v>1982</v>
      </c>
      <c r="C1410" t="s">
        <v>36</v>
      </c>
      <c r="D1410" t="s">
        <v>37</v>
      </c>
      <c r="E1410">
        <v>12</v>
      </c>
      <c r="F1410">
        <v>2</v>
      </c>
      <c r="G1410" t="s">
        <v>41</v>
      </c>
      <c r="H1410">
        <v>4</v>
      </c>
      <c r="I1410" t="s">
        <v>38</v>
      </c>
      <c r="J1410">
        <v>3</v>
      </c>
      <c r="K1410">
        <v>1</v>
      </c>
      <c r="L1410" t="s">
        <v>42</v>
      </c>
      <c r="M1410">
        <v>4</v>
      </c>
      <c r="N1410" t="s">
        <v>35</v>
      </c>
      <c r="O1410">
        <v>2647</v>
      </c>
      <c r="P1410">
        <v>1</v>
      </c>
      <c r="Q1410" t="s">
        <v>36</v>
      </c>
      <c r="R1410">
        <v>3</v>
      </c>
      <c r="S1410">
        <v>5</v>
      </c>
      <c r="T1410">
        <v>4</v>
      </c>
      <c r="U1410">
        <v>5</v>
      </c>
      <c r="V1410">
        <v>2</v>
      </c>
      <c r="W1410">
        <v>1</v>
      </c>
      <c r="X1410">
        <v>4</v>
      </c>
      <c r="Y1410">
        <v>13</v>
      </c>
      <c r="Z1410">
        <f>IF(H_A[[#This Row],[Attrition]]="Yes",1,0)</f>
        <v>0</v>
      </c>
      <c r="AA1410" t="str">
        <f>IF(H_A[[#This Row],[Age]]&lt;30,"Young",IF(H_A[[#This Row],[Age]]&lt;45,"Mid","Senior"))</f>
        <v>Young</v>
      </c>
      <c r="AB1410" t="str">
        <f>IF(H_A[[#This Row],[MonthlyIncome]]&lt;5000,"Low",IF(H_A[[#This Row],[MonthlyIncome]]&lt;10000,"Medium","High"))</f>
        <v>Low</v>
      </c>
      <c r="AC1410" t="str">
        <f>IF(H_A[[#This Row],[YearsAtCompany]]&lt;3,"Early",IF(H_A[[#This Row],[YearsAtCompany]]&lt;7,"Mid","Long"))</f>
        <v>Mid</v>
      </c>
      <c r="AD1410" t="str">
        <f>IF(H_A[[#This Row],[PercentSalaryHike]]&lt;13,"Low",IF(H_A[[#This Row],[PercentSalaryHike]]&lt;18,"Medium","High"))</f>
        <v>Medium</v>
      </c>
    </row>
    <row r="1411" spans="1:30" x14ac:dyDescent="0.3">
      <c r="A1411">
        <v>40</v>
      </c>
      <c r="B1411">
        <v>1985</v>
      </c>
      <c r="C1411" t="s">
        <v>36</v>
      </c>
      <c r="D1411" t="s">
        <v>37</v>
      </c>
      <c r="E1411">
        <v>11</v>
      </c>
      <c r="F1411">
        <v>3</v>
      </c>
      <c r="G1411" t="s">
        <v>51</v>
      </c>
      <c r="H1411">
        <v>4</v>
      </c>
      <c r="I1411" t="s">
        <v>33</v>
      </c>
      <c r="J1411">
        <v>3</v>
      </c>
      <c r="K1411">
        <v>2</v>
      </c>
      <c r="L1411" t="s">
        <v>42</v>
      </c>
      <c r="M1411">
        <v>3</v>
      </c>
      <c r="N1411" t="s">
        <v>40</v>
      </c>
      <c r="O1411">
        <v>6323</v>
      </c>
      <c r="P1411">
        <v>1</v>
      </c>
      <c r="Q1411" t="s">
        <v>36</v>
      </c>
      <c r="R1411">
        <v>1</v>
      </c>
      <c r="S1411">
        <v>10</v>
      </c>
      <c r="T1411">
        <v>4</v>
      </c>
      <c r="U1411">
        <v>10</v>
      </c>
      <c r="V1411">
        <v>9</v>
      </c>
      <c r="W1411">
        <v>9</v>
      </c>
      <c r="X1411">
        <v>4</v>
      </c>
      <c r="Y1411">
        <v>11</v>
      </c>
      <c r="Z1411">
        <f>IF(H_A[[#This Row],[Attrition]]="Yes",1,0)</f>
        <v>0</v>
      </c>
      <c r="AA1411" t="str">
        <f>IF(H_A[[#This Row],[Age]]&lt;30,"Young",IF(H_A[[#This Row],[Age]]&lt;45,"Mid","Senior"))</f>
        <v>Mid</v>
      </c>
      <c r="AB1411" t="str">
        <f>IF(H_A[[#This Row],[MonthlyIncome]]&lt;5000,"Low",IF(H_A[[#This Row],[MonthlyIncome]]&lt;10000,"Medium","High"))</f>
        <v>Medium</v>
      </c>
      <c r="AC1411" t="str">
        <f>IF(H_A[[#This Row],[YearsAtCompany]]&lt;3,"Early",IF(H_A[[#This Row],[YearsAtCompany]]&lt;7,"Mid","Long"))</f>
        <v>Long</v>
      </c>
      <c r="AD1411" t="str">
        <f>IF(H_A[[#This Row],[PercentSalaryHike]]&lt;13,"Low",IF(H_A[[#This Row],[PercentSalaryHike]]&lt;18,"Medium","High"))</f>
        <v>Low</v>
      </c>
    </row>
    <row r="1412" spans="1:30" x14ac:dyDescent="0.3">
      <c r="A1412">
        <v>40</v>
      </c>
      <c r="B1412">
        <v>1986</v>
      </c>
      <c r="C1412" t="s">
        <v>36</v>
      </c>
      <c r="D1412" t="s">
        <v>31</v>
      </c>
      <c r="E1412">
        <v>2</v>
      </c>
      <c r="F1412">
        <v>2</v>
      </c>
      <c r="G1412" t="s">
        <v>50</v>
      </c>
      <c r="H1412">
        <v>2</v>
      </c>
      <c r="I1412" t="s">
        <v>33</v>
      </c>
      <c r="J1412">
        <v>3</v>
      </c>
      <c r="K1412">
        <v>2</v>
      </c>
      <c r="L1412" t="s">
        <v>34</v>
      </c>
      <c r="M1412">
        <v>2</v>
      </c>
      <c r="N1412" t="s">
        <v>40</v>
      </c>
      <c r="O1412">
        <v>5677</v>
      </c>
      <c r="P1412">
        <v>3</v>
      </c>
      <c r="Q1412" t="s">
        <v>36</v>
      </c>
      <c r="R1412">
        <v>3</v>
      </c>
      <c r="S1412">
        <v>15</v>
      </c>
      <c r="T1412">
        <v>3</v>
      </c>
      <c r="U1412">
        <v>11</v>
      </c>
      <c r="V1412">
        <v>8</v>
      </c>
      <c r="W1412">
        <v>5</v>
      </c>
      <c r="X1412">
        <v>10</v>
      </c>
      <c r="Y1412">
        <v>14</v>
      </c>
      <c r="Z1412">
        <f>IF(H_A[[#This Row],[Attrition]]="Yes",1,0)</f>
        <v>0</v>
      </c>
      <c r="AA1412" t="str">
        <f>IF(H_A[[#This Row],[Age]]&lt;30,"Young",IF(H_A[[#This Row],[Age]]&lt;45,"Mid","Senior"))</f>
        <v>Mid</v>
      </c>
      <c r="AB1412" t="str">
        <f>IF(H_A[[#This Row],[MonthlyIncome]]&lt;5000,"Low",IF(H_A[[#This Row],[MonthlyIncome]]&lt;10000,"Medium","High"))</f>
        <v>Medium</v>
      </c>
      <c r="AC1412" t="str">
        <f>IF(H_A[[#This Row],[YearsAtCompany]]&lt;3,"Early",IF(H_A[[#This Row],[YearsAtCompany]]&lt;7,"Mid","Long"))</f>
        <v>Long</v>
      </c>
      <c r="AD1412" t="str">
        <f>IF(H_A[[#This Row],[PercentSalaryHike]]&lt;13,"Low",IF(H_A[[#This Row],[PercentSalaryHike]]&lt;18,"Medium","High"))</f>
        <v>Medium</v>
      </c>
    </row>
    <row r="1413" spans="1:30" x14ac:dyDescent="0.3">
      <c r="A1413">
        <v>25</v>
      </c>
      <c r="B1413">
        <v>1987</v>
      </c>
      <c r="C1413" t="s">
        <v>36</v>
      </c>
      <c r="D1413" t="s">
        <v>52</v>
      </c>
      <c r="E1413">
        <v>2</v>
      </c>
      <c r="F1413">
        <v>3</v>
      </c>
      <c r="G1413" t="s">
        <v>52</v>
      </c>
      <c r="H1413">
        <v>3</v>
      </c>
      <c r="I1413" t="s">
        <v>33</v>
      </c>
      <c r="J1413">
        <v>3</v>
      </c>
      <c r="K1413">
        <v>1</v>
      </c>
      <c r="L1413" t="s">
        <v>52</v>
      </c>
      <c r="M1413">
        <v>2</v>
      </c>
      <c r="N1413" t="s">
        <v>40</v>
      </c>
      <c r="O1413">
        <v>2187</v>
      </c>
      <c r="P1413">
        <v>4</v>
      </c>
      <c r="Q1413" t="s">
        <v>36</v>
      </c>
      <c r="R1413">
        <v>3</v>
      </c>
      <c r="S1413">
        <v>6</v>
      </c>
      <c r="T1413">
        <v>3</v>
      </c>
      <c r="U1413">
        <v>2</v>
      </c>
      <c r="V1413">
        <v>0</v>
      </c>
      <c r="W1413">
        <v>1</v>
      </c>
      <c r="X1413">
        <v>2</v>
      </c>
      <c r="Y1413">
        <v>14</v>
      </c>
      <c r="Z1413">
        <f>IF(H_A[[#This Row],[Attrition]]="Yes",1,0)</f>
        <v>0</v>
      </c>
      <c r="AA1413" t="str">
        <f>IF(H_A[[#This Row],[Age]]&lt;30,"Young",IF(H_A[[#This Row],[Age]]&lt;45,"Mid","Senior"))</f>
        <v>Young</v>
      </c>
      <c r="AB1413" t="str">
        <f>IF(H_A[[#This Row],[MonthlyIncome]]&lt;5000,"Low",IF(H_A[[#This Row],[MonthlyIncome]]&lt;10000,"Medium","High"))</f>
        <v>Low</v>
      </c>
      <c r="AC1413" t="str">
        <f>IF(H_A[[#This Row],[YearsAtCompany]]&lt;3,"Early",IF(H_A[[#This Row],[YearsAtCompany]]&lt;7,"Mid","Long"))</f>
        <v>Early</v>
      </c>
      <c r="AD1413" t="str">
        <f>IF(H_A[[#This Row],[PercentSalaryHike]]&lt;13,"Low",IF(H_A[[#This Row],[PercentSalaryHike]]&lt;18,"Medium","High"))</f>
        <v>Medium</v>
      </c>
    </row>
    <row r="1414" spans="1:30" x14ac:dyDescent="0.3">
      <c r="A1414">
        <v>30</v>
      </c>
      <c r="B1414">
        <v>1989</v>
      </c>
      <c r="C1414" t="s">
        <v>36</v>
      </c>
      <c r="D1414" t="s">
        <v>37</v>
      </c>
      <c r="E1414">
        <v>1</v>
      </c>
      <c r="F1414">
        <v>2</v>
      </c>
      <c r="G1414" t="s">
        <v>43</v>
      </c>
      <c r="H1414">
        <v>4</v>
      </c>
      <c r="I1414" t="s">
        <v>38</v>
      </c>
      <c r="J1414">
        <v>3</v>
      </c>
      <c r="K1414">
        <v>1</v>
      </c>
      <c r="L1414" t="s">
        <v>42</v>
      </c>
      <c r="M1414">
        <v>2</v>
      </c>
      <c r="N1414" t="s">
        <v>40</v>
      </c>
      <c r="O1414">
        <v>3748</v>
      </c>
      <c r="P1414">
        <v>1</v>
      </c>
      <c r="Q1414" t="s">
        <v>36</v>
      </c>
      <c r="R1414">
        <v>3</v>
      </c>
      <c r="S1414">
        <v>12</v>
      </c>
      <c r="T1414">
        <v>2</v>
      </c>
      <c r="U1414">
        <v>12</v>
      </c>
      <c r="V1414">
        <v>8</v>
      </c>
      <c r="W1414">
        <v>1</v>
      </c>
      <c r="X1414">
        <v>7</v>
      </c>
      <c r="Y1414">
        <v>13</v>
      </c>
      <c r="Z1414">
        <f>IF(H_A[[#This Row],[Attrition]]="Yes",1,0)</f>
        <v>0</v>
      </c>
      <c r="AA1414" t="str">
        <f>IF(H_A[[#This Row],[Age]]&lt;30,"Young",IF(H_A[[#This Row],[Age]]&lt;45,"Mid","Senior"))</f>
        <v>Mid</v>
      </c>
      <c r="AB1414" t="str">
        <f>IF(H_A[[#This Row],[MonthlyIncome]]&lt;5000,"Low",IF(H_A[[#This Row],[MonthlyIncome]]&lt;10000,"Medium","High"))</f>
        <v>Low</v>
      </c>
      <c r="AC1414" t="str">
        <f>IF(H_A[[#This Row],[YearsAtCompany]]&lt;3,"Early",IF(H_A[[#This Row],[YearsAtCompany]]&lt;7,"Mid","Long"))</f>
        <v>Long</v>
      </c>
      <c r="AD1414" t="str">
        <f>IF(H_A[[#This Row],[PercentSalaryHike]]&lt;13,"Low",IF(H_A[[#This Row],[PercentSalaryHike]]&lt;18,"Medium","High"))</f>
        <v>Medium</v>
      </c>
    </row>
    <row r="1415" spans="1:30" x14ac:dyDescent="0.3">
      <c r="A1415">
        <v>25</v>
      </c>
      <c r="B1415">
        <v>1992</v>
      </c>
      <c r="C1415" t="s">
        <v>36</v>
      </c>
      <c r="D1415" t="s">
        <v>37</v>
      </c>
      <c r="E1415">
        <v>2</v>
      </c>
      <c r="F1415">
        <v>1</v>
      </c>
      <c r="G1415" t="s">
        <v>41</v>
      </c>
      <c r="H1415">
        <v>4</v>
      </c>
      <c r="I1415" t="s">
        <v>38</v>
      </c>
      <c r="J1415">
        <v>3</v>
      </c>
      <c r="K1415">
        <v>1</v>
      </c>
      <c r="L1415" t="s">
        <v>42</v>
      </c>
      <c r="M1415">
        <v>3</v>
      </c>
      <c r="N1415" t="s">
        <v>44</v>
      </c>
      <c r="O1415">
        <v>3977</v>
      </c>
      <c r="P1415">
        <v>6</v>
      </c>
      <c r="Q1415" t="s">
        <v>30</v>
      </c>
      <c r="R1415">
        <v>3</v>
      </c>
      <c r="S1415">
        <v>7</v>
      </c>
      <c r="T1415">
        <v>2</v>
      </c>
      <c r="U1415">
        <v>2</v>
      </c>
      <c r="V1415">
        <v>2</v>
      </c>
      <c r="W1415">
        <v>0</v>
      </c>
      <c r="X1415">
        <v>2</v>
      </c>
      <c r="Y1415">
        <v>19</v>
      </c>
      <c r="Z1415">
        <f>IF(H_A[[#This Row],[Attrition]]="Yes",1,0)</f>
        <v>0</v>
      </c>
      <c r="AA1415" t="str">
        <f>IF(H_A[[#This Row],[Age]]&lt;30,"Young",IF(H_A[[#This Row],[Age]]&lt;45,"Mid","Senior"))</f>
        <v>Young</v>
      </c>
      <c r="AB1415" t="str">
        <f>IF(H_A[[#This Row],[MonthlyIncome]]&lt;5000,"Low",IF(H_A[[#This Row],[MonthlyIncome]]&lt;10000,"Medium","High"))</f>
        <v>Low</v>
      </c>
      <c r="AC1415" t="str">
        <f>IF(H_A[[#This Row],[YearsAtCompany]]&lt;3,"Early",IF(H_A[[#This Row],[YearsAtCompany]]&lt;7,"Mid","Long"))</f>
        <v>Early</v>
      </c>
      <c r="AD1415" t="str">
        <f>IF(H_A[[#This Row],[PercentSalaryHike]]&lt;13,"Low",IF(H_A[[#This Row],[PercentSalaryHike]]&lt;18,"Medium","High"))</f>
        <v>High</v>
      </c>
    </row>
    <row r="1416" spans="1:30" x14ac:dyDescent="0.3">
      <c r="A1416">
        <v>47</v>
      </c>
      <c r="B1416">
        <v>1993</v>
      </c>
      <c r="C1416" t="s">
        <v>36</v>
      </c>
      <c r="D1416" t="s">
        <v>37</v>
      </c>
      <c r="E1416">
        <v>25</v>
      </c>
      <c r="F1416">
        <v>3</v>
      </c>
      <c r="G1416" t="s">
        <v>43</v>
      </c>
      <c r="H1416">
        <v>1</v>
      </c>
      <c r="I1416" t="s">
        <v>38</v>
      </c>
      <c r="J1416">
        <v>3</v>
      </c>
      <c r="K1416">
        <v>3</v>
      </c>
      <c r="L1416" t="s">
        <v>46</v>
      </c>
      <c r="M1416">
        <v>3</v>
      </c>
      <c r="N1416" t="s">
        <v>35</v>
      </c>
      <c r="O1416">
        <v>8633</v>
      </c>
      <c r="P1416">
        <v>2</v>
      </c>
      <c r="Q1416" t="s">
        <v>36</v>
      </c>
      <c r="R1416">
        <v>2</v>
      </c>
      <c r="S1416">
        <v>25</v>
      </c>
      <c r="T1416">
        <v>3</v>
      </c>
      <c r="U1416">
        <v>17</v>
      </c>
      <c r="V1416">
        <v>14</v>
      </c>
      <c r="W1416">
        <v>12</v>
      </c>
      <c r="X1416">
        <v>11</v>
      </c>
      <c r="Y1416">
        <v>23</v>
      </c>
      <c r="Z1416">
        <f>IF(H_A[[#This Row],[Attrition]]="Yes",1,0)</f>
        <v>0</v>
      </c>
      <c r="AA1416" t="str">
        <f>IF(H_A[[#This Row],[Age]]&lt;30,"Young",IF(H_A[[#This Row],[Age]]&lt;45,"Mid","Senior"))</f>
        <v>Senior</v>
      </c>
      <c r="AB1416" t="str">
        <f>IF(H_A[[#This Row],[MonthlyIncome]]&lt;5000,"Low",IF(H_A[[#This Row],[MonthlyIncome]]&lt;10000,"Medium","High"))</f>
        <v>Medium</v>
      </c>
      <c r="AC1416" t="str">
        <f>IF(H_A[[#This Row],[YearsAtCompany]]&lt;3,"Early",IF(H_A[[#This Row],[YearsAtCompany]]&lt;7,"Mid","Long"))</f>
        <v>Long</v>
      </c>
      <c r="AD1416" t="str">
        <f>IF(H_A[[#This Row],[PercentSalaryHike]]&lt;13,"Low",IF(H_A[[#This Row],[PercentSalaryHike]]&lt;18,"Medium","High"))</f>
        <v>High</v>
      </c>
    </row>
    <row r="1417" spans="1:30" x14ac:dyDescent="0.3">
      <c r="A1417">
        <v>33</v>
      </c>
      <c r="B1417">
        <v>1994</v>
      </c>
      <c r="C1417" t="s">
        <v>36</v>
      </c>
      <c r="D1417" t="s">
        <v>37</v>
      </c>
      <c r="E1417">
        <v>1</v>
      </c>
      <c r="F1417">
        <v>2</v>
      </c>
      <c r="G1417" t="s">
        <v>43</v>
      </c>
      <c r="H1417">
        <v>2</v>
      </c>
      <c r="I1417" t="s">
        <v>38</v>
      </c>
      <c r="J1417">
        <v>2</v>
      </c>
      <c r="K1417">
        <v>1</v>
      </c>
      <c r="L1417" t="s">
        <v>42</v>
      </c>
      <c r="M1417">
        <v>3</v>
      </c>
      <c r="N1417" t="s">
        <v>44</v>
      </c>
      <c r="O1417">
        <v>2008</v>
      </c>
      <c r="P1417">
        <v>1</v>
      </c>
      <c r="Q1417" t="s">
        <v>36</v>
      </c>
      <c r="R1417">
        <v>3</v>
      </c>
      <c r="S1417">
        <v>1</v>
      </c>
      <c r="T1417">
        <v>2</v>
      </c>
      <c r="U1417">
        <v>1</v>
      </c>
      <c r="V1417">
        <v>1</v>
      </c>
      <c r="W1417">
        <v>0</v>
      </c>
      <c r="X1417">
        <v>0</v>
      </c>
      <c r="Y1417">
        <v>12</v>
      </c>
      <c r="Z1417">
        <f>IF(H_A[[#This Row],[Attrition]]="Yes",1,0)</f>
        <v>0</v>
      </c>
      <c r="AA1417" t="str">
        <f>IF(H_A[[#This Row],[Age]]&lt;30,"Young",IF(H_A[[#This Row],[Age]]&lt;45,"Mid","Senior"))</f>
        <v>Mid</v>
      </c>
      <c r="AB1417" t="str">
        <f>IF(H_A[[#This Row],[MonthlyIncome]]&lt;5000,"Low",IF(H_A[[#This Row],[MonthlyIncome]]&lt;10000,"Medium","High"))</f>
        <v>Low</v>
      </c>
      <c r="AC1417" t="str">
        <f>IF(H_A[[#This Row],[YearsAtCompany]]&lt;3,"Early",IF(H_A[[#This Row],[YearsAtCompany]]&lt;7,"Mid","Long"))</f>
        <v>Early</v>
      </c>
      <c r="AD1417" t="str">
        <f>IF(H_A[[#This Row],[PercentSalaryHike]]&lt;13,"Low",IF(H_A[[#This Row],[PercentSalaryHike]]&lt;18,"Medium","High"))</f>
        <v>Low</v>
      </c>
    </row>
    <row r="1418" spans="1:30" x14ac:dyDescent="0.3">
      <c r="A1418">
        <v>38</v>
      </c>
      <c r="B1418">
        <v>1995</v>
      </c>
      <c r="C1418" t="s">
        <v>36</v>
      </c>
      <c r="D1418" t="s">
        <v>31</v>
      </c>
      <c r="E1418">
        <v>1</v>
      </c>
      <c r="F1418">
        <v>4</v>
      </c>
      <c r="G1418" t="s">
        <v>32</v>
      </c>
      <c r="H1418">
        <v>4</v>
      </c>
      <c r="I1418" t="s">
        <v>38</v>
      </c>
      <c r="J1418">
        <v>3</v>
      </c>
      <c r="K1418">
        <v>2</v>
      </c>
      <c r="L1418" t="s">
        <v>34</v>
      </c>
      <c r="M1418">
        <v>2</v>
      </c>
      <c r="N1418" t="s">
        <v>40</v>
      </c>
      <c r="O1418">
        <v>4440</v>
      </c>
      <c r="P1418">
        <v>0</v>
      </c>
      <c r="Q1418" t="s">
        <v>36</v>
      </c>
      <c r="R1418">
        <v>1</v>
      </c>
      <c r="S1418">
        <v>16</v>
      </c>
      <c r="T1418">
        <v>3</v>
      </c>
      <c r="U1418">
        <v>15</v>
      </c>
      <c r="V1418">
        <v>13</v>
      </c>
      <c r="W1418">
        <v>5</v>
      </c>
      <c r="X1418">
        <v>8</v>
      </c>
      <c r="Y1418">
        <v>15</v>
      </c>
      <c r="Z1418">
        <f>IF(H_A[[#This Row],[Attrition]]="Yes",1,0)</f>
        <v>0</v>
      </c>
      <c r="AA1418" t="str">
        <f>IF(H_A[[#This Row],[Age]]&lt;30,"Young",IF(H_A[[#This Row],[Age]]&lt;45,"Mid","Senior"))</f>
        <v>Mid</v>
      </c>
      <c r="AB1418" t="str">
        <f>IF(H_A[[#This Row],[MonthlyIncome]]&lt;5000,"Low",IF(H_A[[#This Row],[MonthlyIncome]]&lt;10000,"Medium","High"))</f>
        <v>Low</v>
      </c>
      <c r="AC1418" t="str">
        <f>IF(H_A[[#This Row],[YearsAtCompany]]&lt;3,"Early",IF(H_A[[#This Row],[YearsAtCompany]]&lt;7,"Mid","Long"))</f>
        <v>Long</v>
      </c>
      <c r="AD1418" t="str">
        <f>IF(H_A[[#This Row],[PercentSalaryHike]]&lt;13,"Low",IF(H_A[[#This Row],[PercentSalaryHike]]&lt;18,"Medium","High"))</f>
        <v>Medium</v>
      </c>
    </row>
    <row r="1419" spans="1:30" x14ac:dyDescent="0.3">
      <c r="A1419">
        <v>31</v>
      </c>
      <c r="B1419">
        <v>1996</v>
      </c>
      <c r="C1419" t="s">
        <v>36</v>
      </c>
      <c r="D1419" t="s">
        <v>31</v>
      </c>
      <c r="E1419">
        <v>2</v>
      </c>
      <c r="F1419">
        <v>2</v>
      </c>
      <c r="G1419" t="s">
        <v>32</v>
      </c>
      <c r="H1419">
        <v>1</v>
      </c>
      <c r="I1419" t="s">
        <v>38</v>
      </c>
      <c r="J1419">
        <v>3</v>
      </c>
      <c r="K1419">
        <v>1</v>
      </c>
      <c r="L1419" t="s">
        <v>48</v>
      </c>
      <c r="M1419">
        <v>3</v>
      </c>
      <c r="N1419" t="s">
        <v>40</v>
      </c>
      <c r="O1419">
        <v>3067</v>
      </c>
      <c r="P1419">
        <v>0</v>
      </c>
      <c r="Q1419" t="s">
        <v>36</v>
      </c>
      <c r="R1419">
        <v>3</v>
      </c>
      <c r="S1419">
        <v>3</v>
      </c>
      <c r="T1419">
        <v>3</v>
      </c>
      <c r="U1419">
        <v>2</v>
      </c>
      <c r="V1419">
        <v>2</v>
      </c>
      <c r="W1419">
        <v>1</v>
      </c>
      <c r="X1419">
        <v>2</v>
      </c>
      <c r="Y1419">
        <v>19</v>
      </c>
      <c r="Z1419">
        <f>IF(H_A[[#This Row],[Attrition]]="Yes",1,0)</f>
        <v>0</v>
      </c>
      <c r="AA1419" t="str">
        <f>IF(H_A[[#This Row],[Age]]&lt;30,"Young",IF(H_A[[#This Row],[Age]]&lt;45,"Mid","Senior"))</f>
        <v>Mid</v>
      </c>
      <c r="AB1419" t="str">
        <f>IF(H_A[[#This Row],[MonthlyIncome]]&lt;5000,"Low",IF(H_A[[#This Row],[MonthlyIncome]]&lt;10000,"Medium","High"))</f>
        <v>Low</v>
      </c>
      <c r="AC1419" t="str">
        <f>IF(H_A[[#This Row],[YearsAtCompany]]&lt;3,"Early",IF(H_A[[#This Row],[YearsAtCompany]]&lt;7,"Mid","Long"))</f>
        <v>Early</v>
      </c>
      <c r="AD1419" t="str">
        <f>IF(H_A[[#This Row],[PercentSalaryHike]]&lt;13,"Low",IF(H_A[[#This Row],[PercentSalaryHike]]&lt;18,"Medium","High"))</f>
        <v>High</v>
      </c>
    </row>
    <row r="1420" spans="1:30" x14ac:dyDescent="0.3">
      <c r="A1420">
        <v>38</v>
      </c>
      <c r="B1420">
        <v>1997</v>
      </c>
      <c r="C1420" t="s">
        <v>36</v>
      </c>
      <c r="D1420" t="s">
        <v>37</v>
      </c>
      <c r="E1420">
        <v>6</v>
      </c>
      <c r="F1420">
        <v>4</v>
      </c>
      <c r="G1420" t="s">
        <v>32</v>
      </c>
      <c r="H1420">
        <v>1</v>
      </c>
      <c r="I1420" t="s">
        <v>38</v>
      </c>
      <c r="J1420">
        <v>2</v>
      </c>
      <c r="K1420">
        <v>2</v>
      </c>
      <c r="L1420" t="s">
        <v>45</v>
      </c>
      <c r="M1420">
        <v>3</v>
      </c>
      <c r="N1420" t="s">
        <v>40</v>
      </c>
      <c r="O1420">
        <v>5321</v>
      </c>
      <c r="P1420">
        <v>2</v>
      </c>
      <c r="Q1420" t="s">
        <v>36</v>
      </c>
      <c r="R1420">
        <v>4</v>
      </c>
      <c r="S1420">
        <v>10</v>
      </c>
      <c r="T1420">
        <v>3</v>
      </c>
      <c r="U1420">
        <v>8</v>
      </c>
      <c r="V1420">
        <v>3</v>
      </c>
      <c r="W1420">
        <v>7</v>
      </c>
      <c r="X1420">
        <v>7</v>
      </c>
      <c r="Y1420">
        <v>11</v>
      </c>
      <c r="Z1420">
        <f>IF(H_A[[#This Row],[Attrition]]="Yes",1,0)</f>
        <v>0</v>
      </c>
      <c r="AA1420" t="str">
        <f>IF(H_A[[#This Row],[Age]]&lt;30,"Young",IF(H_A[[#This Row],[Age]]&lt;45,"Mid","Senior"))</f>
        <v>Mid</v>
      </c>
      <c r="AB1420" t="str">
        <f>IF(H_A[[#This Row],[MonthlyIncome]]&lt;5000,"Low",IF(H_A[[#This Row],[MonthlyIncome]]&lt;10000,"Medium","High"))</f>
        <v>Medium</v>
      </c>
      <c r="AC1420" t="str">
        <f>IF(H_A[[#This Row],[YearsAtCompany]]&lt;3,"Early",IF(H_A[[#This Row],[YearsAtCompany]]&lt;7,"Mid","Long"))</f>
        <v>Long</v>
      </c>
      <c r="AD1420" t="str">
        <f>IF(H_A[[#This Row],[PercentSalaryHike]]&lt;13,"Low",IF(H_A[[#This Row],[PercentSalaryHike]]&lt;18,"Medium","High"))</f>
        <v>Low</v>
      </c>
    </row>
    <row r="1421" spans="1:30" x14ac:dyDescent="0.3">
      <c r="A1421">
        <v>42</v>
      </c>
      <c r="B1421">
        <v>1998</v>
      </c>
      <c r="C1421" t="s">
        <v>36</v>
      </c>
      <c r="D1421" t="s">
        <v>37</v>
      </c>
      <c r="E1421">
        <v>18</v>
      </c>
      <c r="F1421">
        <v>4</v>
      </c>
      <c r="G1421" t="s">
        <v>32</v>
      </c>
      <c r="H1421">
        <v>4</v>
      </c>
      <c r="I1421" t="s">
        <v>38</v>
      </c>
      <c r="J1421">
        <v>3</v>
      </c>
      <c r="K1421">
        <v>2</v>
      </c>
      <c r="L1421" t="s">
        <v>39</v>
      </c>
      <c r="M1421">
        <v>1</v>
      </c>
      <c r="N1421" t="s">
        <v>44</v>
      </c>
      <c r="O1421">
        <v>5410</v>
      </c>
      <c r="P1421">
        <v>6</v>
      </c>
      <c r="Q1421" t="s">
        <v>30</v>
      </c>
      <c r="R1421">
        <v>3</v>
      </c>
      <c r="S1421">
        <v>9</v>
      </c>
      <c r="T1421">
        <v>2</v>
      </c>
      <c r="U1421">
        <v>4</v>
      </c>
      <c r="V1421">
        <v>3</v>
      </c>
      <c r="W1421">
        <v>1</v>
      </c>
      <c r="X1421">
        <v>2</v>
      </c>
      <c r="Y1421">
        <v>17</v>
      </c>
      <c r="Z1421">
        <f>IF(H_A[[#This Row],[Attrition]]="Yes",1,0)</f>
        <v>0</v>
      </c>
      <c r="AA1421" t="str">
        <f>IF(H_A[[#This Row],[Age]]&lt;30,"Young",IF(H_A[[#This Row],[Age]]&lt;45,"Mid","Senior"))</f>
        <v>Mid</v>
      </c>
      <c r="AB1421" t="str">
        <f>IF(H_A[[#This Row],[MonthlyIncome]]&lt;5000,"Low",IF(H_A[[#This Row],[MonthlyIncome]]&lt;10000,"Medium","High"))</f>
        <v>Medium</v>
      </c>
      <c r="AC1421" t="str">
        <f>IF(H_A[[#This Row],[YearsAtCompany]]&lt;3,"Early",IF(H_A[[#This Row],[YearsAtCompany]]&lt;7,"Mid","Long"))</f>
        <v>Mid</v>
      </c>
      <c r="AD1421" t="str">
        <f>IF(H_A[[#This Row],[PercentSalaryHike]]&lt;13,"Low",IF(H_A[[#This Row],[PercentSalaryHike]]&lt;18,"Medium","High"))</f>
        <v>Medium</v>
      </c>
    </row>
    <row r="1422" spans="1:30" x14ac:dyDescent="0.3">
      <c r="A1422">
        <v>41</v>
      </c>
      <c r="B1422">
        <v>1999</v>
      </c>
      <c r="C1422" t="s">
        <v>36</v>
      </c>
      <c r="D1422" t="s">
        <v>37</v>
      </c>
      <c r="E1422">
        <v>1</v>
      </c>
      <c r="F1422">
        <v>3</v>
      </c>
      <c r="G1422" t="s">
        <v>32</v>
      </c>
      <c r="H1422">
        <v>4</v>
      </c>
      <c r="I1422" t="s">
        <v>38</v>
      </c>
      <c r="J1422">
        <v>3</v>
      </c>
      <c r="K1422">
        <v>1</v>
      </c>
      <c r="L1422" t="s">
        <v>39</v>
      </c>
      <c r="M1422">
        <v>4</v>
      </c>
      <c r="N1422" t="s">
        <v>40</v>
      </c>
      <c r="O1422">
        <v>2782</v>
      </c>
      <c r="P1422">
        <v>3</v>
      </c>
      <c r="Q1422" t="s">
        <v>36</v>
      </c>
      <c r="R1422">
        <v>1</v>
      </c>
      <c r="S1422">
        <v>12</v>
      </c>
      <c r="T1422">
        <v>3</v>
      </c>
      <c r="U1422">
        <v>5</v>
      </c>
      <c r="V1422">
        <v>3</v>
      </c>
      <c r="W1422">
        <v>1</v>
      </c>
      <c r="X1422">
        <v>0</v>
      </c>
      <c r="Y1422">
        <v>22</v>
      </c>
      <c r="Z1422">
        <f>IF(H_A[[#This Row],[Attrition]]="Yes",1,0)</f>
        <v>0</v>
      </c>
      <c r="AA1422" t="str">
        <f>IF(H_A[[#This Row],[Age]]&lt;30,"Young",IF(H_A[[#This Row],[Age]]&lt;45,"Mid","Senior"))</f>
        <v>Mid</v>
      </c>
      <c r="AB1422" t="str">
        <f>IF(H_A[[#This Row],[MonthlyIncome]]&lt;5000,"Low",IF(H_A[[#This Row],[MonthlyIncome]]&lt;10000,"Medium","High"))</f>
        <v>Low</v>
      </c>
      <c r="AC1422" t="str">
        <f>IF(H_A[[#This Row],[YearsAtCompany]]&lt;3,"Early",IF(H_A[[#This Row],[YearsAtCompany]]&lt;7,"Mid","Long"))</f>
        <v>Mid</v>
      </c>
      <c r="AD1422" t="str">
        <f>IF(H_A[[#This Row],[PercentSalaryHike]]&lt;13,"Low",IF(H_A[[#This Row],[PercentSalaryHike]]&lt;18,"Medium","High"))</f>
        <v>High</v>
      </c>
    </row>
    <row r="1423" spans="1:30" x14ac:dyDescent="0.3">
      <c r="A1423">
        <v>47</v>
      </c>
      <c r="B1423">
        <v>2000</v>
      </c>
      <c r="C1423" t="s">
        <v>36</v>
      </c>
      <c r="D1423" t="s">
        <v>37</v>
      </c>
      <c r="E1423">
        <v>1</v>
      </c>
      <c r="F1423">
        <v>1</v>
      </c>
      <c r="G1423" t="s">
        <v>43</v>
      </c>
      <c r="H1423">
        <v>3</v>
      </c>
      <c r="I1423" t="s">
        <v>33</v>
      </c>
      <c r="J1423">
        <v>3</v>
      </c>
      <c r="K1423">
        <v>3</v>
      </c>
      <c r="L1423" t="s">
        <v>49</v>
      </c>
      <c r="M1423">
        <v>2</v>
      </c>
      <c r="N1423" t="s">
        <v>40</v>
      </c>
      <c r="O1423">
        <v>11957</v>
      </c>
      <c r="P1423">
        <v>0</v>
      </c>
      <c r="Q1423" t="s">
        <v>36</v>
      </c>
      <c r="R1423">
        <v>1</v>
      </c>
      <c r="S1423">
        <v>14</v>
      </c>
      <c r="T1423">
        <v>1</v>
      </c>
      <c r="U1423">
        <v>13</v>
      </c>
      <c r="V1423">
        <v>8</v>
      </c>
      <c r="W1423">
        <v>5</v>
      </c>
      <c r="X1423">
        <v>12</v>
      </c>
      <c r="Y1423">
        <v>18</v>
      </c>
      <c r="Z1423">
        <f>IF(H_A[[#This Row],[Attrition]]="Yes",1,0)</f>
        <v>0</v>
      </c>
      <c r="AA1423" t="str">
        <f>IF(H_A[[#This Row],[Age]]&lt;30,"Young",IF(H_A[[#This Row],[Age]]&lt;45,"Mid","Senior"))</f>
        <v>Senior</v>
      </c>
      <c r="AB1423" t="str">
        <f>IF(H_A[[#This Row],[MonthlyIncome]]&lt;5000,"Low",IF(H_A[[#This Row],[MonthlyIncome]]&lt;10000,"Medium","High"))</f>
        <v>High</v>
      </c>
      <c r="AC1423" t="str">
        <f>IF(H_A[[#This Row],[YearsAtCompany]]&lt;3,"Early",IF(H_A[[#This Row],[YearsAtCompany]]&lt;7,"Mid","Long"))</f>
        <v>Long</v>
      </c>
      <c r="AD1423" t="str">
        <f>IF(H_A[[#This Row],[PercentSalaryHike]]&lt;13,"Low",IF(H_A[[#This Row],[PercentSalaryHike]]&lt;18,"Medium","High"))</f>
        <v>High</v>
      </c>
    </row>
    <row r="1424" spans="1:30" x14ac:dyDescent="0.3">
      <c r="A1424">
        <v>35</v>
      </c>
      <c r="B1424">
        <v>2003</v>
      </c>
      <c r="C1424" t="s">
        <v>36</v>
      </c>
      <c r="D1424" t="s">
        <v>37</v>
      </c>
      <c r="E1424">
        <v>11</v>
      </c>
      <c r="F1424">
        <v>4</v>
      </c>
      <c r="G1424" t="s">
        <v>43</v>
      </c>
      <c r="H1424">
        <v>4</v>
      </c>
      <c r="I1424" t="s">
        <v>38</v>
      </c>
      <c r="J1424">
        <v>3</v>
      </c>
      <c r="K1424">
        <v>1</v>
      </c>
      <c r="L1424" t="s">
        <v>42</v>
      </c>
      <c r="M1424">
        <v>3</v>
      </c>
      <c r="N1424" t="s">
        <v>40</v>
      </c>
      <c r="O1424">
        <v>2660</v>
      </c>
      <c r="P1424">
        <v>7</v>
      </c>
      <c r="Q1424" t="s">
        <v>30</v>
      </c>
      <c r="R1424">
        <v>3</v>
      </c>
      <c r="S1424">
        <v>5</v>
      </c>
      <c r="T1424">
        <v>3</v>
      </c>
      <c r="U1424">
        <v>2</v>
      </c>
      <c r="V1424">
        <v>2</v>
      </c>
      <c r="W1424">
        <v>2</v>
      </c>
      <c r="X1424">
        <v>2</v>
      </c>
      <c r="Y1424">
        <v>11</v>
      </c>
      <c r="Z1424">
        <f>IF(H_A[[#This Row],[Attrition]]="Yes",1,0)</f>
        <v>0</v>
      </c>
      <c r="AA1424" t="str">
        <f>IF(H_A[[#This Row],[Age]]&lt;30,"Young",IF(H_A[[#This Row],[Age]]&lt;45,"Mid","Senior"))</f>
        <v>Mid</v>
      </c>
      <c r="AB1424" t="str">
        <f>IF(H_A[[#This Row],[MonthlyIncome]]&lt;5000,"Low",IF(H_A[[#This Row],[MonthlyIncome]]&lt;10000,"Medium","High"))</f>
        <v>Low</v>
      </c>
      <c r="AC1424" t="str">
        <f>IF(H_A[[#This Row],[YearsAtCompany]]&lt;3,"Early",IF(H_A[[#This Row],[YearsAtCompany]]&lt;7,"Mid","Long"))</f>
        <v>Early</v>
      </c>
      <c r="AD1424" t="str">
        <f>IF(H_A[[#This Row],[PercentSalaryHike]]&lt;13,"Low",IF(H_A[[#This Row],[PercentSalaryHike]]&lt;18,"Medium","High"))</f>
        <v>Low</v>
      </c>
    </row>
    <row r="1425" spans="1:30" x14ac:dyDescent="0.3">
      <c r="A1425">
        <v>22</v>
      </c>
      <c r="B1425">
        <v>2007</v>
      </c>
      <c r="C1425" t="s">
        <v>36</v>
      </c>
      <c r="D1425" t="s">
        <v>37</v>
      </c>
      <c r="E1425">
        <v>1</v>
      </c>
      <c r="F1425">
        <v>2</v>
      </c>
      <c r="G1425" t="s">
        <v>32</v>
      </c>
      <c r="H1425">
        <v>4</v>
      </c>
      <c r="I1425" t="s">
        <v>38</v>
      </c>
      <c r="J1425">
        <v>3</v>
      </c>
      <c r="K1425">
        <v>1</v>
      </c>
      <c r="L1425" t="s">
        <v>39</v>
      </c>
      <c r="M1425">
        <v>3</v>
      </c>
      <c r="N1425" t="s">
        <v>35</v>
      </c>
      <c r="O1425">
        <v>3375</v>
      </c>
      <c r="P1425">
        <v>0</v>
      </c>
      <c r="Q1425" t="s">
        <v>36</v>
      </c>
      <c r="R1425">
        <v>4</v>
      </c>
      <c r="S1425">
        <v>4</v>
      </c>
      <c r="T1425">
        <v>4</v>
      </c>
      <c r="U1425">
        <v>3</v>
      </c>
      <c r="V1425">
        <v>2</v>
      </c>
      <c r="W1425">
        <v>1</v>
      </c>
      <c r="X1425">
        <v>2</v>
      </c>
      <c r="Y1425">
        <v>12</v>
      </c>
      <c r="Z1425">
        <f>IF(H_A[[#This Row],[Attrition]]="Yes",1,0)</f>
        <v>0</v>
      </c>
      <c r="AA1425" t="str">
        <f>IF(H_A[[#This Row],[Age]]&lt;30,"Young",IF(H_A[[#This Row],[Age]]&lt;45,"Mid","Senior"))</f>
        <v>Young</v>
      </c>
      <c r="AB1425" t="str">
        <f>IF(H_A[[#This Row],[MonthlyIncome]]&lt;5000,"Low",IF(H_A[[#This Row],[MonthlyIncome]]&lt;10000,"Medium","High"))</f>
        <v>Low</v>
      </c>
      <c r="AC1425" t="str">
        <f>IF(H_A[[#This Row],[YearsAtCompany]]&lt;3,"Early",IF(H_A[[#This Row],[YearsAtCompany]]&lt;7,"Mid","Long"))</f>
        <v>Mid</v>
      </c>
      <c r="AD1425" t="str">
        <f>IF(H_A[[#This Row],[PercentSalaryHike]]&lt;13,"Low",IF(H_A[[#This Row],[PercentSalaryHike]]&lt;18,"Medium","High"))</f>
        <v>Low</v>
      </c>
    </row>
    <row r="1426" spans="1:30" x14ac:dyDescent="0.3">
      <c r="A1426">
        <v>35</v>
      </c>
      <c r="B1426">
        <v>2008</v>
      </c>
      <c r="C1426" t="s">
        <v>36</v>
      </c>
      <c r="D1426" t="s">
        <v>37</v>
      </c>
      <c r="E1426">
        <v>9</v>
      </c>
      <c r="F1426">
        <v>4</v>
      </c>
      <c r="G1426" t="s">
        <v>43</v>
      </c>
      <c r="H1426">
        <v>2</v>
      </c>
      <c r="I1426" t="s">
        <v>38</v>
      </c>
      <c r="J1426">
        <v>3</v>
      </c>
      <c r="K1426">
        <v>2</v>
      </c>
      <c r="L1426" t="s">
        <v>39</v>
      </c>
      <c r="M1426">
        <v>3</v>
      </c>
      <c r="N1426" t="s">
        <v>35</v>
      </c>
      <c r="O1426">
        <v>5098</v>
      </c>
      <c r="P1426">
        <v>1</v>
      </c>
      <c r="Q1426" t="s">
        <v>36</v>
      </c>
      <c r="R1426">
        <v>2</v>
      </c>
      <c r="S1426">
        <v>10</v>
      </c>
      <c r="T1426">
        <v>3</v>
      </c>
      <c r="U1426">
        <v>10</v>
      </c>
      <c r="V1426">
        <v>7</v>
      </c>
      <c r="W1426">
        <v>0</v>
      </c>
      <c r="X1426">
        <v>8</v>
      </c>
      <c r="Y1426">
        <v>19</v>
      </c>
      <c r="Z1426">
        <f>IF(H_A[[#This Row],[Attrition]]="Yes",1,0)</f>
        <v>0</v>
      </c>
      <c r="AA1426" t="str">
        <f>IF(H_A[[#This Row],[Age]]&lt;30,"Young",IF(H_A[[#This Row],[Age]]&lt;45,"Mid","Senior"))</f>
        <v>Mid</v>
      </c>
      <c r="AB1426" t="str">
        <f>IF(H_A[[#This Row],[MonthlyIncome]]&lt;5000,"Low",IF(H_A[[#This Row],[MonthlyIncome]]&lt;10000,"Medium","High"))</f>
        <v>Medium</v>
      </c>
      <c r="AC1426" t="str">
        <f>IF(H_A[[#This Row],[YearsAtCompany]]&lt;3,"Early",IF(H_A[[#This Row],[YearsAtCompany]]&lt;7,"Mid","Long"))</f>
        <v>Long</v>
      </c>
      <c r="AD1426" t="str">
        <f>IF(H_A[[#This Row],[PercentSalaryHike]]&lt;13,"Low",IF(H_A[[#This Row],[PercentSalaryHike]]&lt;18,"Medium","High"))</f>
        <v>High</v>
      </c>
    </row>
    <row r="1427" spans="1:30" x14ac:dyDescent="0.3">
      <c r="A1427">
        <v>33</v>
      </c>
      <c r="B1427">
        <v>2009</v>
      </c>
      <c r="C1427" t="s">
        <v>36</v>
      </c>
      <c r="D1427" t="s">
        <v>37</v>
      </c>
      <c r="E1427">
        <v>15</v>
      </c>
      <c r="F1427">
        <v>2</v>
      </c>
      <c r="G1427" t="s">
        <v>43</v>
      </c>
      <c r="H1427">
        <v>2</v>
      </c>
      <c r="I1427" t="s">
        <v>33</v>
      </c>
      <c r="J1427">
        <v>3</v>
      </c>
      <c r="K1427">
        <v>2</v>
      </c>
      <c r="L1427" t="s">
        <v>46</v>
      </c>
      <c r="M1427">
        <v>4</v>
      </c>
      <c r="N1427" t="s">
        <v>40</v>
      </c>
      <c r="O1427">
        <v>4878</v>
      </c>
      <c r="P1427">
        <v>0</v>
      </c>
      <c r="Q1427" t="s">
        <v>30</v>
      </c>
      <c r="R1427">
        <v>1</v>
      </c>
      <c r="S1427">
        <v>10</v>
      </c>
      <c r="T1427">
        <v>3</v>
      </c>
      <c r="U1427">
        <v>9</v>
      </c>
      <c r="V1427">
        <v>7</v>
      </c>
      <c r="W1427">
        <v>8</v>
      </c>
      <c r="X1427">
        <v>1</v>
      </c>
      <c r="Y1427">
        <v>13</v>
      </c>
      <c r="Z1427">
        <f>IF(H_A[[#This Row],[Attrition]]="Yes",1,0)</f>
        <v>0</v>
      </c>
      <c r="AA1427" t="str">
        <f>IF(H_A[[#This Row],[Age]]&lt;30,"Young",IF(H_A[[#This Row],[Age]]&lt;45,"Mid","Senior"))</f>
        <v>Mid</v>
      </c>
      <c r="AB1427" t="str">
        <f>IF(H_A[[#This Row],[MonthlyIncome]]&lt;5000,"Low",IF(H_A[[#This Row],[MonthlyIncome]]&lt;10000,"Medium","High"))</f>
        <v>Low</v>
      </c>
      <c r="AC1427" t="str">
        <f>IF(H_A[[#This Row],[YearsAtCompany]]&lt;3,"Early",IF(H_A[[#This Row],[YearsAtCompany]]&lt;7,"Mid","Long"))</f>
        <v>Long</v>
      </c>
      <c r="AD1427" t="str">
        <f>IF(H_A[[#This Row],[PercentSalaryHike]]&lt;13,"Low",IF(H_A[[#This Row],[PercentSalaryHike]]&lt;18,"Medium","High"))</f>
        <v>Medium</v>
      </c>
    </row>
    <row r="1428" spans="1:30" x14ac:dyDescent="0.3">
      <c r="A1428">
        <v>32</v>
      </c>
      <c r="B1428">
        <v>2010</v>
      </c>
      <c r="C1428" t="s">
        <v>36</v>
      </c>
      <c r="D1428" t="s">
        <v>37</v>
      </c>
      <c r="E1428">
        <v>29</v>
      </c>
      <c r="F1428">
        <v>4</v>
      </c>
      <c r="G1428" t="s">
        <v>32</v>
      </c>
      <c r="H1428">
        <v>3</v>
      </c>
      <c r="I1428" t="s">
        <v>33</v>
      </c>
      <c r="J1428">
        <v>2</v>
      </c>
      <c r="K1428">
        <v>1</v>
      </c>
      <c r="L1428" t="s">
        <v>42</v>
      </c>
      <c r="M1428">
        <v>2</v>
      </c>
      <c r="N1428" t="s">
        <v>35</v>
      </c>
      <c r="O1428">
        <v>2837</v>
      </c>
      <c r="P1428">
        <v>1</v>
      </c>
      <c r="Q1428" t="s">
        <v>36</v>
      </c>
      <c r="R1428">
        <v>3</v>
      </c>
      <c r="S1428">
        <v>6</v>
      </c>
      <c r="T1428">
        <v>3</v>
      </c>
      <c r="U1428">
        <v>6</v>
      </c>
      <c r="V1428">
        <v>2</v>
      </c>
      <c r="W1428">
        <v>4</v>
      </c>
      <c r="X1428">
        <v>1</v>
      </c>
      <c r="Y1428">
        <v>13</v>
      </c>
      <c r="Z1428">
        <f>IF(H_A[[#This Row],[Attrition]]="Yes",1,0)</f>
        <v>0</v>
      </c>
      <c r="AA1428" t="str">
        <f>IF(H_A[[#This Row],[Age]]&lt;30,"Young",IF(H_A[[#This Row],[Age]]&lt;45,"Mid","Senior"))</f>
        <v>Mid</v>
      </c>
      <c r="AB1428" t="str">
        <f>IF(H_A[[#This Row],[MonthlyIncome]]&lt;5000,"Low",IF(H_A[[#This Row],[MonthlyIncome]]&lt;10000,"Medium","High"))</f>
        <v>Low</v>
      </c>
      <c r="AC1428" t="str">
        <f>IF(H_A[[#This Row],[YearsAtCompany]]&lt;3,"Early",IF(H_A[[#This Row],[YearsAtCompany]]&lt;7,"Mid","Long"))</f>
        <v>Mid</v>
      </c>
      <c r="AD1428" t="str">
        <f>IF(H_A[[#This Row],[PercentSalaryHike]]&lt;13,"Low",IF(H_A[[#This Row],[PercentSalaryHike]]&lt;18,"Medium","High"))</f>
        <v>Medium</v>
      </c>
    </row>
    <row r="1429" spans="1:30" x14ac:dyDescent="0.3">
      <c r="A1429">
        <v>40</v>
      </c>
      <c r="B1429">
        <v>2012</v>
      </c>
      <c r="C1429" t="s">
        <v>36</v>
      </c>
      <c r="D1429" t="s">
        <v>37</v>
      </c>
      <c r="E1429">
        <v>1</v>
      </c>
      <c r="F1429">
        <v>4</v>
      </c>
      <c r="G1429" t="s">
        <v>32</v>
      </c>
      <c r="H1429">
        <v>1</v>
      </c>
      <c r="I1429" t="s">
        <v>38</v>
      </c>
      <c r="J1429">
        <v>3</v>
      </c>
      <c r="K1429">
        <v>1</v>
      </c>
      <c r="L1429" t="s">
        <v>42</v>
      </c>
      <c r="M1429">
        <v>4</v>
      </c>
      <c r="N1429" t="s">
        <v>40</v>
      </c>
      <c r="O1429">
        <v>2406</v>
      </c>
      <c r="P1429">
        <v>8</v>
      </c>
      <c r="Q1429" t="s">
        <v>36</v>
      </c>
      <c r="R1429">
        <v>3</v>
      </c>
      <c r="S1429">
        <v>8</v>
      </c>
      <c r="T1429">
        <v>2</v>
      </c>
      <c r="U1429">
        <v>1</v>
      </c>
      <c r="V1429">
        <v>0</v>
      </c>
      <c r="W1429">
        <v>0</v>
      </c>
      <c r="X1429">
        <v>0</v>
      </c>
      <c r="Y1429">
        <v>19</v>
      </c>
      <c r="Z1429">
        <f>IF(H_A[[#This Row],[Attrition]]="Yes",1,0)</f>
        <v>0</v>
      </c>
      <c r="AA1429" t="str">
        <f>IF(H_A[[#This Row],[Age]]&lt;30,"Young",IF(H_A[[#This Row],[Age]]&lt;45,"Mid","Senior"))</f>
        <v>Mid</v>
      </c>
      <c r="AB1429" t="str">
        <f>IF(H_A[[#This Row],[MonthlyIncome]]&lt;5000,"Low",IF(H_A[[#This Row],[MonthlyIncome]]&lt;10000,"Medium","High"))</f>
        <v>Low</v>
      </c>
      <c r="AC1429" t="str">
        <f>IF(H_A[[#This Row],[YearsAtCompany]]&lt;3,"Early",IF(H_A[[#This Row],[YearsAtCompany]]&lt;7,"Mid","Long"))</f>
        <v>Early</v>
      </c>
      <c r="AD1429" t="str">
        <f>IF(H_A[[#This Row],[PercentSalaryHike]]&lt;13,"Low",IF(H_A[[#This Row],[PercentSalaryHike]]&lt;18,"Medium","High"))</f>
        <v>High</v>
      </c>
    </row>
    <row r="1430" spans="1:30" x14ac:dyDescent="0.3">
      <c r="A1430">
        <v>32</v>
      </c>
      <c r="B1430">
        <v>2013</v>
      </c>
      <c r="C1430" t="s">
        <v>36</v>
      </c>
      <c r="D1430" t="s">
        <v>31</v>
      </c>
      <c r="E1430">
        <v>1</v>
      </c>
      <c r="F1430">
        <v>4</v>
      </c>
      <c r="G1430" t="s">
        <v>43</v>
      </c>
      <c r="H1430">
        <v>2</v>
      </c>
      <c r="I1430" t="s">
        <v>38</v>
      </c>
      <c r="J1430">
        <v>2</v>
      </c>
      <c r="K1430">
        <v>1</v>
      </c>
      <c r="L1430" t="s">
        <v>48</v>
      </c>
      <c r="M1430">
        <v>2</v>
      </c>
      <c r="N1430" t="s">
        <v>40</v>
      </c>
      <c r="O1430">
        <v>2269</v>
      </c>
      <c r="P1430">
        <v>0</v>
      </c>
      <c r="Q1430" t="s">
        <v>36</v>
      </c>
      <c r="R1430">
        <v>2</v>
      </c>
      <c r="S1430">
        <v>3</v>
      </c>
      <c r="T1430">
        <v>3</v>
      </c>
      <c r="U1430">
        <v>2</v>
      </c>
      <c r="V1430">
        <v>2</v>
      </c>
      <c r="W1430">
        <v>2</v>
      </c>
      <c r="X1430">
        <v>2</v>
      </c>
      <c r="Y1430">
        <v>14</v>
      </c>
      <c r="Z1430">
        <f>IF(H_A[[#This Row],[Attrition]]="Yes",1,0)</f>
        <v>0</v>
      </c>
      <c r="AA1430" t="str">
        <f>IF(H_A[[#This Row],[Age]]&lt;30,"Young",IF(H_A[[#This Row],[Age]]&lt;45,"Mid","Senior"))</f>
        <v>Mid</v>
      </c>
      <c r="AB1430" t="str">
        <f>IF(H_A[[#This Row],[MonthlyIncome]]&lt;5000,"Low",IF(H_A[[#This Row],[MonthlyIncome]]&lt;10000,"Medium","High"))</f>
        <v>Low</v>
      </c>
      <c r="AC1430" t="str">
        <f>IF(H_A[[#This Row],[YearsAtCompany]]&lt;3,"Early",IF(H_A[[#This Row],[YearsAtCompany]]&lt;7,"Mid","Long"))</f>
        <v>Early</v>
      </c>
      <c r="AD1430" t="str">
        <f>IF(H_A[[#This Row],[PercentSalaryHike]]&lt;13,"Low",IF(H_A[[#This Row],[PercentSalaryHike]]&lt;18,"Medium","High"))</f>
        <v>Medium</v>
      </c>
    </row>
    <row r="1431" spans="1:30" x14ac:dyDescent="0.3">
      <c r="A1431">
        <v>39</v>
      </c>
      <c r="B1431">
        <v>2014</v>
      </c>
      <c r="C1431" t="s">
        <v>36</v>
      </c>
      <c r="D1431" t="s">
        <v>37</v>
      </c>
      <c r="E1431">
        <v>24</v>
      </c>
      <c r="F1431">
        <v>1</v>
      </c>
      <c r="G1431" t="s">
        <v>32</v>
      </c>
      <c r="H1431">
        <v>1</v>
      </c>
      <c r="I1431" t="s">
        <v>38</v>
      </c>
      <c r="J1431">
        <v>3</v>
      </c>
      <c r="K1431">
        <v>2</v>
      </c>
      <c r="L1431" t="s">
        <v>39</v>
      </c>
      <c r="M1431">
        <v>4</v>
      </c>
      <c r="N1431" t="s">
        <v>35</v>
      </c>
      <c r="O1431">
        <v>4108</v>
      </c>
      <c r="P1431">
        <v>7</v>
      </c>
      <c r="Q1431" t="s">
        <v>36</v>
      </c>
      <c r="R1431">
        <v>1</v>
      </c>
      <c r="S1431">
        <v>18</v>
      </c>
      <c r="T1431">
        <v>3</v>
      </c>
      <c r="U1431">
        <v>7</v>
      </c>
      <c r="V1431">
        <v>7</v>
      </c>
      <c r="W1431">
        <v>1</v>
      </c>
      <c r="X1431">
        <v>7</v>
      </c>
      <c r="Y1431">
        <v>13</v>
      </c>
      <c r="Z1431">
        <f>IF(H_A[[#This Row],[Attrition]]="Yes",1,0)</f>
        <v>0</v>
      </c>
      <c r="AA1431" t="str">
        <f>IF(H_A[[#This Row],[Age]]&lt;30,"Young",IF(H_A[[#This Row],[Age]]&lt;45,"Mid","Senior"))</f>
        <v>Mid</v>
      </c>
      <c r="AB1431" t="str">
        <f>IF(H_A[[#This Row],[MonthlyIncome]]&lt;5000,"Low",IF(H_A[[#This Row],[MonthlyIncome]]&lt;10000,"Medium","High"))</f>
        <v>Low</v>
      </c>
      <c r="AC1431" t="str">
        <f>IF(H_A[[#This Row],[YearsAtCompany]]&lt;3,"Early",IF(H_A[[#This Row],[YearsAtCompany]]&lt;7,"Mid","Long"))</f>
        <v>Long</v>
      </c>
      <c r="AD1431" t="str">
        <f>IF(H_A[[#This Row],[PercentSalaryHike]]&lt;13,"Low",IF(H_A[[#This Row],[PercentSalaryHike]]&lt;18,"Medium","High"))</f>
        <v>Medium</v>
      </c>
    </row>
    <row r="1432" spans="1:30" x14ac:dyDescent="0.3">
      <c r="A1432">
        <v>38</v>
      </c>
      <c r="B1432">
        <v>2015</v>
      </c>
      <c r="C1432" t="s">
        <v>36</v>
      </c>
      <c r="D1432" t="s">
        <v>37</v>
      </c>
      <c r="E1432">
        <v>10</v>
      </c>
      <c r="F1432">
        <v>3</v>
      </c>
      <c r="G1432" t="s">
        <v>43</v>
      </c>
      <c r="H1432">
        <v>2</v>
      </c>
      <c r="I1432" t="s">
        <v>33</v>
      </c>
      <c r="J1432">
        <v>1</v>
      </c>
      <c r="K1432">
        <v>3</v>
      </c>
      <c r="L1432" t="s">
        <v>49</v>
      </c>
      <c r="M1432">
        <v>3</v>
      </c>
      <c r="N1432" t="s">
        <v>40</v>
      </c>
      <c r="O1432">
        <v>13206</v>
      </c>
      <c r="P1432">
        <v>3</v>
      </c>
      <c r="Q1432" t="s">
        <v>36</v>
      </c>
      <c r="R1432">
        <v>1</v>
      </c>
      <c r="S1432">
        <v>20</v>
      </c>
      <c r="T1432">
        <v>3</v>
      </c>
      <c r="U1432">
        <v>18</v>
      </c>
      <c r="V1432">
        <v>16</v>
      </c>
      <c r="W1432">
        <v>1</v>
      </c>
      <c r="X1432">
        <v>11</v>
      </c>
      <c r="Y1432">
        <v>12</v>
      </c>
      <c r="Z1432">
        <f>IF(H_A[[#This Row],[Attrition]]="Yes",1,0)</f>
        <v>0</v>
      </c>
      <c r="AA1432" t="str">
        <f>IF(H_A[[#This Row],[Age]]&lt;30,"Young",IF(H_A[[#This Row],[Age]]&lt;45,"Mid","Senior"))</f>
        <v>Mid</v>
      </c>
      <c r="AB1432" t="str">
        <f>IF(H_A[[#This Row],[MonthlyIncome]]&lt;5000,"Low",IF(H_A[[#This Row],[MonthlyIncome]]&lt;10000,"Medium","High"))</f>
        <v>High</v>
      </c>
      <c r="AC1432" t="str">
        <f>IF(H_A[[#This Row],[YearsAtCompany]]&lt;3,"Early",IF(H_A[[#This Row],[YearsAtCompany]]&lt;7,"Mid","Long"))</f>
        <v>Long</v>
      </c>
      <c r="AD1432" t="str">
        <f>IF(H_A[[#This Row],[PercentSalaryHike]]&lt;13,"Low",IF(H_A[[#This Row],[PercentSalaryHike]]&lt;18,"Medium","High"))</f>
        <v>Low</v>
      </c>
    </row>
    <row r="1433" spans="1:30" x14ac:dyDescent="0.3">
      <c r="A1433">
        <v>32</v>
      </c>
      <c r="B1433">
        <v>2016</v>
      </c>
      <c r="C1433" t="s">
        <v>36</v>
      </c>
      <c r="D1433" t="s">
        <v>31</v>
      </c>
      <c r="E1433">
        <v>1</v>
      </c>
      <c r="F1433">
        <v>4</v>
      </c>
      <c r="G1433" t="s">
        <v>50</v>
      </c>
      <c r="H1433">
        <v>3</v>
      </c>
      <c r="I1433" t="s">
        <v>33</v>
      </c>
      <c r="J1433">
        <v>3</v>
      </c>
      <c r="K1433">
        <v>3</v>
      </c>
      <c r="L1433" t="s">
        <v>34</v>
      </c>
      <c r="M1433">
        <v>4</v>
      </c>
      <c r="N1433" t="s">
        <v>40</v>
      </c>
      <c r="O1433">
        <v>10422</v>
      </c>
      <c r="P1433">
        <v>1</v>
      </c>
      <c r="Q1433" t="s">
        <v>36</v>
      </c>
      <c r="R1433">
        <v>3</v>
      </c>
      <c r="S1433">
        <v>14</v>
      </c>
      <c r="T1433">
        <v>3</v>
      </c>
      <c r="U1433">
        <v>14</v>
      </c>
      <c r="V1433">
        <v>10</v>
      </c>
      <c r="W1433">
        <v>5</v>
      </c>
      <c r="X1433">
        <v>7</v>
      </c>
      <c r="Y1433">
        <v>19</v>
      </c>
      <c r="Z1433">
        <f>IF(H_A[[#This Row],[Attrition]]="Yes",1,0)</f>
        <v>0</v>
      </c>
      <c r="AA1433" t="str">
        <f>IF(H_A[[#This Row],[Age]]&lt;30,"Young",IF(H_A[[#This Row],[Age]]&lt;45,"Mid","Senior"))</f>
        <v>Mid</v>
      </c>
      <c r="AB1433" t="str">
        <f>IF(H_A[[#This Row],[MonthlyIncome]]&lt;5000,"Low",IF(H_A[[#This Row],[MonthlyIncome]]&lt;10000,"Medium","High"))</f>
        <v>High</v>
      </c>
      <c r="AC1433" t="str">
        <f>IF(H_A[[#This Row],[YearsAtCompany]]&lt;3,"Early",IF(H_A[[#This Row],[YearsAtCompany]]&lt;7,"Mid","Long"))</f>
        <v>Long</v>
      </c>
      <c r="AD1433" t="str">
        <f>IF(H_A[[#This Row],[PercentSalaryHike]]&lt;13,"Low",IF(H_A[[#This Row],[PercentSalaryHike]]&lt;18,"Medium","High"))</f>
        <v>High</v>
      </c>
    </row>
    <row r="1434" spans="1:30" x14ac:dyDescent="0.3">
      <c r="A1434">
        <v>37</v>
      </c>
      <c r="B1434">
        <v>2017</v>
      </c>
      <c r="C1434" t="s">
        <v>36</v>
      </c>
      <c r="D1434" t="s">
        <v>37</v>
      </c>
      <c r="E1434">
        <v>10</v>
      </c>
      <c r="F1434">
        <v>3</v>
      </c>
      <c r="G1434" t="s">
        <v>32</v>
      </c>
      <c r="H1434">
        <v>3</v>
      </c>
      <c r="I1434" t="s">
        <v>33</v>
      </c>
      <c r="J1434">
        <v>4</v>
      </c>
      <c r="K1434">
        <v>3</v>
      </c>
      <c r="L1434" t="s">
        <v>49</v>
      </c>
      <c r="M1434">
        <v>4</v>
      </c>
      <c r="N1434" t="s">
        <v>40</v>
      </c>
      <c r="O1434">
        <v>13744</v>
      </c>
      <c r="P1434">
        <v>1</v>
      </c>
      <c r="Q1434" t="s">
        <v>30</v>
      </c>
      <c r="R1434">
        <v>1</v>
      </c>
      <c r="S1434">
        <v>16</v>
      </c>
      <c r="T1434">
        <v>3</v>
      </c>
      <c r="U1434">
        <v>16</v>
      </c>
      <c r="V1434">
        <v>11</v>
      </c>
      <c r="W1434">
        <v>6</v>
      </c>
      <c r="X1434">
        <v>8</v>
      </c>
      <c r="Y1434">
        <v>25</v>
      </c>
      <c r="Z1434">
        <f>IF(H_A[[#This Row],[Attrition]]="Yes",1,0)</f>
        <v>0</v>
      </c>
      <c r="AA1434" t="str">
        <f>IF(H_A[[#This Row],[Age]]&lt;30,"Young",IF(H_A[[#This Row],[Age]]&lt;45,"Mid","Senior"))</f>
        <v>Mid</v>
      </c>
      <c r="AB1434" t="str">
        <f>IF(H_A[[#This Row],[MonthlyIncome]]&lt;5000,"Low",IF(H_A[[#This Row],[MonthlyIncome]]&lt;10000,"Medium","High"))</f>
        <v>High</v>
      </c>
      <c r="AC1434" t="str">
        <f>IF(H_A[[#This Row],[YearsAtCompany]]&lt;3,"Early",IF(H_A[[#This Row],[YearsAtCompany]]&lt;7,"Mid","Long"))</f>
        <v>Long</v>
      </c>
      <c r="AD1434" t="str">
        <f>IF(H_A[[#This Row],[PercentSalaryHike]]&lt;13,"Low",IF(H_A[[#This Row],[PercentSalaryHike]]&lt;18,"Medium","High"))</f>
        <v>High</v>
      </c>
    </row>
    <row r="1435" spans="1:30" x14ac:dyDescent="0.3">
      <c r="A1435">
        <v>25</v>
      </c>
      <c r="B1435">
        <v>2018</v>
      </c>
      <c r="C1435" t="s">
        <v>36</v>
      </c>
      <c r="D1435" t="s">
        <v>31</v>
      </c>
      <c r="E1435">
        <v>8</v>
      </c>
      <c r="F1435">
        <v>2</v>
      </c>
      <c r="G1435" t="s">
        <v>41</v>
      </c>
      <c r="H1435">
        <v>1</v>
      </c>
      <c r="I1435" t="s">
        <v>33</v>
      </c>
      <c r="J1435">
        <v>3</v>
      </c>
      <c r="K1435">
        <v>2</v>
      </c>
      <c r="L1435" t="s">
        <v>34</v>
      </c>
      <c r="M1435">
        <v>3</v>
      </c>
      <c r="N1435" t="s">
        <v>44</v>
      </c>
      <c r="O1435">
        <v>4907</v>
      </c>
      <c r="P1435">
        <v>0</v>
      </c>
      <c r="Q1435" t="s">
        <v>30</v>
      </c>
      <c r="R1435">
        <v>2</v>
      </c>
      <c r="S1435">
        <v>6</v>
      </c>
      <c r="T1435">
        <v>2</v>
      </c>
      <c r="U1435">
        <v>5</v>
      </c>
      <c r="V1435">
        <v>3</v>
      </c>
      <c r="W1435">
        <v>0</v>
      </c>
      <c r="X1435">
        <v>4</v>
      </c>
      <c r="Y1435">
        <v>22</v>
      </c>
      <c r="Z1435">
        <f>IF(H_A[[#This Row],[Attrition]]="Yes",1,0)</f>
        <v>0</v>
      </c>
      <c r="AA1435" t="str">
        <f>IF(H_A[[#This Row],[Age]]&lt;30,"Young",IF(H_A[[#This Row],[Age]]&lt;45,"Mid","Senior"))</f>
        <v>Young</v>
      </c>
      <c r="AB1435" t="str">
        <f>IF(H_A[[#This Row],[MonthlyIncome]]&lt;5000,"Low",IF(H_A[[#This Row],[MonthlyIncome]]&lt;10000,"Medium","High"))</f>
        <v>Low</v>
      </c>
      <c r="AC1435" t="str">
        <f>IF(H_A[[#This Row],[YearsAtCompany]]&lt;3,"Early",IF(H_A[[#This Row],[YearsAtCompany]]&lt;7,"Mid","Long"))</f>
        <v>Mid</v>
      </c>
      <c r="AD1435" t="str">
        <f>IF(H_A[[#This Row],[PercentSalaryHike]]&lt;13,"Low",IF(H_A[[#This Row],[PercentSalaryHike]]&lt;18,"Medium","High"))</f>
        <v>High</v>
      </c>
    </row>
    <row r="1436" spans="1:30" x14ac:dyDescent="0.3">
      <c r="A1436">
        <v>52</v>
      </c>
      <c r="B1436">
        <v>2019</v>
      </c>
      <c r="C1436" t="s">
        <v>36</v>
      </c>
      <c r="D1436" t="s">
        <v>31</v>
      </c>
      <c r="E1436">
        <v>29</v>
      </c>
      <c r="F1436">
        <v>4</v>
      </c>
      <c r="G1436" t="s">
        <v>32</v>
      </c>
      <c r="H1436">
        <v>1</v>
      </c>
      <c r="I1436" t="s">
        <v>38</v>
      </c>
      <c r="J1436">
        <v>3</v>
      </c>
      <c r="K1436">
        <v>1</v>
      </c>
      <c r="L1436" t="s">
        <v>48</v>
      </c>
      <c r="M1436">
        <v>4</v>
      </c>
      <c r="N1436" t="s">
        <v>44</v>
      </c>
      <c r="O1436">
        <v>3482</v>
      </c>
      <c r="P1436">
        <v>2</v>
      </c>
      <c r="Q1436" t="s">
        <v>36</v>
      </c>
      <c r="R1436">
        <v>2</v>
      </c>
      <c r="S1436">
        <v>16</v>
      </c>
      <c r="T1436">
        <v>2</v>
      </c>
      <c r="U1436">
        <v>9</v>
      </c>
      <c r="V1436">
        <v>8</v>
      </c>
      <c r="W1436">
        <v>0</v>
      </c>
      <c r="X1436">
        <v>0</v>
      </c>
      <c r="Y1436">
        <v>15</v>
      </c>
      <c r="Z1436">
        <f>IF(H_A[[#This Row],[Attrition]]="Yes",1,0)</f>
        <v>0</v>
      </c>
      <c r="AA1436" t="str">
        <f>IF(H_A[[#This Row],[Age]]&lt;30,"Young",IF(H_A[[#This Row],[Age]]&lt;45,"Mid","Senior"))</f>
        <v>Senior</v>
      </c>
      <c r="AB1436" t="str">
        <f>IF(H_A[[#This Row],[MonthlyIncome]]&lt;5000,"Low",IF(H_A[[#This Row],[MonthlyIncome]]&lt;10000,"Medium","High"))</f>
        <v>Low</v>
      </c>
      <c r="AC1436" t="str">
        <f>IF(H_A[[#This Row],[YearsAtCompany]]&lt;3,"Early",IF(H_A[[#This Row],[YearsAtCompany]]&lt;7,"Mid","Long"))</f>
        <v>Long</v>
      </c>
      <c r="AD1436" t="str">
        <f>IF(H_A[[#This Row],[PercentSalaryHike]]&lt;13,"Low",IF(H_A[[#This Row],[PercentSalaryHike]]&lt;18,"Medium","High"))</f>
        <v>Medium</v>
      </c>
    </row>
    <row r="1437" spans="1:30" x14ac:dyDescent="0.3">
      <c r="A1437">
        <v>44</v>
      </c>
      <c r="B1437">
        <v>2020</v>
      </c>
      <c r="C1437" t="s">
        <v>36</v>
      </c>
      <c r="D1437" t="s">
        <v>37</v>
      </c>
      <c r="E1437">
        <v>1</v>
      </c>
      <c r="F1437">
        <v>3</v>
      </c>
      <c r="G1437" t="s">
        <v>43</v>
      </c>
      <c r="H1437">
        <v>2</v>
      </c>
      <c r="I1437" t="s">
        <v>38</v>
      </c>
      <c r="J1437">
        <v>3</v>
      </c>
      <c r="K1437">
        <v>1</v>
      </c>
      <c r="L1437" t="s">
        <v>39</v>
      </c>
      <c r="M1437">
        <v>4</v>
      </c>
      <c r="N1437" t="s">
        <v>35</v>
      </c>
      <c r="O1437">
        <v>2436</v>
      </c>
      <c r="P1437">
        <v>6</v>
      </c>
      <c r="Q1437" t="s">
        <v>30</v>
      </c>
      <c r="R1437">
        <v>3</v>
      </c>
      <c r="S1437">
        <v>6</v>
      </c>
      <c r="T1437">
        <v>3</v>
      </c>
      <c r="U1437">
        <v>4</v>
      </c>
      <c r="V1437">
        <v>3</v>
      </c>
      <c r="W1437">
        <v>1</v>
      </c>
      <c r="X1437">
        <v>2</v>
      </c>
      <c r="Y1437">
        <v>12</v>
      </c>
      <c r="Z1437">
        <f>IF(H_A[[#This Row],[Attrition]]="Yes",1,0)</f>
        <v>0</v>
      </c>
      <c r="AA1437" t="str">
        <f>IF(H_A[[#This Row],[Age]]&lt;30,"Young",IF(H_A[[#This Row],[Age]]&lt;45,"Mid","Senior"))</f>
        <v>Mid</v>
      </c>
      <c r="AB1437" t="str">
        <f>IF(H_A[[#This Row],[MonthlyIncome]]&lt;5000,"Low",IF(H_A[[#This Row],[MonthlyIncome]]&lt;10000,"Medium","High"))</f>
        <v>Low</v>
      </c>
      <c r="AC1437" t="str">
        <f>IF(H_A[[#This Row],[YearsAtCompany]]&lt;3,"Early",IF(H_A[[#This Row],[YearsAtCompany]]&lt;7,"Mid","Long"))</f>
        <v>Mid</v>
      </c>
      <c r="AD1437" t="str">
        <f>IF(H_A[[#This Row],[PercentSalaryHike]]&lt;13,"Low",IF(H_A[[#This Row],[PercentSalaryHike]]&lt;18,"Medium","High"))</f>
        <v>Low</v>
      </c>
    </row>
    <row r="1438" spans="1:30" x14ac:dyDescent="0.3">
      <c r="A1438">
        <v>21</v>
      </c>
      <c r="B1438">
        <v>2021</v>
      </c>
      <c r="C1438" t="s">
        <v>36</v>
      </c>
      <c r="D1438" t="s">
        <v>31</v>
      </c>
      <c r="E1438">
        <v>5</v>
      </c>
      <c r="F1438">
        <v>1</v>
      </c>
      <c r="G1438" t="s">
        <v>43</v>
      </c>
      <c r="H1438">
        <v>3</v>
      </c>
      <c r="I1438" t="s">
        <v>38</v>
      </c>
      <c r="J1438">
        <v>3</v>
      </c>
      <c r="K1438">
        <v>1</v>
      </c>
      <c r="L1438" t="s">
        <v>48</v>
      </c>
      <c r="M1438">
        <v>1</v>
      </c>
      <c r="N1438" t="s">
        <v>35</v>
      </c>
      <c r="O1438">
        <v>2380</v>
      </c>
      <c r="P1438">
        <v>1</v>
      </c>
      <c r="Q1438" t="s">
        <v>30</v>
      </c>
      <c r="R1438">
        <v>4</v>
      </c>
      <c r="S1438">
        <v>2</v>
      </c>
      <c r="T1438">
        <v>3</v>
      </c>
      <c r="U1438">
        <v>2</v>
      </c>
      <c r="V1438">
        <v>2</v>
      </c>
      <c r="W1438">
        <v>1</v>
      </c>
      <c r="X1438">
        <v>2</v>
      </c>
      <c r="Y1438">
        <v>11</v>
      </c>
      <c r="Z1438">
        <f>IF(H_A[[#This Row],[Attrition]]="Yes",1,0)</f>
        <v>0</v>
      </c>
      <c r="AA1438" t="str">
        <f>IF(H_A[[#This Row],[Age]]&lt;30,"Young",IF(H_A[[#This Row],[Age]]&lt;45,"Mid","Senior"))</f>
        <v>Young</v>
      </c>
      <c r="AB1438" t="str">
        <f>IF(H_A[[#This Row],[MonthlyIncome]]&lt;5000,"Low",IF(H_A[[#This Row],[MonthlyIncome]]&lt;10000,"Medium","High"))</f>
        <v>Low</v>
      </c>
      <c r="AC1438" t="str">
        <f>IF(H_A[[#This Row],[YearsAtCompany]]&lt;3,"Early",IF(H_A[[#This Row],[YearsAtCompany]]&lt;7,"Mid","Long"))</f>
        <v>Early</v>
      </c>
      <c r="AD1438" t="str">
        <f>IF(H_A[[#This Row],[PercentSalaryHike]]&lt;13,"Low",IF(H_A[[#This Row],[PercentSalaryHike]]&lt;18,"Medium","High"))</f>
        <v>Low</v>
      </c>
    </row>
    <row r="1439" spans="1:30" x14ac:dyDescent="0.3">
      <c r="A1439">
        <v>39</v>
      </c>
      <c r="B1439">
        <v>2022</v>
      </c>
      <c r="C1439" t="s">
        <v>36</v>
      </c>
      <c r="D1439" t="s">
        <v>37</v>
      </c>
      <c r="E1439">
        <v>9</v>
      </c>
      <c r="F1439">
        <v>3</v>
      </c>
      <c r="G1439" t="s">
        <v>32</v>
      </c>
      <c r="H1439">
        <v>4</v>
      </c>
      <c r="I1439" t="s">
        <v>38</v>
      </c>
      <c r="J1439">
        <v>3</v>
      </c>
      <c r="K1439">
        <v>5</v>
      </c>
      <c r="L1439" t="s">
        <v>47</v>
      </c>
      <c r="M1439">
        <v>4</v>
      </c>
      <c r="N1439" t="s">
        <v>35</v>
      </c>
      <c r="O1439">
        <v>19431</v>
      </c>
      <c r="P1439">
        <v>2</v>
      </c>
      <c r="Q1439" t="s">
        <v>36</v>
      </c>
      <c r="R1439">
        <v>3</v>
      </c>
      <c r="S1439">
        <v>21</v>
      </c>
      <c r="T1439">
        <v>2</v>
      </c>
      <c r="U1439">
        <v>6</v>
      </c>
      <c r="V1439">
        <v>0</v>
      </c>
      <c r="W1439">
        <v>1</v>
      </c>
      <c r="X1439">
        <v>3</v>
      </c>
      <c r="Y1439">
        <v>13</v>
      </c>
      <c r="Z1439">
        <f>IF(H_A[[#This Row],[Attrition]]="Yes",1,0)</f>
        <v>0</v>
      </c>
      <c r="AA1439" t="str">
        <f>IF(H_A[[#This Row],[Age]]&lt;30,"Young",IF(H_A[[#This Row],[Age]]&lt;45,"Mid","Senior"))</f>
        <v>Mid</v>
      </c>
      <c r="AB1439" t="str">
        <f>IF(H_A[[#This Row],[MonthlyIncome]]&lt;5000,"Low",IF(H_A[[#This Row],[MonthlyIncome]]&lt;10000,"Medium","High"))</f>
        <v>High</v>
      </c>
      <c r="AC1439" t="str">
        <f>IF(H_A[[#This Row],[YearsAtCompany]]&lt;3,"Early",IF(H_A[[#This Row],[YearsAtCompany]]&lt;7,"Mid","Long"))</f>
        <v>Mid</v>
      </c>
      <c r="AD1439" t="str">
        <f>IF(H_A[[#This Row],[PercentSalaryHike]]&lt;13,"Low",IF(H_A[[#This Row],[PercentSalaryHike]]&lt;18,"Medium","High"))</f>
        <v>Medium</v>
      </c>
    </row>
    <row r="1440" spans="1:30" x14ac:dyDescent="0.3">
      <c r="A1440">
        <v>23</v>
      </c>
      <c r="B1440">
        <v>2023</v>
      </c>
      <c r="C1440" t="s">
        <v>30</v>
      </c>
      <c r="D1440" t="s">
        <v>31</v>
      </c>
      <c r="E1440">
        <v>9</v>
      </c>
      <c r="F1440">
        <v>3</v>
      </c>
      <c r="G1440" t="s">
        <v>50</v>
      </c>
      <c r="H1440">
        <v>4</v>
      </c>
      <c r="I1440" t="s">
        <v>38</v>
      </c>
      <c r="J1440">
        <v>3</v>
      </c>
      <c r="K1440">
        <v>1</v>
      </c>
      <c r="L1440" t="s">
        <v>48</v>
      </c>
      <c r="M1440">
        <v>1</v>
      </c>
      <c r="N1440" t="s">
        <v>40</v>
      </c>
      <c r="O1440">
        <v>1790</v>
      </c>
      <c r="P1440">
        <v>1</v>
      </c>
      <c r="Q1440" t="s">
        <v>36</v>
      </c>
      <c r="R1440">
        <v>1</v>
      </c>
      <c r="S1440">
        <v>1</v>
      </c>
      <c r="T1440">
        <v>2</v>
      </c>
      <c r="U1440">
        <v>1</v>
      </c>
      <c r="V1440">
        <v>0</v>
      </c>
      <c r="W1440">
        <v>1</v>
      </c>
      <c r="X1440">
        <v>0</v>
      </c>
      <c r="Y1440">
        <v>19</v>
      </c>
      <c r="Z1440">
        <f>IF(H_A[[#This Row],[Attrition]]="Yes",1,0)</f>
        <v>1</v>
      </c>
      <c r="AA1440" t="str">
        <f>IF(H_A[[#This Row],[Age]]&lt;30,"Young",IF(H_A[[#This Row],[Age]]&lt;45,"Mid","Senior"))</f>
        <v>Young</v>
      </c>
      <c r="AB1440" t="str">
        <f>IF(H_A[[#This Row],[MonthlyIncome]]&lt;5000,"Low",IF(H_A[[#This Row],[MonthlyIncome]]&lt;10000,"Medium","High"))</f>
        <v>Low</v>
      </c>
      <c r="AC1440" t="str">
        <f>IF(H_A[[#This Row],[YearsAtCompany]]&lt;3,"Early",IF(H_A[[#This Row],[YearsAtCompany]]&lt;7,"Mid","Long"))</f>
        <v>Early</v>
      </c>
      <c r="AD1440" t="str">
        <f>IF(H_A[[#This Row],[PercentSalaryHike]]&lt;13,"Low",IF(H_A[[#This Row],[PercentSalaryHike]]&lt;18,"Medium","High"))</f>
        <v>High</v>
      </c>
    </row>
    <row r="1441" spans="1:30" x14ac:dyDescent="0.3">
      <c r="A1441">
        <v>36</v>
      </c>
      <c r="B1441">
        <v>2024</v>
      </c>
      <c r="C1441" t="s">
        <v>36</v>
      </c>
      <c r="D1441" t="s">
        <v>31</v>
      </c>
      <c r="E1441">
        <v>3</v>
      </c>
      <c r="F1441">
        <v>3</v>
      </c>
      <c r="G1441" t="s">
        <v>43</v>
      </c>
      <c r="H1441">
        <v>1</v>
      </c>
      <c r="I1441" t="s">
        <v>33</v>
      </c>
      <c r="J1441">
        <v>2</v>
      </c>
      <c r="K1441">
        <v>3</v>
      </c>
      <c r="L1441" t="s">
        <v>34</v>
      </c>
      <c r="M1441">
        <v>4</v>
      </c>
      <c r="N1441" t="s">
        <v>40</v>
      </c>
      <c r="O1441">
        <v>7644</v>
      </c>
      <c r="P1441">
        <v>0</v>
      </c>
      <c r="Q1441" t="s">
        <v>36</v>
      </c>
      <c r="R1441">
        <v>3</v>
      </c>
      <c r="S1441">
        <v>10</v>
      </c>
      <c r="T1441">
        <v>3</v>
      </c>
      <c r="U1441">
        <v>9</v>
      </c>
      <c r="V1441">
        <v>7</v>
      </c>
      <c r="W1441">
        <v>3</v>
      </c>
      <c r="X1441">
        <v>4</v>
      </c>
      <c r="Y1441">
        <v>19</v>
      </c>
      <c r="Z1441">
        <f>IF(H_A[[#This Row],[Attrition]]="Yes",1,0)</f>
        <v>0</v>
      </c>
      <c r="AA1441" t="str">
        <f>IF(H_A[[#This Row],[Age]]&lt;30,"Young",IF(H_A[[#This Row],[Age]]&lt;45,"Mid","Senior"))</f>
        <v>Mid</v>
      </c>
      <c r="AB1441" t="str">
        <f>IF(H_A[[#This Row],[MonthlyIncome]]&lt;5000,"Low",IF(H_A[[#This Row],[MonthlyIncome]]&lt;10000,"Medium","High"))</f>
        <v>Medium</v>
      </c>
      <c r="AC1441" t="str">
        <f>IF(H_A[[#This Row],[YearsAtCompany]]&lt;3,"Early",IF(H_A[[#This Row],[YearsAtCompany]]&lt;7,"Mid","Long"))</f>
        <v>Long</v>
      </c>
      <c r="AD1441" t="str">
        <f>IF(H_A[[#This Row],[PercentSalaryHike]]&lt;13,"Low",IF(H_A[[#This Row],[PercentSalaryHike]]&lt;18,"Medium","High"))</f>
        <v>High</v>
      </c>
    </row>
    <row r="1442" spans="1:30" x14ac:dyDescent="0.3">
      <c r="A1442">
        <v>36</v>
      </c>
      <c r="B1442">
        <v>2025</v>
      </c>
      <c r="C1442" t="s">
        <v>36</v>
      </c>
      <c r="D1442" t="s">
        <v>37</v>
      </c>
      <c r="E1442">
        <v>4</v>
      </c>
      <c r="F1442">
        <v>2</v>
      </c>
      <c r="G1442" t="s">
        <v>32</v>
      </c>
      <c r="H1442">
        <v>4</v>
      </c>
      <c r="I1442" t="s">
        <v>33</v>
      </c>
      <c r="J1442">
        <v>3</v>
      </c>
      <c r="K1442">
        <v>2</v>
      </c>
      <c r="L1442" t="s">
        <v>45</v>
      </c>
      <c r="M1442">
        <v>2</v>
      </c>
      <c r="N1442" t="s">
        <v>44</v>
      </c>
      <c r="O1442">
        <v>5131</v>
      </c>
      <c r="P1442">
        <v>7</v>
      </c>
      <c r="Q1442" t="s">
        <v>36</v>
      </c>
      <c r="R1442">
        <v>2</v>
      </c>
      <c r="S1442">
        <v>18</v>
      </c>
      <c r="T1442">
        <v>3</v>
      </c>
      <c r="U1442">
        <v>4</v>
      </c>
      <c r="V1442">
        <v>2</v>
      </c>
      <c r="W1442">
        <v>0</v>
      </c>
      <c r="X1442">
        <v>2</v>
      </c>
      <c r="Y1442">
        <v>13</v>
      </c>
      <c r="Z1442">
        <f>IF(H_A[[#This Row],[Attrition]]="Yes",1,0)</f>
        <v>0</v>
      </c>
      <c r="AA1442" t="str">
        <f>IF(H_A[[#This Row],[Age]]&lt;30,"Young",IF(H_A[[#This Row],[Age]]&lt;45,"Mid","Senior"))</f>
        <v>Mid</v>
      </c>
      <c r="AB1442" t="str">
        <f>IF(H_A[[#This Row],[MonthlyIncome]]&lt;5000,"Low",IF(H_A[[#This Row],[MonthlyIncome]]&lt;10000,"Medium","High"))</f>
        <v>Medium</v>
      </c>
      <c r="AC1442" t="str">
        <f>IF(H_A[[#This Row],[YearsAtCompany]]&lt;3,"Early",IF(H_A[[#This Row],[YearsAtCompany]]&lt;7,"Mid","Long"))</f>
        <v>Mid</v>
      </c>
      <c r="AD1442" t="str">
        <f>IF(H_A[[#This Row],[PercentSalaryHike]]&lt;13,"Low",IF(H_A[[#This Row],[PercentSalaryHike]]&lt;18,"Medium","High"))</f>
        <v>Medium</v>
      </c>
    </row>
    <row r="1443" spans="1:30" x14ac:dyDescent="0.3">
      <c r="A1443">
        <v>56</v>
      </c>
      <c r="B1443">
        <v>2026</v>
      </c>
      <c r="C1443" t="s">
        <v>36</v>
      </c>
      <c r="D1443" t="s">
        <v>37</v>
      </c>
      <c r="E1443">
        <v>1</v>
      </c>
      <c r="F1443">
        <v>4</v>
      </c>
      <c r="G1443" t="s">
        <v>32</v>
      </c>
      <c r="H1443">
        <v>3</v>
      </c>
      <c r="I1443" t="s">
        <v>38</v>
      </c>
      <c r="J1443">
        <v>3</v>
      </c>
      <c r="K1443">
        <v>2</v>
      </c>
      <c r="L1443" t="s">
        <v>46</v>
      </c>
      <c r="M1443">
        <v>3</v>
      </c>
      <c r="N1443" t="s">
        <v>44</v>
      </c>
      <c r="O1443">
        <v>6306</v>
      </c>
      <c r="P1443">
        <v>1</v>
      </c>
      <c r="Q1443" t="s">
        <v>36</v>
      </c>
      <c r="R1443">
        <v>1</v>
      </c>
      <c r="S1443">
        <v>13</v>
      </c>
      <c r="T1443">
        <v>2</v>
      </c>
      <c r="U1443">
        <v>13</v>
      </c>
      <c r="V1443">
        <v>12</v>
      </c>
      <c r="W1443">
        <v>1</v>
      </c>
      <c r="X1443">
        <v>9</v>
      </c>
      <c r="Y1443">
        <v>21</v>
      </c>
      <c r="Z1443">
        <f>IF(H_A[[#This Row],[Attrition]]="Yes",1,0)</f>
        <v>0</v>
      </c>
      <c r="AA1443" t="str">
        <f>IF(H_A[[#This Row],[Age]]&lt;30,"Young",IF(H_A[[#This Row],[Age]]&lt;45,"Mid","Senior"))</f>
        <v>Senior</v>
      </c>
      <c r="AB1443" t="str">
        <f>IF(H_A[[#This Row],[MonthlyIncome]]&lt;5000,"Low",IF(H_A[[#This Row],[MonthlyIncome]]&lt;10000,"Medium","High"))</f>
        <v>Medium</v>
      </c>
      <c r="AC1443" t="str">
        <f>IF(H_A[[#This Row],[YearsAtCompany]]&lt;3,"Early",IF(H_A[[#This Row],[YearsAtCompany]]&lt;7,"Mid","Long"))</f>
        <v>Long</v>
      </c>
      <c r="AD1443" t="str">
        <f>IF(H_A[[#This Row],[PercentSalaryHike]]&lt;13,"Low",IF(H_A[[#This Row],[PercentSalaryHike]]&lt;18,"Medium","High"))</f>
        <v>High</v>
      </c>
    </row>
    <row r="1444" spans="1:30" x14ac:dyDescent="0.3">
      <c r="A1444">
        <v>29</v>
      </c>
      <c r="B1444">
        <v>2027</v>
      </c>
      <c r="C1444" t="s">
        <v>30</v>
      </c>
      <c r="D1444" t="s">
        <v>37</v>
      </c>
      <c r="E1444">
        <v>1</v>
      </c>
      <c r="F1444">
        <v>4</v>
      </c>
      <c r="G1444" t="s">
        <v>43</v>
      </c>
      <c r="H1444">
        <v>1</v>
      </c>
      <c r="I1444" t="s">
        <v>38</v>
      </c>
      <c r="J1444">
        <v>3</v>
      </c>
      <c r="K1444">
        <v>1</v>
      </c>
      <c r="L1444" t="s">
        <v>39</v>
      </c>
      <c r="M1444">
        <v>4</v>
      </c>
      <c r="N1444" t="s">
        <v>40</v>
      </c>
      <c r="O1444">
        <v>4787</v>
      </c>
      <c r="P1444">
        <v>9</v>
      </c>
      <c r="Q1444" t="s">
        <v>30</v>
      </c>
      <c r="R1444">
        <v>2</v>
      </c>
      <c r="S1444">
        <v>4</v>
      </c>
      <c r="T1444">
        <v>4</v>
      </c>
      <c r="U1444">
        <v>2</v>
      </c>
      <c r="V1444">
        <v>2</v>
      </c>
      <c r="W1444">
        <v>2</v>
      </c>
      <c r="X1444">
        <v>2</v>
      </c>
      <c r="Y1444">
        <v>14</v>
      </c>
      <c r="Z1444">
        <f>IF(H_A[[#This Row],[Attrition]]="Yes",1,0)</f>
        <v>1</v>
      </c>
      <c r="AA1444" t="str">
        <f>IF(H_A[[#This Row],[Age]]&lt;30,"Young",IF(H_A[[#This Row],[Age]]&lt;45,"Mid","Senior"))</f>
        <v>Young</v>
      </c>
      <c r="AB1444" t="str">
        <f>IF(H_A[[#This Row],[MonthlyIncome]]&lt;5000,"Low",IF(H_A[[#This Row],[MonthlyIncome]]&lt;10000,"Medium","High"))</f>
        <v>Low</v>
      </c>
      <c r="AC1444" t="str">
        <f>IF(H_A[[#This Row],[YearsAtCompany]]&lt;3,"Early",IF(H_A[[#This Row],[YearsAtCompany]]&lt;7,"Mid","Long"))</f>
        <v>Early</v>
      </c>
      <c r="AD1444" t="str">
        <f>IF(H_A[[#This Row],[PercentSalaryHike]]&lt;13,"Low",IF(H_A[[#This Row],[PercentSalaryHike]]&lt;18,"Medium","High"))</f>
        <v>Medium</v>
      </c>
    </row>
    <row r="1445" spans="1:30" x14ac:dyDescent="0.3">
      <c r="A1445">
        <v>42</v>
      </c>
      <c r="B1445">
        <v>2031</v>
      </c>
      <c r="C1445" t="s">
        <v>36</v>
      </c>
      <c r="D1445" t="s">
        <v>37</v>
      </c>
      <c r="E1445">
        <v>2</v>
      </c>
      <c r="F1445">
        <v>3</v>
      </c>
      <c r="G1445" t="s">
        <v>32</v>
      </c>
      <c r="H1445">
        <v>1</v>
      </c>
      <c r="I1445" t="s">
        <v>38</v>
      </c>
      <c r="J1445">
        <v>3</v>
      </c>
      <c r="K1445">
        <v>5</v>
      </c>
      <c r="L1445" t="s">
        <v>47</v>
      </c>
      <c r="M1445">
        <v>3</v>
      </c>
      <c r="N1445" t="s">
        <v>40</v>
      </c>
      <c r="O1445">
        <v>18880</v>
      </c>
      <c r="P1445">
        <v>5</v>
      </c>
      <c r="Q1445" t="s">
        <v>36</v>
      </c>
      <c r="R1445">
        <v>1</v>
      </c>
      <c r="S1445">
        <v>24</v>
      </c>
      <c r="T1445">
        <v>2</v>
      </c>
      <c r="U1445">
        <v>22</v>
      </c>
      <c r="V1445">
        <v>6</v>
      </c>
      <c r="W1445">
        <v>4</v>
      </c>
      <c r="X1445">
        <v>14</v>
      </c>
      <c r="Y1445">
        <v>11</v>
      </c>
      <c r="Z1445">
        <f>IF(H_A[[#This Row],[Attrition]]="Yes",1,0)</f>
        <v>0</v>
      </c>
      <c r="AA1445" t="str">
        <f>IF(H_A[[#This Row],[Age]]&lt;30,"Young",IF(H_A[[#This Row],[Age]]&lt;45,"Mid","Senior"))</f>
        <v>Mid</v>
      </c>
      <c r="AB1445" t="str">
        <f>IF(H_A[[#This Row],[MonthlyIncome]]&lt;5000,"Low",IF(H_A[[#This Row],[MonthlyIncome]]&lt;10000,"Medium","High"))</f>
        <v>High</v>
      </c>
      <c r="AC1445" t="str">
        <f>IF(H_A[[#This Row],[YearsAtCompany]]&lt;3,"Early",IF(H_A[[#This Row],[YearsAtCompany]]&lt;7,"Mid","Long"))</f>
        <v>Long</v>
      </c>
      <c r="AD1445" t="str">
        <f>IF(H_A[[#This Row],[PercentSalaryHike]]&lt;13,"Low",IF(H_A[[#This Row],[PercentSalaryHike]]&lt;18,"Medium","High"))</f>
        <v>Low</v>
      </c>
    </row>
    <row r="1446" spans="1:30" x14ac:dyDescent="0.3">
      <c r="A1446">
        <v>56</v>
      </c>
      <c r="B1446">
        <v>2032</v>
      </c>
      <c r="C1446" t="s">
        <v>30</v>
      </c>
      <c r="D1446" t="s">
        <v>37</v>
      </c>
      <c r="E1446">
        <v>7</v>
      </c>
      <c r="F1446">
        <v>2</v>
      </c>
      <c r="G1446" t="s">
        <v>51</v>
      </c>
      <c r="H1446">
        <v>4</v>
      </c>
      <c r="I1446" t="s">
        <v>38</v>
      </c>
      <c r="J1446">
        <v>3</v>
      </c>
      <c r="K1446">
        <v>1</v>
      </c>
      <c r="L1446" t="s">
        <v>42</v>
      </c>
      <c r="M1446">
        <v>3</v>
      </c>
      <c r="N1446" t="s">
        <v>40</v>
      </c>
      <c r="O1446">
        <v>2339</v>
      </c>
      <c r="P1446">
        <v>8</v>
      </c>
      <c r="Q1446" t="s">
        <v>36</v>
      </c>
      <c r="R1446">
        <v>4</v>
      </c>
      <c r="S1446">
        <v>14</v>
      </c>
      <c r="T1446">
        <v>1</v>
      </c>
      <c r="U1446">
        <v>10</v>
      </c>
      <c r="V1446">
        <v>9</v>
      </c>
      <c r="W1446">
        <v>9</v>
      </c>
      <c r="X1446">
        <v>8</v>
      </c>
      <c r="Y1446">
        <v>11</v>
      </c>
      <c r="Z1446">
        <f>IF(H_A[[#This Row],[Attrition]]="Yes",1,0)</f>
        <v>1</v>
      </c>
      <c r="AA1446" t="str">
        <f>IF(H_A[[#This Row],[Age]]&lt;30,"Young",IF(H_A[[#This Row],[Age]]&lt;45,"Mid","Senior"))</f>
        <v>Senior</v>
      </c>
      <c r="AB1446" t="str">
        <f>IF(H_A[[#This Row],[MonthlyIncome]]&lt;5000,"Low",IF(H_A[[#This Row],[MonthlyIncome]]&lt;10000,"Medium","High"))</f>
        <v>Low</v>
      </c>
      <c r="AC1446" t="str">
        <f>IF(H_A[[#This Row],[YearsAtCompany]]&lt;3,"Early",IF(H_A[[#This Row],[YearsAtCompany]]&lt;7,"Mid","Long"))</f>
        <v>Long</v>
      </c>
      <c r="AD1446" t="str">
        <f>IF(H_A[[#This Row],[PercentSalaryHike]]&lt;13,"Low",IF(H_A[[#This Row],[PercentSalaryHike]]&lt;18,"Medium","High"))</f>
        <v>Low</v>
      </c>
    </row>
    <row r="1447" spans="1:30" x14ac:dyDescent="0.3">
      <c r="A1447">
        <v>41</v>
      </c>
      <c r="B1447">
        <v>2034</v>
      </c>
      <c r="C1447" t="s">
        <v>36</v>
      </c>
      <c r="D1447" t="s">
        <v>37</v>
      </c>
      <c r="E1447">
        <v>28</v>
      </c>
      <c r="F1447">
        <v>4</v>
      </c>
      <c r="G1447" t="s">
        <v>32</v>
      </c>
      <c r="H1447">
        <v>1</v>
      </c>
      <c r="I1447" t="s">
        <v>33</v>
      </c>
      <c r="J1447">
        <v>2</v>
      </c>
      <c r="K1447">
        <v>4</v>
      </c>
      <c r="L1447" t="s">
        <v>45</v>
      </c>
      <c r="M1447">
        <v>2</v>
      </c>
      <c r="N1447" t="s">
        <v>40</v>
      </c>
      <c r="O1447">
        <v>13570</v>
      </c>
      <c r="P1447">
        <v>0</v>
      </c>
      <c r="Q1447" t="s">
        <v>36</v>
      </c>
      <c r="R1447">
        <v>3</v>
      </c>
      <c r="S1447">
        <v>21</v>
      </c>
      <c r="T1447">
        <v>3</v>
      </c>
      <c r="U1447">
        <v>20</v>
      </c>
      <c r="V1447">
        <v>7</v>
      </c>
      <c r="W1447">
        <v>0</v>
      </c>
      <c r="X1447">
        <v>10</v>
      </c>
      <c r="Y1447">
        <v>23</v>
      </c>
      <c r="Z1447">
        <f>IF(H_A[[#This Row],[Attrition]]="Yes",1,0)</f>
        <v>0</v>
      </c>
      <c r="AA1447" t="str">
        <f>IF(H_A[[#This Row],[Age]]&lt;30,"Young",IF(H_A[[#This Row],[Age]]&lt;45,"Mid","Senior"))</f>
        <v>Mid</v>
      </c>
      <c r="AB1447" t="str">
        <f>IF(H_A[[#This Row],[MonthlyIncome]]&lt;5000,"Low",IF(H_A[[#This Row],[MonthlyIncome]]&lt;10000,"Medium","High"))</f>
        <v>High</v>
      </c>
      <c r="AC1447" t="str">
        <f>IF(H_A[[#This Row],[YearsAtCompany]]&lt;3,"Early",IF(H_A[[#This Row],[YearsAtCompany]]&lt;7,"Mid","Long"))</f>
        <v>Long</v>
      </c>
      <c r="AD1447" t="str">
        <f>IF(H_A[[#This Row],[PercentSalaryHike]]&lt;13,"Low",IF(H_A[[#This Row],[PercentSalaryHike]]&lt;18,"Medium","High"))</f>
        <v>High</v>
      </c>
    </row>
    <row r="1448" spans="1:30" x14ac:dyDescent="0.3">
      <c r="A1448">
        <v>34</v>
      </c>
      <c r="B1448">
        <v>2035</v>
      </c>
      <c r="C1448" t="s">
        <v>36</v>
      </c>
      <c r="D1448" t="s">
        <v>31</v>
      </c>
      <c r="E1448">
        <v>28</v>
      </c>
      <c r="F1448">
        <v>3</v>
      </c>
      <c r="G1448" t="s">
        <v>50</v>
      </c>
      <c r="H1448">
        <v>4</v>
      </c>
      <c r="I1448" t="s">
        <v>33</v>
      </c>
      <c r="J1448">
        <v>2</v>
      </c>
      <c r="K1448">
        <v>2</v>
      </c>
      <c r="L1448" t="s">
        <v>34</v>
      </c>
      <c r="M1448">
        <v>3</v>
      </c>
      <c r="N1448" t="s">
        <v>40</v>
      </c>
      <c r="O1448">
        <v>6712</v>
      </c>
      <c r="P1448">
        <v>1</v>
      </c>
      <c r="Q1448" t="s">
        <v>36</v>
      </c>
      <c r="R1448">
        <v>4</v>
      </c>
      <c r="S1448">
        <v>8</v>
      </c>
      <c r="T1448">
        <v>3</v>
      </c>
      <c r="U1448">
        <v>8</v>
      </c>
      <c r="V1448">
        <v>7</v>
      </c>
      <c r="W1448">
        <v>1</v>
      </c>
      <c r="X1448">
        <v>7</v>
      </c>
      <c r="Y1448">
        <v>21</v>
      </c>
      <c r="Z1448">
        <f>IF(H_A[[#This Row],[Attrition]]="Yes",1,0)</f>
        <v>0</v>
      </c>
      <c r="AA1448" t="str">
        <f>IF(H_A[[#This Row],[Age]]&lt;30,"Young",IF(H_A[[#This Row],[Age]]&lt;45,"Mid","Senior"))</f>
        <v>Mid</v>
      </c>
      <c r="AB1448" t="str">
        <f>IF(H_A[[#This Row],[MonthlyIncome]]&lt;5000,"Low",IF(H_A[[#This Row],[MonthlyIncome]]&lt;10000,"Medium","High"))</f>
        <v>Medium</v>
      </c>
      <c r="AC1448" t="str">
        <f>IF(H_A[[#This Row],[YearsAtCompany]]&lt;3,"Early",IF(H_A[[#This Row],[YearsAtCompany]]&lt;7,"Mid","Long"))</f>
        <v>Long</v>
      </c>
      <c r="AD1448" t="str">
        <f>IF(H_A[[#This Row],[PercentSalaryHike]]&lt;13,"Low",IF(H_A[[#This Row],[PercentSalaryHike]]&lt;18,"Medium","High"))</f>
        <v>High</v>
      </c>
    </row>
    <row r="1449" spans="1:30" x14ac:dyDescent="0.3">
      <c r="A1449">
        <v>36</v>
      </c>
      <c r="B1449">
        <v>2036</v>
      </c>
      <c r="C1449" t="s">
        <v>36</v>
      </c>
      <c r="D1449" t="s">
        <v>31</v>
      </c>
      <c r="E1449">
        <v>15</v>
      </c>
      <c r="F1449">
        <v>4</v>
      </c>
      <c r="G1449" t="s">
        <v>50</v>
      </c>
      <c r="H1449">
        <v>4</v>
      </c>
      <c r="I1449" t="s">
        <v>38</v>
      </c>
      <c r="J1449">
        <v>1</v>
      </c>
      <c r="K1449">
        <v>2</v>
      </c>
      <c r="L1449" t="s">
        <v>34</v>
      </c>
      <c r="M1449">
        <v>4</v>
      </c>
      <c r="N1449" t="s">
        <v>44</v>
      </c>
      <c r="O1449">
        <v>5406</v>
      </c>
      <c r="P1449">
        <v>1</v>
      </c>
      <c r="Q1449" t="s">
        <v>36</v>
      </c>
      <c r="R1449">
        <v>1</v>
      </c>
      <c r="S1449">
        <v>15</v>
      </c>
      <c r="T1449">
        <v>2</v>
      </c>
      <c r="U1449">
        <v>15</v>
      </c>
      <c r="V1449">
        <v>12</v>
      </c>
      <c r="W1449">
        <v>11</v>
      </c>
      <c r="X1449">
        <v>11</v>
      </c>
      <c r="Y1449">
        <v>24</v>
      </c>
      <c r="Z1449">
        <f>IF(H_A[[#This Row],[Attrition]]="Yes",1,0)</f>
        <v>0</v>
      </c>
      <c r="AA1449" t="str">
        <f>IF(H_A[[#This Row],[Age]]&lt;30,"Young",IF(H_A[[#This Row],[Age]]&lt;45,"Mid","Senior"))</f>
        <v>Mid</v>
      </c>
      <c r="AB1449" t="str">
        <f>IF(H_A[[#This Row],[MonthlyIncome]]&lt;5000,"Low",IF(H_A[[#This Row],[MonthlyIncome]]&lt;10000,"Medium","High"))</f>
        <v>Medium</v>
      </c>
      <c r="AC1449" t="str">
        <f>IF(H_A[[#This Row],[YearsAtCompany]]&lt;3,"Early",IF(H_A[[#This Row],[YearsAtCompany]]&lt;7,"Mid","Long"))</f>
        <v>Long</v>
      </c>
      <c r="AD1449" t="str">
        <f>IF(H_A[[#This Row],[PercentSalaryHike]]&lt;13,"Low",IF(H_A[[#This Row],[PercentSalaryHike]]&lt;18,"Medium","High"))</f>
        <v>High</v>
      </c>
    </row>
    <row r="1450" spans="1:30" x14ac:dyDescent="0.3">
      <c r="A1450">
        <v>41</v>
      </c>
      <c r="B1450">
        <v>2037</v>
      </c>
      <c r="C1450" t="s">
        <v>36</v>
      </c>
      <c r="D1450" t="s">
        <v>31</v>
      </c>
      <c r="E1450">
        <v>3</v>
      </c>
      <c r="F1450">
        <v>3</v>
      </c>
      <c r="G1450" t="s">
        <v>32</v>
      </c>
      <c r="H1450">
        <v>3</v>
      </c>
      <c r="I1450" t="s">
        <v>38</v>
      </c>
      <c r="J1450">
        <v>2</v>
      </c>
      <c r="K1450">
        <v>2</v>
      </c>
      <c r="L1450" t="s">
        <v>34</v>
      </c>
      <c r="M1450">
        <v>2</v>
      </c>
      <c r="N1450" t="s">
        <v>44</v>
      </c>
      <c r="O1450">
        <v>8938</v>
      </c>
      <c r="P1450">
        <v>2</v>
      </c>
      <c r="Q1450" t="s">
        <v>36</v>
      </c>
      <c r="R1450">
        <v>3</v>
      </c>
      <c r="S1450">
        <v>14</v>
      </c>
      <c r="T1450">
        <v>3</v>
      </c>
      <c r="U1450">
        <v>5</v>
      </c>
      <c r="V1450">
        <v>4</v>
      </c>
      <c r="W1450">
        <v>0</v>
      </c>
      <c r="X1450">
        <v>4</v>
      </c>
      <c r="Y1450">
        <v>11</v>
      </c>
      <c r="Z1450">
        <f>IF(H_A[[#This Row],[Attrition]]="Yes",1,0)</f>
        <v>0</v>
      </c>
      <c r="AA1450" t="str">
        <f>IF(H_A[[#This Row],[Age]]&lt;30,"Young",IF(H_A[[#This Row],[Age]]&lt;45,"Mid","Senior"))</f>
        <v>Mid</v>
      </c>
      <c r="AB1450" t="str">
        <f>IF(H_A[[#This Row],[MonthlyIncome]]&lt;5000,"Low",IF(H_A[[#This Row],[MonthlyIncome]]&lt;10000,"Medium","High"))</f>
        <v>Medium</v>
      </c>
      <c r="AC1450" t="str">
        <f>IF(H_A[[#This Row],[YearsAtCompany]]&lt;3,"Early",IF(H_A[[#This Row],[YearsAtCompany]]&lt;7,"Mid","Long"))</f>
        <v>Mid</v>
      </c>
      <c r="AD1450" t="str">
        <f>IF(H_A[[#This Row],[PercentSalaryHike]]&lt;13,"Low",IF(H_A[[#This Row],[PercentSalaryHike]]&lt;18,"Medium","High"))</f>
        <v>Low</v>
      </c>
    </row>
    <row r="1451" spans="1:30" x14ac:dyDescent="0.3">
      <c r="A1451">
        <v>32</v>
      </c>
      <c r="B1451">
        <v>2038</v>
      </c>
      <c r="C1451" t="s">
        <v>36</v>
      </c>
      <c r="D1451" t="s">
        <v>37</v>
      </c>
      <c r="E1451">
        <v>2</v>
      </c>
      <c r="F1451">
        <v>3</v>
      </c>
      <c r="G1451" t="s">
        <v>51</v>
      </c>
      <c r="H1451">
        <v>4</v>
      </c>
      <c r="I1451" t="s">
        <v>38</v>
      </c>
      <c r="J1451">
        <v>3</v>
      </c>
      <c r="K1451">
        <v>1</v>
      </c>
      <c r="L1451" t="s">
        <v>39</v>
      </c>
      <c r="M1451">
        <v>1</v>
      </c>
      <c r="N1451" t="s">
        <v>35</v>
      </c>
      <c r="O1451">
        <v>2439</v>
      </c>
      <c r="P1451">
        <v>1</v>
      </c>
      <c r="Q1451" t="s">
        <v>36</v>
      </c>
      <c r="R1451">
        <v>4</v>
      </c>
      <c r="S1451">
        <v>4</v>
      </c>
      <c r="T1451">
        <v>3</v>
      </c>
      <c r="U1451">
        <v>4</v>
      </c>
      <c r="V1451">
        <v>2</v>
      </c>
      <c r="W1451">
        <v>1</v>
      </c>
      <c r="X1451">
        <v>2</v>
      </c>
      <c r="Y1451">
        <v>14</v>
      </c>
      <c r="Z1451">
        <f>IF(H_A[[#This Row],[Attrition]]="Yes",1,0)</f>
        <v>0</v>
      </c>
      <c r="AA1451" t="str">
        <f>IF(H_A[[#This Row],[Age]]&lt;30,"Young",IF(H_A[[#This Row],[Age]]&lt;45,"Mid","Senior"))</f>
        <v>Mid</v>
      </c>
      <c r="AB1451" t="str">
        <f>IF(H_A[[#This Row],[MonthlyIncome]]&lt;5000,"Low",IF(H_A[[#This Row],[MonthlyIncome]]&lt;10000,"Medium","High"))</f>
        <v>Low</v>
      </c>
      <c r="AC1451" t="str">
        <f>IF(H_A[[#This Row],[YearsAtCompany]]&lt;3,"Early",IF(H_A[[#This Row],[YearsAtCompany]]&lt;7,"Mid","Long"))</f>
        <v>Mid</v>
      </c>
      <c r="AD1451" t="str">
        <f>IF(H_A[[#This Row],[PercentSalaryHike]]&lt;13,"Low",IF(H_A[[#This Row],[PercentSalaryHike]]&lt;18,"Medium","High"))</f>
        <v>Medium</v>
      </c>
    </row>
    <row r="1452" spans="1:30" x14ac:dyDescent="0.3">
      <c r="A1452">
        <v>35</v>
      </c>
      <c r="B1452">
        <v>2040</v>
      </c>
      <c r="C1452" t="s">
        <v>36</v>
      </c>
      <c r="D1452" t="s">
        <v>52</v>
      </c>
      <c r="E1452">
        <v>26</v>
      </c>
      <c r="F1452">
        <v>4</v>
      </c>
      <c r="G1452" t="s">
        <v>32</v>
      </c>
      <c r="H1452">
        <v>3</v>
      </c>
      <c r="I1452" t="s">
        <v>33</v>
      </c>
      <c r="J1452">
        <v>3</v>
      </c>
      <c r="K1452">
        <v>3</v>
      </c>
      <c r="L1452" t="s">
        <v>52</v>
      </c>
      <c r="M1452">
        <v>4</v>
      </c>
      <c r="N1452" t="s">
        <v>35</v>
      </c>
      <c r="O1452">
        <v>8837</v>
      </c>
      <c r="P1452">
        <v>1</v>
      </c>
      <c r="Q1452" t="s">
        <v>30</v>
      </c>
      <c r="R1452">
        <v>3</v>
      </c>
      <c r="S1452">
        <v>9</v>
      </c>
      <c r="T1452">
        <v>3</v>
      </c>
      <c r="U1452">
        <v>9</v>
      </c>
      <c r="V1452">
        <v>0</v>
      </c>
      <c r="W1452">
        <v>1</v>
      </c>
      <c r="X1452">
        <v>7</v>
      </c>
      <c r="Y1452">
        <v>16</v>
      </c>
      <c r="Z1452">
        <f>IF(H_A[[#This Row],[Attrition]]="Yes",1,0)</f>
        <v>0</v>
      </c>
      <c r="AA1452" t="str">
        <f>IF(H_A[[#This Row],[Age]]&lt;30,"Young",IF(H_A[[#This Row],[Age]]&lt;45,"Mid","Senior"))</f>
        <v>Mid</v>
      </c>
      <c r="AB1452" t="str">
        <f>IF(H_A[[#This Row],[MonthlyIncome]]&lt;5000,"Low",IF(H_A[[#This Row],[MonthlyIncome]]&lt;10000,"Medium","High"))</f>
        <v>Medium</v>
      </c>
      <c r="AC1452" t="str">
        <f>IF(H_A[[#This Row],[YearsAtCompany]]&lt;3,"Early",IF(H_A[[#This Row],[YearsAtCompany]]&lt;7,"Mid","Long"))</f>
        <v>Long</v>
      </c>
      <c r="AD1452" t="str">
        <f>IF(H_A[[#This Row],[PercentSalaryHike]]&lt;13,"Low",IF(H_A[[#This Row],[PercentSalaryHike]]&lt;18,"Medium","High"))</f>
        <v>Medium</v>
      </c>
    </row>
    <row r="1453" spans="1:30" x14ac:dyDescent="0.3">
      <c r="A1453">
        <v>38</v>
      </c>
      <c r="B1453">
        <v>2041</v>
      </c>
      <c r="C1453" t="s">
        <v>36</v>
      </c>
      <c r="D1453" t="s">
        <v>31</v>
      </c>
      <c r="E1453">
        <v>10</v>
      </c>
      <c r="F1453">
        <v>2</v>
      </c>
      <c r="G1453" t="s">
        <v>32</v>
      </c>
      <c r="H1453">
        <v>1</v>
      </c>
      <c r="I1453" t="s">
        <v>33</v>
      </c>
      <c r="J1453">
        <v>3</v>
      </c>
      <c r="K1453">
        <v>2</v>
      </c>
      <c r="L1453" t="s">
        <v>34</v>
      </c>
      <c r="M1453">
        <v>4</v>
      </c>
      <c r="N1453" t="s">
        <v>40</v>
      </c>
      <c r="O1453">
        <v>5343</v>
      </c>
      <c r="P1453">
        <v>1</v>
      </c>
      <c r="Q1453" t="s">
        <v>36</v>
      </c>
      <c r="R1453">
        <v>3</v>
      </c>
      <c r="S1453">
        <v>10</v>
      </c>
      <c r="T1453">
        <v>3</v>
      </c>
      <c r="U1453">
        <v>10</v>
      </c>
      <c r="V1453">
        <v>7</v>
      </c>
      <c r="W1453">
        <v>1</v>
      </c>
      <c r="X1453">
        <v>9</v>
      </c>
      <c r="Y1453">
        <v>11</v>
      </c>
      <c r="Z1453">
        <f>IF(H_A[[#This Row],[Attrition]]="Yes",1,0)</f>
        <v>0</v>
      </c>
      <c r="AA1453" t="str">
        <f>IF(H_A[[#This Row],[Age]]&lt;30,"Young",IF(H_A[[#This Row],[Age]]&lt;45,"Mid","Senior"))</f>
        <v>Mid</v>
      </c>
      <c r="AB1453" t="str">
        <f>IF(H_A[[#This Row],[MonthlyIncome]]&lt;5000,"Low",IF(H_A[[#This Row],[MonthlyIncome]]&lt;10000,"Medium","High"))</f>
        <v>Medium</v>
      </c>
      <c r="AC1453" t="str">
        <f>IF(H_A[[#This Row],[YearsAtCompany]]&lt;3,"Early",IF(H_A[[#This Row],[YearsAtCompany]]&lt;7,"Mid","Long"))</f>
        <v>Long</v>
      </c>
      <c r="AD1453" t="str">
        <f>IF(H_A[[#This Row],[PercentSalaryHike]]&lt;13,"Low",IF(H_A[[#This Row],[PercentSalaryHike]]&lt;18,"Medium","High"))</f>
        <v>Low</v>
      </c>
    </row>
    <row r="1454" spans="1:30" x14ac:dyDescent="0.3">
      <c r="A1454">
        <v>50</v>
      </c>
      <c r="B1454">
        <v>2044</v>
      </c>
      <c r="C1454" t="s">
        <v>30</v>
      </c>
      <c r="D1454" t="s">
        <v>31</v>
      </c>
      <c r="E1454">
        <v>1</v>
      </c>
      <c r="F1454">
        <v>4</v>
      </c>
      <c r="G1454" t="s">
        <v>32</v>
      </c>
      <c r="H1454">
        <v>2</v>
      </c>
      <c r="I1454" t="s">
        <v>38</v>
      </c>
      <c r="J1454">
        <v>3</v>
      </c>
      <c r="K1454">
        <v>2</v>
      </c>
      <c r="L1454" t="s">
        <v>34</v>
      </c>
      <c r="M1454">
        <v>3</v>
      </c>
      <c r="N1454" t="s">
        <v>44</v>
      </c>
      <c r="O1454">
        <v>6728</v>
      </c>
      <c r="P1454">
        <v>7</v>
      </c>
      <c r="Q1454" t="s">
        <v>36</v>
      </c>
      <c r="R1454">
        <v>4</v>
      </c>
      <c r="S1454">
        <v>12</v>
      </c>
      <c r="T1454">
        <v>3</v>
      </c>
      <c r="U1454">
        <v>6</v>
      </c>
      <c r="V1454">
        <v>3</v>
      </c>
      <c r="W1454">
        <v>0</v>
      </c>
      <c r="X1454">
        <v>1</v>
      </c>
      <c r="Y1454">
        <v>12</v>
      </c>
      <c r="Z1454">
        <f>IF(H_A[[#This Row],[Attrition]]="Yes",1,0)</f>
        <v>1</v>
      </c>
      <c r="AA1454" t="str">
        <f>IF(H_A[[#This Row],[Age]]&lt;30,"Young",IF(H_A[[#This Row],[Age]]&lt;45,"Mid","Senior"))</f>
        <v>Senior</v>
      </c>
      <c r="AB1454" t="str">
        <f>IF(H_A[[#This Row],[MonthlyIncome]]&lt;5000,"Low",IF(H_A[[#This Row],[MonthlyIncome]]&lt;10000,"Medium","High"))</f>
        <v>Medium</v>
      </c>
      <c r="AC1454" t="str">
        <f>IF(H_A[[#This Row],[YearsAtCompany]]&lt;3,"Early",IF(H_A[[#This Row],[YearsAtCompany]]&lt;7,"Mid","Long"))</f>
        <v>Mid</v>
      </c>
      <c r="AD1454" t="str">
        <f>IF(H_A[[#This Row],[PercentSalaryHike]]&lt;13,"Low",IF(H_A[[#This Row],[PercentSalaryHike]]&lt;18,"Medium","High"))</f>
        <v>Low</v>
      </c>
    </row>
    <row r="1455" spans="1:30" x14ac:dyDescent="0.3">
      <c r="A1455">
        <v>36</v>
      </c>
      <c r="B1455">
        <v>2045</v>
      </c>
      <c r="C1455" t="s">
        <v>36</v>
      </c>
      <c r="D1455" t="s">
        <v>31</v>
      </c>
      <c r="E1455">
        <v>11</v>
      </c>
      <c r="F1455">
        <v>4</v>
      </c>
      <c r="G1455" t="s">
        <v>50</v>
      </c>
      <c r="H1455">
        <v>2</v>
      </c>
      <c r="I1455" t="s">
        <v>33</v>
      </c>
      <c r="J1455">
        <v>2</v>
      </c>
      <c r="K1455">
        <v>2</v>
      </c>
      <c r="L1455" t="s">
        <v>34</v>
      </c>
      <c r="M1455">
        <v>4</v>
      </c>
      <c r="N1455" t="s">
        <v>40</v>
      </c>
      <c r="O1455">
        <v>6652</v>
      </c>
      <c r="P1455">
        <v>4</v>
      </c>
      <c r="Q1455" t="s">
        <v>36</v>
      </c>
      <c r="R1455">
        <v>1</v>
      </c>
      <c r="S1455">
        <v>8</v>
      </c>
      <c r="T1455">
        <v>2</v>
      </c>
      <c r="U1455">
        <v>6</v>
      </c>
      <c r="V1455">
        <v>3</v>
      </c>
      <c r="W1455">
        <v>0</v>
      </c>
      <c r="X1455">
        <v>0</v>
      </c>
      <c r="Y1455">
        <v>13</v>
      </c>
      <c r="Z1455">
        <f>IF(H_A[[#This Row],[Attrition]]="Yes",1,0)</f>
        <v>0</v>
      </c>
      <c r="AA1455" t="str">
        <f>IF(H_A[[#This Row],[Age]]&lt;30,"Young",IF(H_A[[#This Row],[Age]]&lt;45,"Mid","Senior"))</f>
        <v>Mid</v>
      </c>
      <c r="AB1455" t="str">
        <f>IF(H_A[[#This Row],[MonthlyIncome]]&lt;5000,"Low",IF(H_A[[#This Row],[MonthlyIncome]]&lt;10000,"Medium","High"))</f>
        <v>Medium</v>
      </c>
      <c r="AC1455" t="str">
        <f>IF(H_A[[#This Row],[YearsAtCompany]]&lt;3,"Early",IF(H_A[[#This Row],[YearsAtCompany]]&lt;7,"Mid","Long"))</f>
        <v>Mid</v>
      </c>
      <c r="AD1455" t="str">
        <f>IF(H_A[[#This Row],[PercentSalaryHike]]&lt;13,"Low",IF(H_A[[#This Row],[PercentSalaryHike]]&lt;18,"Medium","High"))</f>
        <v>Medium</v>
      </c>
    </row>
    <row r="1456" spans="1:30" x14ac:dyDescent="0.3">
      <c r="A1456">
        <v>45</v>
      </c>
      <c r="B1456">
        <v>2046</v>
      </c>
      <c r="C1456" t="s">
        <v>36</v>
      </c>
      <c r="D1456" t="s">
        <v>31</v>
      </c>
      <c r="E1456">
        <v>20</v>
      </c>
      <c r="F1456">
        <v>3</v>
      </c>
      <c r="G1456" t="s">
        <v>32</v>
      </c>
      <c r="H1456">
        <v>4</v>
      </c>
      <c r="I1456" t="s">
        <v>33</v>
      </c>
      <c r="J1456">
        <v>3</v>
      </c>
      <c r="K1456">
        <v>2</v>
      </c>
      <c r="L1456" t="s">
        <v>34</v>
      </c>
      <c r="M1456">
        <v>3</v>
      </c>
      <c r="N1456" t="s">
        <v>35</v>
      </c>
      <c r="O1456">
        <v>4850</v>
      </c>
      <c r="P1456">
        <v>8</v>
      </c>
      <c r="Q1456" t="s">
        <v>36</v>
      </c>
      <c r="R1456">
        <v>3</v>
      </c>
      <c r="S1456">
        <v>8</v>
      </c>
      <c r="T1456">
        <v>3</v>
      </c>
      <c r="U1456">
        <v>5</v>
      </c>
      <c r="V1456">
        <v>3</v>
      </c>
      <c r="W1456">
        <v>0</v>
      </c>
      <c r="X1456">
        <v>1</v>
      </c>
      <c r="Y1456">
        <v>15</v>
      </c>
      <c r="Z1456">
        <f>IF(H_A[[#This Row],[Attrition]]="Yes",1,0)</f>
        <v>0</v>
      </c>
      <c r="AA1456" t="str">
        <f>IF(H_A[[#This Row],[Age]]&lt;30,"Young",IF(H_A[[#This Row],[Age]]&lt;45,"Mid","Senior"))</f>
        <v>Senior</v>
      </c>
      <c r="AB1456" t="str">
        <f>IF(H_A[[#This Row],[MonthlyIncome]]&lt;5000,"Low",IF(H_A[[#This Row],[MonthlyIncome]]&lt;10000,"Medium","High"))</f>
        <v>Low</v>
      </c>
      <c r="AC1456" t="str">
        <f>IF(H_A[[#This Row],[YearsAtCompany]]&lt;3,"Early",IF(H_A[[#This Row],[YearsAtCompany]]&lt;7,"Mid","Long"))</f>
        <v>Mid</v>
      </c>
      <c r="AD1456" t="str">
        <f>IF(H_A[[#This Row],[PercentSalaryHike]]&lt;13,"Low",IF(H_A[[#This Row],[PercentSalaryHike]]&lt;18,"Medium","High"))</f>
        <v>Medium</v>
      </c>
    </row>
    <row r="1457" spans="1:30" x14ac:dyDescent="0.3">
      <c r="A1457">
        <v>40</v>
      </c>
      <c r="B1457">
        <v>2048</v>
      </c>
      <c r="C1457" t="s">
        <v>36</v>
      </c>
      <c r="D1457" t="s">
        <v>37</v>
      </c>
      <c r="E1457">
        <v>2</v>
      </c>
      <c r="F1457">
        <v>4</v>
      </c>
      <c r="G1457" t="s">
        <v>32</v>
      </c>
      <c r="H1457">
        <v>3</v>
      </c>
      <c r="I1457" t="s">
        <v>38</v>
      </c>
      <c r="J1457">
        <v>2</v>
      </c>
      <c r="K1457">
        <v>1</v>
      </c>
      <c r="L1457" t="s">
        <v>39</v>
      </c>
      <c r="M1457">
        <v>3</v>
      </c>
      <c r="N1457" t="s">
        <v>35</v>
      </c>
      <c r="O1457">
        <v>2809</v>
      </c>
      <c r="P1457">
        <v>2</v>
      </c>
      <c r="Q1457" t="s">
        <v>36</v>
      </c>
      <c r="R1457">
        <v>4</v>
      </c>
      <c r="S1457">
        <v>8</v>
      </c>
      <c r="T1457">
        <v>3</v>
      </c>
      <c r="U1457">
        <v>2</v>
      </c>
      <c r="V1457">
        <v>2</v>
      </c>
      <c r="W1457">
        <v>2</v>
      </c>
      <c r="X1457">
        <v>2</v>
      </c>
      <c r="Y1457">
        <v>14</v>
      </c>
      <c r="Z1457">
        <f>IF(H_A[[#This Row],[Attrition]]="Yes",1,0)</f>
        <v>0</v>
      </c>
      <c r="AA1457" t="str">
        <f>IF(H_A[[#This Row],[Age]]&lt;30,"Young",IF(H_A[[#This Row],[Age]]&lt;45,"Mid","Senior"))</f>
        <v>Mid</v>
      </c>
      <c r="AB1457" t="str">
        <f>IF(H_A[[#This Row],[MonthlyIncome]]&lt;5000,"Low",IF(H_A[[#This Row],[MonthlyIncome]]&lt;10000,"Medium","High"))</f>
        <v>Low</v>
      </c>
      <c r="AC1457" t="str">
        <f>IF(H_A[[#This Row],[YearsAtCompany]]&lt;3,"Early",IF(H_A[[#This Row],[YearsAtCompany]]&lt;7,"Mid","Long"))</f>
        <v>Early</v>
      </c>
      <c r="AD1457" t="str">
        <f>IF(H_A[[#This Row],[PercentSalaryHike]]&lt;13,"Low",IF(H_A[[#This Row],[PercentSalaryHike]]&lt;18,"Medium","High"))</f>
        <v>Medium</v>
      </c>
    </row>
    <row r="1458" spans="1:30" x14ac:dyDescent="0.3">
      <c r="A1458">
        <v>35</v>
      </c>
      <c r="B1458">
        <v>2049</v>
      </c>
      <c r="C1458" t="s">
        <v>36</v>
      </c>
      <c r="D1458" t="s">
        <v>37</v>
      </c>
      <c r="E1458">
        <v>18</v>
      </c>
      <c r="F1458">
        <v>4</v>
      </c>
      <c r="G1458" t="s">
        <v>32</v>
      </c>
      <c r="H1458">
        <v>3</v>
      </c>
      <c r="I1458" t="s">
        <v>38</v>
      </c>
      <c r="J1458">
        <v>3</v>
      </c>
      <c r="K1458">
        <v>2</v>
      </c>
      <c r="L1458" t="s">
        <v>46</v>
      </c>
      <c r="M1458">
        <v>3</v>
      </c>
      <c r="N1458" t="s">
        <v>40</v>
      </c>
      <c r="O1458">
        <v>5689</v>
      </c>
      <c r="P1458">
        <v>1</v>
      </c>
      <c r="Q1458" t="s">
        <v>30</v>
      </c>
      <c r="R1458">
        <v>4</v>
      </c>
      <c r="S1458">
        <v>10</v>
      </c>
      <c r="T1458">
        <v>4</v>
      </c>
      <c r="U1458">
        <v>10</v>
      </c>
      <c r="V1458">
        <v>2</v>
      </c>
      <c r="W1458">
        <v>0</v>
      </c>
      <c r="X1458">
        <v>2</v>
      </c>
      <c r="Y1458">
        <v>14</v>
      </c>
      <c r="Z1458">
        <f>IF(H_A[[#This Row],[Attrition]]="Yes",1,0)</f>
        <v>0</v>
      </c>
      <c r="AA1458" t="str">
        <f>IF(H_A[[#This Row],[Age]]&lt;30,"Young",IF(H_A[[#This Row],[Age]]&lt;45,"Mid","Senior"))</f>
        <v>Mid</v>
      </c>
      <c r="AB1458" t="str">
        <f>IF(H_A[[#This Row],[MonthlyIncome]]&lt;5000,"Low",IF(H_A[[#This Row],[MonthlyIncome]]&lt;10000,"Medium","High"))</f>
        <v>Medium</v>
      </c>
      <c r="AC1458" t="str">
        <f>IF(H_A[[#This Row],[YearsAtCompany]]&lt;3,"Early",IF(H_A[[#This Row],[YearsAtCompany]]&lt;7,"Mid","Long"))</f>
        <v>Long</v>
      </c>
      <c r="AD1458" t="str">
        <f>IF(H_A[[#This Row],[PercentSalaryHike]]&lt;13,"Low",IF(H_A[[#This Row],[PercentSalaryHike]]&lt;18,"Medium","High"))</f>
        <v>Medium</v>
      </c>
    </row>
    <row r="1459" spans="1:30" x14ac:dyDescent="0.3">
      <c r="A1459">
        <v>40</v>
      </c>
      <c r="B1459">
        <v>2051</v>
      </c>
      <c r="C1459" t="s">
        <v>36</v>
      </c>
      <c r="D1459" t="s">
        <v>37</v>
      </c>
      <c r="E1459">
        <v>2</v>
      </c>
      <c r="F1459">
        <v>4</v>
      </c>
      <c r="G1459" t="s">
        <v>43</v>
      </c>
      <c r="H1459">
        <v>3</v>
      </c>
      <c r="I1459" t="s">
        <v>33</v>
      </c>
      <c r="J1459">
        <v>3</v>
      </c>
      <c r="K1459">
        <v>1</v>
      </c>
      <c r="L1459" t="s">
        <v>39</v>
      </c>
      <c r="M1459">
        <v>3</v>
      </c>
      <c r="N1459" t="s">
        <v>40</v>
      </c>
      <c r="O1459">
        <v>2001</v>
      </c>
      <c r="P1459">
        <v>2</v>
      </c>
      <c r="Q1459" t="s">
        <v>36</v>
      </c>
      <c r="R1459">
        <v>2</v>
      </c>
      <c r="S1459">
        <v>20</v>
      </c>
      <c r="T1459">
        <v>3</v>
      </c>
      <c r="U1459">
        <v>5</v>
      </c>
      <c r="V1459">
        <v>3</v>
      </c>
      <c r="W1459">
        <v>0</v>
      </c>
      <c r="X1459">
        <v>2</v>
      </c>
      <c r="Y1459">
        <v>14</v>
      </c>
      <c r="Z1459">
        <f>IF(H_A[[#This Row],[Attrition]]="Yes",1,0)</f>
        <v>0</v>
      </c>
      <c r="AA1459" t="str">
        <f>IF(H_A[[#This Row],[Age]]&lt;30,"Young",IF(H_A[[#This Row],[Age]]&lt;45,"Mid","Senior"))</f>
        <v>Mid</v>
      </c>
      <c r="AB1459" t="str">
        <f>IF(H_A[[#This Row],[MonthlyIncome]]&lt;5000,"Low",IF(H_A[[#This Row],[MonthlyIncome]]&lt;10000,"Medium","High"))</f>
        <v>Low</v>
      </c>
      <c r="AC1459" t="str">
        <f>IF(H_A[[#This Row],[YearsAtCompany]]&lt;3,"Early",IF(H_A[[#This Row],[YearsAtCompany]]&lt;7,"Mid","Long"))</f>
        <v>Mid</v>
      </c>
      <c r="AD1459" t="str">
        <f>IF(H_A[[#This Row],[PercentSalaryHike]]&lt;13,"Low",IF(H_A[[#This Row],[PercentSalaryHike]]&lt;18,"Medium","High"))</f>
        <v>Medium</v>
      </c>
    </row>
    <row r="1460" spans="1:30" x14ac:dyDescent="0.3">
      <c r="A1460">
        <v>35</v>
      </c>
      <c r="B1460">
        <v>2052</v>
      </c>
      <c r="C1460" t="s">
        <v>36</v>
      </c>
      <c r="D1460" t="s">
        <v>37</v>
      </c>
      <c r="E1460">
        <v>1</v>
      </c>
      <c r="F1460">
        <v>4</v>
      </c>
      <c r="G1460" t="s">
        <v>32</v>
      </c>
      <c r="H1460">
        <v>3</v>
      </c>
      <c r="I1460" t="s">
        <v>33</v>
      </c>
      <c r="J1460">
        <v>1</v>
      </c>
      <c r="K1460">
        <v>1</v>
      </c>
      <c r="L1460" t="s">
        <v>39</v>
      </c>
      <c r="M1460">
        <v>4</v>
      </c>
      <c r="N1460" t="s">
        <v>40</v>
      </c>
      <c r="O1460">
        <v>2977</v>
      </c>
      <c r="P1460">
        <v>1</v>
      </c>
      <c r="Q1460" t="s">
        <v>36</v>
      </c>
      <c r="R1460">
        <v>4</v>
      </c>
      <c r="S1460">
        <v>4</v>
      </c>
      <c r="T1460">
        <v>3</v>
      </c>
      <c r="U1460">
        <v>4</v>
      </c>
      <c r="V1460">
        <v>3</v>
      </c>
      <c r="W1460">
        <v>1</v>
      </c>
      <c r="X1460">
        <v>1</v>
      </c>
      <c r="Y1460">
        <v>12</v>
      </c>
      <c r="Z1460">
        <f>IF(H_A[[#This Row],[Attrition]]="Yes",1,0)</f>
        <v>0</v>
      </c>
      <c r="AA1460" t="str">
        <f>IF(H_A[[#This Row],[Age]]&lt;30,"Young",IF(H_A[[#This Row],[Age]]&lt;45,"Mid","Senior"))</f>
        <v>Mid</v>
      </c>
      <c r="AB1460" t="str">
        <f>IF(H_A[[#This Row],[MonthlyIncome]]&lt;5000,"Low",IF(H_A[[#This Row],[MonthlyIncome]]&lt;10000,"Medium","High"))</f>
        <v>Low</v>
      </c>
      <c r="AC1460" t="str">
        <f>IF(H_A[[#This Row],[YearsAtCompany]]&lt;3,"Early",IF(H_A[[#This Row],[YearsAtCompany]]&lt;7,"Mid","Long"))</f>
        <v>Mid</v>
      </c>
      <c r="AD1460" t="str">
        <f>IF(H_A[[#This Row],[PercentSalaryHike]]&lt;13,"Low",IF(H_A[[#This Row],[PercentSalaryHike]]&lt;18,"Medium","High"))</f>
        <v>Low</v>
      </c>
    </row>
    <row r="1461" spans="1:30" x14ac:dyDescent="0.3">
      <c r="A1461">
        <v>29</v>
      </c>
      <c r="B1461">
        <v>2053</v>
      </c>
      <c r="C1461" t="s">
        <v>36</v>
      </c>
      <c r="D1461" t="s">
        <v>37</v>
      </c>
      <c r="E1461">
        <v>13</v>
      </c>
      <c r="F1461">
        <v>2</v>
      </c>
      <c r="G1461" t="s">
        <v>41</v>
      </c>
      <c r="H1461">
        <v>4</v>
      </c>
      <c r="I1461" t="s">
        <v>38</v>
      </c>
      <c r="J1461">
        <v>2</v>
      </c>
      <c r="K1461">
        <v>2</v>
      </c>
      <c r="L1461" t="s">
        <v>42</v>
      </c>
      <c r="M1461">
        <v>2</v>
      </c>
      <c r="N1461" t="s">
        <v>40</v>
      </c>
      <c r="O1461">
        <v>4025</v>
      </c>
      <c r="P1461">
        <v>4</v>
      </c>
      <c r="Q1461" t="s">
        <v>30</v>
      </c>
      <c r="R1461">
        <v>1</v>
      </c>
      <c r="S1461">
        <v>10</v>
      </c>
      <c r="T1461">
        <v>3</v>
      </c>
      <c r="U1461">
        <v>4</v>
      </c>
      <c r="V1461">
        <v>3</v>
      </c>
      <c r="W1461">
        <v>0</v>
      </c>
      <c r="X1461">
        <v>3</v>
      </c>
      <c r="Y1461">
        <v>13</v>
      </c>
      <c r="Z1461">
        <f>IF(H_A[[#This Row],[Attrition]]="Yes",1,0)</f>
        <v>0</v>
      </c>
      <c r="AA1461" t="str">
        <f>IF(H_A[[#This Row],[Age]]&lt;30,"Young",IF(H_A[[#This Row],[Age]]&lt;45,"Mid","Senior"))</f>
        <v>Young</v>
      </c>
      <c r="AB1461" t="str">
        <f>IF(H_A[[#This Row],[MonthlyIncome]]&lt;5000,"Low",IF(H_A[[#This Row],[MonthlyIncome]]&lt;10000,"Medium","High"))</f>
        <v>Low</v>
      </c>
      <c r="AC1461" t="str">
        <f>IF(H_A[[#This Row],[YearsAtCompany]]&lt;3,"Early",IF(H_A[[#This Row],[YearsAtCompany]]&lt;7,"Mid","Long"))</f>
        <v>Mid</v>
      </c>
      <c r="AD1461" t="str">
        <f>IF(H_A[[#This Row],[PercentSalaryHike]]&lt;13,"Low",IF(H_A[[#This Row],[PercentSalaryHike]]&lt;18,"Medium","High"))</f>
        <v>Medium</v>
      </c>
    </row>
    <row r="1462" spans="1:30" x14ac:dyDescent="0.3">
      <c r="A1462">
        <v>29</v>
      </c>
      <c r="B1462">
        <v>2054</v>
      </c>
      <c r="C1462" t="s">
        <v>36</v>
      </c>
      <c r="D1462" t="s">
        <v>37</v>
      </c>
      <c r="E1462">
        <v>28</v>
      </c>
      <c r="F1462">
        <v>4</v>
      </c>
      <c r="G1462" t="s">
        <v>43</v>
      </c>
      <c r="H1462">
        <v>4</v>
      </c>
      <c r="I1462" t="s">
        <v>33</v>
      </c>
      <c r="J1462">
        <v>2</v>
      </c>
      <c r="K1462">
        <v>1</v>
      </c>
      <c r="L1462" t="s">
        <v>39</v>
      </c>
      <c r="M1462">
        <v>1</v>
      </c>
      <c r="N1462" t="s">
        <v>35</v>
      </c>
      <c r="O1462">
        <v>3785</v>
      </c>
      <c r="P1462">
        <v>1</v>
      </c>
      <c r="Q1462" t="s">
        <v>36</v>
      </c>
      <c r="R1462">
        <v>2</v>
      </c>
      <c r="S1462">
        <v>5</v>
      </c>
      <c r="T1462">
        <v>1</v>
      </c>
      <c r="U1462">
        <v>5</v>
      </c>
      <c r="V1462">
        <v>4</v>
      </c>
      <c r="W1462">
        <v>0</v>
      </c>
      <c r="X1462">
        <v>4</v>
      </c>
      <c r="Y1462">
        <v>14</v>
      </c>
      <c r="Z1462">
        <f>IF(H_A[[#This Row],[Attrition]]="Yes",1,0)</f>
        <v>0</v>
      </c>
      <c r="AA1462" t="str">
        <f>IF(H_A[[#This Row],[Age]]&lt;30,"Young",IF(H_A[[#This Row],[Age]]&lt;45,"Mid","Senior"))</f>
        <v>Young</v>
      </c>
      <c r="AB1462" t="str">
        <f>IF(H_A[[#This Row],[MonthlyIncome]]&lt;5000,"Low",IF(H_A[[#This Row],[MonthlyIncome]]&lt;10000,"Medium","High"))</f>
        <v>Low</v>
      </c>
      <c r="AC1462" t="str">
        <f>IF(H_A[[#This Row],[YearsAtCompany]]&lt;3,"Early",IF(H_A[[#This Row],[YearsAtCompany]]&lt;7,"Mid","Long"))</f>
        <v>Mid</v>
      </c>
      <c r="AD1462" t="str">
        <f>IF(H_A[[#This Row],[PercentSalaryHike]]&lt;13,"Low",IF(H_A[[#This Row],[PercentSalaryHike]]&lt;18,"Medium","High"))</f>
        <v>Medium</v>
      </c>
    </row>
    <row r="1463" spans="1:30" x14ac:dyDescent="0.3">
      <c r="A1463">
        <v>50</v>
      </c>
      <c r="B1463">
        <v>2055</v>
      </c>
      <c r="C1463" t="s">
        <v>30</v>
      </c>
      <c r="D1463" t="s">
        <v>31</v>
      </c>
      <c r="E1463">
        <v>28</v>
      </c>
      <c r="F1463">
        <v>3</v>
      </c>
      <c r="G1463" t="s">
        <v>50</v>
      </c>
      <c r="H1463">
        <v>4</v>
      </c>
      <c r="I1463" t="s">
        <v>38</v>
      </c>
      <c r="J1463">
        <v>2</v>
      </c>
      <c r="K1463">
        <v>3</v>
      </c>
      <c r="L1463" t="s">
        <v>34</v>
      </c>
      <c r="M1463">
        <v>1</v>
      </c>
      <c r="N1463" t="s">
        <v>44</v>
      </c>
      <c r="O1463">
        <v>10854</v>
      </c>
      <c r="P1463">
        <v>4</v>
      </c>
      <c r="Q1463" t="s">
        <v>30</v>
      </c>
      <c r="R1463">
        <v>2</v>
      </c>
      <c r="S1463">
        <v>20</v>
      </c>
      <c r="T1463">
        <v>3</v>
      </c>
      <c r="U1463">
        <v>3</v>
      </c>
      <c r="V1463">
        <v>2</v>
      </c>
      <c r="W1463">
        <v>2</v>
      </c>
      <c r="X1463">
        <v>0</v>
      </c>
      <c r="Y1463">
        <v>13</v>
      </c>
      <c r="Z1463">
        <f>IF(H_A[[#This Row],[Attrition]]="Yes",1,0)</f>
        <v>1</v>
      </c>
      <c r="AA1463" t="str">
        <f>IF(H_A[[#This Row],[Age]]&lt;30,"Young",IF(H_A[[#This Row],[Age]]&lt;45,"Mid","Senior"))</f>
        <v>Senior</v>
      </c>
      <c r="AB1463" t="str">
        <f>IF(H_A[[#This Row],[MonthlyIncome]]&lt;5000,"Low",IF(H_A[[#This Row],[MonthlyIncome]]&lt;10000,"Medium","High"))</f>
        <v>High</v>
      </c>
      <c r="AC1463" t="str">
        <f>IF(H_A[[#This Row],[YearsAtCompany]]&lt;3,"Early",IF(H_A[[#This Row],[YearsAtCompany]]&lt;7,"Mid","Long"))</f>
        <v>Mid</v>
      </c>
      <c r="AD1463" t="str">
        <f>IF(H_A[[#This Row],[PercentSalaryHike]]&lt;13,"Low",IF(H_A[[#This Row],[PercentSalaryHike]]&lt;18,"Medium","High"))</f>
        <v>Medium</v>
      </c>
    </row>
    <row r="1464" spans="1:30" x14ac:dyDescent="0.3">
      <c r="A1464">
        <v>39</v>
      </c>
      <c r="B1464">
        <v>2056</v>
      </c>
      <c r="C1464" t="s">
        <v>36</v>
      </c>
      <c r="D1464" t="s">
        <v>31</v>
      </c>
      <c r="E1464">
        <v>24</v>
      </c>
      <c r="F1464">
        <v>1</v>
      </c>
      <c r="G1464" t="s">
        <v>50</v>
      </c>
      <c r="H1464">
        <v>2</v>
      </c>
      <c r="I1464" t="s">
        <v>33</v>
      </c>
      <c r="J1464">
        <v>2</v>
      </c>
      <c r="K1464">
        <v>4</v>
      </c>
      <c r="L1464" t="s">
        <v>34</v>
      </c>
      <c r="M1464">
        <v>4</v>
      </c>
      <c r="N1464" t="s">
        <v>40</v>
      </c>
      <c r="O1464">
        <v>12031</v>
      </c>
      <c r="P1464">
        <v>0</v>
      </c>
      <c r="Q1464" t="s">
        <v>36</v>
      </c>
      <c r="R1464">
        <v>1</v>
      </c>
      <c r="S1464">
        <v>21</v>
      </c>
      <c r="T1464">
        <v>2</v>
      </c>
      <c r="U1464">
        <v>20</v>
      </c>
      <c r="V1464">
        <v>9</v>
      </c>
      <c r="W1464">
        <v>9</v>
      </c>
      <c r="X1464">
        <v>6</v>
      </c>
      <c r="Y1464">
        <v>11</v>
      </c>
      <c r="Z1464">
        <f>IF(H_A[[#This Row],[Attrition]]="Yes",1,0)</f>
        <v>0</v>
      </c>
      <c r="AA1464" t="str">
        <f>IF(H_A[[#This Row],[Age]]&lt;30,"Young",IF(H_A[[#This Row],[Age]]&lt;45,"Mid","Senior"))</f>
        <v>Mid</v>
      </c>
      <c r="AB1464" t="str">
        <f>IF(H_A[[#This Row],[MonthlyIncome]]&lt;5000,"Low",IF(H_A[[#This Row],[MonthlyIncome]]&lt;10000,"Medium","High"))</f>
        <v>High</v>
      </c>
      <c r="AC1464" t="str">
        <f>IF(H_A[[#This Row],[YearsAtCompany]]&lt;3,"Early",IF(H_A[[#This Row],[YearsAtCompany]]&lt;7,"Mid","Long"))</f>
        <v>Long</v>
      </c>
      <c r="AD1464" t="str">
        <f>IF(H_A[[#This Row],[PercentSalaryHike]]&lt;13,"Low",IF(H_A[[#This Row],[PercentSalaryHike]]&lt;18,"Medium","High"))</f>
        <v>Low</v>
      </c>
    </row>
    <row r="1465" spans="1:30" x14ac:dyDescent="0.3">
      <c r="A1465">
        <v>31</v>
      </c>
      <c r="B1465">
        <v>2057</v>
      </c>
      <c r="C1465" t="s">
        <v>36</v>
      </c>
      <c r="D1465" t="s">
        <v>37</v>
      </c>
      <c r="E1465">
        <v>5</v>
      </c>
      <c r="F1465">
        <v>3</v>
      </c>
      <c r="G1465" t="s">
        <v>43</v>
      </c>
      <c r="H1465">
        <v>2</v>
      </c>
      <c r="I1465" t="s">
        <v>38</v>
      </c>
      <c r="J1465">
        <v>3</v>
      </c>
      <c r="K1465">
        <v>2</v>
      </c>
      <c r="L1465" t="s">
        <v>45</v>
      </c>
      <c r="M1465">
        <v>1</v>
      </c>
      <c r="N1465" t="s">
        <v>35</v>
      </c>
      <c r="O1465">
        <v>9936</v>
      </c>
      <c r="P1465">
        <v>0</v>
      </c>
      <c r="Q1465" t="s">
        <v>36</v>
      </c>
      <c r="R1465">
        <v>2</v>
      </c>
      <c r="S1465">
        <v>10</v>
      </c>
      <c r="T1465">
        <v>3</v>
      </c>
      <c r="U1465">
        <v>9</v>
      </c>
      <c r="V1465">
        <v>4</v>
      </c>
      <c r="W1465">
        <v>1</v>
      </c>
      <c r="X1465">
        <v>7</v>
      </c>
      <c r="Y1465">
        <v>19</v>
      </c>
      <c r="Z1465">
        <f>IF(H_A[[#This Row],[Attrition]]="Yes",1,0)</f>
        <v>0</v>
      </c>
      <c r="AA1465" t="str">
        <f>IF(H_A[[#This Row],[Age]]&lt;30,"Young",IF(H_A[[#This Row],[Age]]&lt;45,"Mid","Senior"))</f>
        <v>Mid</v>
      </c>
      <c r="AB1465" t="str">
        <f>IF(H_A[[#This Row],[MonthlyIncome]]&lt;5000,"Low",IF(H_A[[#This Row],[MonthlyIncome]]&lt;10000,"Medium","High"))</f>
        <v>Medium</v>
      </c>
      <c r="AC1465" t="str">
        <f>IF(H_A[[#This Row],[YearsAtCompany]]&lt;3,"Early",IF(H_A[[#This Row],[YearsAtCompany]]&lt;7,"Mid","Long"))</f>
        <v>Long</v>
      </c>
      <c r="AD1465" t="str">
        <f>IF(H_A[[#This Row],[PercentSalaryHike]]&lt;13,"Low",IF(H_A[[#This Row],[PercentSalaryHike]]&lt;18,"Medium","High"))</f>
        <v>High</v>
      </c>
    </row>
    <row r="1466" spans="1:30" x14ac:dyDescent="0.3">
      <c r="A1466">
        <v>26</v>
      </c>
      <c r="B1466">
        <v>2060</v>
      </c>
      <c r="C1466" t="s">
        <v>36</v>
      </c>
      <c r="D1466" t="s">
        <v>31</v>
      </c>
      <c r="E1466">
        <v>5</v>
      </c>
      <c r="F1466">
        <v>3</v>
      </c>
      <c r="G1466" t="s">
        <v>41</v>
      </c>
      <c r="H1466">
        <v>4</v>
      </c>
      <c r="I1466" t="s">
        <v>33</v>
      </c>
      <c r="J1466">
        <v>2</v>
      </c>
      <c r="K1466">
        <v>1</v>
      </c>
      <c r="L1466" t="s">
        <v>48</v>
      </c>
      <c r="M1466">
        <v>3</v>
      </c>
      <c r="N1466" t="s">
        <v>35</v>
      </c>
      <c r="O1466">
        <v>2966</v>
      </c>
      <c r="P1466">
        <v>0</v>
      </c>
      <c r="Q1466" t="s">
        <v>36</v>
      </c>
      <c r="R1466">
        <v>4</v>
      </c>
      <c r="S1466">
        <v>5</v>
      </c>
      <c r="T1466">
        <v>3</v>
      </c>
      <c r="U1466">
        <v>4</v>
      </c>
      <c r="V1466">
        <v>2</v>
      </c>
      <c r="W1466">
        <v>0</v>
      </c>
      <c r="X1466">
        <v>0</v>
      </c>
      <c r="Y1466">
        <v>18</v>
      </c>
      <c r="Z1466">
        <f>IF(H_A[[#This Row],[Attrition]]="Yes",1,0)</f>
        <v>0</v>
      </c>
      <c r="AA1466" t="str">
        <f>IF(H_A[[#This Row],[Age]]&lt;30,"Young",IF(H_A[[#This Row],[Age]]&lt;45,"Mid","Senior"))</f>
        <v>Young</v>
      </c>
      <c r="AB1466" t="str">
        <f>IF(H_A[[#This Row],[MonthlyIncome]]&lt;5000,"Low",IF(H_A[[#This Row],[MonthlyIncome]]&lt;10000,"Medium","High"))</f>
        <v>Low</v>
      </c>
      <c r="AC1466" t="str">
        <f>IF(H_A[[#This Row],[YearsAtCompany]]&lt;3,"Early",IF(H_A[[#This Row],[YearsAtCompany]]&lt;7,"Mid","Long"))</f>
        <v>Mid</v>
      </c>
      <c r="AD1466" t="str">
        <f>IF(H_A[[#This Row],[PercentSalaryHike]]&lt;13,"Low",IF(H_A[[#This Row],[PercentSalaryHike]]&lt;18,"Medium","High"))</f>
        <v>High</v>
      </c>
    </row>
    <row r="1467" spans="1:30" x14ac:dyDescent="0.3">
      <c r="A1467">
        <v>36</v>
      </c>
      <c r="B1467">
        <v>2061</v>
      </c>
      <c r="C1467" t="s">
        <v>36</v>
      </c>
      <c r="D1467" t="s">
        <v>37</v>
      </c>
      <c r="E1467">
        <v>23</v>
      </c>
      <c r="F1467">
        <v>2</v>
      </c>
      <c r="G1467" t="s">
        <v>43</v>
      </c>
      <c r="H1467">
        <v>3</v>
      </c>
      <c r="I1467" t="s">
        <v>38</v>
      </c>
      <c r="J1467">
        <v>4</v>
      </c>
      <c r="K1467">
        <v>2</v>
      </c>
      <c r="L1467" t="s">
        <v>42</v>
      </c>
      <c r="M1467">
        <v>4</v>
      </c>
      <c r="N1467" t="s">
        <v>40</v>
      </c>
      <c r="O1467">
        <v>2571</v>
      </c>
      <c r="P1467">
        <v>4</v>
      </c>
      <c r="Q1467" t="s">
        <v>36</v>
      </c>
      <c r="R1467">
        <v>3</v>
      </c>
      <c r="S1467">
        <v>17</v>
      </c>
      <c r="T1467">
        <v>3</v>
      </c>
      <c r="U1467">
        <v>5</v>
      </c>
      <c r="V1467">
        <v>2</v>
      </c>
      <c r="W1467">
        <v>0</v>
      </c>
      <c r="X1467">
        <v>3</v>
      </c>
      <c r="Y1467">
        <v>17</v>
      </c>
      <c r="Z1467">
        <f>IF(H_A[[#This Row],[Attrition]]="Yes",1,0)</f>
        <v>0</v>
      </c>
      <c r="AA1467" t="str">
        <f>IF(H_A[[#This Row],[Age]]&lt;30,"Young",IF(H_A[[#This Row],[Age]]&lt;45,"Mid","Senior"))</f>
        <v>Mid</v>
      </c>
      <c r="AB1467" t="str">
        <f>IF(H_A[[#This Row],[MonthlyIncome]]&lt;5000,"Low",IF(H_A[[#This Row],[MonthlyIncome]]&lt;10000,"Medium","High"))</f>
        <v>Low</v>
      </c>
      <c r="AC1467" t="str">
        <f>IF(H_A[[#This Row],[YearsAtCompany]]&lt;3,"Early",IF(H_A[[#This Row],[YearsAtCompany]]&lt;7,"Mid","Long"))</f>
        <v>Mid</v>
      </c>
      <c r="AD1467" t="str">
        <f>IF(H_A[[#This Row],[PercentSalaryHike]]&lt;13,"Low",IF(H_A[[#This Row],[PercentSalaryHike]]&lt;18,"Medium","High"))</f>
        <v>Medium</v>
      </c>
    </row>
    <row r="1468" spans="1:30" x14ac:dyDescent="0.3">
      <c r="A1468">
        <v>39</v>
      </c>
      <c r="B1468">
        <v>2062</v>
      </c>
      <c r="C1468" t="s">
        <v>36</v>
      </c>
      <c r="D1468" t="s">
        <v>37</v>
      </c>
      <c r="E1468">
        <v>6</v>
      </c>
      <c r="F1468">
        <v>1</v>
      </c>
      <c r="G1468" t="s">
        <v>43</v>
      </c>
      <c r="H1468">
        <v>4</v>
      </c>
      <c r="I1468" t="s">
        <v>38</v>
      </c>
      <c r="J1468">
        <v>2</v>
      </c>
      <c r="K1468">
        <v>3</v>
      </c>
      <c r="L1468" t="s">
        <v>46</v>
      </c>
      <c r="M1468">
        <v>1</v>
      </c>
      <c r="N1468" t="s">
        <v>40</v>
      </c>
      <c r="O1468">
        <v>9991</v>
      </c>
      <c r="P1468">
        <v>4</v>
      </c>
      <c r="Q1468" t="s">
        <v>36</v>
      </c>
      <c r="R1468">
        <v>1</v>
      </c>
      <c r="S1468">
        <v>9</v>
      </c>
      <c r="T1468">
        <v>3</v>
      </c>
      <c r="U1468">
        <v>7</v>
      </c>
      <c r="V1468">
        <v>7</v>
      </c>
      <c r="W1468">
        <v>1</v>
      </c>
      <c r="X1468">
        <v>7</v>
      </c>
      <c r="Y1468">
        <v>15</v>
      </c>
      <c r="Z1468">
        <f>IF(H_A[[#This Row],[Attrition]]="Yes",1,0)</f>
        <v>0</v>
      </c>
      <c r="AA1468" t="str">
        <f>IF(H_A[[#This Row],[Age]]&lt;30,"Young",IF(H_A[[#This Row],[Age]]&lt;45,"Mid","Senior"))</f>
        <v>Mid</v>
      </c>
      <c r="AB1468" t="str">
        <f>IF(H_A[[#This Row],[MonthlyIncome]]&lt;5000,"Low",IF(H_A[[#This Row],[MonthlyIncome]]&lt;10000,"Medium","High"))</f>
        <v>Medium</v>
      </c>
      <c r="AC1468" t="str">
        <f>IF(H_A[[#This Row],[YearsAtCompany]]&lt;3,"Early",IF(H_A[[#This Row],[YearsAtCompany]]&lt;7,"Mid","Long"))</f>
        <v>Long</v>
      </c>
      <c r="AD1468" t="str">
        <f>IF(H_A[[#This Row],[PercentSalaryHike]]&lt;13,"Low",IF(H_A[[#This Row],[PercentSalaryHike]]&lt;18,"Medium","High"))</f>
        <v>Medium</v>
      </c>
    </row>
    <row r="1469" spans="1:30" x14ac:dyDescent="0.3">
      <c r="A1469">
        <v>27</v>
      </c>
      <c r="B1469">
        <v>2064</v>
      </c>
      <c r="C1469" t="s">
        <v>36</v>
      </c>
      <c r="D1469" t="s">
        <v>37</v>
      </c>
      <c r="E1469">
        <v>4</v>
      </c>
      <c r="F1469">
        <v>3</v>
      </c>
      <c r="G1469" t="s">
        <v>32</v>
      </c>
      <c r="H1469">
        <v>2</v>
      </c>
      <c r="I1469" t="s">
        <v>38</v>
      </c>
      <c r="J1469">
        <v>4</v>
      </c>
      <c r="K1469">
        <v>2</v>
      </c>
      <c r="L1469" t="s">
        <v>45</v>
      </c>
      <c r="M1469">
        <v>2</v>
      </c>
      <c r="N1469" t="s">
        <v>40</v>
      </c>
      <c r="O1469">
        <v>6142</v>
      </c>
      <c r="P1469">
        <v>1</v>
      </c>
      <c r="Q1469" t="s">
        <v>30</v>
      </c>
      <c r="R1469">
        <v>2</v>
      </c>
      <c r="S1469">
        <v>6</v>
      </c>
      <c r="T1469">
        <v>3</v>
      </c>
      <c r="U1469">
        <v>6</v>
      </c>
      <c r="V1469">
        <v>2</v>
      </c>
      <c r="W1469">
        <v>0</v>
      </c>
      <c r="X1469">
        <v>3</v>
      </c>
      <c r="Y1469">
        <v>20</v>
      </c>
      <c r="Z1469">
        <f>IF(H_A[[#This Row],[Attrition]]="Yes",1,0)</f>
        <v>0</v>
      </c>
      <c r="AA1469" t="str">
        <f>IF(H_A[[#This Row],[Age]]&lt;30,"Young",IF(H_A[[#This Row],[Age]]&lt;45,"Mid","Senior"))</f>
        <v>Young</v>
      </c>
      <c r="AB1469" t="str">
        <f>IF(H_A[[#This Row],[MonthlyIncome]]&lt;5000,"Low",IF(H_A[[#This Row],[MonthlyIncome]]&lt;10000,"Medium","High"))</f>
        <v>Medium</v>
      </c>
      <c r="AC1469" t="str">
        <f>IF(H_A[[#This Row],[YearsAtCompany]]&lt;3,"Early",IF(H_A[[#This Row],[YearsAtCompany]]&lt;7,"Mid","Long"))</f>
        <v>Mid</v>
      </c>
      <c r="AD1469" t="str">
        <f>IF(H_A[[#This Row],[PercentSalaryHike]]&lt;13,"Low",IF(H_A[[#This Row],[PercentSalaryHike]]&lt;18,"Medium","High"))</f>
        <v>High</v>
      </c>
    </row>
    <row r="1470" spans="1:30" x14ac:dyDescent="0.3">
      <c r="A1470">
        <v>49</v>
      </c>
      <c r="B1470">
        <v>2065</v>
      </c>
      <c r="C1470" t="s">
        <v>36</v>
      </c>
      <c r="D1470" t="s">
        <v>31</v>
      </c>
      <c r="E1470">
        <v>2</v>
      </c>
      <c r="F1470">
        <v>3</v>
      </c>
      <c r="G1470" t="s">
        <v>43</v>
      </c>
      <c r="H1470">
        <v>4</v>
      </c>
      <c r="I1470" t="s">
        <v>38</v>
      </c>
      <c r="J1470">
        <v>2</v>
      </c>
      <c r="K1470">
        <v>2</v>
      </c>
      <c r="L1470" t="s">
        <v>34</v>
      </c>
      <c r="M1470">
        <v>2</v>
      </c>
      <c r="N1470" t="s">
        <v>40</v>
      </c>
      <c r="O1470">
        <v>5390</v>
      </c>
      <c r="P1470">
        <v>2</v>
      </c>
      <c r="Q1470" t="s">
        <v>36</v>
      </c>
      <c r="R1470">
        <v>4</v>
      </c>
      <c r="S1470">
        <v>17</v>
      </c>
      <c r="T1470">
        <v>2</v>
      </c>
      <c r="U1470">
        <v>9</v>
      </c>
      <c r="V1470">
        <v>6</v>
      </c>
      <c r="W1470">
        <v>0</v>
      </c>
      <c r="X1470">
        <v>8</v>
      </c>
      <c r="Y1470">
        <v>14</v>
      </c>
      <c r="Z1470">
        <f>IF(H_A[[#This Row],[Attrition]]="Yes",1,0)</f>
        <v>0</v>
      </c>
      <c r="AA1470" t="str">
        <f>IF(H_A[[#This Row],[Age]]&lt;30,"Young",IF(H_A[[#This Row],[Age]]&lt;45,"Mid","Senior"))</f>
        <v>Senior</v>
      </c>
      <c r="AB1470" t="str">
        <f>IF(H_A[[#This Row],[MonthlyIncome]]&lt;5000,"Low",IF(H_A[[#This Row],[MonthlyIncome]]&lt;10000,"Medium","High"))</f>
        <v>Medium</v>
      </c>
      <c r="AC1470" t="str">
        <f>IF(H_A[[#This Row],[YearsAtCompany]]&lt;3,"Early",IF(H_A[[#This Row],[YearsAtCompany]]&lt;7,"Mid","Long"))</f>
        <v>Long</v>
      </c>
      <c r="AD1470" t="str">
        <f>IF(H_A[[#This Row],[PercentSalaryHike]]&lt;13,"Low",IF(H_A[[#This Row],[PercentSalaryHike]]&lt;18,"Medium","High"))</f>
        <v>Medium</v>
      </c>
    </row>
    <row r="1471" spans="1:30" x14ac:dyDescent="0.3">
      <c r="A1471">
        <v>34</v>
      </c>
      <c r="B1471">
        <v>2068</v>
      </c>
      <c r="C1471" t="s">
        <v>36</v>
      </c>
      <c r="D1471" t="s">
        <v>37</v>
      </c>
      <c r="E1471">
        <v>8</v>
      </c>
      <c r="F1471">
        <v>3</v>
      </c>
      <c r="G1471" t="s">
        <v>43</v>
      </c>
      <c r="H1471">
        <v>2</v>
      </c>
      <c r="I1471" t="s">
        <v>38</v>
      </c>
      <c r="J1471">
        <v>4</v>
      </c>
      <c r="K1471">
        <v>2</v>
      </c>
      <c r="L1471" t="s">
        <v>42</v>
      </c>
      <c r="M1471">
        <v>3</v>
      </c>
      <c r="N1471" t="s">
        <v>40</v>
      </c>
      <c r="O1471">
        <v>4404</v>
      </c>
      <c r="P1471">
        <v>2</v>
      </c>
      <c r="Q1471" t="s">
        <v>36</v>
      </c>
      <c r="R1471">
        <v>1</v>
      </c>
      <c r="S1471">
        <v>6</v>
      </c>
      <c r="T1471">
        <v>4</v>
      </c>
      <c r="U1471">
        <v>4</v>
      </c>
      <c r="V1471">
        <v>3</v>
      </c>
      <c r="W1471">
        <v>1</v>
      </c>
      <c r="X1471">
        <v>2</v>
      </c>
      <c r="Y1471">
        <v>12</v>
      </c>
      <c r="Z1471">
        <f>IF(H_A[[#This Row],[Attrition]]="Yes",1,0)</f>
        <v>0</v>
      </c>
      <c r="AA1471" t="str">
        <f>IF(H_A[[#This Row],[Age]]&lt;30,"Young",IF(H_A[[#This Row],[Age]]&lt;45,"Mid","Senior"))</f>
        <v>Mid</v>
      </c>
      <c r="AB1471" t="str">
        <f>IF(H_A[[#This Row],[MonthlyIncome]]&lt;5000,"Low",IF(H_A[[#This Row],[MonthlyIncome]]&lt;10000,"Medium","High"))</f>
        <v>Low</v>
      </c>
      <c r="AC1471" t="str">
        <f>IF(H_A[[#This Row],[YearsAtCompany]]&lt;3,"Early",IF(H_A[[#This Row],[YearsAtCompany]]&lt;7,"Mid","Long"))</f>
        <v>Mid</v>
      </c>
      <c r="AD1471" t="str">
        <f>IF(H_A[[#This Row],[PercentSalaryHike]]&lt;13,"Low",IF(H_A[[#This Row],[PercentSalaryHike]]&lt;18,"Medium","High"))</f>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2BA8D-4B9B-49CA-B00F-ACE7C916647B}">
  <dimension ref="A1:K32"/>
  <sheetViews>
    <sheetView zoomScale="92" workbookViewId="0">
      <selection activeCell="R20" sqref="R20"/>
    </sheetView>
  </sheetViews>
  <sheetFormatPr defaultRowHeight="14.4" x14ac:dyDescent="0.3"/>
  <cols>
    <col min="1" max="1" width="22.77734375" bestFit="1" customWidth="1"/>
    <col min="2" max="2" width="23.33203125" bestFit="1" customWidth="1"/>
    <col min="3" max="3" width="11.44140625" bestFit="1" customWidth="1"/>
    <col min="5" max="5" width="16.44140625" bestFit="1" customWidth="1"/>
    <col min="6" max="6" width="5.88671875" bestFit="1" customWidth="1"/>
    <col min="8" max="8" width="17.33203125" bestFit="1" customWidth="1"/>
    <col min="9" max="9" width="16.77734375" bestFit="1" customWidth="1"/>
    <col min="10" max="10" width="15.33203125" bestFit="1" customWidth="1"/>
    <col min="11" max="11" width="7.33203125" bestFit="1" customWidth="1"/>
  </cols>
  <sheetData>
    <row r="1" spans="1:11" x14ac:dyDescent="0.3">
      <c r="A1" t="s">
        <v>53</v>
      </c>
      <c r="C1" t="s">
        <v>54</v>
      </c>
      <c r="E1" s="1" t="s">
        <v>1</v>
      </c>
      <c r="F1" t="s">
        <v>36</v>
      </c>
      <c r="H1" s="1" t="s">
        <v>7</v>
      </c>
      <c r="I1" t="s">
        <v>38</v>
      </c>
      <c r="J1" s="1" t="s">
        <v>7</v>
      </c>
      <c r="K1" t="s">
        <v>38</v>
      </c>
    </row>
    <row r="2" spans="1:11" x14ac:dyDescent="0.3">
      <c r="A2" s="8">
        <v>882</v>
      </c>
      <c r="C2" s="3">
        <v>36.653061224489797</v>
      </c>
    </row>
    <row r="3" spans="1:11" x14ac:dyDescent="0.3">
      <c r="E3" t="s">
        <v>57</v>
      </c>
      <c r="H3" t="s">
        <v>59</v>
      </c>
      <c r="J3" t="s">
        <v>58</v>
      </c>
    </row>
    <row r="4" spans="1:11" x14ac:dyDescent="0.3">
      <c r="E4" s="8">
        <v>732</v>
      </c>
      <c r="H4" s="8">
        <v>882</v>
      </c>
      <c r="J4" s="8">
        <v>882</v>
      </c>
    </row>
    <row r="9" spans="1:11" x14ac:dyDescent="0.3">
      <c r="A9" s="1" t="s">
        <v>55</v>
      </c>
      <c r="B9" t="s">
        <v>65</v>
      </c>
      <c r="E9" s="1" t="s">
        <v>55</v>
      </c>
      <c r="F9" t="s">
        <v>66</v>
      </c>
    </row>
    <row r="10" spans="1:11" x14ac:dyDescent="0.3">
      <c r="A10" s="2" t="s">
        <v>31</v>
      </c>
      <c r="B10" s="8">
        <v>257</v>
      </c>
      <c r="E10" s="2" t="s">
        <v>38</v>
      </c>
      <c r="F10" s="8">
        <v>882</v>
      </c>
    </row>
    <row r="11" spans="1:11" x14ac:dyDescent="0.3">
      <c r="A11" s="2" t="s">
        <v>52</v>
      </c>
      <c r="B11" s="8">
        <v>43</v>
      </c>
      <c r="E11" s="2" t="s">
        <v>56</v>
      </c>
      <c r="F11" s="8">
        <v>882</v>
      </c>
    </row>
    <row r="12" spans="1:11" x14ac:dyDescent="0.3">
      <c r="A12" s="2" t="s">
        <v>37</v>
      </c>
      <c r="B12" s="8">
        <v>582</v>
      </c>
    </row>
    <row r="13" spans="1:11" x14ac:dyDescent="0.3">
      <c r="A13" s="2" t="s">
        <v>56</v>
      </c>
      <c r="B13" s="8">
        <v>882</v>
      </c>
    </row>
    <row r="17" spans="1:6" x14ac:dyDescent="0.3">
      <c r="A17" s="1" t="s">
        <v>55</v>
      </c>
      <c r="B17" t="s">
        <v>67</v>
      </c>
      <c r="E17" s="1" t="s">
        <v>55</v>
      </c>
      <c r="F17" t="s">
        <v>68</v>
      </c>
    </row>
    <row r="18" spans="1:6" x14ac:dyDescent="0.3">
      <c r="A18" s="2" t="s">
        <v>46</v>
      </c>
      <c r="B18" s="8">
        <v>80</v>
      </c>
      <c r="E18" s="2" t="s">
        <v>50</v>
      </c>
      <c r="F18" s="8">
        <v>90</v>
      </c>
    </row>
    <row r="19" spans="1:6" x14ac:dyDescent="0.3">
      <c r="A19" s="2" t="s">
        <v>52</v>
      </c>
      <c r="B19" s="8">
        <v>36</v>
      </c>
      <c r="E19" s="2" t="s">
        <v>52</v>
      </c>
      <c r="F19" s="8">
        <v>19</v>
      </c>
    </row>
    <row r="20" spans="1:6" x14ac:dyDescent="0.3">
      <c r="A20" s="2" t="s">
        <v>42</v>
      </c>
      <c r="B20" s="8">
        <v>174</v>
      </c>
      <c r="E20" s="2" t="s">
        <v>32</v>
      </c>
      <c r="F20" s="8">
        <v>366</v>
      </c>
    </row>
    <row r="21" spans="1:6" x14ac:dyDescent="0.3">
      <c r="A21" s="2" t="s">
        <v>47</v>
      </c>
      <c r="B21" s="8">
        <v>55</v>
      </c>
      <c r="E21" s="2" t="s">
        <v>43</v>
      </c>
      <c r="F21" s="8">
        <v>274</v>
      </c>
    </row>
    <row r="22" spans="1:6" x14ac:dyDescent="0.3">
      <c r="A22" s="2" t="s">
        <v>45</v>
      </c>
      <c r="B22" s="8">
        <v>73</v>
      </c>
      <c r="E22" s="2" t="s">
        <v>41</v>
      </c>
      <c r="F22" s="8">
        <v>53</v>
      </c>
    </row>
    <row r="23" spans="1:6" x14ac:dyDescent="0.3">
      <c r="A23" s="2" t="s">
        <v>49</v>
      </c>
      <c r="B23" s="8">
        <v>47</v>
      </c>
      <c r="E23" s="2" t="s">
        <v>51</v>
      </c>
      <c r="F23" s="8">
        <v>80</v>
      </c>
    </row>
    <row r="24" spans="1:6" x14ac:dyDescent="0.3">
      <c r="A24" s="2" t="s">
        <v>39</v>
      </c>
      <c r="B24" s="8">
        <v>178</v>
      </c>
      <c r="E24" s="2" t="s">
        <v>56</v>
      </c>
      <c r="F24" s="8">
        <v>882</v>
      </c>
    </row>
    <row r="25" spans="1:6" x14ac:dyDescent="0.3">
      <c r="A25" s="2" t="s">
        <v>34</v>
      </c>
      <c r="B25" s="8">
        <v>194</v>
      </c>
    </row>
    <row r="26" spans="1:6" x14ac:dyDescent="0.3">
      <c r="A26" s="2" t="s">
        <v>48</v>
      </c>
      <c r="B26" s="8">
        <v>45</v>
      </c>
    </row>
    <row r="27" spans="1:6" x14ac:dyDescent="0.3">
      <c r="A27" s="2" t="s">
        <v>56</v>
      </c>
      <c r="B27" s="8">
        <v>882</v>
      </c>
    </row>
    <row r="28" spans="1:6" x14ac:dyDescent="0.3">
      <c r="E28" s="1" t="s">
        <v>55</v>
      </c>
      <c r="F28" t="s">
        <v>71</v>
      </c>
    </row>
    <row r="29" spans="1:6" x14ac:dyDescent="0.3">
      <c r="E29" s="2" t="s">
        <v>69</v>
      </c>
      <c r="F29" s="8">
        <v>500</v>
      </c>
    </row>
    <row r="30" spans="1:6" x14ac:dyDescent="0.3">
      <c r="E30" s="2" t="s">
        <v>70</v>
      </c>
      <c r="F30" s="8">
        <v>176</v>
      </c>
    </row>
    <row r="31" spans="1:6" x14ac:dyDescent="0.3">
      <c r="E31" s="2" t="s">
        <v>63</v>
      </c>
      <c r="F31" s="8">
        <v>206</v>
      </c>
    </row>
    <row r="32" spans="1:6" x14ac:dyDescent="0.3">
      <c r="E32" s="2" t="s">
        <v>56</v>
      </c>
      <c r="F32" s="8">
        <v>882</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A853-445C-4B09-B652-C4E8ACEA1D27}">
  <dimension ref="A1:N28"/>
  <sheetViews>
    <sheetView workbookViewId="0"/>
  </sheetViews>
  <sheetFormatPr defaultRowHeight="14.4" x14ac:dyDescent="0.3"/>
  <cols>
    <col min="1" max="1" width="14.6640625" bestFit="1" customWidth="1"/>
    <col min="2" max="2" width="22.5546875" bestFit="1" customWidth="1"/>
    <col min="4" max="4" width="12.33203125" bestFit="1" customWidth="1"/>
    <col min="5" max="5" width="6.109375" bestFit="1" customWidth="1"/>
    <col min="6" max="6" width="20.21875" bestFit="1" customWidth="1"/>
    <col min="7" max="7" width="16.109375" bestFit="1" customWidth="1"/>
    <col min="8" max="8" width="6.109375" bestFit="1" customWidth="1"/>
    <col min="10" max="10" width="19.21875" bestFit="1" customWidth="1"/>
    <col min="11" max="11" width="8.109375" bestFit="1" customWidth="1"/>
    <col min="13" max="13" width="24.5546875" bestFit="1" customWidth="1"/>
    <col min="14" max="14" width="4.21875" bestFit="1" customWidth="1"/>
  </cols>
  <sheetData>
    <row r="1" spans="1:14" x14ac:dyDescent="0.3">
      <c r="M1" s="1" t="s">
        <v>11</v>
      </c>
      <c r="N1" s="2">
        <v>1</v>
      </c>
    </row>
    <row r="2" spans="1:14" x14ac:dyDescent="0.3">
      <c r="D2" s="1" t="s">
        <v>1</v>
      </c>
      <c r="E2" t="s">
        <v>30</v>
      </c>
      <c r="G2" s="1" t="s">
        <v>15</v>
      </c>
      <c r="H2" t="s">
        <v>30</v>
      </c>
      <c r="J2" s="1" t="s">
        <v>25</v>
      </c>
      <c r="K2" t="s">
        <v>63</v>
      </c>
    </row>
    <row r="3" spans="1:14" x14ac:dyDescent="0.3">
      <c r="A3" t="s">
        <v>53</v>
      </c>
      <c r="M3" t="s">
        <v>64</v>
      </c>
    </row>
    <row r="4" spans="1:14" x14ac:dyDescent="0.3">
      <c r="A4" s="8">
        <v>1470</v>
      </c>
      <c r="D4" t="s">
        <v>60</v>
      </c>
      <c r="G4" t="s">
        <v>61</v>
      </c>
      <c r="J4" t="s">
        <v>62</v>
      </c>
      <c r="M4" s="8">
        <v>289</v>
      </c>
    </row>
    <row r="5" spans="1:14" x14ac:dyDescent="0.3">
      <c r="D5" s="8">
        <v>237</v>
      </c>
      <c r="G5" s="8">
        <v>416</v>
      </c>
      <c r="J5" s="8">
        <v>326</v>
      </c>
    </row>
    <row r="7" spans="1:14" x14ac:dyDescent="0.3">
      <c r="A7" s="1" t="s">
        <v>1</v>
      </c>
      <c r="B7" t="s">
        <v>30</v>
      </c>
      <c r="E7" s="1" t="s">
        <v>1</v>
      </c>
      <c r="F7" t="s">
        <v>30</v>
      </c>
    </row>
    <row r="9" spans="1:14" x14ac:dyDescent="0.3">
      <c r="A9" s="1" t="s">
        <v>55</v>
      </c>
      <c r="B9" t="s">
        <v>72</v>
      </c>
      <c r="E9" s="1" t="s">
        <v>55</v>
      </c>
      <c r="F9" t="s">
        <v>73</v>
      </c>
    </row>
    <row r="10" spans="1:14" x14ac:dyDescent="0.3">
      <c r="A10" s="2" t="s">
        <v>31</v>
      </c>
      <c r="B10" s="8">
        <v>92</v>
      </c>
      <c r="E10" s="2" t="s">
        <v>46</v>
      </c>
      <c r="F10" s="8">
        <v>9</v>
      </c>
    </row>
    <row r="11" spans="1:14" x14ac:dyDescent="0.3">
      <c r="A11" s="2" t="s">
        <v>52</v>
      </c>
      <c r="B11" s="8">
        <v>12</v>
      </c>
      <c r="E11" s="2" t="s">
        <v>52</v>
      </c>
      <c r="F11" s="8">
        <v>12</v>
      </c>
    </row>
    <row r="12" spans="1:14" x14ac:dyDescent="0.3">
      <c r="A12" s="2" t="s">
        <v>37</v>
      </c>
      <c r="B12" s="8">
        <v>133</v>
      </c>
      <c r="E12" s="2" t="s">
        <v>42</v>
      </c>
      <c r="F12" s="8">
        <v>62</v>
      </c>
    </row>
    <row r="13" spans="1:14" x14ac:dyDescent="0.3">
      <c r="A13" s="2" t="s">
        <v>56</v>
      </c>
      <c r="B13" s="8">
        <v>237</v>
      </c>
      <c r="E13" s="2" t="s">
        <v>47</v>
      </c>
      <c r="F13" s="8">
        <v>5</v>
      </c>
    </row>
    <row r="14" spans="1:14" x14ac:dyDescent="0.3">
      <c r="E14" s="2" t="s">
        <v>45</v>
      </c>
      <c r="F14" s="8">
        <v>10</v>
      </c>
    </row>
    <row r="15" spans="1:14" x14ac:dyDescent="0.3">
      <c r="E15" s="2" t="s">
        <v>49</v>
      </c>
      <c r="F15" s="8">
        <v>2</v>
      </c>
    </row>
    <row r="16" spans="1:14" x14ac:dyDescent="0.3">
      <c r="E16" s="2" t="s">
        <v>39</v>
      </c>
      <c r="F16" s="8">
        <v>47</v>
      </c>
    </row>
    <row r="17" spans="1:6" x14ac:dyDescent="0.3">
      <c r="A17" s="1" t="s">
        <v>55</v>
      </c>
      <c r="B17" t="s">
        <v>62</v>
      </c>
      <c r="E17" s="2" t="s">
        <v>34</v>
      </c>
      <c r="F17" s="8">
        <v>57</v>
      </c>
    </row>
    <row r="18" spans="1:6" x14ac:dyDescent="0.3">
      <c r="A18" s="2" t="s">
        <v>69</v>
      </c>
      <c r="B18" s="8">
        <v>830</v>
      </c>
      <c r="E18" s="2" t="s">
        <v>48</v>
      </c>
      <c r="F18" s="8">
        <v>33</v>
      </c>
    </row>
    <row r="19" spans="1:6" x14ac:dyDescent="0.3">
      <c r="A19" s="2" t="s">
        <v>70</v>
      </c>
      <c r="B19" s="8">
        <v>314</v>
      </c>
      <c r="E19" s="2" t="s">
        <v>56</v>
      </c>
      <c r="F19" s="8">
        <v>237</v>
      </c>
    </row>
    <row r="20" spans="1:6" x14ac:dyDescent="0.3">
      <c r="A20" s="2" t="s">
        <v>63</v>
      </c>
      <c r="B20" s="8">
        <v>326</v>
      </c>
    </row>
    <row r="21" spans="1:6" x14ac:dyDescent="0.3">
      <c r="A21" s="2" t="s">
        <v>56</v>
      </c>
      <c r="B21" s="8">
        <v>1470</v>
      </c>
    </row>
    <row r="22" spans="1:6" x14ac:dyDescent="0.3">
      <c r="E22" s="1" t="s">
        <v>1</v>
      </c>
      <c r="F22" t="s">
        <v>30</v>
      </c>
    </row>
    <row r="24" spans="1:6" x14ac:dyDescent="0.3">
      <c r="A24" s="1" t="s">
        <v>55</v>
      </c>
      <c r="B24" t="s">
        <v>77</v>
      </c>
      <c r="E24" s="1" t="s">
        <v>55</v>
      </c>
      <c r="F24" t="s">
        <v>78</v>
      </c>
    </row>
    <row r="25" spans="1:6" x14ac:dyDescent="0.3">
      <c r="A25" s="2" t="s">
        <v>74</v>
      </c>
      <c r="B25" s="8">
        <v>281</v>
      </c>
      <c r="E25" s="2" t="s">
        <v>74</v>
      </c>
      <c r="F25" s="8">
        <v>59</v>
      </c>
    </row>
    <row r="26" spans="1:6" x14ac:dyDescent="0.3">
      <c r="A26" s="2" t="s">
        <v>75</v>
      </c>
      <c r="B26" s="8">
        <v>749</v>
      </c>
      <c r="E26" s="2" t="s">
        <v>75</v>
      </c>
      <c r="F26" s="8">
        <v>74</v>
      </c>
    </row>
    <row r="27" spans="1:6" x14ac:dyDescent="0.3">
      <c r="A27" s="2" t="s">
        <v>76</v>
      </c>
      <c r="B27" s="8">
        <v>440</v>
      </c>
      <c r="E27" s="2" t="s">
        <v>76</v>
      </c>
      <c r="F27" s="8">
        <v>104</v>
      </c>
    </row>
    <row r="28" spans="1:6" x14ac:dyDescent="0.3">
      <c r="A28" s="2" t="s">
        <v>56</v>
      </c>
      <c r="B28" s="8">
        <v>1470</v>
      </c>
      <c r="E28" s="2" t="s">
        <v>56</v>
      </c>
      <c r="F28" s="8">
        <v>237</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A8088-9485-4080-A580-168B0E859E6A}">
  <dimension ref="A1"/>
  <sheetViews>
    <sheetView showGridLines="0"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EBA9-3D92-4AD8-8ED8-F5F59BDF1579}">
  <dimension ref="A1"/>
  <sheetViews>
    <sheetView showGridLines="0" tabSelected="1" workbookViewId="0">
      <selection activeCell="A3" sqref="A3"/>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2447-C23C-4645-8A03-9450F8427671}">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2194D-1680-417F-947E-36C5B8660303}">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2D8E1-B9DB-47EA-9BD1-4111478C8F1D}">
  <dimension ref="A1"/>
  <sheetViews>
    <sheetView showGridLines="0"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Hiring-Attrition</vt:lpstr>
      <vt:lpstr>Hiring </vt:lpstr>
      <vt:lpstr>Attrition</vt:lpstr>
      <vt:lpstr>INTRO</vt:lpstr>
      <vt:lpstr>P&amp;O</vt:lpstr>
      <vt:lpstr>DASH1</vt:lpstr>
      <vt:lpstr>DASH2</vt:lpstr>
      <vt:lpstr>INSIGHT</vt:lpstr>
      <vt:lpstr>'Hiring-Attrition'!employee1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srishti rai</dc:creator>
  <cp:lastModifiedBy>srishti rai</cp:lastModifiedBy>
  <dcterms:created xsi:type="dcterms:W3CDTF">2026-06-10T13:44:17Z</dcterms:created>
  <dcterms:modified xsi:type="dcterms:W3CDTF">2026-06-20T08:34:57Z</dcterms:modified>
</cp:coreProperties>
</file>